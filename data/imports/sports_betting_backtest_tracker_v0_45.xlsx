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84257577f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8f312f89008420b"/>
    <x:sheet xmlns:r="http://schemas.openxmlformats.org/officeDocument/2006/relationships" name="Candidate Log" sheetId="2" r:id="R2bae40f4b7de4709"/>
    <x:sheet xmlns:r="http://schemas.openxmlformats.org/officeDocument/2006/relationships" name="Ticket Log" sheetId="3" r:id="Rc716837e4b254faf"/>
    <x:sheet xmlns:r="http://schemas.openxmlformats.org/officeDocument/2006/relationships" name="Market Summary" sheetId="4" r:id="R4aab644d8a80497a"/>
    <x:sheet xmlns:r="http://schemas.openxmlformats.org/officeDocument/2006/relationships" name="Source Evaluation" sheetId="5" r:id="R0e21dee446354927"/>
    <x:sheet xmlns:r="http://schemas.openxmlformats.org/officeDocument/2006/relationships" name="Feature Weights" sheetId="6" r:id="R4ac394a7c969468b"/>
    <x:sheet xmlns:r="http://schemas.openxmlformats.org/officeDocument/2006/relationships" name="Backtest Plan" sheetId="7" r:id="R222a7e3952b24296"/>
    <x:sheet xmlns:r="http://schemas.openxmlformats.org/officeDocument/2006/relationships" name="Daily Summary" sheetId="8" r:id="R92fec620c26c4bed"/>
    <x:sheet xmlns:r="http://schemas.openxmlformats.org/officeDocument/2006/relationships" name="Missed Opportunities" sheetId="9" r:id="Rd2ba0ccb35554454"/>
    <x:sheet xmlns:r="http://schemas.openxmlformats.org/officeDocument/2006/relationships" name="Backfill Status" sheetId="10" r:id="Rc25ae45da6484ad9"/>
    <x:sheet xmlns:r="http://schemas.openxmlformats.org/officeDocument/2006/relationships" name="Paper Portfolio" sheetId="11" r:id="R31135b9ef85e41cc"/>
    <x:sheet xmlns:r="http://schemas.openxmlformats.org/officeDocument/2006/relationships" name="MLB Pitcher Features" sheetId="12" r:id="R69afa6b986b84f29"/>
    <x:sheet xmlns:r="http://schemas.openxmlformats.org/officeDocument/2006/relationships" name="MLB Hitter Features" sheetId="13" r:id="Reb7034b957f14031"/>
    <x:sheet xmlns:r="http://schemas.openxmlformats.org/officeDocument/2006/relationships" name="NRFI Features" sheetId="14" r:id="R2e559f97deed417b"/>
    <x:sheet xmlns:r="http://schemas.openxmlformats.org/officeDocument/2006/relationships" name="WNBA Features" sheetId="15" r:id="Ra77fb309b4bb4aa4"/>
    <x:sheet xmlns:r="http://schemas.openxmlformats.org/officeDocument/2006/relationships" name="Experiment Registry" sheetId="16" r:id="R6ce4c8321416476c"/>
    <x:sheet xmlns:r="http://schemas.openxmlformats.org/officeDocument/2006/relationships" name="Postgame Universe" sheetId="17" r:id="Ra6a5f2c6d98f416e"/>
    <x:sheet xmlns:r="http://schemas.openxmlformats.org/officeDocument/2006/relationships" name="EOD Insights" sheetId="18" r:id="Re653e6037e8d4331"/>
    <x:sheet xmlns:r="http://schemas.openxmlformats.org/officeDocument/2006/relationships" name="Paper Audit Aug26" sheetId="19" r:id="R1a76f3203d934e46"/>
    <x:sheet xmlns:r="http://schemas.openxmlformats.org/officeDocument/2006/relationships" name="Promo Log" sheetId="20" r:id="R7a22f7125adf4163"/>
    <x:sheet xmlns:r="http://schemas.openxmlformats.org/officeDocument/2006/relationships" name="Paper Audit Aug27" sheetId="21" r:id="Rb5a3cb367c9a4628"/>
    <x:sheet xmlns:r="http://schemas.openxmlformats.org/officeDocument/2006/relationships" name="Paper Audit Aug28" sheetId="22" r:id="R4af1175003084ae3"/>
    <x:sheet xmlns:r="http://schemas.openxmlformats.org/officeDocument/2006/relationships" name="CFB Features" sheetId="23" r:id="R6c23ca74dae6435d"/>
    <x:sheet xmlns:r="http://schemas.openxmlformats.org/officeDocument/2006/relationships" name="CFB Game Features" sheetId="24" r:id="Rca5e93f78d054265"/>
    <x:sheet xmlns:r="http://schemas.openxmlformats.org/officeDocument/2006/relationships" name="Hypothesis Stress Tests" sheetId="25" r:id="Rf00f8789776f466b"/>
    <x:sheet xmlns:r="http://schemas.openxmlformats.org/officeDocument/2006/relationships" name="Hypothesis Scorecard" sheetId="26" r:id="R071c038d6d684bff"/>
    <x:sheet xmlns:r="http://schemas.openxmlformats.org/officeDocument/2006/relationships" name="Paper Audit Aug31" sheetId="27" r:id="Red5fb8e704d34461"/>
    <x:sheet xmlns:r="http://schemas.openxmlformats.org/officeDocument/2006/relationships" name="Sep02 Build" sheetId="28" r:id="Rc9ebe4b8811443f6"/>
    <x:sheet xmlns:r="http://schemas.openxmlformats.org/officeDocument/2006/relationships" name="Daily Slate" sheetId="29" r:id="Red7cc586c9af40ae"/>
    <x:sheet xmlns:r="http://schemas.openxmlformats.org/officeDocument/2006/relationships" name="Chat Intake" sheetId="30" r:id="Rcc875484eac043ba"/>
    <x:sheet xmlns:r="http://schemas.openxmlformats.org/officeDocument/2006/relationships" name="Morning Scan" sheetId="31" r:id="R7a858c06718242f5"/>
    <x:sheet xmlns:r="http://schemas.openxmlformats.org/officeDocument/2006/relationships" name="Today Board" sheetId="32" r:id="R48b5f120d6fd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$0.00"/>
    <x:numFmt numFmtId="202" formatCode="0&quot;%&quot;"/>
    <x:numFmt numFmtId="203" formatCode="yyyy-mm-dd"/>
    <x:numFmt numFmtId="204" formatCode="0"/>
    <x:numFmt numFmtId="205" formatCode="$0.00;[Red]-$0.00"/>
    <x:numFmt numFmtId="206" formatCode="#,##0"/>
    <x:numFmt numFmtId="207" formatCode="0.00;-0.00;0.00"/>
    <x:numFmt numFmtId="208" formatCode="0.00"/>
  </x:numFmts>
  <x:fonts count="31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i/>
      <x:sz val="11"/>
      <x:color rgb="FF783F04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i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i/>
      <x:sz val="11"/>
      <x:name val="Carlito"/>
    </x:font>
    <x:font>
      <x:b/>
      <x:sz val="11"/>
      <x:color rgb="FF9C0006"/>
      <x:name val="Carlito"/>
    </x:font>
    <x:font>
      <x:sz val="10"/>
      <x:color rgb="FF102A43"/>
      <x:name val="Carlito"/>
    </x:font>
    <x:font>
      <x:b/>
      <x:sz val="10"/>
      <x:color rgb="FF102A43"/>
      <x:name val="Carlito"/>
    </x:font>
    <x:font>
      <x:b/>
      <x:sz val="10"/>
      <x:color rgb="FFFFFFFF"/>
      <x:name val="Carlito"/>
    </x:font>
    <x:font>
      <x:sz val="9"/>
      <x:color rgb="FF172B3A"/>
      <x:name val="Carlito"/>
    </x:font>
    <x:font>
      <x:b/>
      <x:sz val="10"/>
      <x:color rgb="FF0A5C56"/>
      <x:name val="Carlito"/>
    </x:font>
    <x:font>
      <x:i/>
      <x:sz val="10"/>
      <x:color rgb="FF7F6000"/>
      <x:name val="Carlito"/>
    </x:font>
    <x:font>
      <x:b/>
      <x:sz val="16"/>
      <x:color rgb="FF68E0E8"/>
      <x:name val="Aptos"/>
    </x:font>
    <x:font>
      <x:i/>
      <x:sz val="10"/>
      <x:color rgb="FFB8C6D8"/>
      <x:name val="Aptos"/>
    </x:font>
    <x:font>
      <x:b/>
      <x:sz val="10"/>
      <x:color rgb="FFFFFFFF"/>
      <x:name val="Aptos"/>
    </x:font>
    <x:font>
      <x:sz val="9"/>
      <x:color rgb="FF172033"/>
      <x:name val="Aptos"/>
    </x:font>
    <x:font>
      <x:b/>
      <x:sz val="15"/>
      <x:color rgb="FF16324F"/>
      <x:name val="Aptos"/>
    </x:font>
    <x:font>
      <x:i/>
      <x:sz val="10"/>
      <x:color rgb="FF536579"/>
      <x:name val="Aptos"/>
    </x:font>
    <x:font>
      <x:b/>
      <x:sz val="18"/>
      <x:color rgb="FFFFFFFF"/>
      <x:name val="Carlito"/>
    </x:font>
    <x:font>
      <x:i/>
      <x:sz val="10"/>
      <x:color rgb="FF68E0E8"/>
      <x:name val="Carlito"/>
    </x:font>
    <x:font>
      <x:b/>
      <x:sz val="9"/>
      <x:color rgb="FF13783E"/>
      <x:name val="Carlito"/>
    </x:font>
    <x:font>
      <x:b/>
      <x:sz val="9"/>
      <x:color rgb="FF9A6500"/>
      <x:name val="Carlito"/>
    </x:font>
    <x:font>
      <x:b/>
      <x:sz val="9"/>
      <x:color rgb="FF6742A6"/>
      <x:name val="Carlito"/>
    </x:font>
    <x:font>
      <x:b/>
      <x:sz val="10"/>
      <x:color rgb="FFFFFFFF"/>
      <x:name val="Arial"/>
    </x:font>
  </x:fonts>
  <x:fills count="13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243E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1D1D"/>
      </x:patternFill>
    </x:fill>
    <x:fill>
      <x:patternFill patternType="solid">
        <x:fgColor rgb="FFFEE2E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CCCC"/>
      </x:patternFill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102A43"/>
      </x:patternFill>
    </x:fill>
    <x:fill>
      <x:patternFill patternType="solid">
        <x:fgColor rgb="FFD9EAF3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5F9"/>
      </x:patternFill>
    </x:fill>
    <x:fill>
      <x:patternFill patternType="solid">
        <x:fgColor rgb="FFDDF5F1"/>
      </x:patternFill>
    </x:fill>
    <x:fill>
      <x:patternFill patternType="solid">
        <x:fgColor rgb="FFFFF2CC"/>
      </x:patternFill>
    </x:fill>
    <x:fill>
      <x:patternFill patternType="solid">
        <x:fgColor rgb="FF102A43"/>
      </x:patternFill>
    </x:fill>
    <x:fill>
      <x:patternFill patternType="solid">
        <x:fgColor rgb="FFD9EAF3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5F9"/>
      </x:patternFill>
    </x:fill>
    <x:fill>
      <x:patternFill patternType="solid">
        <x:fgColor rgb="FFDDF5F1"/>
      </x:patternFill>
    </x:fill>
    <x:fill>
      <x:patternFill patternType="solid">
        <x:fgColor rgb="FFFFF2CC"/>
      </x:patternFill>
    </x:fill>
    <x:fill>
      <x:patternFill patternType="solid">
        <x:fgColor rgb="FF0B1E31"/>
      </x:patternFill>
    </x:fill>
    <x:fill>
      <x:patternFill patternType="solid">
        <x:fgColor rgb="FF13263A"/>
      </x:patternFill>
    </x:fill>
    <x:fill>
      <x:patternFill patternType="solid">
        <x:fgColor rgb="FF16324F"/>
      </x:patternFill>
    </x:fill>
    <x:fill>
      <x:patternFill patternType="solid">
        <x:fgColor rgb="FF16324F"/>
      </x:patternFill>
    </x:fill>
    <x:fill>
      <x:patternFill patternType="solid">
        <x:fgColor rgb="FFFFF4CC"/>
      </x:patternFill>
    </x:fill>
    <x:fill>
      <x:patternFill patternType="solid">
        <x:fgColor rgb="FF081827"/>
      </x:patternFill>
    </x:fill>
    <x:fill>
      <x:patternFill patternType="solid">
        <x:fgColor rgb="FF10263A"/>
      </x:patternFill>
    </x:fill>
    <x:fill>
      <x:patternFill patternType="solid">
        <x:fgColor rgb="FF153C5A"/>
      </x:patternFill>
    </x:fill>
    <x:fill>
      <x:patternFill patternType="solid">
        <x:fgColor rgb="FFE9F7EF"/>
      </x:patternFill>
    </x:fill>
    <x:fill>
      <x:patternFill patternType="solid">
        <x:fgColor rgb="FFFFF6DF"/>
      </x:patternFill>
    </x:fill>
    <x:fill>
      <x:patternFill patternType="solid">
        <x:fgColor rgb="FFF3EEFF"/>
      </x:patternFill>
    </x:fill>
    <x:fill>
      <x:patternFill patternType="solid">
        <x:fgColor rgb="FF081827"/>
      </x:patternFill>
    </x:fill>
    <x:fill>
      <x:patternFill patternType="solid">
        <x:fgColor rgb="FF10263A"/>
      </x:patternFill>
    </x:fill>
    <x:fill>
      <x:patternFill patternType="solid">
        <x:fgColor rgb="FF153C5A"/>
      </x:patternFill>
    </x:fill>
    <x:fill>
      <x:patternFill patternType="solid">
        <x:fgColor rgb="FFE9F7EF"/>
      </x:patternFill>
    </x:fill>
    <x:fill>
      <x:patternFill patternType="solid">
        <x:fgColor rgb="FFFFF6DF"/>
      </x:patternFill>
    </x:fill>
    <x:fill>
      <x:patternFill patternType="solid">
        <x:fgColor rgb="FFF3EEFF"/>
      </x:patternFill>
    </x:fill>
    <x:fill>
      <x:patternFill patternType="solid">
        <x:fgColor rgb="FF081827"/>
      </x:patternFill>
    </x:fill>
    <x:fill>
      <x:patternFill patternType="solid">
        <x:fgColor rgb="FF10263A"/>
      </x:patternFill>
    </x:fill>
    <x:fill>
      <x:patternFill patternType="solid">
        <x:fgColor rgb="FF153C5A"/>
      </x:patternFill>
    </x:fill>
    <x:fill>
      <x:patternFill patternType="solid">
        <x:fgColor rgb="FFE9F7EF"/>
      </x:patternFill>
    </x:fill>
    <x:fill>
      <x:patternFill patternType="solid">
        <x:fgColor rgb="FFFFF6DF"/>
      </x:patternFill>
    </x:fill>
    <x:fill>
      <x:patternFill patternType="solid">
        <x:fgColor rgb="FFF3EEFF"/>
      </x:patternFill>
    </x:fill>
    <x:fill>
      <x:patternFill patternType="solid">
        <x:fgColor rgb="FF081827"/>
      </x:patternFill>
    </x:fill>
    <x:fill>
      <x:patternFill patternType="solid">
        <x:fgColor rgb="FF10263A"/>
      </x:patternFill>
    </x:fill>
    <x:fill>
      <x:patternFill patternType="solid">
        <x:fgColor rgb="FF153C5A"/>
      </x:patternFill>
    </x:fill>
    <x:fill>
      <x:patternFill patternType="solid">
        <x:fgColor rgb="FFE9F7EF"/>
      </x:patternFill>
    </x:fill>
    <x:fill>
      <x:patternFill patternType="solid">
        <x:fgColor rgb="FFFFF6DF"/>
      </x:patternFill>
    </x:fill>
    <x:fill>
      <x:patternFill patternType="solid">
        <x:fgColor rgb="FFF3EEFF"/>
      </x:patternFill>
    </x:fill>
    <x:fill>
      <x:patternFill patternType="solid">
        <x:fgColor rgb="FF081827"/>
      </x:patternFill>
    </x:fill>
    <x:fill>
      <x:patternFill patternType="solid">
        <x:fgColor rgb="FF10263A"/>
      </x:patternFill>
    </x:fill>
    <x:fill>
      <x:patternFill patternType="solid">
        <x:fgColor rgb="FF153C5A"/>
      </x:patternFill>
    </x:fill>
    <x:fill>
      <x:patternFill patternType="solid">
        <x:fgColor rgb="FFE9F7EF"/>
      </x:patternFill>
    </x:fill>
    <x:fill>
      <x:patternFill patternType="solid">
        <x:fgColor rgb="FFFFF6DF"/>
      </x:patternFill>
    </x:fill>
    <x:fill>
      <x:patternFill patternType="solid">
        <x:fgColor rgb="FFF3EEFF"/>
      </x:patternFill>
    </x:fill>
    <x:fill>
      <x:patternFill patternType="solid">
        <x:fgColor rgb="FFE9F7EF"/>
      </x:patternFill>
    </x:fill>
    <x:fill>
      <x:patternFill patternType="solid">
        <x:fgColor rgb="FFE9F7EF"/>
      </x:patternFill>
    </x:fill>
    <x:fill>
      <x:patternFill patternType="solid">
        <x:fgColor rgb="FF12344D"/>
      </x:patternFill>
    </x:fill>
  </x:fills>
  <x:borders count="6">
    <x:border/>
    <x:border/>
    <x:border>
      <x:left style="thin">
        <x:color rgb="FF31506E"/>
      </x:left>
      <x:right style="thin">
        <x:color rgb="FF31506E"/>
      </x:right>
      <x:top style="thin">
        <x:color rgb="FF31506E"/>
      </x:top>
      <x:bottom style="thin">
        <x:color rgb="FF31506E"/>
      </x:bottom>
    </x:border>
    <x:border>
      <x:left style="thin">
        <x:color rgb="FFD6E0EA"/>
      </x:left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34566D"/>
      </x:left>
      <x:right style="thin">
        <x:color rgb="FF34566D"/>
      </x:right>
      <x:top style="thin">
        <x:color rgb="FF34566D"/>
      </x:top>
      <x:bottom style="thin">
        <x:color rgb="FF34566D"/>
      </x:bottom>
    </x:border>
    <x:border>
      <x:left style="thin">
        <x:color rgb="FFD8E3EA"/>
      </x:left>
      <x:right style="thin">
        <x:color rgb="FFD8E3EA"/>
      </x:right>
      <x:top style="thin">
        <x:color rgb="FFD8E3EA"/>
      </x:top>
      <x:bottom style="thin">
        <x:color rgb="FFD8E3EA"/>
      </x:bottom>
    </x:border>
  </x:borders>
  <x:cellStyleXfs count="1">
    <x:xf numFmtId="0" fontId="0" fillId="0" borderId="0"/>
  </x:cellStyleXfs>
  <x:cellXfs count="5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/>
    </x:xf>
    <x:xf numFmtId="0" fontId="7" fillId="11" borderId="0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/>
    <x:xf numFmtId="0" fontId="8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7" fillId="16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center"/>
    </x:xf>
    <x:xf numFmtId="0" fontId="1" fillId="19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7" fillId="21" borderId="0" xfId="0" applyNumberFormat="1" applyFont="1" applyFill="1" applyBorder="1"/>
    <x:xf numFmtId="0" fontId="7" fillId="21" borderId="0" xfId="0" applyNumberFormat="1" applyFont="1" applyFill="1" applyBorder="1" applyAlignment="1">
      <x:alignment wrapText="1"/>
    </x:xf>
    <x:xf numFmtId="0" fontId="9" fillId="20" borderId="0" xfId="0" applyNumberFormat="1" applyFont="1" applyFill="1" applyBorder="1"/>
    <x:xf numFmtId="0" fontId="9" fillId="20" borderId="0" xfId="0" applyNumberFormat="1" applyFont="1" applyFill="1" applyBorder="1" applyAlignment="1">
      <x:alignment horizontal="center"/>
    </x:xf>
    <x:xf numFmtId="0" fontId="7" fillId="21" borderId="0" xfId="0" applyNumberFormat="1" applyFont="1" applyFill="1" applyBorder="1" applyAlignment="1">
      <x:alignment horizontal="center"/>
    </x:xf>
    <x:xf numFmtId="0" fontId="9" fillId="20" borderId="0" xfId="0" applyNumberFormat="1" applyFont="1" applyFill="1" applyBorder="1" applyAlignment="1">
      <x:alignment horizontal="center" wrapText="1"/>
    </x:xf>
    <x:xf numFmtId="0" fontId="7" fillId="21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wrapText="1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0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horizontal="center"/>
    </x:xf>
    <x:xf numFmtId="0" fontId="9" fillId="22" borderId="0" xfId="0" applyNumberFormat="1" applyFont="1" applyFill="1" applyBorder="1" applyAlignment="1">
      <x:alignment horizontal="center" wrapText="1"/>
    </x:xf>
    <x:xf numFmtId="0" fontId="7" fillId="23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horizontal="center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horizontal="center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horizontal="center"/>
    </x:xf>
    <x:xf numFmtId="0" fontId="1" fillId="27" borderId="0" xfId="0" applyNumberFormat="1" applyFont="1" applyFill="1" applyBorder="1" applyAlignment="1">
      <x:alignment horizontal="center"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horizontal="center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horizontal="center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9" fillId="31" borderId="0" xfId="0" applyNumberFormat="1" applyFont="1" applyFill="1" applyBorder="1"/>
    <x:xf numFmtId="0" fontId="9" fillId="31" borderId="0" xfId="0" applyNumberFormat="1" applyFont="1" applyFill="1" applyBorder="1" applyAlignment="1">
      <x:alignment horizontal="center"/>
    </x:xf>
    <x:xf numFmtId="0" fontId="9" fillId="31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10" fillId="32" borderId="0" xfId="0" applyNumberFormat="1" applyFont="1" applyFill="1" applyBorder="1"/>
    <x:xf numFmtId="0" fontId="10" fillId="32" borderId="0" xfId="0" applyNumberFormat="1" applyFont="1" applyFill="1" applyBorder="1" applyAlignment="1">
      <x:alignment wrapText="1"/>
    </x:xf>
    <x:xf numFmtId="0" fontId="10" fillId="32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1" fillId="33" borderId="0" xfId="0" applyNumberFormat="1" applyFont="1" applyFill="1" applyBorder="1" applyAlignment="1">
      <x:alignment wrapText="1"/>
    </x:xf>
    <x:xf numFmtId="0" fontId="1" fillId="33" borderId="0" xfId="0" applyNumberFormat="1" applyFont="1" applyFill="1" applyBorder="1" applyAlignment="1">
      <x:alignment horizontal="center" wrapText="1"/>
    </x:xf>
    <x:xf numFmtId="0" fontId="1" fillId="33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1" fillId="31" borderId="0" xfId="0" applyNumberFormat="1" applyFont="1" applyFill="1" applyBorder="1"/>
    <x:xf numFmtId="0" fontId="1" fillId="31" borderId="0" xfId="0" applyNumberFormat="1" applyFont="1" applyFill="1" applyBorder="1" applyAlignment="1">
      <x:alignment horizontal="center"/>
    </x:xf>
    <x:xf numFmtId="0" fontId="7" fillId="32" borderId="0" xfId="0" applyNumberFormat="1" applyFont="1" applyFill="1" applyBorder="1"/>
    <x:xf numFmtId="0" fontId="7" fillId="32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horizontal="center"/>
    </x:xf>
    <x:xf numFmtId="0" fontId="0" fillId="35" borderId="0" xfId="0" applyNumberFormat="1" applyFont="1" applyFill="1" applyBorder="1"/>
    <x:xf numFmtId="0" fontId="7" fillId="35" borderId="0" xfId="0" applyNumberFormat="1" applyFont="1" applyFill="1" applyBorder="1"/>
    <x:xf numFmtId="0" fontId="7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9" fillId="36" borderId="0" xfId="0" applyNumberFormat="1" applyFont="1" applyFill="1" applyBorder="1"/>
    <x:xf numFmtId="0" fontId="9" fillId="36" borderId="0" xfId="0" applyNumberFormat="1" applyFont="1" applyFill="1" applyBorder="1" applyAlignment="1">
      <x:alignment horizontal="center"/>
    </x:xf>
    <x:xf numFmtId="0" fontId="0" fillId="37" borderId="0" xfId="0" applyNumberFormat="1" applyFont="1" applyFill="1" applyBorder="1"/>
    <x:xf numFmtId="0" fontId="11" fillId="37" borderId="0" xfId="0" applyNumberFormat="1" applyFont="1" applyFill="1" applyBorder="1"/>
    <x:xf numFmtId="0" fontId="11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center" wrapText="1"/>
    </x:xf>
    <x:xf numFmtId="0" fontId="1" fillId="36" borderId="0" xfId="0" applyNumberFormat="1" applyFont="1" applyFill="1" applyBorder="1"/>
    <x:xf numFmtId="0" fontId="1" fillId="36" borderId="0" xfId="0" applyNumberFormat="1" applyFont="1" applyFill="1" applyBorder="1" applyAlignment="1">
      <x:alignment horizontal="center"/>
    </x:xf>
    <x:xf numFmtId="0" fontId="7" fillId="37" borderId="0" xfId="0" applyNumberFormat="1" applyFont="1" applyFill="1" applyBorder="1"/>
    <x:xf numFmtId="0" fontId="7" fillId="37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wrapText="1"/>
    </x:xf>
    <x:xf numFmtId="0" fontId="1" fillId="39" borderId="0" xfId="0" applyNumberFormat="1" applyFont="1" applyFill="1" applyBorder="1" applyAlignment="1">
      <x:alignment horizontal="center"/>
    </x:xf>
    <x:xf numFmtId="0" fontId="0" fillId="40" borderId="0" xfId="0" applyNumberFormat="1" applyFont="1" applyFill="1" applyBorder="1"/>
    <x:xf numFmtId="0" fontId="7" fillId="40" borderId="0" xfId="0" applyNumberFormat="1" applyFont="1" applyFill="1" applyBorder="1"/>
    <x:xf numFmtId="0" fontId="7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horizontal="center"/>
    </x:xf>
    <x:xf numFmtId="0" fontId="0" fillId="42" borderId="0" xfId="0" applyNumberFormat="1" applyFont="1" applyFill="1" applyBorder="1"/>
    <x:xf numFmtId="0" fontId="7" fillId="42" borderId="0" xfId="0" applyNumberFormat="1" applyFont="1" applyFill="1" applyBorder="1"/>
    <x:xf numFmtId="0" fontId="7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1" fillId="43" borderId="0" xfId="0" applyNumberFormat="1" applyFont="1" applyFill="1" applyBorder="1" applyAlignment="1">
      <x:alignment wrapText="1"/>
    </x:xf>
    <x:xf numFmtId="0" fontId="1" fillId="43" borderId="0" xfId="0" applyNumberFormat="1" applyFont="1" applyFill="1" applyBorder="1" applyAlignment="1">
      <x:alignment horizontal="center"/>
    </x:xf>
    <x:xf numFmtId="0" fontId="0" fillId="44" borderId="0" xfId="0" applyNumberFormat="1" applyFont="1" applyFill="1" applyBorder="1"/>
    <x:xf numFmtId="0" fontId="7" fillId="44" borderId="0" xfId="0" applyNumberFormat="1" applyFont="1" applyFill="1" applyBorder="1"/>
    <x:xf numFmtId="0" fontId="7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1" fillId="45" borderId="0" xfId="0" applyNumberFormat="1" applyFont="1" applyFill="1" applyBorder="1"/>
    <x:xf numFmtId="0" fontId="1" fillId="45" borderId="0" xfId="0" applyNumberFormat="1" applyFont="1" applyFill="1" applyBorder="1" applyAlignment="1">
      <x:alignment horizontal="center"/>
    </x:xf>
    <x:xf numFmtId="0" fontId="0" fillId="46" borderId="0" xfId="0" applyNumberFormat="1" applyFont="1" applyFill="1" applyBorder="1"/>
    <x:xf numFmtId="0" fontId="7" fillId="46" borderId="0" xfId="0" applyNumberFormat="1" applyFont="1" applyFill="1" applyBorder="1"/>
    <x:xf numFmtId="0" fontId="7" fillId="46" borderId="0" xfId="0" applyNumberFormat="1" applyFont="1" applyFill="1" applyBorder="1" applyAlignment="1">
      <x:alignment wrapText="1"/>
    </x:xf>
    <x:xf numFmtId="0" fontId="7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1" fillId="48" borderId="0" xfId="0" applyNumberFormat="1" applyFont="1" applyFill="1" applyBorder="1"/>
    <x:xf numFmtId="0" fontId="1" fillId="48" borderId="0" xfId="0" applyNumberFormat="1" applyFont="1" applyFill="1" applyBorder="1" applyAlignment="1">
      <x:alignment horizontal="center"/>
    </x:xf>
    <x:xf numFmtId="0" fontId="0" fillId="49" borderId="0" xfId="0" applyNumberFormat="1" applyFont="1" applyFill="1" applyBorder="1"/>
    <x:xf numFmtId="0" fontId="7" fillId="49" borderId="0" xfId="0" applyNumberFormat="1" applyFont="1" applyFill="1" applyBorder="1"/>
    <x:xf numFmtId="0" fontId="7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1" fillId="50" borderId="0" xfId="0" applyNumberFormat="1" applyFont="1" applyFill="1" applyBorder="1" applyAlignment="1">
      <x:alignment horizontal="center"/>
    </x:xf>
    <x:xf numFmtId="0" fontId="0" fillId="51" borderId="0" xfId="0" applyNumberFormat="1" applyFont="1" applyFill="1" applyBorder="1"/>
    <x:xf numFmtId="0" fontId="7" fillId="51" borderId="0" xfId="0" applyNumberFormat="1" applyFont="1" applyFill="1" applyBorder="1"/>
    <x:xf numFmtId="0" fontId="7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1" fillId="52" borderId="0" xfId="0" applyNumberFormat="1" applyFont="1" applyFill="1" applyBorder="1"/>
    <x:xf numFmtId="0" fontId="1" fillId="52" borderId="0" xfId="0" applyNumberFormat="1" applyFont="1" applyFill="1" applyBorder="1" applyAlignment="1">
      <x:alignment horizontal="center"/>
    </x:xf>
    <x:xf numFmtId="0" fontId="0" fillId="53" borderId="0" xfId="0" applyNumberFormat="1" applyFont="1" applyFill="1" applyBorder="1"/>
    <x:xf numFmtId="0" fontId="7" fillId="53" borderId="0" xfId="0" applyNumberFormat="1" applyFont="1" applyFill="1" applyBorder="1"/>
    <x:xf numFmtId="0" fontId="7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horizontal="center"/>
    </x:xf>
    <x:xf numFmtId="0" fontId="0" fillId="55" borderId="0" xfId="0" applyNumberFormat="1" applyFont="1" applyFill="1" applyBorder="1"/>
    <x:xf numFmtId="0" fontId="7" fillId="55" borderId="0" xfId="0" applyNumberFormat="1" applyFont="1" applyFill="1" applyBorder="1"/>
    <x:xf numFmtId="0" fontId="7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1" fillId="56" borderId="0" xfId="0" applyNumberFormat="1" applyFont="1" applyFill="1" applyBorder="1"/>
    <x:xf numFmtId="0" fontId="1" fillId="56" borderId="0" xfId="0" applyNumberFormat="1" applyFont="1" applyFill="1" applyBorder="1" applyAlignment="1">
      <x:alignment horizontal="center"/>
    </x:xf>
    <x:xf numFmtId="0" fontId="0" fillId="57" borderId="0" xfId="0" applyNumberFormat="1" applyFont="1" applyFill="1" applyBorder="1"/>
    <x:xf numFmtId="0" fontId="7" fillId="57" borderId="0" xfId="0" applyNumberFormat="1" applyFont="1" applyFill="1" applyBorder="1"/>
    <x:xf numFmtId="0" fontId="7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1" fillId="58" borderId="0" xfId="0" applyNumberFormat="1" applyFont="1" applyFill="1" applyBorder="1"/>
    <x:xf numFmtId="0" fontId="1" fillId="58" borderId="0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/>
    <x:xf numFmtId="0" fontId="7" fillId="59" borderId="0" xfId="0" applyNumberFormat="1" applyFont="1" applyFill="1" applyBorder="1"/>
    <x:xf numFmtId="0" fontId="7" fillId="59" borderId="0" xfId="0" applyNumberFormat="1" applyFont="1" applyFill="1" applyBorder="1" applyAlignment="1">
      <x:alignment wrapText="1"/>
    </x:xf>
    <x:xf numFmtId="0" fontId="0" fillId="60" borderId="0" xfId="0" applyNumberFormat="1" applyFont="1" applyFill="1" applyBorder="1"/>
    <x:xf numFmtId="0" fontId="9" fillId="60" borderId="0" xfId="0" applyNumberFormat="1" applyFont="1" applyFill="1" applyBorder="1"/>
    <x:xf numFmtId="0" fontId="9" fillId="60" borderId="0" xfId="0" applyNumberFormat="1" applyFont="1" applyFill="1" applyBorder="1" applyAlignment="1">
      <x:alignment horizontal="center"/>
    </x:xf>
    <x:xf numFmtId="0" fontId="0" fillId="61" borderId="0" xfId="0" applyNumberFormat="1" applyFont="1" applyFill="1" applyBorder="1"/>
    <x:xf numFmtId="0" fontId="7" fillId="61" borderId="0" xfId="0" applyNumberFormat="1" applyFont="1" applyFill="1" applyBorder="1"/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0" fillId="63" borderId="0" xfId="0" applyNumberFormat="1" applyFont="1" applyFill="1" applyBorder="1"/>
    <x:xf numFmtId="0" fontId="1" fillId="63" borderId="0" xfId="0" applyNumberFormat="1" applyFont="1" applyFill="1" applyBorder="1"/>
    <x:xf numFmtId="0" fontId="0" fillId="64" borderId="0" xfId="0" applyNumberFormat="1" applyFont="1" applyFill="1" applyBorder="1" applyAlignment="1">
      <x:alignment wrapText="1"/>
    </x:xf>
    <x:xf numFmtId="0" fontId="7" fillId="64" borderId="0" xfId="0" applyNumberFormat="1" applyFont="1" applyFill="1" applyBorder="1" applyAlignment="1">
      <x:alignment wrapText="1"/>
    </x:xf>
    <x:xf numFmtId="0" fontId="1" fillId="60" borderId="0" xfId="0" applyNumberFormat="1" applyFont="1" applyFill="1" applyBorder="1"/>
    <x:xf numFmtId="0" fontId="1" fillId="60" borderId="0" xfId="0" applyNumberFormat="1" applyFont="1" applyFill="1" applyBorder="1" applyAlignment="1">
      <x:alignment horizontal="center"/>
    </x:xf>
    <x:xf numFmtId="0" fontId="7" fillId="61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9" fillId="65" borderId="0" xfId="0" applyNumberFormat="1" applyFont="1" applyFill="1" applyBorder="1"/>
    <x:xf numFmtId="0" fontId="9" fillId="65" borderId="0" xfId="0" applyNumberFormat="1" applyFont="1" applyFill="1" applyBorder="1" applyAlignment="1">
      <x:alignment horizontal="center"/>
    </x:xf>
    <x:xf numFmtId="0" fontId="9" fillId="65" borderId="0" xfId="0" applyNumberFormat="1" applyFont="1" applyFill="1" applyBorder="1" applyAlignment="1">
      <x:alignment horizontal="center" vertical="center"/>
    </x:xf>
    <x:xf numFmtId="0" fontId="0" fillId="66" borderId="0" xfId="0" applyNumberFormat="1" applyFont="1" applyFill="1" applyBorder="1"/>
    <x:xf numFmtId="0" fontId="1" fillId="66" borderId="0" xfId="0" applyNumberFormat="1" applyFont="1" applyFill="1" applyBorder="1"/>
    <x:xf numFmtId="0" fontId="1" fillId="66" borderId="0" xfId="0" applyNumberFormat="1" applyFont="1" applyFill="1" applyBorder="1" applyAlignment="1">
      <x:alignment horizontal="center"/>
    </x:xf>
    <x:xf numFmtId="0" fontId="0" fillId="67" borderId="0" xfId="0" applyNumberFormat="1" applyFont="1" applyFill="1" applyBorder="1"/>
    <x:xf numFmtId="0" fontId="7" fillId="67" borderId="0" xfId="0" applyNumberFormat="1" applyFont="1" applyFill="1" applyBorder="1"/>
    <x:xf numFmtId="0" fontId="0" fillId="68" borderId="0" xfId="0" applyNumberFormat="1" applyFont="1" applyFill="1" applyBorder="1"/>
    <x:xf numFmtId="0" fontId="1" fillId="68" borderId="0" xfId="0" applyNumberFormat="1" applyFont="1" applyFill="1" applyBorder="1"/>
    <x:xf numFmtId="0" fontId="1" fillId="68" borderId="0" xfId="0" applyNumberFormat="1" applyFont="1" applyFill="1" applyBorder="1" applyAlignment="1">
      <x:alignment horizontal="center"/>
    </x:xf>
    <x:xf numFmtId="0" fontId="0" fillId="69" borderId="0" xfId="0" applyNumberFormat="1" applyFont="1" applyFill="1" applyBorder="1"/>
    <x:xf numFmtId="0" fontId="7" fillId="69" borderId="0" xfId="0" applyNumberFormat="1" applyFont="1" applyFill="1" applyBorder="1"/>
    <x:xf numFmtId="0" fontId="7" fillId="69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0" fillId="70" borderId="0" xfId="0" applyNumberFormat="1" applyFont="1" applyFill="1" applyBorder="1"/>
    <x:xf numFmtId="0" fontId="1" fillId="70" borderId="0" xfId="0" applyNumberFormat="1" applyFont="1" applyFill="1" applyBorder="1"/>
    <x:xf numFmtId="0" fontId="0" fillId="71" borderId="0" xfId="0" applyNumberFormat="1" applyFont="1" applyFill="1" applyBorder="1"/>
    <x:xf numFmtId="0" fontId="7" fillId="71" borderId="0" xfId="0" applyNumberFormat="1" applyFont="1" applyFill="1" applyBorder="1"/>
    <x:xf numFmtId="0" fontId="1" fillId="70" borderId="0" xfId="0" applyNumberFormat="1" applyFont="1" applyFill="1" applyBorder="1" applyAlignment="1">
      <x:alignment wrapText="1"/>
    </x:xf>
    <x:xf numFmtId="0" fontId="7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/>
    <x:xf numFmtId="0" fontId="2" fillId="72" borderId="0" xfId="0" applyNumberFormat="1" applyFont="1" applyFill="1" applyBorder="1"/>
    <x:xf numFmtId="0" fontId="2" fillId="72" borderId="0" xfId="0" applyNumberFormat="1" applyFont="1" applyFill="1" applyBorder="1" applyAlignment="1">
      <x:alignment horizontal="center"/>
    </x:xf>
    <x:xf numFmtId="0" fontId="2" fillId="72" borderId="0" xfId="0" applyNumberFormat="1" applyFont="1" applyFill="1" applyBorder="1" applyAlignment="1">
      <x:alignment horizontal="center" vertical="center"/>
    </x:xf>
    <x:xf numFmtId="0" fontId="0" fillId="73" borderId="0" xfId="0" applyNumberFormat="1" applyFont="1" applyFill="1" applyBorder="1"/>
    <x:xf numFmtId="0" fontId="10" fillId="73" borderId="0" xfId="0" applyNumberFormat="1" applyFont="1" applyFill="1" applyBorder="1"/>
    <x:xf numFmtId="0" fontId="10" fillId="73" borderId="0" xfId="0" applyNumberFormat="1" applyFont="1" applyFill="1" applyBorder="1" applyAlignment="1">
      <x:alignment horizontal="center"/>
    </x:xf>
    <x:xf numFmtId="0" fontId="0" fillId="74" borderId="0" xfId="0" applyNumberFormat="1" applyFont="1" applyFill="1" applyBorder="1"/>
    <x:xf numFmtId="0" fontId="1" fillId="74" borderId="0" xfId="0" applyNumberFormat="1" applyFont="1" applyFill="1" applyBorder="1"/>
    <x:xf numFmtId="0" fontId="1" fillId="74" borderId="0" xfId="0" applyNumberFormat="1" applyFont="1" applyFill="1" applyBorder="1" applyAlignment="1">
      <x:alignment wrapText="1"/>
    </x:xf>
    <x:xf numFmtId="0" fontId="0" fillId="75" borderId="0" xfId="0" applyNumberFormat="1" applyFont="1" applyFill="1" applyBorder="1"/>
    <x:xf numFmtId="0" fontId="12" fillId="75" borderId="0" xfId="0" applyNumberFormat="1" applyFont="1" applyFill="1" applyBorder="1"/>
    <x:xf numFmtId="0" fontId="12" fillId="7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76" borderId="0" xfId="0" applyNumberFormat="1" applyFont="1" applyFill="1" applyBorder="1"/>
    <x:xf numFmtId="0" fontId="1" fillId="76" borderId="0" xfId="0" applyNumberFormat="1" applyFont="1" applyFill="1" applyBorder="1"/>
    <x:xf numFmtId="0" fontId="1" fillId="76" borderId="0" xfId="0" applyNumberFormat="1" applyFont="1" applyFill="1" applyBorder="1" applyAlignment="1">
      <x:alignment wrapText="1"/>
    </x:xf>
    <x:xf numFmtId="0" fontId="2" fillId="72" borderId="0" xfId="0" applyNumberFormat="1" applyFont="1" applyFill="1" applyBorder="1" applyAlignment="1">
      <x:alignment horizontal="center" vertical="top"/>
    </x:xf>
    <x:xf numFmtId="0" fontId="10" fillId="7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74" borderId="0" xfId="0" applyNumberFormat="1" applyFont="1" applyFill="1" applyBorder="1" applyAlignment="1">
      <x:alignment vertical="top" wrapText="1"/>
    </x:xf>
    <x:xf numFmtId="0" fontId="12" fillId="75" borderId="0" xfId="0" applyNumberFormat="1" applyFont="1" applyFill="1" applyBorder="1" applyAlignment="1">
      <x:alignment horizontal="center" vertical="top"/>
    </x:xf>
    <x:xf numFmtId="0" fontId="1" fillId="7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top"/>
    </x:xf>
    <x:xf numFmtId="0" fontId="10" fillId="4" borderId="0" xfId="0" applyNumberFormat="1" applyFont="1" applyFill="1" applyBorder="1" applyAlignment="1">
      <x:alignment horizontal="center" vertical="top"/>
    </x:xf>
    <x:xf numFmtId="0" fontId="0" fillId="77" borderId="0" xfId="0" applyNumberFormat="1" applyFont="1" applyFill="1" applyBorder="1" applyAlignment="1">
      <x:alignment vertical="top"/>
    </x:xf>
    <x:xf numFmtId="0" fontId="9" fillId="77" borderId="0" xfId="0" applyNumberFormat="1" applyFont="1" applyFill="1" applyBorder="1" applyAlignment="1">
      <x:alignment vertical="top"/>
    </x:xf>
    <x:xf numFmtId="0" fontId="9" fillId="77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78" borderId="0" xfId="0" applyNumberFormat="1" applyFont="1" applyFill="1" applyBorder="1"/>
    <x:xf numFmtId="0" fontId="2" fillId="78" borderId="0" xfId="0" applyNumberFormat="1" applyFont="1" applyFill="1" applyBorder="1"/>
    <x:xf numFmtId="0" fontId="2" fillId="78" borderId="0" xfId="0" applyNumberFormat="1" applyFont="1" applyFill="1" applyBorder="1" applyAlignment="1">
      <x:alignment horizontal="center"/>
    </x:xf>
    <x:xf numFmtId="0" fontId="2" fillId="78" borderId="0" xfId="0" applyNumberFormat="1" applyFont="1" applyFill="1" applyBorder="1" applyAlignment="1">
      <x:alignment horizontal="center" vertical="center"/>
    </x:xf>
    <x:xf numFmtId="0" fontId="0" fillId="79" borderId="0" xfId="0" applyNumberFormat="1" applyFont="1" applyFill="1" applyBorder="1"/>
    <x:xf numFmtId="0" fontId="13" fillId="79" borderId="0" xfId="0" applyNumberFormat="1" applyFont="1" applyFill="1" applyBorder="1"/>
    <x:xf numFmtId="0" fontId="13" fillId="79" borderId="0" xfId="0" applyNumberFormat="1" applyFont="1" applyFill="1" applyBorder="1" applyAlignment="1">
      <x:alignment vertical="center"/>
    </x:xf>
    <x:xf numFmtId="0" fontId="14" fillId="79" borderId="0" xfId="0" applyNumberFormat="1" applyFont="1" applyFill="1" applyBorder="1" applyAlignment="1">
      <x:alignment vertical="center"/>
    </x:xf>
    <x:xf numFmtId="0" fontId="0" fillId="80" borderId="0" xfId="0" applyNumberFormat="1" applyFont="1" applyFill="1" applyBorder="1"/>
    <x:xf numFmtId="0" fontId="15" fillId="80" borderId="0" xfId="0" applyNumberFormat="1" applyFont="1" applyFill="1" applyBorder="1"/>
    <x:xf numFmtId="0" fontId="15" fillId="80" borderId="0" xfId="0" applyNumberFormat="1" applyFont="1" applyFill="1" applyBorder="1" applyAlignment="1">
      <x:alignment wrapText="1"/>
    </x:xf>
    <x:xf numFmtId="0" fontId="15" fillId="8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81" borderId="0" xfId="0" applyNumberFormat="1" applyFont="1" applyFill="1" applyBorder="1" applyAlignment="1">
      <x:alignment vertical="top" wrapText="1"/>
    </x:xf>
    <x:xf numFmtId="0" fontId="16" fillId="82" borderId="0" xfId="0" applyNumberFormat="1" applyFont="1" applyFill="1" applyBorder="1" applyAlignment="1">
      <x:alignment vertical="top" wrapText="1"/>
    </x:xf>
    <x:xf numFmtId="206" fontId="16" fillId="81" borderId="0" xfId="0" applyNumberFormat="1" applyFont="1" applyFill="1" applyBorder="1" applyAlignment="1">
      <x:alignment vertical="top" wrapText="1"/>
    </x:xf>
    <x:xf numFmtId="206" fontId="16" fillId="82" borderId="0" xfId="0" applyNumberFormat="1" applyFont="1" applyFill="1" applyBorder="1" applyAlignment="1">
      <x:alignment vertical="top" wrapText="1"/>
    </x:xf>
    <x:xf numFmtId="0" fontId="0" fillId="83" borderId="0" xfId="0" applyNumberFormat="1" applyFont="1" applyFill="1" applyBorder="1"/>
    <x:xf numFmtId="0" fontId="17" fillId="83" borderId="0" xfId="0" applyNumberFormat="1" applyFont="1" applyFill="1" applyBorder="1"/>
    <x:xf numFmtId="0" fontId="17" fillId="83" borderId="0" xfId="0" applyNumberFormat="1" applyFont="1" applyFill="1" applyBorder="1" applyAlignment="1">
      <x:alignment wrapText="1"/>
    </x:xf>
    <x:xf numFmtId="0" fontId="17" fillId="83" borderId="0" xfId="0" applyNumberFormat="1" applyFont="1" applyFill="1" applyBorder="1" applyAlignment="1">
      <x:alignment vertical="center" wrapText="1"/>
    </x:xf>
    <x:xf numFmtId="0" fontId="0" fillId="84" borderId="0" xfId="0" applyNumberFormat="1" applyFont="1" applyFill="1" applyBorder="1"/>
    <x:xf numFmtId="0" fontId="18" fillId="84" borderId="0" xfId="0" applyNumberFormat="1" applyFont="1" applyFill="1" applyBorder="1"/>
    <x:xf numFmtId="0" fontId="18" fillId="84" borderId="0" xfId="0" applyNumberFormat="1" applyFont="1" applyFill="1" applyBorder="1" applyAlignment="1">
      <x:alignment wrapText="1"/>
    </x:xf>
    <x:xf numFmtId="0" fontId="18" fillId="84" borderId="0" xfId="0" applyNumberFormat="1" applyFont="1" applyFill="1" applyBorder="1" applyAlignment="1">
      <x:alignment vertical="center" wrapText="1"/>
    </x:xf>
    <x:xf numFmtId="0" fontId="2" fillId="85" borderId="0" xfId="0" applyNumberFormat="1" applyFont="1" applyFill="1" applyBorder="1" applyAlignment="1">
      <x:alignment horizontal="center" vertical="center"/>
    </x:xf>
    <x:xf numFmtId="0" fontId="14" fillId="86" borderId="0" xfId="0" applyNumberFormat="1" applyFont="1" applyFill="1" applyBorder="1" applyAlignment="1">
      <x:alignment vertical="center"/>
    </x:xf>
    <x:xf numFmtId="0" fontId="13" fillId="86" borderId="0" xfId="0" applyNumberFormat="1" applyFont="1" applyFill="1" applyBorder="1" applyAlignment="1">
      <x:alignment vertical="center"/>
    </x:xf>
    <x:xf numFmtId="0" fontId="15" fillId="87" borderId="0" xfId="0" applyNumberFormat="1" applyFont="1" applyFill="1" applyBorder="1" applyAlignment="1">
      <x:alignment vertical="center" wrapText="1"/>
    </x:xf>
    <x:xf numFmtId="0" fontId="16" fillId="88" borderId="0" xfId="0" applyNumberFormat="1" applyFont="1" applyFill="1" applyBorder="1" applyAlignment="1">
      <x:alignment vertical="top" wrapText="1"/>
    </x:xf>
    <x:xf numFmtId="206" fontId="16" fillId="88" borderId="0" xfId="0" applyNumberFormat="1" applyFont="1" applyFill="1" applyBorder="1" applyAlignment="1">
      <x:alignment vertical="top" wrapText="1"/>
    </x:xf>
    <x:xf numFmtId="0" fontId="16" fillId="89" borderId="0" xfId="0" applyNumberFormat="1" applyFont="1" applyFill="1" applyBorder="1" applyAlignment="1">
      <x:alignment vertical="top" wrapText="1"/>
    </x:xf>
    <x:xf numFmtId="206" fontId="16" fillId="89" borderId="0" xfId="0" applyNumberFormat="1" applyFont="1" applyFill="1" applyBorder="1" applyAlignment="1">
      <x:alignment vertical="top" wrapText="1"/>
    </x:xf>
    <x:xf numFmtId="0" fontId="17" fillId="90" borderId="0" xfId="0" applyNumberFormat="1" applyFont="1" applyFill="1" applyBorder="1" applyAlignment="1">
      <x:alignment vertical="center" wrapText="1"/>
    </x:xf>
    <x:xf numFmtId="0" fontId="18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/>
    <x:xf numFmtId="0" fontId="19" fillId="92" borderId="0" xfId="0" applyNumberFormat="1" applyFont="1" applyFill="1" applyBorder="1"/>
    <x:xf numFmtId="0" fontId="0" fillId="93" borderId="0" xfId="0" applyNumberFormat="1" applyFont="1" applyFill="1" applyBorder="1"/>
    <x:xf numFmtId="0" fontId="20" fillId="93" borderId="0" xfId="0" applyNumberFormat="1" applyFont="1" applyFill="1" applyBorder="1"/>
    <x:xf numFmtId="0" fontId="20" fillId="93" borderId="0" xfId="0" applyNumberFormat="1" applyFont="1" applyFill="1" applyBorder="1" applyAlignment="1">
      <x:alignment wrapText="1"/>
    </x:xf>
    <x:xf numFmtId="0" fontId="0" fillId="94" borderId="0" xfId="0" applyNumberFormat="1" applyFont="1" applyFill="1" applyBorder="1"/>
    <x:xf numFmtId="0" fontId="21" fillId="94" borderId="0" xfId="0" applyNumberFormat="1" applyFont="1" applyFill="1" applyBorder="1"/>
    <x:xf numFmtId="0" fontId="21" fillId="94" borderId="2" xfId="0" applyNumberFormat="1" applyFont="1" applyFill="1" applyBorder="1"/>
    <x:xf numFmtId="0" fontId="21" fillId="94" borderId="2" xfId="0" applyNumberFormat="1" applyFont="1" applyFill="1" applyBorder="1" applyAlignment="1">
      <x:alignment wrapText="1"/>
    </x:xf>
    <x:xf numFmtId="0" fontId="22" fillId="0" borderId="0" xfId="0" applyNumberFormat="1" applyFont="1" applyFill="1" applyBorder="1"/>
    <x:xf numFmtId="0" fontId="22" fillId="0" borderId="3" xfId="0" applyNumberFormat="1" applyFont="1" applyFill="1" applyBorder="1"/>
    <x:xf numFmtId="0" fontId="22" fillId="0" borderId="3" xfId="0" applyNumberFormat="1" applyFont="1" applyFill="1" applyBorder="1" applyAlignment="1">
      <x:alignment wrapText="1"/>
    </x:xf>
    <x:xf numFmtId="0" fontId="22" fillId="0" borderId="3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/>
    <x:xf numFmtId="0" fontId="24" fillId="0" borderId="0" xfId="0" applyNumberFormat="1" applyFont="1" applyFill="1" applyBorder="1"/>
    <x:xf numFmtId="0" fontId="24" fillId="0" borderId="0" xfId="0" applyNumberFormat="1" applyFont="1" applyFill="1" applyBorder="1" applyAlignment="1">
      <x:alignment wrapText="1"/>
    </x:xf>
    <x:xf numFmtId="0" fontId="0" fillId="95" borderId="0" xfId="0" applyNumberFormat="1" applyFont="1" applyFill="1" applyBorder="1"/>
    <x:xf numFmtId="0" fontId="21" fillId="95" borderId="0" xfId="0" applyNumberFormat="1" applyFont="1" applyFill="1" applyBorder="1"/>
    <x:xf numFmtId="0" fontId="21" fillId="95" borderId="0" xfId="0" applyNumberFormat="1" applyFont="1" applyFill="1" applyBorder="1" applyAlignment="1">
      <x:alignment wrapText="1"/>
    </x:xf>
    <x:xf numFmtId="0" fontId="0" fillId="96" borderId="0" xfId="0" applyNumberFormat="1" applyFont="1" applyFill="1" applyBorder="1"/>
    <x:xf numFmtId="0" fontId="22" fillId="96" borderId="0" xfId="0" applyNumberFormat="1" applyFont="1" applyFill="1" applyBorder="1"/>
    <x:xf numFmtId="0" fontId="22" fillId="96" borderId="0" xfId="0" applyNumberFormat="1" applyFont="1" applyFill="1" applyBorder="1" applyAlignment="1">
      <x:alignment wrapText="1"/>
    </x:xf>
    <x:xf numFmtId="0" fontId="22" fillId="96" borderId="0" xfId="0" applyNumberFormat="1" applyFont="1" applyFill="1" applyBorder="1" applyAlignment="1">
      <x:alignment vertical="center" wrapText="1"/>
    </x:xf>
    <x:xf numFmtId="0" fontId="24" fillId="0" borderId="0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25" fillId="97" borderId="0" xfId="0" applyNumberFormat="1" applyFont="1" applyFill="1" applyBorder="1"/>
    <x:xf numFmtId="0" fontId="25" fillId="97" borderId="0" xfId="0" applyNumberFormat="1" applyFont="1" applyFill="1" applyBorder="1" applyAlignment="1">
      <x:alignment vertical="center"/>
    </x:xf>
    <x:xf numFmtId="0" fontId="0" fillId="98" borderId="0" xfId="0" applyNumberFormat="1" applyFont="1" applyFill="1" applyBorder="1"/>
    <x:xf numFmtId="0" fontId="26" fillId="98" borderId="0" xfId="0" applyNumberFormat="1" applyFont="1" applyFill="1" applyBorder="1"/>
    <x:xf numFmtId="0" fontId="0" fillId="99" borderId="0" xfId="0" applyNumberFormat="1" applyFont="1" applyFill="1" applyBorder="1"/>
    <x:xf numFmtId="0" fontId="15" fillId="99" borderId="0" xfId="0" applyNumberFormat="1" applyFont="1" applyFill="1" applyBorder="1"/>
    <x:xf numFmtId="0" fontId="15" fillId="99" borderId="4" xfId="0" applyNumberFormat="1" applyFont="1" applyFill="1" applyBorder="1"/>
    <x:xf numFmtId="0" fontId="15" fillId="99" borderId="4" xfId="0" applyNumberFormat="1" applyFont="1" applyFill="1" applyBorder="1" applyAlignment="1">
      <x:alignment wrapText="1"/>
    </x:xf>
    <x:xf numFmtId="0" fontId="15" fillId="99" borderId="4" xfId="0" applyNumberFormat="1" applyFont="1" applyFill="1" applyBorder="1" applyAlignment="1">
      <x:alignment vertical="center" wrapText="1"/>
    </x:xf>
    <x:xf numFmtId="0" fontId="16" fillId="0" borderId="5" xfId="0" applyNumberFormat="1" applyFont="1" applyFill="1" applyBorder="1"/>
    <x:xf numFmtId="0" fontId="16" fillId="0" borderId="5" xfId="0" applyNumberFormat="1" applyFont="1" applyFill="1" applyBorder="1" applyAlignment="1">
      <x:alignment wrapText="1"/>
    </x:xf>
    <x:xf numFmtId="0" fontId="16" fillId="0" borderId="5" xfId="0" applyNumberFormat="1" applyFont="1" applyFill="1" applyBorder="1" applyAlignment="1">
      <x:alignment vertical="top" wrapText="1"/>
    </x:xf>
    <x:xf numFmtId="0" fontId="16" fillId="100" borderId="5" xfId="0" applyNumberFormat="1" applyFont="1" applyFill="1" applyBorder="1" applyAlignment="1">
      <x:alignment vertical="top" wrapText="1"/>
    </x:xf>
    <x:xf numFmtId="0" fontId="27" fillId="100" borderId="5" xfId="0" applyNumberFormat="1" applyFont="1" applyFill="1" applyBorder="1" applyAlignment="1">
      <x:alignment vertical="top" wrapText="1"/>
    </x:xf>
    <x:xf numFmtId="0" fontId="16" fillId="101" borderId="5" xfId="0" applyNumberFormat="1" applyFont="1" applyFill="1" applyBorder="1" applyAlignment="1">
      <x:alignment vertical="top" wrapText="1"/>
    </x:xf>
    <x:xf numFmtId="0" fontId="28" fillId="101" borderId="5" xfId="0" applyNumberFormat="1" applyFont="1" applyFill="1" applyBorder="1" applyAlignment="1">
      <x:alignment vertical="top" wrapText="1"/>
    </x:xf>
    <x:xf numFmtId="0" fontId="16" fillId="102" borderId="5" xfId="0" applyNumberFormat="1" applyFont="1" applyFill="1" applyBorder="1" applyAlignment="1">
      <x:alignment vertical="top" wrapText="1"/>
    </x:xf>
    <x:xf numFmtId="0" fontId="29" fillId="102" borderId="5" xfId="0" applyNumberFormat="1" applyFont="1" applyFill="1" applyBorder="1" applyAlignment="1">
      <x:alignment vertical="top" wrapText="1"/>
    </x:xf>
    <x:xf numFmtId="0" fontId="16" fillId="100" borderId="5" xfId="0" applyNumberFormat="1" applyFont="1" applyFill="1" applyBorder="1" applyAlignment="1">
      <x:alignment horizontal="center" vertical="top" wrapText="1"/>
    </x:xf>
    <x:xf numFmtId="0" fontId="16" fillId="101" borderId="5" xfId="0" applyNumberFormat="1" applyFont="1" applyFill="1" applyBorder="1" applyAlignment="1">
      <x:alignment horizontal="center" vertical="top" wrapText="1"/>
    </x:xf>
    <x:xf numFmtId="0" fontId="16" fillId="102" borderId="5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103" borderId="0" xfId="0" applyNumberFormat="1" applyFont="1" applyFill="1" applyBorder="1"/>
    <x:xf numFmtId="0" fontId="25" fillId="103" borderId="0" xfId="0" applyNumberFormat="1" applyFont="1" applyFill="1" applyBorder="1"/>
    <x:xf numFmtId="0" fontId="25" fillId="103" borderId="0" xfId="0" applyNumberFormat="1" applyFont="1" applyFill="1" applyBorder="1" applyAlignment="1">
      <x:alignment vertical="center"/>
    </x:xf>
    <x:xf numFmtId="0" fontId="0" fillId="104" borderId="0" xfId="0" applyNumberFormat="1" applyFont="1" applyFill="1" applyBorder="1"/>
    <x:xf numFmtId="0" fontId="26" fillId="104" borderId="0" xfId="0" applyNumberFormat="1" applyFont="1" applyFill="1" applyBorder="1"/>
    <x:xf numFmtId="0" fontId="0" fillId="105" borderId="0" xfId="0" applyNumberFormat="1" applyFont="1" applyFill="1" applyBorder="1"/>
    <x:xf numFmtId="0" fontId="15" fillId="105" borderId="0" xfId="0" applyNumberFormat="1" applyFont="1" applyFill="1" applyBorder="1"/>
    <x:xf numFmtId="0" fontId="15" fillId="105" borderId="4" xfId="0" applyNumberFormat="1" applyFont="1" applyFill="1" applyBorder="1"/>
    <x:xf numFmtId="0" fontId="15" fillId="105" borderId="4" xfId="0" applyNumberFormat="1" applyFont="1" applyFill="1" applyBorder="1" applyAlignment="1">
      <x:alignment wrapText="1"/>
    </x:xf>
    <x:xf numFmtId="0" fontId="15" fillId="105" borderId="4" xfId="0" applyNumberFormat="1" applyFont="1" applyFill="1" applyBorder="1" applyAlignment="1">
      <x:alignment vertical="center" wrapText="1"/>
    </x:xf>
    <x:xf numFmtId="0" fontId="16" fillId="106" borderId="5" xfId="0" applyNumberFormat="1" applyFont="1" applyFill="1" applyBorder="1" applyAlignment="1">
      <x:alignment vertical="top" wrapText="1"/>
    </x:xf>
    <x:xf numFmtId="0" fontId="27" fillId="106" borderId="5" xfId="0" applyNumberFormat="1" applyFont="1" applyFill="1" applyBorder="1" applyAlignment="1">
      <x:alignment vertical="top" wrapText="1"/>
    </x:xf>
    <x:xf numFmtId="0" fontId="16" fillId="107" borderId="5" xfId="0" applyNumberFormat="1" applyFont="1" applyFill="1" applyBorder="1" applyAlignment="1">
      <x:alignment vertical="top" wrapText="1"/>
    </x:xf>
    <x:xf numFmtId="0" fontId="28" fillId="107" borderId="5" xfId="0" applyNumberFormat="1" applyFont="1" applyFill="1" applyBorder="1" applyAlignment="1">
      <x:alignment vertical="top" wrapText="1"/>
    </x:xf>
    <x:xf numFmtId="0" fontId="16" fillId="108" borderId="5" xfId="0" applyNumberFormat="1" applyFont="1" applyFill="1" applyBorder="1" applyAlignment="1">
      <x:alignment vertical="top" wrapText="1"/>
    </x:xf>
    <x:xf numFmtId="0" fontId="29" fillId="108" borderId="5" xfId="0" applyNumberFormat="1" applyFont="1" applyFill="1" applyBorder="1" applyAlignment="1">
      <x:alignment vertical="top" wrapText="1"/>
    </x:xf>
    <x:xf numFmtId="0" fontId="16" fillId="106" borderId="5" xfId="0" applyNumberFormat="1" applyFont="1" applyFill="1" applyBorder="1" applyAlignment="1">
      <x:alignment horizontal="center" vertical="top" wrapText="1"/>
    </x:xf>
    <x:xf numFmtId="0" fontId="16" fillId="107" borderId="5" xfId="0" applyNumberFormat="1" applyFont="1" applyFill="1" applyBorder="1" applyAlignment="1">
      <x:alignment horizontal="center" vertical="top" wrapText="1"/>
    </x:xf>
    <x:xf numFmtId="0" fontId="16" fillId="108" borderId="5" xfId="0" applyNumberFormat="1" applyFont="1" applyFill="1" applyBorder="1" applyAlignment="1">
      <x:alignment horizontal="center" vertical="top" wrapText="1"/>
    </x:xf>
    <x:xf numFmtId="0" fontId="0" fillId="109" borderId="0" xfId="0" applyNumberFormat="1" applyFont="1" applyFill="1" applyBorder="1"/>
    <x:xf numFmtId="0" fontId="25" fillId="109" borderId="0" xfId="0" applyNumberFormat="1" applyFont="1" applyFill="1" applyBorder="1"/>
    <x:xf numFmtId="0" fontId="25" fillId="109" borderId="0" xfId="0" applyNumberFormat="1" applyFont="1" applyFill="1" applyBorder="1" applyAlignment="1">
      <x:alignment vertical="center"/>
    </x:xf>
    <x:xf numFmtId="0" fontId="0" fillId="110" borderId="0" xfId="0" applyNumberFormat="1" applyFont="1" applyFill="1" applyBorder="1"/>
    <x:xf numFmtId="0" fontId="26" fillId="110" borderId="0" xfId="0" applyNumberFormat="1" applyFont="1" applyFill="1" applyBorder="1"/>
    <x:xf numFmtId="0" fontId="0" fillId="111" borderId="0" xfId="0" applyNumberFormat="1" applyFont="1" applyFill="1" applyBorder="1"/>
    <x:xf numFmtId="0" fontId="15" fillId="111" borderId="0" xfId="0" applyNumberFormat="1" applyFont="1" applyFill="1" applyBorder="1"/>
    <x:xf numFmtId="0" fontId="15" fillId="111" borderId="4" xfId="0" applyNumberFormat="1" applyFont="1" applyFill="1" applyBorder="1"/>
    <x:xf numFmtId="0" fontId="15" fillId="111" borderId="4" xfId="0" applyNumberFormat="1" applyFont="1" applyFill="1" applyBorder="1" applyAlignment="1">
      <x:alignment wrapText="1"/>
    </x:xf>
    <x:xf numFmtId="0" fontId="15" fillId="111" borderId="4" xfId="0" applyNumberFormat="1" applyFont="1" applyFill="1" applyBorder="1" applyAlignment="1">
      <x:alignment vertical="center" wrapText="1"/>
    </x:xf>
    <x:xf numFmtId="0" fontId="16" fillId="112" borderId="5" xfId="0" applyNumberFormat="1" applyFont="1" applyFill="1" applyBorder="1" applyAlignment="1">
      <x:alignment vertical="top" wrapText="1"/>
    </x:xf>
    <x:xf numFmtId="0" fontId="27" fillId="112" borderId="5" xfId="0" applyNumberFormat="1" applyFont="1" applyFill="1" applyBorder="1" applyAlignment="1">
      <x:alignment vertical="top" wrapText="1"/>
    </x:xf>
    <x:xf numFmtId="0" fontId="16" fillId="113" borderId="5" xfId="0" applyNumberFormat="1" applyFont="1" applyFill="1" applyBorder="1" applyAlignment="1">
      <x:alignment vertical="top" wrapText="1"/>
    </x:xf>
    <x:xf numFmtId="0" fontId="28" fillId="113" borderId="5" xfId="0" applyNumberFormat="1" applyFont="1" applyFill="1" applyBorder="1" applyAlignment="1">
      <x:alignment vertical="top" wrapText="1"/>
    </x:xf>
    <x:xf numFmtId="0" fontId="16" fillId="114" borderId="5" xfId="0" applyNumberFormat="1" applyFont="1" applyFill="1" applyBorder="1" applyAlignment="1">
      <x:alignment vertical="top" wrapText="1"/>
    </x:xf>
    <x:xf numFmtId="0" fontId="29" fillId="114" borderId="5" xfId="0" applyNumberFormat="1" applyFont="1" applyFill="1" applyBorder="1" applyAlignment="1">
      <x:alignment vertical="top" wrapText="1"/>
    </x:xf>
    <x:xf numFmtId="0" fontId="16" fillId="112" borderId="5" xfId="0" applyNumberFormat="1" applyFont="1" applyFill="1" applyBorder="1" applyAlignment="1">
      <x:alignment horizontal="center" vertical="top" wrapText="1"/>
    </x:xf>
    <x:xf numFmtId="0" fontId="16" fillId="113" borderId="5" xfId="0" applyNumberFormat="1" applyFont="1" applyFill="1" applyBorder="1" applyAlignment="1">
      <x:alignment horizontal="center" vertical="top" wrapText="1"/>
    </x:xf>
    <x:xf numFmtId="0" fontId="16" fillId="114" borderId="5" xfId="0" applyNumberFormat="1" applyFont="1" applyFill="1" applyBorder="1" applyAlignment="1">
      <x:alignment horizontal="center" vertical="top" wrapText="1"/>
    </x:xf>
    <x:xf numFmtId="0" fontId="0" fillId="115" borderId="0" xfId="0" applyNumberFormat="1" applyFont="1" applyFill="1" applyBorder="1"/>
    <x:xf numFmtId="0" fontId="25" fillId="115" borderId="0" xfId="0" applyNumberFormat="1" applyFont="1" applyFill="1" applyBorder="1"/>
    <x:xf numFmtId="0" fontId="25" fillId="115" borderId="0" xfId="0" applyNumberFormat="1" applyFont="1" applyFill="1" applyBorder="1" applyAlignment="1">
      <x:alignment vertical="center"/>
    </x:xf>
    <x:xf numFmtId="0" fontId="0" fillId="116" borderId="0" xfId="0" applyNumberFormat="1" applyFont="1" applyFill="1" applyBorder="1"/>
    <x:xf numFmtId="0" fontId="26" fillId="116" borderId="0" xfId="0" applyNumberFormat="1" applyFont="1" applyFill="1" applyBorder="1"/>
    <x:xf numFmtId="0" fontId="0" fillId="117" borderId="0" xfId="0" applyNumberFormat="1" applyFont="1" applyFill="1" applyBorder="1"/>
    <x:xf numFmtId="0" fontId="15" fillId="117" borderId="0" xfId="0" applyNumberFormat="1" applyFont="1" applyFill="1" applyBorder="1"/>
    <x:xf numFmtId="0" fontId="15" fillId="117" borderId="4" xfId="0" applyNumberFormat="1" applyFont="1" applyFill="1" applyBorder="1"/>
    <x:xf numFmtId="0" fontId="15" fillId="117" borderId="4" xfId="0" applyNumberFormat="1" applyFont="1" applyFill="1" applyBorder="1" applyAlignment="1">
      <x:alignment wrapText="1"/>
    </x:xf>
    <x:xf numFmtId="0" fontId="15" fillId="117" borderId="4" xfId="0" applyNumberFormat="1" applyFont="1" applyFill="1" applyBorder="1" applyAlignment="1">
      <x:alignment vertical="center" wrapText="1"/>
    </x:xf>
    <x:xf numFmtId="0" fontId="16" fillId="118" borderId="5" xfId="0" applyNumberFormat="1" applyFont="1" applyFill="1" applyBorder="1" applyAlignment="1">
      <x:alignment vertical="top" wrapText="1"/>
    </x:xf>
    <x:xf numFmtId="0" fontId="27" fillId="118" borderId="5" xfId="0" applyNumberFormat="1" applyFont="1" applyFill="1" applyBorder="1" applyAlignment="1">
      <x:alignment vertical="top" wrapText="1"/>
    </x:xf>
    <x:xf numFmtId="0" fontId="16" fillId="119" borderId="5" xfId="0" applyNumberFormat="1" applyFont="1" applyFill="1" applyBorder="1" applyAlignment="1">
      <x:alignment vertical="top" wrapText="1"/>
    </x:xf>
    <x:xf numFmtId="0" fontId="28" fillId="119" borderId="5" xfId="0" applyNumberFormat="1" applyFont="1" applyFill="1" applyBorder="1" applyAlignment="1">
      <x:alignment vertical="top" wrapText="1"/>
    </x:xf>
    <x:xf numFmtId="0" fontId="16" fillId="120" borderId="5" xfId="0" applyNumberFormat="1" applyFont="1" applyFill="1" applyBorder="1" applyAlignment="1">
      <x:alignment vertical="top" wrapText="1"/>
    </x:xf>
    <x:xf numFmtId="0" fontId="29" fillId="120" borderId="5" xfId="0" applyNumberFormat="1" applyFont="1" applyFill="1" applyBorder="1" applyAlignment="1">
      <x:alignment vertical="top" wrapText="1"/>
    </x:xf>
    <x:xf numFmtId="0" fontId="16" fillId="118" borderId="5" xfId="0" applyNumberFormat="1" applyFont="1" applyFill="1" applyBorder="1" applyAlignment="1">
      <x:alignment horizontal="center" vertical="top" wrapText="1"/>
    </x:xf>
    <x:xf numFmtId="0" fontId="16" fillId="119" borderId="5" xfId="0" applyNumberFormat="1" applyFont="1" applyFill="1" applyBorder="1" applyAlignment="1">
      <x:alignment horizontal="center" vertical="top" wrapText="1"/>
    </x:xf>
    <x:xf numFmtId="0" fontId="16" fillId="120" borderId="5" xfId="0" applyNumberFormat="1" applyFont="1" applyFill="1" applyBorder="1" applyAlignment="1">
      <x:alignment horizontal="center" vertical="top" wrapText="1"/>
    </x:xf>
    <x:xf numFmtId="0" fontId="0" fillId="121" borderId="0" xfId="0" applyNumberFormat="1" applyFont="1" applyFill="1" applyBorder="1"/>
    <x:xf numFmtId="0" fontId="25" fillId="121" borderId="0" xfId="0" applyNumberFormat="1" applyFont="1" applyFill="1" applyBorder="1"/>
    <x:xf numFmtId="0" fontId="25" fillId="121" borderId="0" xfId="0" applyNumberFormat="1" applyFont="1" applyFill="1" applyBorder="1" applyAlignment="1">
      <x:alignment vertical="center"/>
    </x:xf>
    <x:xf numFmtId="0" fontId="0" fillId="122" borderId="0" xfId="0" applyNumberFormat="1" applyFont="1" applyFill="1" applyBorder="1"/>
    <x:xf numFmtId="0" fontId="26" fillId="122" borderId="0" xfId="0" applyNumberFormat="1" applyFont="1" applyFill="1" applyBorder="1"/>
    <x:xf numFmtId="0" fontId="0" fillId="123" borderId="0" xfId="0" applyNumberFormat="1" applyFont="1" applyFill="1" applyBorder="1"/>
    <x:xf numFmtId="0" fontId="15" fillId="123" borderId="0" xfId="0" applyNumberFormat="1" applyFont="1" applyFill="1" applyBorder="1"/>
    <x:xf numFmtId="0" fontId="15" fillId="123" borderId="4" xfId="0" applyNumberFormat="1" applyFont="1" applyFill="1" applyBorder="1"/>
    <x:xf numFmtId="0" fontId="15" fillId="123" borderId="4" xfId="0" applyNumberFormat="1" applyFont="1" applyFill="1" applyBorder="1" applyAlignment="1">
      <x:alignment wrapText="1"/>
    </x:xf>
    <x:xf numFmtId="0" fontId="15" fillId="123" borderId="4" xfId="0" applyNumberFormat="1" applyFont="1" applyFill="1" applyBorder="1" applyAlignment="1">
      <x:alignment vertical="center" wrapText="1"/>
    </x:xf>
    <x:xf numFmtId="0" fontId="16" fillId="124" borderId="5" xfId="0" applyNumberFormat="1" applyFont="1" applyFill="1" applyBorder="1" applyAlignment="1">
      <x:alignment vertical="top" wrapText="1"/>
    </x:xf>
    <x:xf numFmtId="0" fontId="27" fillId="124" borderId="5" xfId="0" applyNumberFormat="1" applyFont="1" applyFill="1" applyBorder="1" applyAlignment="1">
      <x:alignment vertical="top" wrapText="1"/>
    </x:xf>
    <x:xf numFmtId="0" fontId="16" fillId="125" borderId="5" xfId="0" applyNumberFormat="1" applyFont="1" applyFill="1" applyBorder="1" applyAlignment="1">
      <x:alignment vertical="top" wrapText="1"/>
    </x:xf>
    <x:xf numFmtId="0" fontId="28" fillId="125" borderId="5" xfId="0" applyNumberFormat="1" applyFont="1" applyFill="1" applyBorder="1" applyAlignment="1">
      <x:alignment vertical="top" wrapText="1"/>
    </x:xf>
    <x:xf numFmtId="0" fontId="16" fillId="126" borderId="5" xfId="0" applyNumberFormat="1" applyFont="1" applyFill="1" applyBorder="1" applyAlignment="1">
      <x:alignment vertical="top" wrapText="1"/>
    </x:xf>
    <x:xf numFmtId="0" fontId="29" fillId="126" borderId="5" xfId="0" applyNumberFormat="1" applyFont="1" applyFill="1" applyBorder="1" applyAlignment="1">
      <x:alignment vertical="top" wrapText="1"/>
    </x:xf>
    <x:xf numFmtId="0" fontId="16" fillId="124" borderId="5" xfId="0" applyNumberFormat="1" applyFont="1" applyFill="1" applyBorder="1" applyAlignment="1">
      <x:alignment horizontal="center" vertical="top" wrapText="1"/>
    </x:xf>
    <x:xf numFmtId="0" fontId="16" fillId="125" borderId="5" xfId="0" applyNumberFormat="1" applyFont="1" applyFill="1" applyBorder="1" applyAlignment="1">
      <x:alignment horizontal="center" vertical="top" wrapText="1"/>
    </x:xf>
    <x:xf numFmtId="0" fontId="16" fillId="126" borderId="5" xfId="0" applyNumberFormat="1" applyFont="1" applyFill="1" applyBorder="1" applyAlignment="1">
      <x:alignment horizontal="center" vertical="top" wrapText="1"/>
    </x:xf>
    <x:xf numFmtId="0" fontId="28" fillId="127" borderId="5" xfId="0" applyNumberFormat="1" applyFont="1" applyFill="1" applyBorder="1" applyAlignment="1">
      <x:alignment vertical="top" wrapText="1"/>
    </x:xf>
    <x:xf numFmtId="0" fontId="16" fillId="127" borderId="5" xfId="0" applyNumberFormat="1" applyFont="1" applyFill="1" applyBorder="1" applyAlignment="1">
      <x:alignment vertical="top" wrapText="1"/>
    </x:xf>
    <x:xf numFmtId="0" fontId="16" fillId="127" borderId="5" xfId="0" applyNumberFormat="1" applyFont="1" applyFill="1" applyBorder="1" applyAlignment="1">
      <x:alignment horizontal="center" vertical="top" wrapText="1"/>
    </x:xf>
    <x:xf numFmtId="0" fontId="27" fillId="127" borderId="5" xfId="0" applyNumberFormat="1" applyFont="1" applyFill="1" applyBorder="1" applyAlignment="1">
      <x:alignment vertical="top" wrapText="1"/>
    </x:xf>
    <x:xf numFmtId="0" fontId="27" fillId="128" borderId="5" xfId="0" applyNumberFormat="1" applyFont="1" applyFill="1" applyBorder="1" applyAlignment="1">
      <x:alignment vertical="top" wrapText="1"/>
    </x:xf>
    <x:xf numFmtId="0" fontId="16" fillId="128" borderId="5" xfId="0" applyNumberFormat="1" applyFont="1" applyFill="1" applyBorder="1" applyAlignment="1">
      <x:alignment vertical="top" wrapText="1"/>
    </x:xf>
    <x:xf numFmtId="0" fontId="16" fillId="128" borderId="5" xfId="0" applyNumberFormat="1" applyFont="1" applyFill="1" applyBorder="1" applyAlignment="1">
      <x:alignment horizontal="center" vertical="top" wrapText="1"/>
    </x:xf>
    <x:xf numFmtId="0" fontId="20" fillId="93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0" fontId="30" fillId="2" borderId="0" xfId="0" applyNumberFormat="1" applyFont="1" applyFill="1" applyBorder="1" applyAlignment="1">
      <x:alignment horizontal="center" vertical="center" wrapText="1"/>
    </x:xf>
    <x:xf numFmtId="0" fontId="30" fillId="129" borderId="0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</x:cellXfs>
  <x:cellStyles count="1">
    <x:cellStyle name="Normal" xfId="0"/>
  </x:cellStyles>
  <x:dxfs count="15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</x:dxf>
    <x:dxf>
      <x:font>
        <x:color rgb="FF9C0006"/>
      </x:font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8cc61adc941a1" /><Relationship Type="http://schemas.openxmlformats.org/officeDocument/2006/relationships/theme" Target="/xl/theme/theme1.xml" Id="Rdba2c0d010ed42fc" /><Relationship Type="http://schemas.openxmlformats.org/officeDocument/2006/relationships/sharedStrings" Target="/xl/sharedStrings.xml" Id="R1d356e68b55a4ae2" /><Relationship Type="http://schemas.openxmlformats.org/officeDocument/2006/relationships/worksheet" Target="/xl/worksheets/sheet1.xml" Id="Rb8f312f89008420b" /><Relationship Type="http://schemas.openxmlformats.org/officeDocument/2006/relationships/worksheet" Target="/xl/worksheets/sheet2.xml" Id="R2bae40f4b7de4709" /><Relationship Type="http://schemas.openxmlformats.org/officeDocument/2006/relationships/worksheet" Target="/xl/worksheets/sheet3.xml" Id="Rc716837e4b254faf" /><Relationship Type="http://schemas.openxmlformats.org/officeDocument/2006/relationships/worksheet" Target="/xl/worksheets/sheet4.xml" Id="R4aab644d8a80497a" /><Relationship Type="http://schemas.openxmlformats.org/officeDocument/2006/relationships/worksheet" Target="/xl/worksheets/sheet5.xml" Id="R0e21dee446354927" /><Relationship Type="http://schemas.openxmlformats.org/officeDocument/2006/relationships/worksheet" Target="/xl/worksheets/sheet6.xml" Id="R4ac394a7c969468b" /><Relationship Type="http://schemas.openxmlformats.org/officeDocument/2006/relationships/worksheet" Target="/xl/worksheets/sheet7.xml" Id="R222a7e3952b24296" /><Relationship Type="http://schemas.openxmlformats.org/officeDocument/2006/relationships/worksheet" Target="/xl/worksheets/sheet8.xml" Id="R92fec620c26c4bed" /><Relationship Type="http://schemas.openxmlformats.org/officeDocument/2006/relationships/worksheet" Target="/xl/worksheets/sheet9.xml" Id="Rd2ba0ccb35554454" /><Relationship Type="http://schemas.openxmlformats.org/officeDocument/2006/relationships/worksheet" Target="/xl/worksheets/sheet10.xml" Id="Rc25ae45da6484ad9" /><Relationship Type="http://schemas.openxmlformats.org/officeDocument/2006/relationships/worksheet" Target="/xl/worksheets/sheet11.xml" Id="R31135b9ef85e41cc" /><Relationship Type="http://schemas.openxmlformats.org/officeDocument/2006/relationships/worksheet" Target="/xl/worksheets/sheet12.xml" Id="R69afa6b986b84f29" /><Relationship Type="http://schemas.openxmlformats.org/officeDocument/2006/relationships/worksheet" Target="/xl/worksheets/sheet13.xml" Id="Reb7034b957f14031" /><Relationship Type="http://schemas.openxmlformats.org/officeDocument/2006/relationships/worksheet" Target="/xl/worksheets/sheet14.xml" Id="R2e559f97deed417b" /><Relationship Type="http://schemas.openxmlformats.org/officeDocument/2006/relationships/worksheet" Target="/xl/worksheets/sheet15.xml" Id="Ra77fb309b4bb4aa4" /><Relationship Type="http://schemas.openxmlformats.org/officeDocument/2006/relationships/worksheet" Target="/xl/worksheets/sheet16.xml" Id="R6ce4c8321416476c" /><Relationship Type="http://schemas.openxmlformats.org/officeDocument/2006/relationships/worksheet" Target="/xl/worksheets/sheet17.xml" Id="Ra6a5f2c6d98f416e" /><Relationship Type="http://schemas.openxmlformats.org/officeDocument/2006/relationships/worksheet" Target="/xl/worksheets/sheet18.xml" Id="Re653e6037e8d4331" /><Relationship Type="http://schemas.openxmlformats.org/officeDocument/2006/relationships/worksheet" Target="/xl/worksheets/sheet19.xml" Id="R1a76f3203d934e46" /><Relationship Type="http://schemas.openxmlformats.org/officeDocument/2006/relationships/worksheet" Target="/xl/worksheets/sheet20.xml" Id="R7a22f7125adf4163" /><Relationship Type="http://schemas.openxmlformats.org/officeDocument/2006/relationships/worksheet" Target="/xl/worksheets/sheet21.xml" Id="Rb5a3cb367c9a4628" /><Relationship Type="http://schemas.openxmlformats.org/officeDocument/2006/relationships/worksheet" Target="/xl/worksheets/sheet22.xml" Id="R4af1175003084ae3" /><Relationship Type="http://schemas.openxmlformats.org/officeDocument/2006/relationships/worksheet" Target="/xl/worksheets/sheet23.xml" Id="R6c23ca74dae6435d" /><Relationship Type="http://schemas.openxmlformats.org/officeDocument/2006/relationships/worksheet" Target="/xl/worksheets/sheet24.xml" Id="Rca5e93f78d054265" /><Relationship Type="http://schemas.openxmlformats.org/officeDocument/2006/relationships/worksheet" Target="/xl/worksheets/sheet25.xml" Id="Rf00f8789776f466b" /><Relationship Type="http://schemas.openxmlformats.org/officeDocument/2006/relationships/worksheet" Target="/xl/worksheets/sheet26.xml" Id="R071c038d6d684bff" /><Relationship Type="http://schemas.openxmlformats.org/officeDocument/2006/relationships/worksheet" Target="/xl/worksheets/sheet27.xml" Id="Red5fb8e704d34461" /><Relationship Type="http://schemas.openxmlformats.org/officeDocument/2006/relationships/worksheet" Target="/xl/worksheets/sheet28.xml" Id="Rc9ebe4b8811443f6" /><Relationship Type="http://schemas.openxmlformats.org/officeDocument/2006/relationships/worksheet" Target="/xl/worksheets/sheet29.xml" Id="Red7cc586c9af40ae" /><Relationship Type="http://schemas.openxmlformats.org/officeDocument/2006/relationships/worksheet" Target="/xl/worksheets/sheet30.xml" Id="Rcc875484eac043ba" /><Relationship Type="http://schemas.openxmlformats.org/officeDocument/2006/relationships/worksheet" Target="/xl/worksheets/sheet31.xml" Id="R7a858c06718242f5" /><Relationship Type="http://schemas.openxmlformats.org/officeDocument/2006/relationships/worksheet" Target="/xl/worksheets/sheet32.xml" Id="R48b5f120d6fd42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606ee44ada4ed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Placed hit rate</c:v>
          </c:tx>
          <c:cat>
            <c:strRef>
              <c:f>'Market Summary'!$A$2:$A$18</c:f>
              <c:strCache>
                <c:ptCount val="0"/>
              </c:strCache>
            </c:strRef>
          </c:cat>
          <c:val>
            <c:numRef>
              <c:f>'Market Summary'!$D$2:$D$18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606ee44ada4ed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didateLogTable" displayName="CandidateLogTable" ref="A1:V56" headerRowCount="1" totalsRowCount="0" totalsRowShown="0">
  <x:tableColumns count="22">
    <x:tableColumn id="1" name="Date"/>
    <x:tableColumn id="2" name="Candidate ID"/>
    <x:tableColumn id="3" name="Source Bucket"/>
    <x:tableColumn id="4" name="Source / Research Set"/>
    <x:tableColumn id="5" name="Sport"/>
    <x:tableColumn id="6" name="Game"/>
    <x:tableColumn id="7" name="Entity"/>
    <x:tableColumn id="8" name="Market Family"/>
    <x:tableColumn id="9" name="Bet / Proposition"/>
    <x:tableColumn id="10" name="Line"/>
    <x:tableColumn id="11" name="Odds (American)"/>
    <x:tableColumn id="12" name="Implied Prob"/>
    <x:tableColumn id="13" name="Decision"/>
    <x:tableColumn id="14" name="Placed?"/>
    <x:tableColumn id="15" name="Result"/>
    <x:tableColumn id="16" name="Win"/>
    <x:tableColumn id="17" name="Actual Value"/>
    <x:tableColumn id="18" name="Stake Attributed"/>
    <x:tableColumn id="19" name="Ticket IDs"/>
    <x:tableColumn id="20" name="Loss Classification"/>
    <x:tableColumn id="21" name="Market Conversion / Missed Opportunity Note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TicketLogTable" displayName="TicketLogTable" ref="A1:M105" headerRowCount="1" totalsRowCount="0" totalsRowShown="0">
  <x:tableColumns count="13">
    <x:tableColumn id="1" name="Date"/>
    <x:tableColumn id="2" name="Ticket ID"/>
    <x:tableColumn id="3" name="Origin"/>
    <x:tableColumn id="4" name="Description"/>
    <x:tableColumn id="5" name="Stake"/>
    <x:tableColumn id="6" name="Odds (American)"/>
    <x:tableColumn id="7" name="Boosted?"/>
    <x:tableColumn id="8" name="Legs"/>
    <x:tableColumn id="9" name="Result"/>
    <x:tableColumn id="10" name="Payout"/>
    <x:tableColumn id="11" name="P/L"/>
    <x:tableColumn id="12" name="Promo / Special"/>
    <x:tableColumn id="13" name="Execu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MarketSummaryTable" displayName="MarketSummaryTable" ref="A1:K18" headerRowCount="1" totalsRowCount="0" totalsRowShown="0">
  <x:tableColumns count="11">
    <x:tableColumn id="1" name="Market Family"/>
    <x:tableColumn id="2" name="Placed Obs"/>
    <x:tableColumn id="3" name="Placed Wins"/>
    <x:tableColumn id="4" name="Placed Hit Rate"/>
    <x:tableColumn id="5" name="Research/Shadow Obs"/>
    <x:tableColumn id="6" name="Research/Shadow Wins"/>
    <x:tableColumn id="7" name="Shadow Hit Rate"/>
    <x:tableColumn id="8" name="All Obs"/>
    <x:tableColumn id="9" name="All Wins"/>
    <x:tableColumn id="10" name="All Hit Rate"/>
    <x:tableColumn id="11" name="Immediate 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ourceEvalTable" displayName="SourceEvalTable" ref="A1:E7" headerRowCount="1" totalsRowCount="0" totalsRowShown="0">
  <x:tableColumns count="5">
    <x:tableColumn id="1" name="Decision / Bucket"/>
    <x:tableColumn id="2" name="Observations"/>
    <x:tableColumn id="3" name="Wins"/>
    <x:tableColumn id="4" name="Hit Rate"/>
    <x:tableColumn id="5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FeatureWeightsTable" displayName="FeatureWeightsTable" ref="A1:F31" headerRowCount="1" totalsRowCount="0" totalsRowShown="0">
  <x:tableColumns count="6">
    <x:tableColumn id="1" name="Market Model"/>
    <x:tableColumn id="2" name="Feature"/>
    <x:tableColumn id="3" name="Initial Test Weight"/>
    <x:tableColumn id="4" name="Expected Direction"/>
    <x:tableColumn id="5" name="Why Track It"/>
    <x:tableColumn id="6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BacktestPlanTable" displayName="BacktestPlanTable" ref="A1:D10" headerRowCount="1" totalsRowCount="0" totalsRowShown="0">
  <x:tableColumns count="4">
    <x:tableColumn id="1" name="Stage"/>
    <x:tableColumn id="2" name="What We Will Do"/>
    <x:tableColumn id="3" name="Output / Metric"/>
    <x:tableColumn id="4" name="When It Becomes Trustworth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2" name="DailySummaryTable" displayName="DailySummaryTable" ref="A1:J15" headerRowCount="1" totalsRowCount="0" totalsRowShown="0">
  <x:tableColumns count="10">
    <x:tableColumn id="1" name="Date"/>
    <x:tableColumn id="2" name="Starting Bankroll"/>
    <x:tableColumn id="3" name="Risked"/>
    <x:tableColumn id="4" name="Payout"/>
    <x:tableColumn id="5" name="P/L"/>
    <x:tableColumn id="6" name="Ending Bankroll"/>
    <x:tableColumn id="7" name="Tickets"/>
    <x:tableColumn id="8" name="Wins"/>
    <x:tableColumn id="9" name="Ticket Win Rate"/>
    <x:tableColumn id="10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issedOppTable" displayName="MissedOppTable" ref="A1:H14" headerRowCount="1" totalsRowCount="0" totalsRowShown="0">
  <x:tableColumns count="8">
    <x:tableColumn id="1" name="Date"/>
    <x:tableColumn id="2" name="Candidate ID"/>
    <x:tableColumn id="3" name="Entity"/>
    <x:tableColumn id="4" name="Market"/>
    <x:tableColumn id="5" name="Bet"/>
    <x:tableColumn id="6" name="Result"/>
    <x:tableColumn id="7" name="Why It Matters"/>
    <x:tableColumn id="8" name="Ca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b280de2b344b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98d686f08c46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e01ab5696b45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69708e005045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cff5a46bf140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42d481559a48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5d54f9411d42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f36343d0894b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41998477db461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4" max="4" width="19" hidden="0" customWidth="1"/>
    <x:col min="5" max="5" width="19" hidden="0" customWidth="1"/>
    <x:col min="6" max="6" width="19" hidden="0" customWidth="1"/>
    <x:col min="7" max="7" width="20" hidden="0" customWidth="1"/>
    <x:col min="8" max="8" width="28" hidden="0" customWidth="1"/>
    <x:col min="10" max="10" width="32" hidden="0" customWidth="1"/>
    <x:col min="11" max="11" width="12" hidden="0" customWidth="1"/>
    <x:col min="9" max="9" width="24" hidden="0" customWidth="1"/>
    <x:col min="12" max="12" width="12" hidden="0" customWidth="1"/>
  </x:cols>
  <x:sheetData>
    <x:row r="1" ht="30" customHeight="1">
      <x:c r="A1" s="13" t="str">
        <x:v>Sports Betting Research &amp; Backtest Tracker — v0.20</x:v>
      </x:c>
      <x:c r="B1" s="13"/>
      <x:c r="C1" s="13"/>
      <x:c r="D1" s="13"/>
      <x:c r="E1" s="13"/>
      <x:c r="F1" s="13"/>
      <x:c r="G1" s="81" t="str">
        <x:v>Prospective Testing — starts Aug. 26</x:v>
      </x:c>
      <x:c r="H1" s="81"/>
      <x:c r="I1" s="75"/>
      <x:c r="J1" s="75"/>
      <x:c r="K1" s="75"/>
      <x:c r="L1" s="75"/>
    </x:row>
    <x:row r="3">
      <x:c r="A3" s="20" t="str">
        <x:v>Current bankroll</x:v>
      </x:c>
      <x:c r="B3" s="26" t="n">
        <x:v>7.14</x:v>
      </x:c>
      <x:c r="D3" s="20" t="str">
        <x:v>Immediate System Changes</x:v>
      </x:c>
      <x:c r="E3" s="20" t="str"/>
      <x:c r="F3" s="20" t="str"/>
      <x:c r="G3" s="85" t="str">
        <x:v>Paper portfolio</x:v>
      </x:c>
      <x:c r="H3" s="86" t="str">
        <x:v>Track all A/B qualified bets not placed</x:v>
      </x:c>
      <x:c r="J3" s="84" t="str">
        <x:v>Paper settled</x:v>
      </x:c>
      <x:c r="K3" t="n">
        <x:f>COUNTIFS('Paper Portfolio'!$D$2:$D$500,"PAPER",'Paper Portfolio'!$O$2:$O$500,"&lt;&gt;Pending",'Paper Portfolio'!$O$2:$O$500,"&lt;&gt;")</x:f>
        <x:v>173</x:v>
      </x:c>
    </x:row>
    <x:row r="4" ht="34" customHeight="1">
      <x:c r="A4" s="20" t="str">
        <x:v>Tracked dates</x:v>
      </x:c>
      <x:c r="B4" t="n">
        <x:v>4</x:v>
      </x:c>
      <x:c r="D4" s="59" t="str">
        <x:v>1</x:v>
      </x:c>
      <x:c r="E4" s="64" t="str">
        <x:v>Mine every player/market from research sheets; featured plays are leads only.</x:v>
      </x:c>
      <x:c r="F4" s="64"/>
      <x:c r="G4" s="85" t="str">
        <x:v>Feature capture</x:v>
      </x:c>
      <x:c r="H4" s="64" t="str">
        <x:v>Record market-specific pregame stats before result</x:v>
      </x:c>
      <x:c r="J4" s="84" t="str">
        <x:v>Paper wins</x:v>
      </x:c>
      <x:c r="K4" t="n">
        <x:f>COUNTIFS('Paper Portfolio'!$D$2:$D$500,"PAPER",'Paper Portfolio'!$O$2:$O$500,"Win")</x:f>
        <x:v>64</x:v>
      </x:c>
    </x:row>
    <x:row r="5" ht="34" customHeight="1">
      <x:c r="A5" s="20" t="str">
        <x:v>Placed unique propositions</x:v>
      </x:c>
      <x:c r="B5" t="n">
        <x:f>COUNTIFS('Candidate Log'!$M$2:$M$200,"BET",'Candidate Log'!$O$2:$O$200,"&lt;&gt;")</x:f>
        <x:v>55</x:v>
      </x:c>
      <x:c r="D5" s="59" t="str">
        <x:v>2</x:v>
      </x:c>
      <x:c r="E5" s="64" t="str">
        <x:v>Expand to full lineup and full slate before ranking candidates.</x:v>
      </x:c>
      <x:c r="F5" s="64"/>
      <x:c r="G5" s="85" t="str">
        <x:v>Market conversion</x:v>
      </x:c>
      <x:c r="H5" s="64" t="str">
        <x:v>Paper alternate markets on same player/pitcher</x:v>
      </x:c>
      <x:c r="J5" s="84" t="str">
        <x:v>Paper hit rate</x:v>
      </x:c>
      <x:c r="K5" s="24" t="n">
        <x:f>IFERROR(K4/K3,0)</x:f>
        <x:v>0.3699421965317919</x:v>
      </x:c>
    </x:row>
    <x:row r="6" ht="34" customHeight="1">
      <x:c r="A6" s="20" t="str">
        <x:v>Placed proposition wins</x:v>
      </x:c>
      <x:c r="B6" t="n">
        <x:f>COUNTIFS('Candidate Log'!$M$2:$M$200,"BET",'Candidate Log'!$O$2:$O$200,"Win")</x:f>
        <x:v>20</x:v>
      </x:c>
      <x:c r="D6" s="59" t="str">
        <x:v>3</x:v>
      </x:c>
      <x:c r="E6" s="64" t="str">
        <x:v>Routine K unders suspended; prioritize outs + K overs + composite hitter props.</x:v>
      </x:c>
      <x:c r="F6" s="64"/>
      <x:c r="G6" s="85" t="str">
        <x:v>CLV</x:v>
      </x:c>
      <x:c r="H6" s="64" t="str">
        <x:v>Entry vs closing price on every available bet</x:v>
      </x:c>
      <x:c r="J6" s="84" t="str">
        <x:v>Paper $1 P/L</x:v>
      </x:c>
      <x:c r="K6" s="26" t="n">
        <x:f>SUMIFS('Paper Portfolio'!$R$2:$R$500,'Paper Portfolio'!$D$2:$D$500,"PAPER")</x:f>
        <x:v>23.773960738509146</x:v>
      </x:c>
    </x:row>
    <x:row r="7" ht="34" customHeight="1">
      <x:c r="A7" s="20" t="str">
        <x:v>Placed proposition hit rate</x:v>
      </x:c>
      <x:c r="B7" s="24" t="n">
        <x:f>IFERROR(B6/B5,0)</x:f>
        <x:v>0.36363636363636365</x:v>
      </x:c>
      <x:c r="D7" s="59" t="str">
        <x:v>4</x:v>
      </x:c>
      <x:c r="E7" s="64" t="str">
        <x:v>No automatic -250/-300 1+ hit glue legs; price must justify inclusion.</x:v>
      </x:c>
      <x:c r="F7" s="64"/>
      <x:c r="G7" s="85" t="str">
        <x:v>Threshold test</x:v>
      </x:c>
      <x:c r="H7" s="64" t="str">
        <x:v>Standard line vs one safer alternate</x:v>
      </x:c>
      <x:c r="J7" s="84" t="str">
        <x:v>Actual $1 P/L</x:v>
      </x:c>
      <x:c r="K7" s="26" t="n">
        <x:f>SUMIFS('Paper Portfolio'!$R$2:$R$500,'Paper Portfolio'!$D$2:$D$500,"ACTUAL")</x:f>
        <x:v>0</x:v>
      </x:c>
    </x:row>
    <x:row r="8" ht="34" customHeight="1">
      <x:c r="A8" s="20" t="str">
        <x:v>Qualified-not-bet hit rate</x:v>
      </x:c>
      <x:c r="B8" s="24" t="n">
        <x:f>IFERROR(COUNTIFS('Candidate Log'!$M$2:$M$200,"QUALIFIED_NOT_BET",'Candidate Log'!$O$2:$O$200,"Win")/COUNTIFS('Candidate Log'!$M$2:$M$200,"QUALIFIED_NOT_BET",'Candidate Log'!$O$2:$O$200,"&lt;&gt;"),0)</x:f>
        <x:v>0.85</x:v>
      </x:c>
      <x:c r="D8" s="59" t="str">
        <x:v>5</x:v>
      </x:c>
      <x:c r="E8" s="64" t="str">
        <x:v>Track shadow candidates + closing-line value to measure missed opportunity.</x:v>
      </x:c>
      <x:c r="F8" s="64"/>
      <x:c r="G8" s="85" t="str">
        <x:v>No hindsight</x:v>
      </x:c>
      <x:c r="H8" s="64" t="str">
        <x:v>Feature rows must be recorded pregame</x:v>
      </x:c>
    </x:row>
    <x:row r="10">
      <x:c r="A10" s="20" t="str">
        <x:v>Ticket risk Aug 24</x:v>
      </x:c>
      <x:c r="B10" s="26" t="n">
        <x:v>45.51</x:v>
      </x:c>
      <x:c r="G10" s="97" t="str">
        <x:v>Paper picks must test hypotheses, not just leftovers</x:v>
      </x:c>
      <x:c r="H10" s="97"/>
      <x:c r="I10" s="97"/>
      <x:c r="J10" s="97"/>
      <x:c r="K10" s="97"/>
      <x:c r="L10" s="97"/>
    </x:row>
    <x:row r="11">
      <x:c r="A11" s="20" t="str">
        <x:v>Ticket P/L Aug 24</x:v>
      </x:c>
      <x:c r="B11" s="26" t="n">
        <x:v>-45.51</x:v>
      </x:c>
    </x:row>
    <x:row r="12">
      <x:c r="A12" s="20" t="str">
        <x:v>Ticket risk Aug 25</x:v>
      </x:c>
      <x:c r="B12" s="26" t="n">
        <x:v>10</x:v>
      </x:c>
      <x:c r="G12" s="103" t="str">
        <x:v>Required paper type</x:v>
      </x:c>
      <x:c r="H12" s="103" t="str">
        <x:v>Example</x:v>
      </x:c>
      <x:c r="I12" s="103" t="str">
        <x:v>Paired test</x:v>
      </x:c>
      <x:c r="J12" s="103" t="str">
        <x:v>Purpose</x:v>
      </x:c>
      <x:c r="K12" s="103"/>
      <x:c r="L12" s="103"/>
    </x:row>
    <x:row r="13">
      <x:c r="A13" s="20" t="str">
        <x:v>Ticket P/L Aug 25</x:v>
      </x:c>
      <x:c r="B13" s="26" t="n">
        <x:v>-2.86</x:v>
      </x:c>
      <x:c r="G13" s="31" t="str">
        <x:v>HYPOTHESIS_TEST</x:v>
      </x:c>
      <x:c r="H13" s="31" t="str">
        <x:v>Pitcher outs vs K prop</x:v>
      </x:c>
      <x:c r="I13" s="31" t="str">
        <x:v>Same pitcher / same game</x:v>
      </x:c>
      <x:c r="J13" s="31" t="str">
        <x:v>Tests workload-market thesis</x:v>
      </x:c>
      <x:c r="K13" s="31"/>
      <x:c r="L13" s="31"/>
    </x:row>
    <x:row r="14">
      <x:c r="A14" s="20" t="str">
        <x:v>Current bankroll</x:v>
      </x:c>
      <x:c r="B14" s="26" t="n">
        <x:v>7.14</x:v>
      </x:c>
      <x:c r="G14" s="31" t="str">
        <x:v>ALT_MARKET_TEST</x:v>
      </x:c>
      <x:c r="H14" s="31" t="str">
        <x:v>HRR vs TB vs HR</x:v>
      </x:c>
      <x:c r="I14" s="31" t="str">
        <x:v>Same hitter</x:v>
      </x:c>
      <x:c r="J14" s="31" t="str">
        <x:v>Tests market conversion</x:v>
      </x:c>
      <x:c r="K14" s="31"/>
      <x:c r="L14" s="31"/>
    </x:row>
    <x:row r="15">
      <x:c r="A15" s="20" t="str">
        <x:v>Roller status</x:v>
      </x:c>
      <x:c r="B15" t="str">
        <x:v>Retired</x:v>
      </x:c>
      <x:c r="G15" s="31" t="str">
        <x:v>THRESHOLD_TEST</x:v>
      </x:c>
      <x:c r="H15" s="31" t="str">
        <x:v>O5.5 K vs 5+ K</x:v>
      </x:c>
      <x:c r="I15" s="31" t="str">
        <x:v>Same player</x:v>
      </x:c>
      <x:c r="J15" s="31" t="str">
        <x:v>Tests safer alternate threshold</x:v>
      </x:c>
      <x:c r="K15" s="31"/>
      <x:c r="L15" s="31"/>
    </x:row>
    <x:row r="16">
      <x:c r="G16" s="31" t="str">
        <x:v>PRICE_TEST</x:v>
      </x:c>
      <x:c r="H16" s="31" t="str">
        <x:v>Bet at current price vs pass after steam</x:v>
      </x:c>
      <x:c r="I16" s="31" t="str">
        <x:v>Same proposition</x:v>
      </x:c>
      <x:c r="J16" s="31" t="str">
        <x:v>Tests price deterioration</x:v>
      </x:c>
      <x:c r="K16" s="31"/>
      <x:c r="L16" s="31"/>
    </x:row>
    <x:row r="17">
      <x:c r="A17" s="43" t="str">
        <x:v>Important: v0.1 is a tracking framework, not a trained predictive model. The initial feature weights are hypotheses to test. Current samples are too small to infer true long-run market edges.</x:v>
      </x:c>
      <x:c r="B17" s="43"/>
      <x:c r="C17" s="43"/>
      <x:c r="D17" s="43"/>
      <x:c r="E17" s="43"/>
      <x:c r="F17" s="43"/>
      <x:c r="G17" s="43" t="str">
        <x:v>CONSTRUCTION_TEST</x:v>
      </x:c>
      <x:c r="H17" s="43" t="str">
        <x:v>2-leg vs 3-leg NRFI</x:v>
      </x:c>
      <x:c r="I17" s="31" t="str">
        <x:v>Same underlying NRFI set</x:v>
      </x:c>
      <x:c r="J17" s="31" t="str">
        <x:v>Tests ticket variance</x:v>
      </x:c>
      <x:c r="K17" s="31"/>
      <x:c r="L17" s="31"/>
    </x:row>
    <x:row r="18">
      <x:c r="A18" s="43" t="str">
        <x:v>Backfill Coverage</x:v>
      </x:c>
      <x:c r="B18" s="43"/>
      <x:c r="C18" s="43"/>
      <x:c r="D18" s="43"/>
      <x:c r="E18" s="43"/>
      <x:c r="F18" s="43"/>
      <x:c r="G18" s="43"/>
      <x:c r="H18" s="43"/>
    </x:row>
    <x:row r="19">
      <x:c r="A19" s="43" t="str">
        <x:v>Aug. 22</x:v>
      </x:c>
      <x:c r="B19" s="43" t="str">
        <x:v>Candidate/ticket inventory captured</x:v>
      </x:c>
      <x:c r="C19" s="43" t="str">
        <x:v>Outcomes partial</x:v>
      </x:c>
      <x:c r="D19" s="43" t="str">
        <x:v>Only verified Result rows enter hit rates</x:v>
      </x:c>
      <x:c r="E19" s="43"/>
      <x:c r="F19" s="43"/>
      <x:c r="G19" s="108" t="str">
        <x:v>Aug. 26 research intake — batch 1 logged pregame</x:v>
      </x:c>
      <x:c r="H19" s="108"/>
      <x:c r="I19" s="110"/>
      <x:c r="J19" s="110"/>
      <x:c r="K19" s="110"/>
      <x:c r="L19" s="110"/>
    </x:row>
    <x:row r="20">
      <x:c r="A20" t="str">
        <x:v>Aug. 23</x:v>
      </x:c>
      <x:c r="B20" t="str">
        <x:v>Candidate/ticket inventory captured</x:v>
      </x:c>
      <x:c r="C20" t="str">
        <x:v>Many exact leg outcomes added</x:v>
      </x:c>
      <x:c r="D20" t="str">
        <x:v>Final ticket P&amp;L incomplete</x:v>
      </x:c>
      <x:c r="E20"/>
      <x:c r="G20" s="31" t="str">
        <x:v>Research candidates logged</x:v>
      </x:c>
      <x:c r="H20" s="31" t="n">
        <x:v>21</x:v>
      </x:c>
      <x:c r="I20" s="31" t="str">
        <x:v>Status</x:v>
      </x:c>
      <x:c r="J20" s="31" t="str">
        <x:v>RESEARCH_POOL</x:v>
      </x:c>
    </x:row>
    <x:row r="21">
      <x:c r="A21" s="51" t="str">
        <x:v>Aug. 24</x:v>
      </x:c>
      <x:c r="B21" s="51" t="str">
        <x:v>Complete</x:v>
      </x:c>
      <x:c r="C21" s="51" t="str">
        <x:v>Complete</x:v>
      </x:c>
      <x:c r="D21" s="51" t="str">
        <x:v>Full candidate/ticket audit</x:v>
      </x:c>
      <x:c r="E21" s="51"/>
      <x:c r="F21" s="51"/>
      <x:c r="G21" s="51" t="str">
        <x:v>Immediate paper tests</x:v>
      </x:c>
      <x:c r="H21" s="51" t="n">
        <x:v>4</x:v>
      </x:c>
      <x:c r="I21" s="31" t="str">
        <x:v>Sean Burke outs</x:v>
      </x:c>
      <x:c r="J21" s="31" t="str">
        <x:v>EXP-01</x:v>
      </x:c>
    </x:row>
    <x:row r="22">
      <x:c r="A22" s="51" t="str">
        <x:v>Aug. 25</x:v>
      </x:c>
      <x:c r="B22" s="51" t="str">
        <x:v>Complete</x:v>
      </x:c>
      <x:c r="C22" s="51" t="str">
        <x:v>Complete</x:v>
      </x:c>
      <x:c r="D22" s="51" t="str">
        <x:v>Full candidate/ticket audit</x:v>
      </x:c>
      <x:c r="E22" s="51"/>
      <x:c r="F22" s="51"/>
      <x:c r="G22" s="51" t="str">
        <x:v>K-under stress test</x:v>
      </x:c>
      <x:c r="H22" s="51" t="n">
        <x:v>1</x:v>
      </x:c>
      <x:c r="I22" s="31" t="str">
        <x:v>Eduardo Rodríguez U4.5 K</x:v>
      </x:c>
      <x:c r="J22" s="31" t="str">
        <x:v>EXP-02</x:v>
      </x:c>
    </x:row>
    <x:row r="23">
      <x:c r="A23" s="51" t="str">
        <x:v>Rule</x:v>
      </x:c>
      <x:c r="B23" s="51" t="str">
        <x:v>Unknown historical results remain blank</x:v>
      </x:c>
      <x:c r="C23" s="51" t="str">
        <x:v>Excluded from settled hit-rate formulas</x:v>
      </x:c>
      <x:c r="D23" s="51" t="str">
        <x:v>No guessing</x:v>
      </x:c>
      <x:c r="E23" s="51"/>
      <x:c r="F23" s="51"/>
      <x:c r="G23" s="51" t="str">
        <x:v>Hitter conversion test</x:v>
      </x:c>
      <x:c r="H23" s="51" t="n">
        <x:v>1</x:v>
      </x:c>
      <x:c r="I23" s="31" t="str">
        <x:v>Burleson O1.5 HRR</x:v>
      </x:c>
      <x:c r="J23" s="31" t="str">
        <x:v>EXP-03</x:v>
      </x:c>
    </x:row>
    <x:row r="24">
      <x:c r="G24" s="31" t="str">
        <x:v>NRFI construction test</x:v>
      </x:c>
      <x:c r="H24" s="31" t="n">
        <x:v>1</x:v>
      </x:c>
      <x:c r="I24" s="31" t="str">
        <x:v>3-leg source card</x:v>
      </x:c>
      <x:c r="J24" s="31" t="str">
        <x:v>EXP-10</x:v>
      </x:c>
    </x:row>
    <x:row r="26">
      <x:c r="G26" s="117" t="str">
        <x:v>Aug. 26 research intake — batch 2 logged pregame</x:v>
      </x:c>
      <x:c r="H26" s="117"/>
      <x:c r="I26" s="117"/>
      <x:c r="J26" s="117"/>
      <x:c r="K26" s="117"/>
      <x:c r="L26" s="117"/>
    </x:row>
    <x:row r="27">
      <x:c r="G27" s="31" t="str">
        <x:v>New research candidates</x:v>
      </x:c>
      <x:c r="H27" s="31" t="n">
        <x:v>16</x:v>
      </x:c>
      <x:c r="I27" s="31" t="str">
        <x:v>Total Aug. 26 sourced pool</x:v>
      </x:c>
      <x:c r="J27" s="31" t="n">
        <x:v>37</x:v>
      </x:c>
    </x:row>
    <x:row r="28">
      <x:c r="G28" s="31" t="str">
        <x:v>New paper tests</x:v>
      </x:c>
      <x:c r="H28" s="31" t="n">
        <x:v>4</x:v>
      </x:c>
      <x:c r="I28" s="31" t="str">
        <x:v>Total immediate paper tests</x:v>
      </x:c>
      <x:c r="J28" s="31" t="n">
        <x:v>8</x:v>
      </x:c>
    </x:row>
    <x:row r="29">
      <x:c r="G29" s="31" t="str">
        <x:v>Jordan Walker HRR</x:v>
      </x:c>
      <x:c r="H29" s="31" t="str">
        <x:v>EXP-03</x:v>
      </x:c>
      <x:c r="I29" s="31" t="str">
        <x:v>Pete Alonso TB</x:v>
      </x:c>
      <x:c r="J29" s="31" t="str">
        <x:v>EXP-04</x:v>
      </x:c>
    </x:row>
    <x:row r="30">
      <x:c r="G30" s="31" t="str">
        <x:v>Malonga rebounds</x:v>
      </x:c>
      <x:c r="H30" s="31" t="str">
        <x:v>EXP-12</x:v>
      </x:c>
      <x:c r="I30" s="31" t="str">
        <x:v>F5 quartet / Early Win</x:v>
      </x:c>
      <x:c r="J30" s="31" t="str">
        <x:v>EXP-11</x:v>
      </x:c>
    </x:row>
    <x:row r="31">
      <x:c r="G31" s="31" t="str">
        <x:v>Team target boards</x:v>
      </x:c>
      <x:c r="H31" s="31" t="str">
        <x:v>5 teams</x:v>
      </x:c>
      <x:c r="I31" s="31" t="str">
        <x:v>Rule</x:v>
      </x:c>
      <x:c r="J31" s="31" t="str">
        <x:v>Expand full confirmed lineups</x:v>
      </x:c>
    </x:row>
    <x:row r="32">
      <x:c r="G32" s="31" t="str">
        <x:v>Universe rule</x:v>
      </x:c>
      <x:c r="H32" s="31" t="str">
        <x:v>Source sheets are suggestions</x:v>
      </x:c>
      <x:c r="I32" s="31" t="str">
        <x:v>Independent scan</x:v>
      </x:c>
      <x:c r="J32" s="31" t="str">
        <x:v>Still mandatory</x:v>
      </x:c>
    </x:row>
    <x:row r="34">
      <x:c r="G34" s="120" t="str">
        <x:v>K boost update — line movement logged</x:v>
      </x:c>
      <x:c r="H34" s="120"/>
      <x:c r="I34" s="120"/>
      <x:c r="J34" s="120"/>
      <x:c r="K34" s="120"/>
      <x:c r="L34" s="120"/>
    </x:row>
    <x:row r="35">
      <x:c r="G35" s="31" t="str">
        <x:v>Luzardo</x:v>
      </x:c>
      <x:c r="H35" s="31" t="str">
        <x:v>O8.5 +116</x:v>
      </x:c>
      <x:c r="I35" s="31" t="str">
        <x:v>Status</x:v>
      </x:c>
      <x:c r="J35" s="31" t="str">
        <x:v>PAPER / do not chase</x:v>
      </x:c>
    </x:row>
    <x:row r="36">
      <x:c r="G36" s="31" t="str">
        <x:v>Replacement candidate</x:v>
      </x:c>
      <x:c r="H36" s="31" t="str">
        <x:v>Bubba Chandler 5+ +122</x:v>
      </x:c>
      <x:c r="I36" s="31" t="str">
        <x:v>Status</x:v>
      </x:c>
      <x:c r="J36" s="31" t="str">
        <x:v>A-tier if still available</x:v>
      </x:c>
    </x:row>
    <x:row r="37">
      <x:c r="G37" s="31" t="str">
        <x:v>Experiment</x:v>
      </x:c>
      <x:c r="H37" s="31" t="str">
        <x:v>EXP-05 / EXP-06</x:v>
      </x:c>
      <x:c r="I37" s="31" t="str">
        <x:v>Reason</x:v>
      </x:c>
      <x:c r="J37" s="31" t="str">
        <x:v>Threshold/price movement</x:v>
      </x:c>
    </x:row>
    <x:row r="39">
      <x:c r="G39" s="123" t="str">
        <x:v>Aug. 26 real card — 5 bets placed</x:v>
      </x:c>
      <x:c r="H39" s="123"/>
      <x:c r="I39" s="123"/>
      <x:c r="J39" s="123"/>
      <x:c r="K39" s="123"/>
      <x:c r="L39" s="123"/>
    </x:row>
    <x:row r="40">
      <x:c r="G40" s="126" t="str">
        <x:v>Ticket</x:v>
      </x:c>
      <x:c r="H40" s="126" t="str">
        <x:v>Stake</x:v>
      </x:c>
      <x:c r="I40" s="126" t="str">
        <x:v>Placed price</x:v>
      </x:c>
      <x:c r="J40" s="126" t="str">
        <x:v>Status</x:v>
      </x:c>
      <x:c r="K40" s="126" t="str">
        <x:v>Note</x:v>
      </x:c>
    </x:row>
    <x:row r="41">
      <x:c r="G41" s="31" t="str">
        <x:v>RMA SGP</x:v>
      </x:c>
      <x:c r="H41" s="31" t="n">
        <x:v>1</x:v>
      </x:c>
      <x:c r="I41" s="31" t="n">
        <x:v>328</x:v>
      </x:c>
      <x:c r="J41" s="31" t="str">
        <x:v>Pending</x:v>
      </x:c>
      <x:c r="K41" s="31" t="str">
        <x:v>Actual O3.5 goals; execution discrepancy</x:v>
      </x:c>
    </x:row>
    <x:row r="42">
      <x:c r="G42" s="31" t="str">
        <x:v>CLE Early Win</x:v>
      </x:c>
      <x:c r="H42" s="31" t="n">
        <x:v>1</x:v>
      </x:c>
      <x:c r="I42" s="31" t="n">
        <x:v>-135</x:v>
      </x:c>
      <x:c r="J42" s="31" t="str">
        <x:v>Pending</x:v>
      </x:c>
      <x:c r="K42" s="31" t="str">
        <x:v>2-runs-up promo</x:v>
      </x:c>
    </x:row>
    <x:row r="43">
      <x:c r="G43" s="31" t="str">
        <x:v>Luzardo 8+ K</x:v>
      </x:c>
      <x:c r="H43" s="31" t="n">
        <x:v>1</x:v>
      </x:c>
      <x:c r="I43" s="31" t="n">
        <x:v>-114</x:v>
      </x:c>
      <x:c r="J43" s="31" t="str">
        <x:v>Pending</x:v>
      </x:c>
      <x:c r="K43" s="31" t="str">
        <x:v>50% boost; base -172</x:v>
      </x:c>
    </x:row>
    <x:row r="44">
      <x:c r="G44" s="31" t="str">
        <x:v>Woo U17.5 outs</x:v>
      </x:c>
      <x:c r="H44" s="31" t="n">
        <x:v>1</x:v>
      </x:c>
      <x:c r="I44" s="31" t="n">
        <x:v>-112</x:v>
      </x:c>
      <x:c r="J44" s="31" t="str">
        <x:v>Pending</x:v>
      </x:c>
      <x:c r="K44" s="31" t="str">
        <x:v>Workload test</x:v>
      </x:c>
    </x:row>
    <x:row r="45">
      <x:c r="G45" s="31" t="str">
        <x:v>Yordan TB + Sal HRR</x:v>
      </x:c>
      <x:c r="H45" s="31" t="n">
        <x:v>1</x:v>
      </x:c>
      <x:c r="I45" s="31" t="n">
        <x:v>158</x:v>
      </x:c>
      <x:c r="J45" s="31" t="str">
        <x:v>Pending</x:v>
      </x:c>
      <x:c r="K45" s="31" t="str">
        <x:v>Safer hitter thresholds</x:v>
      </x:c>
    </x:row>
    <x:row r="47">
      <x:c r="G47" t="str">
        <x:v>Aug. 26 late-slate scan — pregame candidates</x:v>
      </x:c>
    </x:row>
    <x:row r="48">
      <x:c r="G48" t="str">
        <x:v>Top late MLB</x:v>
      </x:c>
      <x:c r="H48" t="str">
        <x:v>Dobnak U16.5 outs</x:v>
      </x:c>
      <x:c r="I48" t="str">
        <x:v>Target</x:v>
      </x:c>
      <x:c r="J48" t="str">
        <x:v>-125 or better</x:v>
      </x:c>
    </x:row>
    <x:row r="49">
      <x:c r="G49" t="str">
        <x:v>Top late WNBA</x:v>
      </x:c>
      <x:c r="H49" t="str">
        <x:v>Malonga 10+ rebounds</x:v>
      </x:c>
      <x:c r="I49" t="str">
        <x:v>Target</x:v>
      </x:c>
      <x:c r="J49" t="str">
        <x:v>~ -150 or better / O9.5 reasonable</x:v>
      </x:c>
    </x:row>
    <x:row r="50">
      <x:c r="G50" t="str">
        <x:v>Paper K</x:v>
      </x:c>
      <x:c r="H50" t="str">
        <x:v>Gore O6.5 +114</x:v>
      </x:c>
      <x:c r="I50" t="str">
        <x:v>Reason</x:v>
      </x:c>
      <x:c r="J50" t="str">
        <x:v>Avoid stacking real K exposure</x:v>
      </x:c>
    </x:row>
    <x:row r="51">
      <x:c r="G51" t="str">
        <x:v>Paper total</x:v>
      </x:c>
      <x:c r="H51" t="str">
        <x:v>TOR/SEA U176.5 -108</x:v>
      </x:c>
      <x:c r="I51" t="str">
        <x:v>Reason</x:v>
      </x:c>
      <x:c r="J51" t="str">
        <x:v>Injury environment test</x:v>
      </x:c>
    </x:row>
    <x:row r="52">
      <x:c r="G52" s="131" t="str">
        <x:v>Aug. 26 update — Dobnak added</x:v>
      </x:c>
      <x:c r="H52" s="131"/>
      <x:c r="I52" s="131"/>
      <x:c r="J52" s="131"/>
      <x:c r="K52" s="131"/>
      <x:c r="L52" s="131"/>
    </x:row>
    <x:row r="53">
      <x:c r="G53" t="str">
        <x:v>New real bet</x:v>
      </x:c>
      <x:c r="H53" t="str">
        <x:v>Randy Dobnak U15.5 outs</x:v>
      </x:c>
      <x:c r="I53" t="str">
        <x:v>Price</x:v>
      </x:c>
      <x:c r="J53" t="n">
        <x:v>-101</x:v>
      </x:c>
      <x:c r="K53" t="str">
        <x:v>Stake $1</x:v>
      </x:c>
    </x:row>
    <x:row r="54">
      <x:c r="G54" t="str">
        <x:v>Paper alt</x:v>
      </x:c>
      <x:c r="H54" t="str">
        <x:v>Dobnak U16.5 outs</x:v>
      </x:c>
      <x:c r="I54" t="str">
        <x:v>Price</x:v>
      </x:c>
      <x:c r="J54" t="n">
        <x:v>-119</x:v>
      </x:c>
      <x:c r="K54" t="str">
        <x:v>EXP-06 threshold test</x:v>
      </x:c>
    </x:row>
    <x:row r="55">
      <x:c r="G55" t="str">
        <x:v>Cash remaining</x:v>
      </x:c>
      <x:c r="H55" t="n">
        <x:v>1.14</x:v>
      </x:c>
      <x:c r="I55" t="str">
        <x:v>Real bets</x:v>
      </x:c>
      <x:c r="J55" t="n">
        <x:v>6</x:v>
      </x:c>
      <x:c r="K55" t="str">
        <x:v>Hold for WNBA / late opportunity</x:v>
      </x:c>
    </x:row>
    <x:row r="57">
      <x:c r="G57" s="134" t="str">
        <x:v>Soccer corner learning — Aug. 26</x:v>
      </x:c>
      <x:c r="H57" s="134"/>
      <x:c r="I57" s="134"/>
      <x:c r="J57" s="134"/>
      <x:c r="K57" s="134"/>
      <x:c r="L57" s="134"/>
    </x:row>
    <x:row r="58">
      <x:c r="G58" s="31" t="str">
        <x:v>Rejected pregame alt</x:v>
      </x:c>
      <x:c r="H58" s="31" t="str">
        <x:v>O10.5 total corners</x:v>
      </x:c>
      <x:c r="I58" s="31" t="str">
        <x:v>Outcome</x:v>
      </x:c>
      <x:c r="J58" s="31" t="str">
        <x:v>Win</x:v>
      </x:c>
    </x:row>
    <x:row r="59">
      <x:c r="G59" s="31" t="str">
        <x:v>Actual corner leg</x:v>
      </x:c>
      <x:c r="H59" s="31" t="str">
        <x:v>RMA O6.5 team corners</x:v>
      </x:c>
      <x:c r="I59" s="31" t="str">
        <x:v>Outcome</x:v>
      </x:c>
      <x:c r="J59" s="31" t="str">
        <x:v>Loss</x:v>
      </x:c>
    </x:row>
    <x:row r="60">
      <x:c r="G60" s="31" t="str">
        <x:v>Process lesson</x:v>
      </x:c>
      <x:c r="H60" s="31" t="str">
        <x:v>Total corners can be more robust</x:v>
      </x:c>
      <x:c r="I60" s="31" t="str">
        <x:v>Why</x:v>
      </x:c>
      <x:c r="J60" s="31" t="str">
        <x:v>Opponent can contribute when favorite scores efficiently</x:v>
      </x:c>
    </x:row>
    <x:row r="61">
      <x:c r="G61" s="31" t="str">
        <x:v>New test</x:v>
      </x:c>
      <x:c r="H61" s="31" t="str">
        <x:v>EXP-13</x:v>
      </x:c>
      <x:c r="I61" s="31" t="str">
        <x:v>Rule</x:v>
      </x:c>
      <x:c r="J61" s="31" t="str">
        <x:v>Paper-track both corner markets when available</x:v>
      </x:c>
    </x:row>
    <x:row r="63">
      <x:c r="G63" t="str">
        <x:v>Aug. 26 live update — Dobnak loss</x:v>
      </x:c>
    </x:row>
    <x:row r="64">
      <x:c r="G64" t="str">
        <x:v>Dobnak U15.5 outs</x:v>
      </x:c>
      <x:c r="H64" t="str">
        <x:v>Loss</x:v>
      </x:c>
      <x:c r="I64" t="str">
        <x:v>Impact</x:v>
      </x:c>
      <x:c r="J64" t="str">
        <x:v>-$1.00</x:v>
      </x:c>
    </x:row>
    <x:row r="65">
      <x:c r="G65" t="str">
        <x:v>Known settled P/L</x:v>
      </x:c>
      <x:c r="H65" t="n">
        <x:v>0.51</x:v>
      </x:c>
      <x:c r="I65" t="str">
        <x:v>Pending</x:v>
      </x:c>
      <x:c r="J65" t="str">
        <x:v>Yordan/Sal +158</x:v>
      </x:c>
    </x:row>
    <x:row r="66">
      <x:c r="G66" t="str">
        <x:v>If hitter loses</x:v>
      </x:c>
      <x:c r="H66" t="n">
        <x:v>0.51</x:v>
      </x:c>
      <x:c r="I66" t="str">
        <x:v>If hitter wins</x:v>
      </x:c>
      <x:c r="J66" t="n">
        <x:v>2.09</x:v>
      </x:c>
    </x:row>
    <x:row r="67">
      <x:c r="G67" t="str">
        <x:v>Lesson</x:v>
      </x:c>
      <x:c r="H67" t="str">
        <x:v>Tighter U15.5 did not hold</x:v>
      </x:c>
      <x:c r="I67" t="str">
        <x:v>Paper alt</x:v>
      </x:c>
      <x:c r="J67" t="str">
        <x:v>Grade U16.5 separately</x:v>
      </x:c>
    </x:row>
    <x:row r="69">
      <x:c r="G69" s="137" t="str">
        <x:v>Aug. 26 hitter paper results — confirmed so far</x:v>
      </x:c>
      <x:c r="H69" s="137"/>
      <x:c r="I69" s="137"/>
      <x:c r="J69" s="137"/>
      <x:c r="K69" s="137"/>
      <x:c r="L69" s="137"/>
    </x:row>
    <x:row r="70">
      <x:c r="G70" s="31" t="str">
        <x:v>Burleson 2+ HRR</x:v>
      </x:c>
      <x:c r="H70" s="31" t="str">
        <x:v>Win</x:v>
      </x:c>
      <x:c r="I70" s="31" t="str">
        <x:v>Experiment</x:v>
      </x:c>
      <x:c r="J70" s="31" t="str">
        <x:v>EXP-03</x:v>
      </x:c>
    </x:row>
    <x:row r="71">
      <x:c r="G71" s="31" t="str">
        <x:v>Walker 2+ HRR</x:v>
      </x:c>
      <x:c r="H71" s="31" t="str">
        <x:v>Win</x:v>
      </x:c>
      <x:c r="I71" s="31" t="str">
        <x:v>Experiment</x:v>
      </x:c>
      <x:c r="J71" s="31" t="str">
        <x:v>EXP-03</x:v>
      </x:c>
    </x:row>
    <x:row r="72">
      <x:c r="G72" s="31" t="str">
        <x:v>Alonso 2+ TB</x:v>
      </x:c>
      <x:c r="H72" s="31" t="str">
        <x:v>Win</x:v>
      </x:c>
      <x:c r="I72" s="31" t="str">
        <x:v>Experiment</x:v>
      </x:c>
      <x:c r="J72" s="31" t="str">
        <x:v>EXP-04</x:v>
      </x:c>
    </x:row>
    <x:row r="73">
      <x:c r="G73" s="31" t="str">
        <x:v>Luzardo 9+ K paper</x:v>
      </x:c>
      <x:c r="H73" s="31" t="str">
        <x:v>Win</x:v>
      </x:c>
      <x:c r="I73" s="31" t="str">
        <x:v>Experiment</x:v>
      </x:c>
      <x:c r="J73" s="31" t="str">
        <x:v>EXP-05/06</x:v>
      </x:c>
    </x:row>
    <x:row r="74">
      <x:c r="G74" s="31" t="str">
        <x:v>Important control</x:v>
      </x:c>
      <x:c r="H74" s="31" t="str">
        <x:v>Many popular hitters also smashed</x:v>
      </x:c>
      <x:c r="I74" s="31" t="str">
        <x:v>Implication</x:v>
      </x:c>
      <x:c r="J74" s="31" t="str">
        <x:v>Need slate-wide benchmark, not raw paper hit rate</x:v>
      </x:c>
    </x:row>
    <x:row r="76">
      <x:c r="G76" s="142" t="str">
        <x:v>Aug. 26 FINAL REVIEW</x:v>
      </x:c>
      <x:c r="H76" s="142"/>
      <x:c r="I76" s="142"/>
      <x:c r="J76" s="142"/>
      <x:c r="K76" s="142"/>
      <x:c r="L76" s="142"/>
    </x:row>
    <x:row r="77">
      <x:c r="G77" s="145" t="str">
        <x:v>Metric</x:v>
      </x:c>
      <x:c r="H77" s="145" t="str">
        <x:v>Result</x:v>
      </x:c>
      <x:c r="I77" s="145" t="str">
        <x:v>Interpretation</x:v>
      </x:c>
      <x:c r="J77" s="145"/>
      <x:c r="K77" s="145"/>
    </x:row>
    <x:row r="78">
      <x:c r="G78" s="31" t="str">
        <x:v>Starting bankroll</x:v>
      </x:c>
      <x:c r="H78" s="31" t="n">
        <x:v>7.14</x:v>
      </x:c>
      <x:c r="I78" s="31" t="str"/>
      <x:c r="J78" s="31" t="str"/>
      <x:c r="K78" s="31"/>
    </x:row>
    <x:row r="79">
      <x:c r="G79" s="31" t="str">
        <x:v>Ending bankroll</x:v>
      </x:c>
      <x:c r="H79" s="31" t="n">
        <x:v>6.65</x:v>
      </x:c>
      <x:c r="I79" s="31" t="str">
        <x:v>Net -$0.49 (-6.9%)</x:v>
      </x:c>
      <x:c r="J79" s="31" t="str"/>
      <x:c r="K79" s="31"/>
    </x:row>
    <x:row r="80">
      <x:c r="G80" s="31" t="str">
        <x:v>Tickets</x:v>
      </x:c>
      <x:c r="H80" s="31" t="str">
        <x:v>3-3</x:v>
      </x:c>
      <x:c r="I80" s="31" t="str">
        <x:v>50% ticket hit rate</x:v>
      </x:c>
      <x:c r="J80" s="31" t="str"/>
      <x:c r="K80" s="31"/>
    </x:row>
    <x:row r="81">
      <x:c r="G81" s="31" t="str">
        <x:v>Individual legs</x:v>
      </x:c>
      <x:c r="H81" s="31" t="str">
        <x:v>6-3</x:v>
      </x:c>
      <x:c r="I81" s="31" t="str">
        <x:v>66.7% leg hit rate</x:v>
      </x:c>
      <x:c r="J81" s="31" t="str"/>
      <x:c r="K81" s="31"/>
    </x:row>
    <x:row r="82">
      <x:c r="G82" s="31" t="str">
        <x:v>Singles</x:v>
      </x:c>
      <x:c r="H82" s="31" t="str">
        <x:v>3-1</x:v>
      </x:c>
      <x:c r="I82" s="31" t="str">
        <x:v>+$1.51</x:v>
      </x:c>
      <x:c r="J82" s="31" t="str">
        <x:v>Backbone construction worked</x:v>
      </x:c>
      <x:c r="K82" s="31"/>
    </x:row>
    <x:row r="83">
      <x:c r="G83" s="31" t="str">
        <x:v>Parlays</x:v>
      </x:c>
      <x:c r="H83" s="31" t="str">
        <x:v>0-2</x:v>
      </x:c>
      <x:c r="I83" s="31" t="str">
        <x:v>-$2.00</x:v>
      </x:c>
      <x:c r="J83" s="31" t="str">
        <x:v>All daily loss came from parlays</x:v>
      </x:c>
      <x:c r="K83" s="31"/>
    </x:row>
    <x:row r="84">
      <x:c r="G84" s="31" t="str">
        <x:v>Madrid</x:v>
      </x:c>
      <x:c r="H84" s="31" t="str">
        <x:v>Loss</x:v>
      </x:c>
      <x:c r="I84" s="31" t="str">
        <x:v>Team-corner expression failed</x:v>
      </x:c>
      <x:c r="J84" s="31" t="str">
        <x:v>O10.5 total corners alt won</x:v>
      </x:c>
      <x:c r="K84" s="31"/>
    </x:row>
    <x:row r="85">
      <x:c r="G85" s="31" t="str">
        <x:v>Yordan/Sal</x:v>
      </x:c>
      <x:c r="H85" s="31" t="str">
        <x:v>Loss</x:v>
      </x:c>
      <x:c r="I85" s="31" t="str">
        <x:v>Sal hit; Yordan missed 2+ TB by one base</x:v>
      </x:c>
      <x:c r="J85" s="31" t="str">
        <x:v>Threshold/market conversion issue</x:v>
      </x:c>
      <x:c r="K85" s="31"/>
    </x:row>
    <x:row r="86">
      <x:c r="G86" s="31" t="str">
        <x:v>Woo</x:v>
      </x:c>
      <x:c r="H86" s="31" t="str">
        <x:v>Win</x:v>
      </x:c>
      <x:c r="I86" s="31" t="str">
        <x:v>12 outs vs U17.5</x:v>
      </x:c>
      <x:c r="J86" s="31" t="str">
        <x:v>Strong workload signal</x:v>
      </x:c>
      <x:c r="K86" s="31"/>
    </x:row>
    <x:row r="87">
      <x:c r="G87" s="31" t="str">
        <x:v>Dobnak</x:v>
      </x:c>
      <x:c r="H87" s="31" t="str">
        <x:v>Loss</x:v>
      </x:c>
      <x:c r="I87" s="31" t="str">
        <x:v>18 outs</x:v>
      </x:c>
      <x:c r="J87" s="31" t="str">
        <x:v>Bad workload handicap; U16.5 paper also lost</x:v>
      </x:c>
      <x:c r="K87" s="31"/>
    </x:row>
    <x:row r="89">
      <x:c r="G89" s="166" t="str">
        <x:v>Aug. 26 PAPER AUDIT — settled so far</x:v>
      </x:c>
      <x:c r="H89" s="166"/>
      <x:c r="I89" s="166"/>
      <x:c r="J89" s="166"/>
      <x:c r="K89" s="166"/>
      <x:c r="L89" s="166"/>
    </x:row>
    <x:row r="90">
      <x:c r="G90" s="31" t="str">
        <x:v>Settled paper tests</x:v>
      </x:c>
      <x:c r="H90" s="31" t="n">
        <x:v>10</x:v>
      </x:c>
      <x:c r="I90" s="31" t="str">
        <x:v>Wins</x:v>
      </x:c>
      <x:c r="J90" s="31" t="n">
        <x:v>5</x:v>
      </x:c>
    </x:row>
    <x:row r="91">
      <x:c r="G91" s="31" t="str">
        <x:v>Overall paper record</x:v>
      </x:c>
      <x:c r="H91" s="31" t="str">
        <x:v>5-5</x:v>
      </x:c>
      <x:c r="I91" s="31" t="str">
        <x:v>Hit rate</x:v>
      </x:c>
      <x:c r="J91" s="31" t="str">
        <x:v>50.0%</x:v>
      </x:c>
    </x:row>
    <x:row r="92">
      <x:c r="G92" s="31" t="str">
        <x:v>Hitter paper subset</x:v>
      </x:c>
      <x:c r="H92" s="31" t="str">
        <x:v>3-0</x:v>
      </x:c>
      <x:c r="I92" s="31" t="str">
        <x:v>Key point</x:v>
      </x:c>
      <x:c r="J92" s="31" t="str">
        <x:v>This is where the 'insane' result is</x:v>
      </x:c>
    </x:row>
    <x:row r="93">
      <x:c r="G93" s="31" t="str">
        <x:v>Non-hitter paper subset</x:v>
      </x:c>
      <x:c r="H93" s="31" t="str">
        <x:v>2-5</x:v>
      </x:c>
      <x:c r="I93" s="31" t="str">
        <x:v>Key point</x:v>
      </x:c>
      <x:c r="J93" s="31" t="str">
        <x:v>Overall paper book is NOT crushing</x:v>
      </x:c>
    </x:row>
    <x:row r="94">
      <x:c r="G94" s="31" t="str">
        <x:v>NRFI source trio</x:v>
      </x:c>
      <x:c r="H94" s="31" t="str">
        <x:v>1/3 legs</x:v>
      </x:c>
      <x:c r="I94" s="31" t="str">
        <x:v>Ticket</x:v>
      </x:c>
      <x:c r="J94" s="31" t="str">
        <x:v>Loss</x:v>
      </x:c>
    </x:row>
    <x:row r="95">
      <x:c r="G95" s="31" t="str">
        <x:v>F5 source quartet</x:v>
      </x:c>
      <x:c r="H95" s="31" t="str">
        <x:v>1/4 legs</x:v>
      </x:c>
      <x:c r="I95" s="31" t="str">
        <x:v>Ticket</x:v>
      </x:c>
      <x:c r="J95" s="31" t="str">
        <x:v>Loss</x:v>
      </x:c>
    </x:row>
    <x:row r="96">
      <x:c r="G96" s="31" t="str">
        <x:v>Pending</x:v>
      </x:c>
      <x:c r="H96" s="31" t="str">
        <x:v>Burke outs / Malonga / Gore / TOR-SEA under</x:v>
      </x:c>
      <x:c r="I96" s="31" t="str">
        <x:v>Status</x:v>
      </x:c>
      <x:c r="J96" s="31" t="str">
        <x:v>Wait for finals</x:v>
      </x:c>
    </x:row>
    <x:row r="98">
      <x:c r="G98" s="169" t="str">
        <x:v>Aug. 27 research intake — batch 1</x:v>
      </x:c>
      <x:c r="H98" s="169"/>
      <x:c r="I98" s="169"/>
      <x:c r="J98" s="169"/>
      <x:c r="K98" s="169"/>
      <x:c r="L98" s="169"/>
    </x:row>
    <x:row r="99">
      <x:c r="G99" s="31" t="str">
        <x:v>Sourced candidates</x:v>
      </x:c>
      <x:c r="H99" s="31" t="n">
        <x:v>16</x:v>
      </x:c>
      <x:c r="I99" s="31" t="str">
        <x:v>Independent adds</x:v>
      </x:c>
      <x:c r="J99" s="31" t="n">
        <x:v>3</x:v>
      </x:c>
    </x:row>
    <x:row r="100">
      <x:c r="G100" s="31" t="str">
        <x:v>Early priority</x:v>
      </x:c>
      <x:c r="H100" s="31" t="str">
        <x:v>COL @ WSH 1:05 ET</x:v>
      </x:c>
      <x:c r="I100" s="31" t="str">
        <x:v>Lineups</x:v>
      </x:c>
      <x:c r="J100" s="31" t="str">
        <x:v>Officially TBD at 10:45 ET</x:v>
      </x:c>
    </x:row>
    <x:row r="101">
      <x:c r="G101" s="31" t="str">
        <x:v>Strong source lead</x:v>
      </x:c>
      <x:c r="H101" s="31" t="str">
        <x:v>Alyssa Thomas O30.5 PRA -112</x:v>
      </x:c>
      <x:c r="I101" s="31" t="str">
        <x:v>Status</x:v>
      </x:c>
      <x:c r="J101" s="31" t="str">
        <x:v>A-tier research</x:v>
      </x:c>
    </x:row>
    <x:row r="102">
      <x:c r="G102" s="31" t="str">
        <x:v>Hit-parlay concern</x:v>
      </x:c>
      <x:c r="H102" s="31" t="str">
        <x:v>Burleson 1+ hit -195</x:v>
      </x:c>
      <x:c r="I102" s="31" t="str">
        <x:v>Reason</x:v>
      </x:c>
      <x:c r="J102" s="31" t="str">
        <x:v>Poor LHB vs LHP matchup</x:v>
      </x:c>
    </x:row>
    <x:row r="103">
      <x:c r="G103" s="31" t="str">
        <x:v>Independent replacement</x:v>
      </x:c>
      <x:c r="H103" s="31" t="str">
        <x:v>Jordan Walker hitter markets</x:v>
      </x:c>
      <x:c r="I103" s="31" t="str">
        <x:v>Reason</x:v>
      </x:c>
      <x:c r="J103" s="31" t="str">
        <x:v>Strong RHB vs LHP profile</x:v>
      </x:c>
    </x:row>
    <x:row r="104">
      <x:c r="G104" s="31" t="str">
        <x:v>Independent HR add</x:v>
      </x:c>
      <x:c r="H104" s="31" t="str">
        <x:v>Hunter Goodman HR +256</x:v>
      </x:c>
      <x:c r="I104" s="31" t="str">
        <x:v>Reason</x:v>
      </x:c>
      <x:c r="J104" s="31" t="str">
        <x:v>Irvin/WSH HR environment</x:v>
      </x:c>
    </x:row>
    <x:row r="105">
      <x:c r="G105" s="31" t="str">
        <x:v>F5 experiment</x:v>
      </x:c>
      <x:c r="H105" s="31" t="str">
        <x:v>Both teams 2+ vs F5 over</x:v>
      </x:c>
      <x:c r="I105" s="31" t="str">
        <x:v>Experiment</x:v>
      </x:c>
      <x:c r="J105" s="31" t="str">
        <x:v>EXP-15</x:v>
      </x:c>
    </x:row>
    <x:row r="106">
      <x:c r="G106" s="31" t="str">
        <x:v>Universe rule</x:v>
      </x:c>
      <x:c r="H106" s="31" t="str">
        <x:v>Source graphics are suggestions only</x:v>
      </x:c>
      <x:c r="I106" s="31" t="str">
        <x:v>Action</x:v>
      </x:c>
      <x:c r="J106" s="31" t="str">
        <x:v>Full 7-game slate scan remains mandatory</x:v>
      </x:c>
    </x:row>
    <x:row r="108">
      <x:c r="G108" s="172" t="str">
        <x:v>Aug. 27 research intake — batch 2</x:v>
      </x:c>
      <x:c r="H108" s="172"/>
      <x:c r="I108" s="172"/>
      <x:c r="J108" s="172"/>
      <x:c r="K108" s="172"/>
      <x:c r="L108" s="172"/>
    </x:row>
    <x:row r="109">
      <x:c r="G109" s="31" t="str">
        <x:v>New candidates</x:v>
      </x:c>
      <x:c r="H109" s="31" t="n">
        <x:v>30</x:v>
      </x:c>
      <x:c r="I109" s="31" t="str">
        <x:v>Total Aug. 27 pool</x:v>
      </x:c>
      <x:c r="J109" s="31" t="n">
        <x:v>49</x:v>
      </x:c>
    </x:row>
    <x:row r="110">
      <x:c r="G110" s="31" t="str">
        <x:v>Soccer source</x:v>
      </x:c>
      <x:c r="H110" s="31" t="str">
        <x:v>Barcelona 7+ SOT -125</x:v>
      </x:c>
      <x:c r="I110" s="31" t="str">
        <x:v>Initial</x:v>
      </x:c>
      <x:c r="J110" s="31" t="str">
        <x:v>Paper / price looks rich</x:v>
      </x:c>
    </x:row>
    <x:row r="111">
      <x:c r="G111" s="31" t="str">
        <x:v>K-sheet priority</x:v>
      </x:c>
      <x:c r="H111" s="31" t="str">
        <x:v>Misiorowski 6+ 10/10</x:v>
      </x:c>
      <x:c r="I111" s="31" t="str">
        <x:v>Warning</x:v>
      </x:c>
      <x:c r="J111" s="31" t="str">
        <x:v>Do not jump blindly to O8.5</x:v>
      </x:c>
    </x:row>
    <x:row r="112">
      <x:c r="G112" s="31" t="str">
        <x:v>Opposing K thesis</x:v>
      </x:c>
      <x:c r="H112" s="31" t="str">
        <x:v>Misiorowski U8.5 -108</x:v>
      </x:c>
      <x:c r="I112" s="31" t="str">
        <x:v>Projection</x:v>
      </x:c>
      <x:c r="J112" s="31" t="str">
        <x:v>7.55 Ks / workload concern</x:v>
      </x:c>
    </x:row>
    <x:row r="113">
      <x:c r="G113" s="31" t="str">
        <x:v>Hit-sheet convergence</x:v>
      </x:c>
      <x:c r="H113" s="31" t="str">
        <x:v>Jordan Walker</x:v>
      </x:c>
      <x:c r="I113" s="31" t="str">
        <x:v>Why</x:v>
      </x:c>
      <x:c r="J113" s="31" t="str">
        <x:v>Better platoon fit than Burleson</x:v>
      </x:c>
    </x:row>
    <x:row r="114">
      <x:c r="G114" s="31" t="str">
        <x:v>HRR priority</x:v>
      </x:c>
      <x:c r="H114" s="31" t="str">
        <x:v>Gabriel Moreno 2+ HRR</x:v>
      </x:c>
      <x:c r="I114" s="31" t="str">
        <x:v>Why</x:v>
      </x:c>
      <x:c r="J114" s="31" t="str">
        <x:v>75% L20 + Roupp fade</x:v>
      </x:c>
    </x:row>
    <x:row r="115">
      <x:c r="G115" s="31" t="str">
        <x:v>HRR pair test</x:v>
      </x:c>
      <x:c r="H115" s="31" t="str">
        <x:v>Andrew Vaughn hit vs 2+ HRR</x:v>
      </x:c>
      <x:c r="I115" s="31" t="str">
        <x:v>Experiment</x:v>
      </x:c>
      <x:c r="J115" s="31" t="str">
        <x:v>EXP-03</x:v>
      </x:c>
    </x:row>
    <x:row r="116">
      <x:c r="G116" s="31" t="str">
        <x:v>WNBA convergence</x:v>
      </x:c>
      <x:c r="H116" s="31" t="str">
        <x:v>Alyssa Thomas PRA + AST</x:v>
      </x:c>
      <x:c r="I116" s="31" t="str">
        <x:v>Action</x:v>
      </x:c>
      <x:c r="J116" s="31" t="str">
        <x:v>Compare current DK prices</x:v>
      </x:c>
    </x:row>
    <x:row r="117">
      <x:c r="G117" s="31" t="str">
        <x:v>Five-leg source parlay</x:v>
      </x:c>
      <x:c r="H117" s="31" t="str">
        <x:v>Do not tail as-is</x:v>
      </x:c>
      <x:c r="I117" s="31" t="str">
        <x:v>Action</x:v>
      </x:c>
      <x:c r="J117" s="31" t="str">
        <x:v>Grade each HRR leg individually</x:v>
      </x:c>
    </x:row>
    <x:row r="118">
      <x:c r="G118" s="31" t="str">
        <x:v>Universe rule</x:v>
      </x:c>
      <x:c r="H118" s="31" t="str">
        <x:v>Still full-slate independent scan</x:v>
      </x:c>
      <x:c r="I118" s="31" t="str">
        <x:v>Status</x:v>
      </x:c>
      <x:c r="J118" s="31" t="str">
        <x:v>Mandatory</x:v>
      </x:c>
    </x:row>
    <x:row r="120">
      <x:c r="G120" s="179" t="str">
        <x:v>Aug. 27 promo inventory</x:v>
      </x:c>
      <x:c r="H120" s="179"/>
      <x:c r="I120" s="179"/>
      <x:c r="J120" s="179"/>
      <x:c r="K120" s="179"/>
      <x:c r="L120" s="179"/>
    </x:row>
    <x:row r="121">
      <x:c r="G121" s="31" t="str">
        <x:v>WNBA</x:v>
      </x:c>
      <x:c r="H121" s="31" t="str">
        <x:v>30% AP</x:v>
      </x:c>
      <x:c r="I121" s="31" t="str">
        <x:v>Priority</x:v>
      </x:c>
      <x:c r="J121" s="31" t="str">
        <x:v>Alyssa Thomas assists/PRA after Plum status</x:v>
      </x:c>
    </x:row>
    <x:row r="122">
      <x:c r="G122" s="31" t="str">
        <x:v>MLB</x:v>
      </x:c>
      <x:c r="H122" s="31" t="str">
        <x:v>50% SGP/SGPx</x:v>
      </x:c>
      <x:c r="I122" s="31" t="str">
        <x:v>Priority</x:v>
      </x:c>
      <x:c r="J122" s="31" t="str">
        <x:v>Highest-value promo; 2 legs if eligible, else disciplined 3-leg</x:v>
      </x:c>
    </x:row>
    <x:row r="123">
      <x:c r="G123" s="31" t="str">
        <x:v>Barcelona</x:v>
      </x:c>
      <x:c r="H123" s="31" t="str">
        <x:v>25% game boost</x:v>
      </x:c>
      <x:c r="I123" s="31" t="str">
        <x:v>Priority</x:v>
      </x:c>
      <x:c r="J123" s="31" t="str">
        <x:v>Wait for XI; avoid forcing 7+ SOT</x:v>
      </x:c>
    </x:row>
    <x:row r="124">
      <x:c r="G124" s="31" t="str">
        <x:v>Bankroll</x:v>
      </x:c>
      <x:c r="H124" s="31" t="str">
        <x:v>$6.65</x:v>
      </x:c>
      <x:c r="I124" s="31" t="str">
        <x:v>Stake plan</x:v>
      </x:c>
      <x:c r="J124" s="31" t="str">
        <x:v>Likely $1 per promo; preserve remaining cash</x:v>
      </x:c>
    </x:row>
    <x:row r="126">
      <x:c r="G126" s="182" t="str">
        <x:v>Aug. 27 promo restrictions + WNBA board</x:v>
      </x:c>
      <x:c r="H126" s="182"/>
      <x:c r="I126" s="182"/>
      <x:c r="J126" s="182"/>
      <x:c r="K126" s="182"/>
      <x:c r="L126" s="182"/>
    </x:row>
    <x:row r="127">
      <x:c r="G127" s="31" t="str">
        <x:v>MLB boost</x:v>
      </x:c>
      <x:c r="H127" s="31" t="str">
        <x:v>50%</x:v>
      </x:c>
      <x:c r="I127" s="31" t="str">
        <x:v>Requirement</x:v>
      </x:c>
      <x:c r="J127" s="31" t="str">
        <x:v>3+ legs, +300+, SGP/SGPx</x:v>
      </x:c>
    </x:row>
    <x:row r="128">
      <x:c r="G128" s="31" t="str">
        <x:v>Barcelona boost</x:v>
      </x:c>
      <x:c r="H128" s="31" t="str">
        <x:v>25%</x:v>
      </x:c>
      <x:c r="I128" s="31" t="str">
        <x:v>Requirement</x:v>
      </x:c>
      <x:c r="J128" s="31" t="str">
        <x:v>3+ legs, +300+</x:v>
      </x:c>
    </x:row>
    <x:row r="129">
      <x:c r="G129" s="31" t="str">
        <x:v>WNBA boost</x:v>
      </x:c>
      <x:c r="H129" s="31" t="str">
        <x:v>30%</x:v>
      </x:c>
      <x:c r="I129" s="31" t="str">
        <x:v>Requirement</x:v>
      </x:c>
      <x:c r="J129" s="31" t="str">
        <x:v>No restrictions</x:v>
      </x:c>
    </x:row>
    <x:row r="130">
      <x:c r="G130" s="31" t="str">
        <x:v>WNBA boost leader</x:v>
      </x:c>
      <x:c r="H130" s="31" t="str">
        <x:v>Alyssa Thomas O7.5 AST</x:v>
      </x:c>
      <x:c r="I130" s="31" t="str">
        <x:v>Current market</x:v>
      </x:c>
      <x:c r="J130" s="31" t="str">
        <x:v>~ -112</x:v>
      </x:c>
    </x:row>
    <x:row r="131">
      <x:c r="G131" s="31" t="str">
        <x:v>Why Thomas AST</x:v>
      </x:c>
      <x:c r="H131" s="31" t="str">
        <x:v>4 straight 9+ AST; 10 in last WSH matchup</x:v>
      </x:c>
      <x:c r="I131" s="31" t="str">
        <x:v>Boosted equivalent</x:v>
      </x:c>
      <x:c r="J131" s="31" t="str">
        <x:v>~ +116 if -112 base</x:v>
      </x:c>
    </x:row>
    <x:row r="132">
      <x:c r="G132" s="31" t="str">
        <x:v>Kelsey Plum</x:v>
      </x:c>
      <x:c r="H132" s="31" t="str">
        <x:v>Played last matchup / status must be checked</x:v>
      </x:c>
      <x:c r="I132" s="31" t="str">
        <x:v>Impact</x:v>
      </x:c>
      <x:c r="J132" s="31" t="str">
        <x:v>Do not assume she sits</x:v>
      </x:c>
    </x:row>
    <x:row r="133">
      <x:c r="G133" s="31" t="str">
        <x:v>GSV-NYL</x:v>
      </x:c>
      <x:c r="H133" s="31" t="str">
        <x:v>GSV held NYL to 70 and 67 in prior meetings</x:v>
      </x:c>
      <x:c r="I133" s="31" t="str">
        <x:v>Implication</x:v>
      </x:c>
      <x:c r="J133" s="31" t="str">
        <x:v>Downgrade expensive NYL scoring floors</x:v>
      </x:c>
    </x:row>
    <x:row r="134">
      <x:c r="G134" s="31" t="str">
        <x:v>New WNBA leads</x:v>
      </x:c>
      <x:c r="H134" s="31" t="n">
        <x:v>19</x:v>
      </x:c>
      <x:c r="I134" s="31" t="str">
        <x:v>Priority</x:v>
      </x:c>
      <x:c r="J134" s="31" t="str">
        <x:v>Thomas AST &gt; Austin 15+ pts/8+ reb &gt; Ionescu 4+ AST</x:v>
      </x:c>
    </x:row>
    <x:row r="135">
      <x:c r="G135" s="31" t="str">
        <x:v>Promo construction</x:v>
      </x:c>
      <x:c r="H135" s="31" t="str">
        <x:v>Exactly 3 legs preferred</x:v>
      </x:c>
      <x:c r="I135" s="31" t="str">
        <x:v>Rule</x:v>
      </x:c>
      <x:c r="J135" s="31" t="str">
        <x:v>No forced fourth/fifth leg</x:v>
      </x:c>
    </x:row>
    <x:row r="137">
      <x:c r="G137" s="185" t="str">
        <x:v>Aug. 27 MLB promo — provisional construction</x:v>
      </x:c>
      <x:c r="H137" s="185"/>
      <x:c r="I137" s="185"/>
      <x:c r="J137" s="185"/>
      <x:c r="K137" s="185"/>
      <x:c r="L137" s="185"/>
    </x:row>
    <x:row r="138">
      <x:c r="G138" s="31" t="str">
        <x:v>Walker 2+ HRR</x:v>
      </x:c>
      <x:c r="H138" s="31" t="n">
        <x:v>-115</x:v>
      </x:c>
      <x:c r="I138" s="31" t="str">
        <x:v>Status</x:v>
      </x:c>
      <x:c r="J138" s="31" t="str">
        <x:v>Wait lineup</x:v>
      </x:c>
    </x:row>
    <x:row r="139">
      <x:c r="G139" s="31" t="str">
        <x:v>Vaughn 2+ HRR</x:v>
      </x:c>
      <x:c r="H139" s="31" t="n">
        <x:v>-108</x:v>
      </x:c>
      <x:c r="I139" s="31" t="str">
        <x:v>Status</x:v>
      </x:c>
      <x:c r="J139" s="31" t="str">
        <x:v>Projected starter</x:v>
      </x:c>
    </x:row>
    <x:row r="140">
      <x:c r="G140" s="31" t="str">
        <x:v>Moreno 2+ HRR</x:v>
      </x:c>
      <x:c r="H140" s="31" t="n">
        <x:v>-150</x:v>
      </x:c>
      <x:c r="I140" s="31" t="str">
        <x:v>Status</x:v>
      </x:c>
      <x:c r="J140" s="31" t="str">
        <x:v>Wait lineup</x:v>
      </x:c>
    </x:row>
    <x:row r="141">
      <x:c r="G141" s="31" t="str">
        <x:v>Raw estimated odds</x:v>
      </x:c>
      <x:c r="H141" s="31" t="str">
        <x:v>+500</x:v>
      </x:c>
      <x:c r="I141" s="31" t="str">
        <x:v>50% boosted profit</x:v>
      </x:c>
      <x:c r="J141" s="31" t="str">
        <x:v>~ +750 equivalent</x:v>
      </x:c>
    </x:row>
    <x:row r="142">
      <x:c r="G142" s="31" t="str">
        <x:v>Misiorowski ladder</x:v>
      </x:c>
      <x:c r="H142" s="31" t="str">
        <x:v>6 -1260 / 7 -510 / 8 -236 / 9 -119</x:v>
      </x:c>
      <x:c r="I142" s="31" t="str">
        <x:v>Decision</x:v>
      </x:c>
      <x:c r="J142" s="31" t="str">
        <x:v>Pass real overs</x:v>
      </x:c>
    </x:row>
    <x:row r="143">
      <x:c r="G143" s="31" t="str">
        <x:v>Construction rule</x:v>
      </x:c>
      <x:c r="H143" s="31" t="str">
        <x:v>Exactly 3 legs</x:v>
      </x:c>
      <x:c r="I143" s="31" t="str">
        <x:v>Why</x:v>
      </x:c>
      <x:c r="J143" s="31" t="str">
        <x:v>No filler; 3 different games</x:v>
      </x:c>
    </x:row>
    <x:row r="145">
      <x:c r="G145" t="str">
        <x:v>Aug. 27 FINAL REVIEW / Aug. 28 START</x:v>
      </x:c>
      <x:c r="H145" t="str">
        <x:v>Result</x:v>
      </x:c>
      <x:c r="I145" t="str">
        <x:v>Interpretation</x:v>
      </x:c>
      <x:c r="J145"/>
      <x:c r="K145"/>
    </x:row>
    <x:row r="146">
      <x:c r="G146" t="str">
        <x:v>Metric</x:v>
      </x:c>
      <x:c r="H146" t="str">
        <x:v>Result</x:v>
      </x:c>
      <x:c r="I146" t="str">
        <x:v>Interpretation</x:v>
      </x:c>
      <x:c r="J146"/>
      <x:c r="K146"/>
    </x:row>
    <x:row r="147">
      <x:c r="G147" t="str">
        <x:v>Starting bankroll</x:v>
      </x:c>
      <x:c r="H147" t="n">
        <x:v>6.65</x:v>
      </x:c>
      <x:c r="I147"/>
      <x:c r="J147"/>
      <x:c r="K147"/>
    </x:row>
    <x:row r="148">
      <x:c r="G148" t="str">
        <x:v>Ending bankroll</x:v>
      </x:c>
      <x:c r="H148" t="n">
        <x:v>18.09</x:v>
      </x:c>
      <x:c r="I148" t="str">
        <x:v>Net +$11.44</x:v>
      </x:c>
      <x:c r="J148"/>
      <x:c r="K148"/>
    </x:row>
    <x:row r="149">
      <x:c r="G149" t="str">
        <x:v>Tickets</x:v>
      </x:c>
      <x:c r="H149" t="str">
        <x:v>4-0</x:v>
      </x:c>
      <x:c r="I149" t="str">
        <x:v>100% ticket hit rate; do not extrapolate</x:v>
      </x:c>
      <x:c r="J149"/>
      <x:c r="K149"/>
    </x:row>
    <x:row r="150">
      <x:c r="G150" t="str">
        <x:v>Individual legs</x:v>
      </x:c>
      <x:c r="H150" t="str">
        <x:v>8-0</x:v>
      </x:c>
      <x:c r="I150" t="str">
        <x:v>Perfect component day</x:v>
      </x:c>
      <x:c r="J150"/>
      <x:c r="K150"/>
    </x:row>
    <x:row r="151">
      <x:c r="G151" t="str">
        <x:v>Singles</x:v>
      </x:c>
      <x:c r="H151" t="str">
        <x:v>2-0</x:v>
      </x:c>
      <x:c r="I151" t="str">
        <x:v>+$1.69</x:v>
      </x:c>
      <x:c r="J151" t="str">
        <x:v>Keep singles backbone</x:v>
      </x:c>
      <x:c r="K151"/>
    </x:row>
    <x:row r="152">
      <x:c r="G152" t="str">
        <x:v>Parlays</x:v>
      </x:c>
      <x:c r="H152" t="str">
        <x:v>2-0</x:v>
      </x:c>
      <x:c r="I152" t="str">
        <x:v>+$9.75</x:v>
      </x:c>
      <x:c r="J152" t="str">
        <x:v>Boosted, minimum-leg constructions</x:v>
      </x:c>
      <x:c r="K152"/>
    </x:row>
    <x:row r="153">
      <x:c r="G153" t="str">
        <x:v>Promo incremental</x:v>
      </x:c>
      <x:c r="H153" t="str">
        <x:v>~+$2.93</x:v>
      </x:c>
      <x:c r="I153" t="str">
        <x:v>Boosts amplified qualified bets</x:v>
      </x:c>
      <x:c r="J153" t="str">
        <x:v>No filler legs</x:v>
      </x:c>
      <x:c r="K153"/>
    </x:row>
    <x:row r="154">
      <x:c r="G154" t="str">
        <x:v>Thomas threshold</x:v>
      </x:c>
      <x:c r="H154" t="str">
        <x:v>8 AST</x:v>
      </x:c>
      <x:c r="I154" t="str">
        <x:v>8+ won / 9+ paper lost</x:v>
      </x:c>
      <x:c r="J154" t="str">
        <x:v>EXP-06 strong observation</x:v>
      </x:c>
      <x:c r="K154"/>
    </x:row>
    <x:row r="155">
      <x:c r="G155" t="str">
        <x:v>Hughes outs</x:v>
      </x:c>
      <x:c r="H155" t="n">
        <x:v>18.49</x:v>
      </x:c>
      <x:c r="I155" t="str">
        <x:v>Corrected user-reported starting bankroll</x:v>
      </x:c>
      <x:c r="J155" t="str">
        <x:v>Five-inning ceiling, not early hook</x:v>
      </x:c>
      <x:c r="K155"/>
    </x:row>
    <x:row r="156">
      <x:c r="G156" t="str">
        <x:v>Aug. 28 bankroll</x:v>
      </x:c>
      <x:c r="H156" t="n">
        <x:v>18.09</x:v>
      </x:c>
      <x:c r="I156" t="str">
        <x:v>Keep $1 base unit</x:v>
      </x:c>
      <x:c r="J156" t="str">
        <x:v>No stake increase after hot day</x:v>
      </x:c>
      <x:c r="K156"/>
    </x:row>
    <x:row r="158">
      <x:c r="G158" t="str">
        <x:v>Aug. 28 PRE-GAME JOURNAL — FROZEN BEFORE RESULTS</x:v>
      </x:c>
      <x:c r="H158"/>
      <x:c r="I158"/>
      <x:c r="J158"/>
      <x:c r="K158"/>
    </x:row>
    <x:row r="159">
      <x:c r="G159" t="str">
        <x:v>Metric</x:v>
      </x:c>
      <x:c r="H159" t="str">
        <x:v>Current State</x:v>
      </x:c>
      <x:c r="I159" t="str">
        <x:v>Interpretation</x:v>
      </x:c>
      <x:c r="J159" t="str">
        <x:v>Experiment / Rule</x:v>
      </x:c>
      <x:c r="K159" t="str">
        <x:v>Status</x:v>
      </x:c>
    </x:row>
    <x:row r="160">
      <x:c r="G160" t="str">
        <x:v>Starting bankroll</x:v>
      </x:c>
      <x:c r="H160" t="n">
        <x:v>18.49</x:v>
      </x:c>
      <x:c r="I160" t="str">
        <x:v>Corrected user-reported start</x:v>
      </x:c>
      <x:c r="J160" t="str">
        <x:v>Bankroll control</x:v>
      </x:c>
      <x:c r="K160" t="str">
        <x:v>FROZEN</x:v>
      </x:c>
    </x:row>
    <x:row r="161">
      <x:c r="G161" t="str">
        <x:v>Real risk deployed</x:v>
      </x:c>
      <x:c r="H161" t="n">
        <x:v>4</x:v>
      </x:c>
      <x:c r="I161" t="str">
        <x:v>4 x $1 tickets; no unit-size increase after 4-0 day</x:v>
      </x:c>
      <x:c r="J161" t="str">
        <x:v>Bankroll control</x:v>
      </x:c>
      <x:c r="K161" t="str">
        <x:v>OPEN</x:v>
      </x:c>
    </x:row>
    <x:row r="162">
      <x:c r="G162" t="str">
        <x:v>Reserve</x:v>
      </x:c>
      <x:c r="H162" t="n">
        <x:v>14.49</x:v>
      </x:c>
      <x:c r="I162" t="str">
        <x:v>Hold unless later A-tier edge clears</x:v>
      </x:c>
      <x:c r="J162" t="str">
        <x:v>No chase / no forced volume</x:v>
      </x:c>
      <x:c r="K162" t="str">
        <x:v>OPEN</x:v>
      </x:c>
    </x:row>
    <x:row r="163">
      <x:c r="G163" t="str">
        <x:v>WNBA promo</x:v>
      </x:c>
      <x:c r="H163" t="str">
        <x:v>Young 5+ REB + Hillmon O14.5 P+R + Hamby 15+ P+R</x:v>
      </x:c>
      <x:c r="I163" t="str">
        <x:v>Raw +355 → boosted +463</x:v>
      </x:c>
      <x:c r="J163" t="str">
        <x:v>EXP-06 / EXP-14 / EXP-19</x:v>
      </x:c>
      <x:c r="K163" t="str">
        <x:v>OPEN</x:v>
      </x:c>
    </x:row>
    <x:row r="164">
      <x:c r="G164" t="str">
        <x:v>Soccer primary</x:v>
      </x:c>
      <x:c r="H164" t="str">
        <x:v>Man City ML + Bayern ML + Lille/PSG BTTS</x:v>
      </x:c>
      <x:c r="I164" t="str">
        <x:v>+236 raw; PSG ML was replaced after re-screen</x:v>
      </x:c>
      <x:c r="J164" t="str">
        <x:v>Source-vs-adjusted control</x:v>
      </x:c>
      <x:c r="K164" t="str">
        <x:v>OPEN</x:v>
      </x:c>
    </x:row>
    <x:row r="165">
      <x:c r="G165" t="str">
        <x:v>MLB promo</x:v>
      </x:c>
      <x:c r="H165" t="str">
        <x:v>Cease O7.5 K + Olson 2+ TB + Sugano O5.5 HA</x:v>
      </x:c>
      <x:c r="I165" t="str">
        <x:v>Raw +362 → boosted +545; valid 2-leg ATL SGP core + outside Cease</x:v>
      </x:c>
      <x:c r="J165" t="str">
        <x:v>EXP-18 construction logic</x:v>
      </x:c>
      <x:c r="K165" t="str">
        <x:v>OPEN</x:v>
      </x:c>
    </x:row>
    <x:row r="166">
      <x:c r="G166" t="str">
        <x:v>HR boost</x:v>
      </x:c>
      <x:c r="H166" t="str">
        <x:v>Matt Olson HR</x:v>
      </x:c>
      <x:c r="I166" t="str">
        <x:v>Raw +237 → boosted +356</x:v>
      </x:c>
      <x:c r="J166" t="str">
        <x:v>EXP-16 HR audit; CORE exposure</x:v>
      </x:c>
      <x:c r="K166" t="str">
        <x:v>OPEN</x:v>
      </x:c>
    </x:row>
    <x:row r="167">
      <x:c r="G167" t="str">
        <x:v>Olson exposure</x:v>
      </x:c>
      <x:c r="H167" t="str">
        <x:v>HR + 2+ TB</x:v>
      </x:c>
      <x:c r="I167" t="str">
        <x:v>Intentional two-market CORE cap; no third Olson bet</x:v>
      </x:c>
      <x:c r="J167" t="str">
        <x:v>EXP-03 market expression</x:v>
      </x:c>
      <x:c r="K167" t="str">
        <x:v>CAPPED</x:v>
      </x:c>
    </x:row>
    <x:row r="168">
      <x:c r="G168" t="str">
        <x:v>Paper portfolio</x:v>
      </x:c>
      <x:c r="H168" t="n">
        <x:v>45</x:v>
      </x:c>
      <x:c r="I168" t="str">
        <x:v>18 original paper/control rows + 27 added shadow singles, backup singles, alternate parlays and 2-leg subsets</x:v>
      </x:c>
      <x:c r="J168" t="str">
        <x:v>No hindsight labeling; includes EXP-20 single-vs-parlay layer</x:v>
      </x:c>
      <x:c r="K168" t="str">
        <x:v>FROZEN</x:v>
      </x:c>
    </x:row>
    <x:row r="169">
      <x:c r="G169" t="str">
        <x:v>Key WNBA control</x:v>
      </x:c>
      <x:c r="H169" t="str">
        <x:v>+313 alternate vs +595 aggressive vs +173 safe control</x:v>
      </x:c>
      <x:c r="I169" t="str">
        <x:v>Tests where to allocate harder promo threshold</x:v>
      </x:c>
      <x:c r="J169" t="str">
        <x:v>EXP-19</x:v>
      </x:c>
      <x:c r="K169" t="str">
        <x:v>FROZEN</x:v>
      </x:c>
    </x:row>
    <x:row r="170">
      <x:c r="G170" t="str">
        <x:v>Key MLB controls</x:v>
      </x:c>
      <x:c r="H170" t="str">
        <x:v>3-leg NRFI +365; UDLR 3-pack; Caglianone/PCA/Goodman HR alts</x:v>
      </x:c>
      <x:c r="I170" t="str">
        <x:v>Preserve source tickets and HR alternatives</x:v>
      </x:c>
      <x:c r="J170" t="str">
        <x:v>EXP-10 / EXP-16 / EXP-08</x:v>
      </x:c>
      <x:c r="K170" t="str">
        <x:v>FROZEN</x:v>
      </x:c>
    </x:row>
    <x:row r="171">
      <x:c r="G171" t="str">
        <x:v>Key soccer controls</x:v>
      </x:c>
      <x:c r="H171" t="str">
        <x:v>Bayern/STU 10+ corners; Haaland ATGS; PSG ML; secondary 3-leg</x:v>
      </x:c>
      <x:c r="I171" t="str">
        <x:v>Tests second-ticket value and market conversion</x:v>
      </x:c>
      <x:c r="J171" t="str">
        <x:v>EXP-09 / EXP-13</x:v>
      </x:c>
      <x:c r="K171" t="str">
        <x:v>FROZEN</x:v>
      </x:c>
    </x:row>
    <x:row r="172">
      <x:c r="G172" t="str">
        <x:v>Process rule</x:v>
      </x:c>
      <x:c r="H172" t="str">
        <x:v>Full-slate audit + exact price + lineup/role gate</x:v>
      </x:c>
      <x:c r="I172" t="str">
        <x:v>Source sheets remain leads only</x:v>
      </x:c>
      <x:c r="J172" t="str">
        <x:v>Mandatory</x:v>
      </x:c>
      <x:c r="K172" t="str">
        <x:v>ACTIVE</x:v>
      </x:c>
    </x:row>
    <x:row r="174">
      <x:c r="G174" s="201" t="str">
        <x:v>Aug. 27 PAPER AUDIT — DATASET COMPLETENESS</x:v>
      </x:c>
      <x:c r="H174" s="201"/>
      <x:c r="I174" s="201"/>
      <x:c r="J174" s="201"/>
      <x:c r="K174" s="201"/>
    </x:row>
    <x:row r="175">
      <x:c r="G175" s="203" t="str">
        <x:v>Metric</x:v>
      </x:c>
      <x:c r="H175" s="203" t="str">
        <x:v>Result</x:v>
      </x:c>
      <x:c r="I175" s="203" t="str">
        <x:v>Use</x:v>
      </x:c>
      <x:c r="J175" s="203" t="str">
        <x:v>Caution</x:v>
      </x:c>
      <x:c r="K175" s="203" t="str">
        <x:v>Status</x:v>
      </x:c>
    </x:row>
    <x:row r="176">
      <x:c r="G176" s="31" t="str">
        <x:v>Prospective tests</x:v>
      </x:c>
      <x:c r="H176" s="31" t="str">
        <x:v>22 settled</x:v>
      </x:c>
      <x:c r="I176" s="31" t="str">
        <x:v>Full Aug. 27 paper/control universe</x:v>
      </x:c>
      <x:c r="J176" s="31" t="str">
        <x:v>Do not treat correlated rows as independent</x:v>
      </x:c>
      <x:c r="K176" s="31" t="str">
        <x:v>COMPLETE</x:v>
      </x:c>
    </x:row>
    <x:row r="177">
      <x:c r="G177" s="31" t="str">
        <x:v>Pure unbet paper</x:v>
      </x:c>
      <x:c r="H177" s="31" t="str">
        <x:v>12-8</x:v>
      </x:c>
      <x:c r="I177" s="31" t="str">
        <x:v>Selection/market hypothesis dataset</x:v>
      </x:c>
      <x:c r="J177" s="31" t="str">
        <x:v>Some rows lack exact prices</x:v>
      </x:c>
      <x:c r="K177" s="31" t="str">
        <x:v>COMPLETE</x:v>
      </x:c>
    </x:row>
    <x:row r="178">
      <x:c r="G178" s="31" t="str">
        <x:v>Exact-price snapshot</x:v>
      </x:c>
      <x:c r="H178" s="31" t="str">
        <x:v>+$10.49 on 15 rows</x:v>
      </x:c>
      <x:c r="I178" s="31" t="str">
        <x:v>Paper ROI benchmarking</x:v>
      </x:c>
      <x:c r="J178" s="31" t="str">
        <x:v>Longshot HR wins dominate</x:v>
      </x:c>
      <x:c r="K178" s="31" t="str">
        <x:v>COMPLETE</x:v>
      </x:c>
    </x:row>
    <x:row r="179">
      <x:c r="G179" s="31" t="str">
        <x:v>Best paired evidence</x:v>
      </x:c>
      <x:c r="H179" s="31" t="str">
        <x:v>F5 total, Thomas threshold/market, Mis K threshold</x:v>
      </x:c>
      <x:c r="I179" s="31" t="str">
        <x:v>Prioritize paired experiments over raw hit rate</x:v>
      </x:c>
      <x:c r="J179" s="31" t="str">
        <x:v>Still small sample</x:v>
      </x:c>
      <x:c r="K179" s="31" t="str">
        <x:v>ACTIVE</x:v>
      </x:c>
    </x:row>
    <x:row r="181">
      <x:c r="G181" s="225" t="str">
        <x:v>Aug. 28 FINAL REVIEW</x:v>
      </x:c>
      <x:c r="H181" s="225"/>
      <x:c r="I181" s="225"/>
      <x:c r="J181" s="225"/>
      <x:c r="K181" s="225"/>
    </x:row>
    <x:row r="182">
      <x:c r="G182" s="227" t="str">
        <x:v>Metric</x:v>
      </x:c>
      <x:c r="H182" s="227" t="str">
        <x:v>Result</x:v>
      </x:c>
      <x:c r="I182" s="227" t="str">
        <x:v>Interpretation</x:v>
      </x:c>
      <x:c r="J182" s="227" t="str">
        <x:v>Experiment / Rule</x:v>
      </x:c>
      <x:c r="K182" s="227" t="str">
        <x:v>Status</x:v>
      </x:c>
    </x:row>
    <x:row r="183">
      <x:c r="G183" s="31" t="str">
        <x:v>Bankroll</x:v>
      </x:c>
      <x:c r="H183" s="31" t="str">
        <x:v>$18.49 → $17.85 (-$0.64)</x:v>
      </x:c>
      <x:c r="I183" s="31" t="str">
        <x:v>Flat $1 sizing limited damage</x:v>
      </x:c>
      <x:c r="J183" s="31" t="str">
        <x:v>Bankroll control</x:v>
      </x:c>
      <x:c r="K183" s="31" t="str">
        <x:v>FINAL</x:v>
      </x:c>
    </x:row>
    <x:row r="184">
      <x:c r="G184" s="31" t="str">
        <x:v>Real tickets</x:v>
      </x:c>
      <x:c r="H184" s="31" t="str">
        <x:v>1-3 (25%)</x:v>
      </x:c>
      <x:c r="I184" s="31" t="str">
        <x:v>Only soccer card won</x:v>
      </x:c>
      <x:c r="J184" s="31" t="str">
        <x:v>Ticket construction</x:v>
      </x:c>
      <x:c r="K184" s="31" t="str">
        <x:v>FINAL</x:v>
      </x:c>
    </x:row>
    <x:row r="185">
      <x:c r="G185" s="31" t="str">
        <x:v>Real legs</x:v>
      </x:c>
      <x:c r="H185" s="31" t="str">
        <x:v>6-4 (60%)</x:v>
      </x:c>
      <x:c r="I185" s="31" t="str">
        <x:v>Selection quality &gt; ticket conversion</x:v>
      </x:c>
      <x:c r="J185" s="31" t="str">
        <x:v>EXP-09 / EXP-20</x:v>
      </x:c>
      <x:c r="K185" s="31" t="str">
        <x:v>FINAL</x:v>
      </x:c>
    </x:row>
    <x:row r="186">
      <x:c r="G186" s="31" t="str">
        <x:v>Soccer</x:v>
      </x:c>
      <x:c r="H186" s="31" t="str">
        <x:v>3/3 legs; +$2.36 ticket P/L</x:v>
      </x:c>
      <x:c r="I186" s="31" t="str">
        <x:v>BTTS replacement for PSG ML was correct</x:v>
      </x:c>
      <x:c r="J186" s="31" t="str">
        <x:v>Original vs adjusted</x:v>
      </x:c>
      <x:c r="K186" s="31" t="str">
        <x:v>POSITIVE</x:v>
      </x:c>
    </x:row>
    <x:row r="187">
      <x:c r="G187" s="31" t="str">
        <x:v>MLB</x:v>
      </x:c>
      <x:c r="H187" s="31" t="str">
        <x:v>Cease W, Sugano W, Olson TB L; Olson HR L</x:v>
      </x:c>
      <x:c r="I187" s="31" t="str">
        <x:v>Broad thesis good, Olson concentration bad</x:v>
      </x:c>
      <x:c r="J187" s="31" t="str">
        <x:v>EXP-03 / EXP-20</x:v>
      </x:c>
      <x:c r="K187" s="31" t="str">
        <x:v>MIXED</x:v>
      </x:c>
    </x:row>
    <x:row r="188">
      <x:c r="G188" s="31" t="str">
        <x:v>WNBA</x:v>
      </x:c>
      <x:c r="H188" s="31" t="str">
        <x:v>Hillmon W; Young L; Hamby L</x:v>
      </x:c>
      <x:c r="I188" s="31" t="str">
        <x:v>Availability gate and glue-floor assumptions failed</x:v>
      </x:c>
      <x:c r="J188" s="31" t="str">
        <x:v>EXP-12 / EXP-19</x:v>
      </x:c>
      <x:c r="K188" s="31" t="str">
        <x:v>NEGATIVE</x:v>
      </x:c>
    </x:row>
    <x:row r="189">
      <x:c r="G189" s="31" t="str">
        <x:v>Paper snapshot</x:v>
      </x:c>
      <x:c r="H189" s="31" t="str">
        <x:v>17-26 settled; 2 late MLB pending</x:v>
      </x:c>
      <x:c r="I189" s="31" t="str">
        <x:v>Large prospective dataset captured misses</x:v>
      </x:c>
      <x:c r="J189" s="31" t="str">
        <x:v>Research lab</x:v>
      </x:c>
      <x:c r="K189" s="31" t="str">
        <x:v>PARTIAL</x:v>
      </x:c>
    </x:row>
    <x:row r="190">
      <x:c r="G190" s="31" t="str">
        <x:v>Exact-price paper</x:v>
      </x:c>
      <x:c r="H190" s="31" t="str">
        <x:v>7-12, -$6.97 on 19 rows</x:v>
      </x:c>
      <x:c r="I190" s="31" t="str">
        <x:v>Do not overread correlated observations</x:v>
      </x:c>
      <x:c r="J190" s="31" t="str">
        <x:v>Price-aware backtest</x:v>
      </x:c>
      <x:c r="K190" s="31" t="str">
        <x:v>PARTIAL</x:v>
      </x:c>
    </x:row>
    <x:row r="192">
      <x:c r="G192" s="235" t="str">
        <x:v>Aug. 29 FIRST RESEARCH INTAKE — PROSPECTIVE</x:v>
      </x:c>
      <x:c r="H192" s="235"/>
      <x:c r="I192" s="235"/>
      <x:c r="J192" s="235"/>
      <x:c r="K192" s="235"/>
    </x:row>
    <x:row r="193">
      <x:c r="G193" s="238" t="str">
        <x:v>Item</x:v>
      </x:c>
      <x:c r="H193" s="238" t="str">
        <x:v>Current Grade</x:v>
      </x:c>
      <x:c r="I193" s="238" t="str">
        <x:v>Use</x:v>
      </x:c>
      <x:c r="J193" s="238" t="str">
        <x:v>Experiment</x:v>
      </x:c>
      <x:c r="K193" s="238" t="str">
        <x:v>Status</x:v>
      </x:c>
    </x:row>
    <x:row r="194">
      <x:c r="G194" s="31" t="str">
        <x:v>King Miller O65.5 rush</x:v>
      </x:c>
      <x:c r="H194" s="31" t="str">
        <x:v>A / best source so far</x:v>
      </x:c>
      <x:c r="I194" s="31" t="str">
        <x:v>CFB boost candidate + paper</x:v>
      </x:c>
      <x:c r="J194" s="31" t="str">
        <x:v>EXP-21 / EXP-22</x:v>
      </x:c>
      <x:c r="K194" s="31" t="str">
        <x:v>PREGAME</x:v>
      </x:c>
    </x:row>
    <x:row r="195">
      <x:c r="G195" s="31" t="str">
        <x:v>Jake Bennett O16.5 outs</x:v>
      </x:c>
      <x:c r="H195" s="31" t="str">
        <x:v>A-</x:v>
      </x:c>
      <x:c r="I195" s="31" t="str">
        <x:v>Paper / possible SGPx building block</x:v>
      </x:c>
      <x:c r="J195" s="31" t="str">
        <x:v>EXP-01</x:v>
      </x:c>
      <x:c r="K195" s="31" t="str">
        <x:v>PREGAME</x:v>
      </x:c>
    </x:row>
    <x:row r="196">
      <x:c r="G196" s="31" t="str">
        <x:v>Caminero O1.5 HRR</x:v>
      </x:c>
      <x:c r="H196" s="31" t="str">
        <x:v>A-</x:v>
      </x:c>
      <x:c r="I196" s="31" t="str">
        <x:v>MLB batter-boost candidate + paper</x:v>
      </x:c>
      <x:c r="J196" s="31" t="str">
        <x:v>EXP-03</x:v>
      </x:c>
      <x:c r="K196" s="31" t="str">
        <x:v>PREGAME</x:v>
      </x:c>
    </x:row>
    <x:row r="197">
      <x:c r="G197" s="31" t="str">
        <x:v>Alyssa Thomas O22.5 P+R</x:v>
      </x:c>
      <x:c r="H197" s="31" t="str">
        <x:v>B</x:v>
      </x:c>
      <x:c r="I197" s="31" t="str">
        <x:v>Paper only for now</x:v>
      </x:c>
      <x:c r="J197" s="31" t="str">
        <x:v>EXP-14</x:v>
      </x:c>
      <x:c r="K197" s="31" t="str">
        <x:v>PREGAME</x:v>
      </x:c>
    </x:row>
    <x:row r="198">
      <x:c r="G198" s="31" t="str">
        <x:v>5-leg soccer +397</x:v>
      </x:c>
      <x:c r="H198" s="31" t="str">
        <x:v>B construction</x:v>
      </x:c>
      <x:c r="I198" s="31" t="str">
        <x:v>Intact source control; components shadowed</x:v>
      </x:c>
      <x:c r="J198" s="31" t="str">
        <x:v>EXP-08 / EXP-20</x:v>
      </x:c>
      <x:c r="K198" s="31" t="str">
        <x:v>PREGAME</x:v>
      </x:c>
    </x:row>
    <x:row r="199">
      <x:c r="G199" s="31" t="str">
        <x:v>3-hit parlay +206 raw</x:v>
      </x:c>
      <x:c r="H199" s="31" t="str">
        <x:v>B construction</x:v>
      </x:c>
      <x:c r="I199" s="31" t="str">
        <x:v>Paper only; expensive-glue control</x:v>
      </x:c>
      <x:c r="J199" s="31" t="str">
        <x:v>EXP-08 / EXP-20</x:v>
      </x:c>
      <x:c r="K199" s="31" t="str">
        <x:v>PREGAME</x:v>
      </x:c>
    </x:row>
    <x:row r="200">
      <x:c r="G200" s="31" t="str">
        <x:v>CFB dataset</x:v>
      </x:c>
      <x:c r="H200" s="31" t="str">
        <x:v>3 initial feature rows</x:v>
      </x:c>
      <x:c r="I200" s="31" t="str">
        <x:v>Start Week 0 feature/correlation tracking</x:v>
      </x:c>
      <x:c r="J200" s="31" t="str">
        <x:v>EXP-21 / EXP-22</x:v>
      </x:c>
      <x:c r="K200" s="31" t="str">
        <x:v>ACTIVE</x:v>
      </x:c>
    </x:row>
    <x:row r="202">
      <x:c r="G202" s="139" t="str">
        <x:v>Aug. 29 REAL CARD — CURRENT</x:v>
      </x:c>
      <x:c r="H202" s="139"/>
      <x:c r="I202" s="139"/>
      <x:c r="J202" s="139"/>
      <x:c r="K202" s="139"/>
    </x:row>
    <x:row r="203">
      <x:c r="G203" s="258" t="str">
        <x:v>Ticket</x:v>
      </x:c>
      <x:c r="H203" s="258" t="str">
        <x:v>Stake</x:v>
      </x:c>
      <x:c r="I203" s="258" t="str">
        <x:v>Captured Raw Price</x:v>
      </x:c>
      <x:c r="J203" s="258" t="str">
        <x:v>Research Purpose</x:v>
      </x:c>
      <x:c r="K203" s="258" t="str">
        <x:v>Status</x:v>
      </x:c>
    </x:row>
    <x:row r="204">
      <x:c r="G204" s="31" t="str">
        <x:v>Soccer 3-leg</x:v>
      </x:c>
      <x:c r="H204" s="31" t="str">
        <x:v>$1</x:v>
      </x:c>
      <x:c r="I204" s="31" t="str">
        <x:v>+242</x:v>
      </x:c>
      <x:c r="J204" s="31" t="str">
        <x:v>Market-converted card: low goal floor + Dortmund corners + TOT/NEW scoring</x:v>
      </x:c>
      <x:c r="K204" s="31" t="str">
        <x:v>OPEN</x:v>
      </x:c>
    </x:row>
    <x:row r="205">
      <x:c r="G205" s="31" t="str">
        <x:v>CFB Primary</x:v>
      </x:c>
      <x:c r="H205" s="31" t="str">
        <x:v>$1</x:v>
      </x:c>
      <x:c r="I205" s="31" t="str">
        <x:v>+299 + 50% boost</x:v>
      </x:c>
      <x:c r="J205" s="31" t="str">
        <x:v>Threshold-value alt-spread card</x:v>
      </x:c>
      <x:c r="K205" s="31" t="str">
        <x:v>OPEN</x:v>
      </x:c>
    </x:row>
    <x:row r="206">
      <x:c r="G206" s="31" t="str">
        <x:v>CFB Secondary</x:v>
      </x:c>
      <x:c r="H206" s="31" t="str">
        <x:v>$1</x:v>
      </x:c>
      <x:c r="I206" s="31" t="str">
        <x:v>+433 + 50% boost</x:v>
      </x:c>
      <x:c r="J206" s="31" t="str">
        <x:v>Differentiated role/continuity/game-total card</x:v>
      </x:c>
      <x:c r="K206" s="31" t="str">
        <x:v>OPEN</x:v>
      </x:c>
    </x:row>
    <x:row r="207">
      <x:c r="G207" s="31" t="str">
        <x:v>Available bankroll</x:v>
      </x:c>
      <x:c r="H207" s="31" t="str">
        <x:v>$14.85</x:v>
      </x:c>
      <x:c r="I207" s="31" t="str"/>
      <x:c r="J207" s="31" t="str">
        <x:v>MLB batter + SGPx boosts still unused</x:v>
      </x:c>
      <x:c r="K207" s="31" t="str"/>
    </x:row>
    <x:row r="209">
      <x:c r="G209" s="248" t="str">
        <x:v>Aug. 29 CFB SOURCE DISAGREEMENT INTAKE — FROZEN</x:v>
      </x:c>
      <x:c r="H209" s="248"/>
      <x:c r="I209" s="248"/>
      <x:c r="J209" s="248"/>
      <x:c r="K209" s="248"/>
    </x:row>
    <x:row r="210">
      <x:c r="G210" s="251" t="str">
        <x:v>Cluster</x:v>
      </x:c>
      <x:c r="H210" s="251" t="str">
        <x:v>Source A</x:v>
      </x:c>
      <x:c r="I210" s="251" t="str">
        <x:v>Source B / Independent</x:v>
      </x:c>
      <x:c r="J210" s="251" t="str">
        <x:v>Current Read</x:v>
      </x:c>
      <x:c r="K210" s="251" t="str">
        <x:v>Status</x:v>
      </x:c>
    </x:row>
    <x:row r="211">
      <x:c r="G211" s="31" t="str">
        <x:v>TCU/UNC</x:v>
      </x:c>
      <x:c r="H211" s="31" t="str">
        <x:v>TCU ML; TCU -6.5</x:v>
      </x:c>
      <x:c r="I211" s="31" t="str">
        <x:v>Action TCU -7.5; market -8.5</x:v>
      </x:c>
      <x:c r="J211" s="31" t="str">
        <x:v>TCU side convergence; threshold/price choice remains</x:v>
      </x:c>
      <x:c r="K211" s="31" t="str">
        <x:v>PREGAME</x:v>
      </x:c>
    </x:row>
    <x:row r="212">
      <x:c r="G212" s="31" t="str">
        <x:v>JAX/NDSU</x:v>
      </x:c>
      <x:c r="H212" s="31" t="str">
        <x:v>JAX +10.5</x:v>
      </x:c>
      <x:c r="I212" s="31" t="str">
        <x:v>NDSU -6.5 + Covers/TSI</x:v>
      </x:c>
      <x:c r="J212" s="31" t="str">
        <x:v>Do not force real side yet; excellent opposing-arm paper cluster</x:v>
      </x:c>
      <x:c r="K212" s="31" t="str">
        <x:v>PREGAME</x:v>
      </x:c>
    </x:row>
    <x:row r="213">
      <x:c r="G213" s="31" t="str">
        <x:v>Sac St/EMU</x:v>
      </x:c>
      <x:c r="H213" s="31" t="str">
        <x:v>EMU -6.5 (2 sources)</x:v>
      </x:c>
      <x:c r="I213" s="31" t="str">
        <x:v>FanDuel -9.5; Action 1H -6.5</x:v>
      </x:c>
      <x:c r="J213" s="31" t="str">
        <x:v>Strongest spread convergence; -6.5 safer than market</x:v>
      </x:c>
      <x:c r="K213" s="31" t="str">
        <x:v>PREGAME</x:v>
      </x:c>
    </x:row>
    <x:row r="214">
      <x:c r="G214" s="31" t="str">
        <x:v>Memphis/UNLV</x:v>
      </x:c>
      <x:c r="H214" s="31" t="str">
        <x:v>UNLV ML / -6.5</x:v>
      </x:c>
      <x:c r="I214" s="31" t="str">
        <x:v>Action Memphis +4.5; CBS close game</x:v>
      </x:c>
      <x:c r="J214" s="31" t="str">
        <x:v>ML much safer than aggressive spread; still contested</x:v>
      </x:c>
      <x:c r="K214" s="31" t="str">
        <x:v>PREGAME</x:v>
      </x:c>
    </x:row>
    <x:row r="215">
      <x:c r="G215" s="31" t="str">
        <x:v>Hawaii/Stanford</x:v>
      </x:c>
      <x:c r="H215" s="31" t="str">
        <x:v>Hawaii -6.5 aggressive alt</x:v>
      </x:c>
      <x:c r="I215" s="31" t="str">
        <x:v>FanDuel Hawaii +3.5; market Stanford favored</x:v>
      </x:c>
      <x:c r="J215" s="31" t="str">
        <x:v>Source alt is stress-test only, not real-money candidate</x:v>
      </x:c>
      <x:c r="K215" s="31" t="str">
        <x:v>PREGAME</x:v>
      </x:c>
    </x:row>
    <x:row r="216">
      <x:c r="G216" s="31" t="str">
        <x:v>HR board</x:v>
      </x:c>
      <x:c r="H216" s="31" t="str">
        <x:v>10 Toad HR candidates</x:v>
      </x:c>
      <x:c r="I216" s="31" t="str">
        <x:v>Independent audit pending</x:v>
      </x:c>
      <x:c r="J216" s="31" t="str">
        <x:v>Rafael Flores +600 has largest raw model-price gap</x:v>
      </x:c>
      <x:c r="K216" s="31" t="str">
        <x:v>MLB RESEARCH</x:v>
      </x:c>
    </x:row>
    <x:row r="218">
      <x:c r="G218" s="254" t="str">
        <x:v>Aug. 29 CFB TWO-CARD BUILD — PROSPECTIVE</x:v>
      </x:c>
      <x:c r="H218" s="254"/>
      <x:c r="I218" s="254"/>
      <x:c r="J218" s="254"/>
      <x:c r="K218" s="254"/>
    </x:row>
    <x:row r="219">
      <x:c r="G219" s="257" t="str">
        <x:v>Card</x:v>
      </x:c>
      <x:c r="H219" s="257" t="str">
        <x:v>Leg 1</x:v>
      </x:c>
      <x:c r="I219" s="257" t="str">
        <x:v>Leg 2</x:v>
      </x:c>
      <x:c r="J219" s="257" t="str">
        <x:v>Leg 3</x:v>
      </x:c>
      <x:c r="K219" s="257" t="str">
        <x:v>Status</x:v>
      </x:c>
    </x:row>
    <x:row r="220">
      <x:c r="G220" s="31" t="str">
        <x:v>Primary</x:v>
      </x:c>
      <x:c r="H220" s="31" t="str">
        <x:v>TCU -6.5</x:v>
      </x:c>
      <x:c r="I220" s="31" t="str">
        <x:v>EMU -6.5</x:v>
      </x:c>
      <x:c r="J220" s="31" t="str">
        <x:v>Jacksonville State +10.5</x:v>
      </x:c>
      <x:c r="K220" s="31" t="str">
        <x:v>WAIT DK PRICE</x:v>
      </x:c>
    </x:row>
    <x:row r="221">
      <x:c r="G221" s="31" t="str">
        <x:v>Secondary</x:v>
      </x:c>
      <x:c r="H221" s="31" t="str">
        <x:v>King Miller O65.5 rush</x:v>
      </x:c>
      <x:c r="I221" s="31" t="str">
        <x:v>Hawaii +3.5/+4.5</x:v>
      </x:c>
      <x:c r="J221" s="31" t="str">
        <x:v>Memphis/UNLV O56.5</x:v>
      </x:c>
      <x:c r="K221" s="31" t="str">
        <x:v>WAIT DK PRICE</x:v>
      </x:c>
    </x:row>
    <x:row r="222">
      <x:c r="G222" s="31" t="str">
        <x:v>Why split</x:v>
      </x:c>
      <x:c r="H222" s="31" t="str">
        <x:v>Source/threshold convergence</x:v>
      </x:c>
      <x:c r="I222" s="31" t="str">
        <x:v>Differentiated role/continuity</x:v>
      </x:c>
      <x:c r="J222" s="31" t="str">
        <x:v>Different failure modes</x:v>
      </x:c>
      <x:c r="K222" s="31" t="str">
        <x:v>PROSPECTIVE</x:v>
      </x:c>
    </x:row>
    <x:row r="223">
      <x:c r="G223" s="31" t="str">
        <x:v>Rule</x:v>
      </x:c>
      <x:c r="H223" s="31" t="str">
        <x:v>Do not force +300 by adding filler</x:v>
      </x:c>
      <x:c r="I223" s="31" t="str">
        <x:v>Use best current alt thresholds</x:v>
      </x:c>
      <x:c r="J223" s="31" t="str">
        <x:v>Confirm boost attaches</x:v>
      </x:c>
      <x:c r="K223" s="31" t="str">
        <x:v>ACTIVE</x:v>
      </x:c>
    </x:row>
    <x:row r="225">
      <x:c r="G225" s="261" t="str">
        <x:v>Aug. 29 SOCCER + CFB PAPER LAB — FROZEN</x:v>
      </x:c>
      <x:c r="H225" s="261"/>
      <x:c r="I225" s="261"/>
      <x:c r="J225" s="261"/>
      <x:c r="K225" s="261"/>
    </x:row>
    <x:row r="226">
      <x:c r="G226" s="264" t="str">
        <x:v>Bucket</x:v>
      </x:c>
      <x:c r="H226" s="264" t="str">
        <x:v>Prospective Adds</x:v>
      </x:c>
      <x:c r="I226" s="264" t="str">
        <x:v>Why</x:v>
      </x:c>
      <x:c r="J226" s="264" t="str">
        <x:v>Main Experiments</x:v>
      </x:c>
      <x:c r="K226" s="264" t="str">
        <x:v>Status</x:v>
      </x:c>
    </x:row>
    <x:row r="227">
      <x:c r="G227" s="31" t="str">
        <x:v>Soccer alternatives</x:v>
      </x:c>
      <x:c r="H227" s="31" t="str">
        <x:v>5</x:v>
      </x:c>
      <x:c r="I227" s="31" t="str">
        <x:v>Goal floors vs higher totals vs team/total corners</x:v>
      </x:c>
      <x:c r="J227" s="31" t="str">
        <x:v>EXP-06 / EXP-13</x:v>
      </x:c>
      <x:c r="K227" s="31" t="str">
        <x:v>FROZEN</x:v>
      </x:c>
    </x:row>
    <x:row r="228">
      <x:c r="G228" s="31" t="str">
        <x:v>CFB exact real shadows</x:v>
      </x:c>
      <x:c r="H228" s="31" t="str">
        <x:v>3</x:v>
      </x:c>
      <x:c r="I228" s="31" t="str">
        <x:v>Separate leg quality from boosted 3-leg tickets</x:v>
      </x:c>
      <x:c r="J228" s="31" t="str">
        <x:v>EXP-20 / EXP-22 / EXP-23</x:v>
      </x:c>
      <x:c r="K228" s="31" t="str">
        <x:v>FROZEN</x:v>
      </x:c>
    </x:row>
    <x:row r="229">
      <x:c r="G229" s="31" t="str">
        <x:v>CFB 2-leg subsets</x:v>
      </x:c>
      <x:c r="H229" s="31" t="str">
        <x:v>5</x:v>
      </x:c>
      <x:c r="I229" s="31" t="str">
        <x:v>Measure 2-leg survival vs 3-leg promo packaging</x:v>
      </x:c>
      <x:c r="J229" s="31" t="str">
        <x:v>EXP-09</x:v>
      </x:c>
      <x:c r="K229" s="31" t="str">
        <x:v>FROZEN</x:v>
      </x:c>
    </x:row>
    <x:row r="230">
      <x:c r="G230" s="31" t="str">
        <x:v>USC/SJSU controls</x:v>
      </x:c>
      <x:c r="H230" s="31" t="str">
        <x:v>2</x:v>
      </x:c>
      <x:c r="I230" s="31" t="str">
        <x:v>Under 60.5 vs USC -38.5 / blowout script</x:v>
      </x:c>
      <x:c r="J230" s="31" t="str">
        <x:v>EXP-21 / EXP-23</x:v>
      </x:c>
      <x:c r="K230" s="31" t="str">
        <x:v>FROZEN</x:v>
      </x:c>
    </x:row>
    <x:row r="231">
      <x:c r="G231" s="31" t="str">
        <x:v>NC State/Virginia</x:v>
      </x:c>
      <x:c r="H231" s="31" t="str">
        <x:v>2</x:v>
      </x:c>
      <x:c r="I231" s="31" t="str">
        <x:v>Independent dog vs model-aligned favorite</x:v>
      </x:c>
      <x:c r="J231" s="31" t="str">
        <x:v>EXP-23</x:v>
      </x:c>
      <x:c r="K231" s="31" t="str">
        <x:v>FROZEN</x:v>
      </x:c>
    </x:row>
    <x:row r="232">
      <x:c r="G232" s="31" t="str">
        <x:v>NMSU/FSU</x:v>
      </x:c>
      <x:c r="H232" s="31" t="str">
        <x:v>3</x:v>
      </x:c>
      <x:c r="I232" s="31" t="str">
        <x:v>Huge dog vs first-half favorite vs RB blowout prop</x:v>
      </x:c>
      <x:c r="J232" s="31" t="str">
        <x:v>EXP-22 / EXP-23</x:v>
      </x:c>
      <x:c r="K232" s="31" t="str">
        <x:v>FROZEN</x:v>
      </x:c>
    </x:row>
    <x:row r="233">
      <x:c r="G233" s="31" t="str">
        <x:v>Rule</x:v>
      </x:c>
      <x:c r="H233" s="31" t="str">
        <x:v>All declared before results</x:v>
      </x:c>
      <x:c r="I233" s="31" t="str">
        <x:v>Correlated rows stay clustered; do not treat as independent N</x:v>
      </x:c>
      <x:c r="J233" s="31" t="str">
        <x:v>Research lab</x:v>
      </x:c>
      <x:c r="K233" s="31" t="str">
        <x:v>ACTIVE</x:v>
      </x:c>
    </x:row>
    <x:row r="235">
      <x:c r="G235" s="267" t="str">
        <x:v>Aug. 29 MLB RESEARCH — HARPER / JULIO INTAKE</x:v>
      </x:c>
      <x:c r="H235" s="267"/>
      <x:c r="I235" s="267"/>
      <x:c r="J235" s="267"/>
      <x:c r="K235" s="267"/>
    </x:row>
    <x:row r="236">
      <x:c r="G236" s="270" t="str">
        <x:v>Candidate</x:v>
      </x:c>
      <x:c r="H236" s="270" t="str">
        <x:v>Current Grade</x:v>
      </x:c>
      <x:c r="I236" s="270" t="str">
        <x:v>Best Current Expression</x:v>
      </x:c>
      <x:c r="J236" s="270" t="str">
        <x:v>Main Caution</x:v>
      </x:c>
      <x:c r="K236" s="270" t="str">
        <x:v>Status</x:v>
      </x:c>
    </x:row>
    <x:row r="237">
      <x:c r="G237" s="31" t="str">
        <x:v>Bryce Harper</x:v>
      </x:c>
      <x:c r="H237" s="31" t="str">
        <x:v>A-</x:v>
      </x:c>
      <x:c r="I237" s="31" t="str">
        <x:v>2+ TB +119</x:v>
      </x:c>
      <x:c r="J237" s="31" t="str">
        <x:v>Recent-form heavy; park geometry modest negative</x:v>
      </x:c>
      <x:c r="K237" s="31" t="str">
        <x:v>PAPER / BOOST SHORTLIST</x:v>
      </x:c>
    </x:row>
    <x:row r="238">
      <x:c r="G238" s="31" t="str">
        <x:v>Julio Rodríguez</x:v>
      </x:c>
      <x:c r="H238" s="31" t="str">
        <x:v>B+</x:v>
      </x:c>
      <x:c r="I238" s="31" t="str">
        <x:v>1+ hit as validation; HRR/TB as paper alternatives</x:v>
      </x:c>
      <x:c r="J238" s="31" t="str">
        <x:v>BvP sample only 18 AB; hit price very juiced</x:v>
      </x:c>
      <x:c r="K238" s="31" t="str">
        <x:v>PAPER</x:v>
      </x:c>
    </x:row>
    <x:row r="239">
      <x:c r="G239" s="31" t="str">
        <x:v>Research use</x:v>
      </x:c>
      <x:c r="H239" s="31" t="str">
        <x:v>4 new paper arms</x:v>
      </x:c>
      <x:c r="I239" s="31" t="str">
        <x:v>Recent form vs BvP vs market conversion</x:v>
      </x:c>
      <x:c r="J239" s="31" t="str">
        <x:v>Keep correlated Julio arms clustered</x:v>
      </x:c>
      <x:c r="K239" s="31" t="str">
        <x:v>FROZEN</x:v>
      </x:c>
    </x:row>
    <x:row r="241">
      <x:c r="G241" s="273" t="str">
        <x:v>Aug. 29 MLB RESEARCH — TEAM TARGET / UDLR / NRFI INTAKE</x:v>
      </x:c>
      <x:c r="H241" s="273"/>
      <x:c r="I241" s="273"/>
      <x:c r="J241" s="273"/>
      <x:c r="K241" s="273"/>
    </x:row>
    <x:row r="242">
      <x:c r="G242" s="276" t="str">
        <x:v>Candidate</x:v>
      </x:c>
      <x:c r="H242" s="276" t="str">
        <x:v>Grade</x:v>
      </x:c>
      <x:c r="I242" s="276" t="str">
        <x:v>Independent Audit</x:v>
      </x:c>
      <x:c r="J242" s="276" t="str">
        <x:v>Use</x:v>
      </x:c>
      <x:c r="K242" s="276" t="str">
        <x:v>Status</x:v>
      </x:c>
    </x:row>
    <x:row r="243">
      <x:c r="G243" s="31" t="str">
        <x:v>Drake Baldwin O1.5 TB -105</x:v>
      </x:c>
      <x:c r="H243" s="31" t="str">
        <x:v>A</x:v>
      </x:c>
      <x:c r="I243" s="31" t="str">
        <x:v>Strong Braves/Feltner convergence; lineup TBD</x:v>
      </x:c>
      <x:c r="J243" s="31" t="str">
        <x:v>Batter/SGPx shortlist + paper</x:v>
      </x:c>
      <x:c r="K243" s="31" t="str">
        <x:v>PREGAME</x:v>
      </x:c>
    </x:row>
    <x:row r="244">
      <x:c r="G244" s="31" t="str">
        <x:v>Miguel Vargas O1.5 HRR -120</x:v>
      </x:c>
      <x:c r="H244" s="31" t="str">
        <x:v>A-</x:v>
      </x:c>
      <x:c r="I244" s="31" t="str">
        <x:v>Composite &gt; hit glue; lineup context needed</x:v>
      </x:c>
      <x:c r="J244" s="31" t="str">
        <x:v>Paper / possible shortlist</x:v>
      </x:c>
      <x:c r="K244" s="31" t="str">
        <x:v>PREGAME</x:v>
      </x:c>
    </x:row>
    <x:row r="245">
      <x:c r="G245" s="31" t="str">
        <x:v>Nick Martinez O3.5 K -115</x:v>
      </x:c>
      <x:c r="H245" s="31" t="str">
        <x:v>B-</x:v>
      </x:c>
      <x:c r="I245" s="31" t="str">
        <x:v>Low K/9 + Padres contact conflict</x:v>
      </x:c>
      <x:c r="J245" s="31" t="str">
        <x:v>Paper only; pair with U3.5</x:v>
      </x:c>
      <x:c r="K245" s="31" t="str">
        <x:v>REJECT REAL</x:v>
      </x:c>
    </x:row>
    <x:row r="246">
      <x:c r="G246" s="31" t="str">
        <x:v>Braves team target</x:v>
      </x:c>
      <x:c r="H246" s="31" t="str">
        <x:v>A</x:v>
      </x:c>
      <x:c r="I246" s="31" t="str">
        <x:v>ATL .379/.440 vs Feltner; Feltner 6.08 ERA</x:v>
      </x:c>
      <x:c r="J246" s="31" t="str">
        <x:v>Full hitter scan</x:v>
      </x:c>
      <x:c r="K246" s="31" t="str">
        <x:v>STRONG</x:v>
      </x:c>
    </x:row>
    <x:row r="247">
      <x:c r="G247" s="31" t="str">
        <x:v>Twins team target</x:v>
      </x:c>
      <x:c r="H247" s="31" t="str">
        <x:v>WATCH</x:v>
      </x:c>
      <x:c r="I247" s="31" t="str">
        <x:v>Fedde matchup data strongly conflicts</x:v>
      </x:c>
      <x:c r="J247" s="31" t="str">
        <x:v>Paper conflict test</x:v>
      </x:c>
      <x:c r="K247" s="31" t="str">
        <x:v>DOWNGRADE</x:v>
      </x:c>
    </x:row>
    <x:row r="248">
      <x:c r="G248" s="31" t="str">
        <x:v>NRFI source 3-leg +366</x:v>
      </x:c>
      <x:c r="H248" s="31" t="str">
        <x:v>B-</x:v>
      </x:c>
      <x:c r="I248" s="31" t="str">
        <x:v>SEA/TOR weakest; MIA/WSH + KC/CLE stronger</x:v>
      </x:c>
      <x:c r="J248" s="31" t="str">
        <x:v>Paper only</x:v>
      </x:c>
      <x:c r="K248" s="31" t="str">
        <x:v>NO REAL 3-LEG</x:v>
      </x:c>
    </x:row>
    <x:row r="249">
      <x:c r="G249" s="31" t="str">
        <x:v>Best NRFI pair</x:v>
      </x:c>
      <x:c r="H249" s="31" t="str">
        <x:v>A- paper</x:v>
      </x:c>
      <x:c r="I249" s="31" t="str">
        <x:v>MIA/WSH + KC/CLE</x:v>
      </x:c>
      <x:c r="J249" s="31" t="str">
        <x:v>2-leg construction experiment</x:v>
      </x:c>
      <x:c r="K249" s="31" t="str">
        <x:v>FROZEN</x:v>
      </x:c>
    </x:row>
    <x:row r="251">
      <x:c r="G251" s="279" t="str">
        <x:v>Aug. 29 MLB SGPx — EXACT PRE-LINEUP FREEZE</x:v>
      </x:c>
      <x:c r="H251" s="279"/>
      <x:c r="I251" s="279"/>
      <x:c r="J251" s="279"/>
      <x:c r="K251" s="279"/>
    </x:row>
    <x:row r="252">
      <x:c r="G252" s="282" t="str">
        <x:v>Leg</x:v>
      </x:c>
      <x:c r="H252" s="282" t="str">
        <x:v>Status</x:v>
      </x:c>
      <x:c r="I252" s="282" t="str">
        <x:v>Price Context</x:v>
      </x:c>
      <x:c r="J252" s="282" t="str">
        <x:v>Decision</x:v>
      </x:c>
      <x:c r="K252" s="282" t="str">
        <x:v>Gate</x:v>
      </x:c>
    </x:row>
    <x:row r="253">
      <x:c r="G253" s="31" t="str">
        <x:v>Tatis 2+ TB</x:v>
      </x:c>
      <x:c r="H253" s="31" t="str">
        <x:v>CONFIRMED — batting 1st</x:v>
      </x:c>
      <x:c r="I253" s="31" t="str">
        <x:v>Included in +518 raw</x:v>
      </x:c>
      <x:c r="J253" s="31" t="str">
        <x:v>KEEP</x:v>
      </x:c>
      <x:c r="K253" s="31" t="str">
        <x:v>PASS</x:v>
      </x:c>
    </x:row>
    <x:row r="254">
      <x:c r="G254" s="31" t="str">
        <x:v>Caminero 2+ HRR</x:v>
      </x:c>
      <x:c r="H254" s="31" t="str">
        <x:v>CONFIRMED — batting 3rd</x:v>
      </x:c>
      <x:c r="I254" s="31" t="str">
        <x:v>Included in +518 raw</x:v>
      </x:c>
      <x:c r="J254" s="31" t="str">
        <x:v>KEEP</x:v>
      </x:c>
      <x:c r="K254" s="31" t="str">
        <x:v>PASS</x:v>
      </x:c>
    </x:row>
    <x:row r="255">
      <x:c r="G255" s="31" t="str">
        <x:v>Baldwin 2+ TB</x:v>
      </x:c>
      <x:c r="H255" s="31" t="str">
        <x:v>ATL lineup TBD</x:v>
      </x:c>
      <x:c r="I255" s="31" t="str">
        <x:v>Boosted ticket +778</x:v>
      </x:c>
      <x:c r="J255" s="31" t="str">
        <x:v>HOLD</x:v>
      </x:c>
      <x:c r="K255" s="31" t="str">
        <x:v>WAIT LINEUP</x:v>
      </x:c>
    </x:row>
    <x:row r="257">
      <x:c r="G257" s="285" t="str">
        <x:v>Aug. 29 MLB PAPER LAB — FULL PRE-GAME FREEZE</x:v>
      </x:c>
      <x:c r="H257" s="285"/>
      <x:c r="I257" s="285"/>
      <x:c r="J257" s="285"/>
      <x:c r="K257" s="285"/>
    </x:row>
    <x:row r="258">
      <x:c r="G258" s="288" t="str">
        <x:v>Bucket</x:v>
      </x:c>
      <x:c r="H258" s="288" t="str">
        <x:v>Examples</x:v>
      </x:c>
      <x:c r="I258" s="288" t="str">
        <x:v>Purpose</x:v>
      </x:c>
      <x:c r="J258" s="288" t="str">
        <x:v>Experiment</x:v>
      </x:c>
      <x:c r="K258" s="288" t="str">
        <x:v>Status</x:v>
      </x:c>
    </x:row>
    <x:row r="259">
      <x:c r="G259" s="31" t="str">
        <x:v>Exact SGPx leg shadows</x:v>
      </x:c>
      <x:c r="H259" s="31" t="str">
        <x:v>Tatis 2+ TB; Caminero 2+ HRR; Baldwin 2+ TB</x:v>
      </x:c>
      <x:c r="I259" s="31" t="str">
        <x:v>Separate leg quality from ticket construction</x:v>
      </x:c>
      <x:c r="J259" s="31" t="str">
        <x:v>EXP-20</x:v>
      </x:c>
      <x:c r="K259" s="31" t="str">
        <x:v>FROZEN</x:v>
      </x:c>
    </x:row>
    <x:row r="260">
      <x:c r="G260" s="31" t="str">
        <x:v>SGPx subsets</x:v>
      </x:c>
      <x:c r="H260" s="31" t="str">
        <x:v>Tatis+Baldwin; Caminero+Baldwin; Tatis+Caminero core</x:v>
      </x:c>
      <x:c r="I260" s="31" t="str">
        <x:v>2-leg vs 3-leg survival</x:v>
      </x:c>
      <x:c r="J260" s="31" t="str">
        <x:v>EXP-09</x:v>
      </x:c>
      <x:c r="K260" s="31" t="str">
        <x:v>FROZEN</x:v>
      </x:c>
    </x:row>
    <x:row r="261">
      <x:c r="G261" s="31" t="str">
        <x:v>Market conversion</x:v>
      </x:c>
      <x:c r="H261" s="31" t="str">
        <x:v>Caminero HRR vs TB; Julio hit/TB/HRR</x:v>
      </x:c>
      <x:c r="I261" s="31" t="str">
        <x:v>Find best expression of same hitter thesis</x:v>
      </x:c>
      <x:c r="J261" s="31" t="str">
        <x:v>EXP-03</x:v>
      </x:c>
      <x:c r="K261" s="31" t="str">
        <x:v>FROZEN</x:v>
      </x:c>
    </x:row>
    <x:row r="262">
      <x:c r="G262" s="31" t="str">
        <x:v>A-tier hitter pairs</x:v>
      </x:c>
      <x:c r="H262" s="31" t="str">
        <x:v>Harper+Baldwin; Harper+Vargas</x:v>
      </x:c>
      <x:c r="I262" s="31" t="str">
        <x:v>Test concentrated 2-leg quality vs promo 3-leg cards</x:v>
      </x:c>
      <x:c r="J262" s="31" t="str">
        <x:v>EXP-09</x:v>
      </x:c>
      <x:c r="K262" s="31" t="str">
        <x:v>FROZEN</x:v>
      </x:c>
    </x:row>
    <x:row r="263">
      <x:c r="G263" s="31" t="str">
        <x:v>NRFI lab</x:v>
      </x:c>
      <x:c r="H263" s="31" t="str">
        <x:v>3 singles + best 2-leg + source 3-leg</x:v>
      </x:c>
      <x:c r="I263" s="31" t="str">
        <x:v>Measure NRFI construction variance</x:v>
      </x:c>
      <x:c r="J263" s="31" t="str">
        <x:v>EXP-10</x:v>
      </x:c>
      <x:c r="K263" s="31" t="str">
        <x:v>FROZEN</x:v>
      </x:c>
    </x:row>
    <x:row r="264">
      <x:c r="G264" s="31" t="str">
        <x:v>K threshold pair</x:v>
      </x:c>
      <x:c r="H264" s="31" t="str">
        <x:v>Martinez O3.5 vs U3.5</x:v>
      </x:c>
      <x:c r="I264" s="31" t="str">
        <x:v>Prospective over/under threshold test</x:v>
      </x:c>
      <x:c r="J264" s="31" t="str">
        <x:v>EXP-02</x:v>
      </x:c>
      <x:c r="K264" s="31" t="str">
        <x:v>FROZEN</x:v>
      </x:c>
    </x:row>
    <x:row r="265">
      <x:c r="G265" s="31" t="str">
        <x:v>HR model board</x:v>
      </x:c>
      <x:c r="H265" s="31" t="str">
        <x:v>10 source HR candidates</x:v>
      </x:c>
      <x:c r="I265" s="31" t="str">
        <x:v>Model probability vs market-price calibration</x:v>
      </x:c>
      <x:c r="J265" s="31" t="str">
        <x:v>EXP-16</x:v>
      </x:c>
      <x:c r="K265" s="31" t="str">
        <x:v>FROZEN</x:v>
      </x:c>
    </x:row>
    <x:row r="266">
      <x:c r="G266" s="31" t="str">
        <x:v>RBI lottery</x:v>
      </x:c>
      <x:c r="H266" s="31" t="str">
        <x:v>3 singles + intact +1233 parlay</x:v>
      </x:c>
      <x:c r="I266" s="31" t="str">
        <x:v>Quantify sequencing variance</x:v>
      </x:c>
      <x:c r="J266" s="31" t="str">
        <x:v>EXP-03 / EXP-09</x:v>
      </x:c>
      <x:c r="K266" s="31" t="str">
        <x:v>FROZEN</x:v>
      </x:c>
    </x:row>
    <x:row r="268">
      <x:c r="G268" s="291" t="str">
        <x:v>Aug. 29 FINAL ROOT-CAUSE AUDIT — WHY THE PROCESS BROKE</x:v>
      </x:c>
      <x:c r="H268" s="291"/>
      <x:c r="I268" s="291"/>
      <x:c r="J268" s="291"/>
      <x:c r="K268" s="291"/>
    </x:row>
    <x:row r="269">
      <x:c r="G269" s="294" t="str">
        <x:v>Finding</x:v>
      </x:c>
      <x:c r="H269" s="294" t="str">
        <x:v>Evidence</x:v>
      </x:c>
      <x:c r="I269" s="294" t="str">
        <x:v>Type</x:v>
      </x:c>
      <x:c r="J269" s="294" t="str">
        <x:v>Change</x:v>
      </x:c>
      <x:c r="K269" s="294" t="str">
        <x:v>Priority</x:v>
      </x:c>
    </x:row>
    <x:row r="270">
      <x:c r="G270" s="31" t="str">
        <x:v>Daily result</x:v>
      </x:c>
      <x:c r="H270" s="31" t="str">
        <x:v>1-5 tickets; 6-9 individual legs; -$2.99 (17.85 -&gt; 14.86)</x:v>
      </x:c>
      <x:c r="I270" s="31" t="str">
        <x:v>Outcome</x:v>
      </x:c>
      <x:c r="J270" s="31" t="str">
        <x:v>Do not diagnose from ticket W/L alone; leg quality also fell</x:v>
      </x:c>
      <x:c r="K270" s="31" t="str">
        <x:v>HIGH</x:v>
      </x:c>
    </x:row>
    <x:row r="271">
      <x:c r="G271" s="31" t="str">
        <x:v>Promo-first construction</x:v>
      </x:c>
      <x:c r="H271" s="31" t="str">
        <x:v>Three boosted 3-leg cards all lost; raw +299/+433/+518</x:v>
      </x:c>
      <x:c r="I271" s="31" t="str">
        <x:v>Process drift</x:v>
      </x:c>
      <x:c r="J271" s="31" t="str">
        <x:v>Promo only if every leg qualifies standalone</x:v>
      </x:c>
      <x:c r="K271" s="31" t="str">
        <x:v>CRITICAL</x:v>
      </x:c>
    </x:row>
    <x:row r="272">
      <x:c r="G272" s="31" t="str">
        <x:v>Conflict became real bets</x:v>
      </x:c>
      <x:c r="H272" s="31" t="str">
        <x:v>JAX +10.5 lost 7-33 while NDSU -6.5 paper won; Hawaii +4.5 lost</x:v>
      </x:c>
      <x:c r="I272" s="31" t="str">
        <x:v>Veto failure</x:v>
      </x:c>
      <x:c r="J272" s="31" t="str">
        <x:v>Meaningful side disagreement =&gt; PAPER, not real</x:v>
      </x:c>
      <x:c r="K272" s="31" t="str">
        <x:v>CRITICAL</x:v>
      </x:c>
    </x:row>
    <x:row r="273">
      <x:c r="G273" s="31" t="str">
        <x:v>Alternate-market invention</x:v>
      </x:c>
      <x:c r="H273" s="31" t="str">
        <x:v>Dortmund goals W -&gt; corners L; MEM +4.5 paper W -&gt; O56.5 real L</x:v>
      </x:c>
      <x:c r="I273" s="31" t="str">
        <x:v>Market expression</x:v>
      </x:c>
      <x:c r="J273" s="31" t="str">
        <x:v>Rejected thesis does not get replaced unless new market independently qualifies</x:v>
      </x:c>
      <x:c r="K273" s="31" t="str">
        <x:v>CRITICAL</x:v>
      </x:c>
    </x:row>
    <x:row r="274">
      <x:c r="G274" s="31" t="str">
        <x:v>Threshold ≠ edge</x:v>
      </x:c>
      <x:c r="H274" s="31" t="str">
        <x:v>TCU -6.5 lost outright; Hawaii +4.5 lost by 10</x:v>
      </x:c>
      <x:c r="I274" s="31" t="str">
        <x:v>Pricing logic</x:v>
      </x:c>
      <x:c r="J274" s="31" t="str">
        <x:v>Stop calling a better alt line value without fair-probability support</x:v>
      </x:c>
      <x:c r="K274" s="31" t="str">
        <x:v>HIGH</x:v>
      </x:c>
    </x:row>
    <x:row r="275">
      <x:c r="G275" s="31" t="str">
        <x:v>Week 0 overconfidence</x:v>
      </x:c>
      <x:c r="H275" s="31" t="str">
        <x:v>Only EMU + Miller of 6 CFB real legs won</x:v>
      </x:c>
      <x:c r="I275" s="31" t="str">
        <x:v>Calibration</x:v>
      </x:c>
      <x:c r="J275" s="31" t="str">
        <x:v>Max one real CFB card until paper feature weights stabilize</x:v>
      </x:c>
      <x:c r="K275" s="31" t="str">
        <x:v>HIGH</x:v>
      </x:c>
    </x:row>
    <x:row r="276">
      <x:c r="G276" s="31" t="str">
        <x:v>Ignored prior MLB lesson</x:v>
      </x:c>
      <x:c r="H276" s="31" t="str">
        <x:v>Aug28 Olson 2+ TB killed SGPx; Aug29 used two 2+ TB legs and both lost</x:v>
      </x:c>
      <x:c r="I276" s="31" t="str">
        <x:v>Learning governance</x:v>
      </x:c>
      <x:c r="J276" s="31" t="str">
        <x:v>Max one 2+ TB leg per real parlay; prefer composite/floor backbone</x:v>
      </x:c>
      <x:c r="K276" s="31" t="str">
        <x:v>CRITICAL</x:v>
      </x:c>
    </x:row>
    <x:row r="277">
      <x:c r="G277" s="31" t="str">
        <x:v>Odds surplus wasted</x:v>
      </x:c>
      <x:c r="H277" s="31" t="str">
        <x:v>+518 raw SGPx only needed promo threshold near +300</x:v>
      </x:c>
      <x:c r="I277" s="31" t="str">
        <x:v>Construction</x:v>
      </x:c>
      <x:c r="J277" s="31" t="str">
        <x:v>Use excess odds to lower thresholds, not accept extra variance</x:v>
      </x:c>
      <x:c r="K277" s="31" t="str">
        <x:v>HIGH</x:v>
      </x:c>
    </x:row>
    <x:row r="278">
      <x:c r="G278" s="31" t="str">
        <x:v>Late matchup sensitivity</x:v>
      </x:c>
      <x:c r="H278" s="31" t="str">
        <x:v>Feltner-specific Baldwin thesis became bullpen-game matchup after scratch</x:v>
      </x:c>
      <x:c r="I278" s="31" t="str">
        <x:v>Revalidation</x:v>
      </x:c>
      <x:c r="J278" s="31" t="str">
        <x:v>Recheck starter/injury/news near first pitch; cash out/rebuild if thesis invalidates</x:v>
      </x:c>
      <x:c r="K278" s="31" t="str">
        <x:v>HIGH</x:v>
      </x:c>
    </x:row>
    <x:row r="279">
      <x:c r="G279" s="31" t="str">
        <x:v>What still worked</x:v>
      </x:c>
      <x:c r="H279" s="31" t="str">
        <x:v>EMU -6.5, Miller 60+, Caminero HRR, both audited NRFIs</x:v>
      </x:c>
      <x:c r="I279" s="31" t="str">
        <x:v>Positive signal</x:v>
      </x:c>
      <x:c r="J279" s="31" t="str">
        <x:v>Hard role/composite/audited low-leg-count markets remain core</x:v>
      </x:c>
      <x:c r="K279" s="31" t="str">
        <x:v>KEEP</x:v>
      </x:c>
    </x:row>
    <x:row r="281">
      <x:c r="G281" s="320" t="str">
        <x:v>PAPER LAB LEARNING — AUG 30 UPDATE</x:v>
      </x:c>
      <x:c r="H281" s="320"/>
      <x:c r="I281" s="320"/>
      <x:c r="J281" s="320"/>
      <x:c r="K281" s="320"/>
    </x:row>
    <x:row r="282">
      <x:c r="G282" s="323" t="str">
        <x:v>Finding</x:v>
      </x:c>
      <x:c r="H282" s="323" t="str">
        <x:v>Evidence</x:v>
      </x:c>
      <x:c r="I282" s="323" t="str">
        <x:v>Status</x:v>
      </x:c>
      <x:c r="J282" s="323" t="str">
        <x:v>Main-card implication</x:v>
      </x:c>
      <x:c r="K282" s="323" t="str">
        <x:v>Next test</x:v>
      </x:c>
    </x:row>
    <x:row r="283">
      <x:c r="G283" s="31" t="str">
        <x:v>HRR/composites</x:v>
      </x:c>
      <x:c r="H283" s="31" t="str">
        <x:v>5/6 settled raw HRR; 2/2 3-leg HRR SGPx</x:v>
      </x:c>
      <x:c r="I283" s="31" t="str">
        <x:v>PROMISING</x:v>
      </x:c>
      <x:c r="J283" s="31" t="str">
        <x:v>Use only when individually qualified; keep paired paper arms</x:v>
      </x:c>
      <x:c r="K283" s="31" t="str">
        <x:v>15 priced hitter clusters</x:v>
      </x:c>
    </x:row>
    <x:row r="284">
      <x:c r="G284" s="31" t="str">
        <x:v>2+ TB</x:v>
      </x:c>
      <x:c r="H284" s="31" t="str">
        <x:v>1/7 settled raw</x:v>
      </x:c>
      <x:c r="I284" s="31" t="str">
        <x:v>DEMOTED</x:v>
      </x:c>
      <x:c r="J284" s="31" t="str">
        <x:v>Max one per real parlay</x:v>
      </x:c>
      <x:c r="K284" s="31" t="str">
        <x:v>15 priced TB clusters + CLV</x:v>
      </x:c>
    </x:row>
    <x:row r="285">
      <x:c r="G285" s="31" t="str">
        <x:v>Threshold buy-down</x:v>
      </x:c>
      <x:c r="H285" s="31" t="str">
        <x:v>Thomas 8 vs 9; Miller 60 vs 65.5 both saved by lower line</x:v>
      </x:c>
      <x:c r="I285" s="31" t="str">
        <x:v>PROMISING</x:v>
      </x:c>
      <x:c r="J285" s="31" t="str">
        <x:v>Spend excess promo odds on probability after edge is valid</x:v>
      </x:c>
      <x:c r="K285" s="31" t="str">
        <x:v>20 paired thresholds</x:v>
      </x:c>
    </x:row>
    <x:row r="286">
      <x:c r="G286" s="31" t="str">
        <x:v>NRFI filtering</x:v>
      </x:c>
      <x:c r="H286" s="31" t="str">
        <x:v>Strong 2-leg pair won; prior 3-leg source cards weak</x:v>
      </x:c>
      <x:c r="I286" s="31" t="str">
        <x:v>PROMISING</x:v>
      </x:c>
      <x:c r="J286" s="31" t="str">
        <x:v>Single/2-leg only</x:v>
      </x:c>
      <x:c r="K286" s="31" t="str">
        <x:v>15 NRFI games / 8 two-leg cards</x:v>
      </x:c>
    </x:row>
    <x:row r="287">
      <x:c r="G287" s="31" t="str">
        <x:v>Tier calibration</x:v>
      </x:c>
      <x:c r="H287" s="31" t="str">
        <x:v>A/A- priced rows currently below market-implied expected wins</x:v>
      </x:c>
      <x:c r="I287" s="31" t="str">
        <x:v>REDESIGN</x:v>
      </x:c>
      <x:c r="J287" s="31" t="str">
        <x:v>Tier alone cannot authorize real bet</x:v>
      </x:c>
      <x:c r="K287" s="31" t="str">
        <x:v>Market-family calibrated scoring</x:v>
      </x:c>
    </x:row>
    <x:row r="288">
      <x:c r="G288" s="31" t="str">
        <x:v>Correlation control</x:v>
      </x:c>
      <x:c r="H288" s="31" t="str">
        <x:v>Subset rows heavily reuse same games/theses</x:v>
      </x:c>
      <x:c r="I288" s="31" t="str">
        <x:v>ACTIVE</x:v>
      </x:c>
      <x:c r="J288" s="31" t="str">
        <x:v>Use cluster N, not raw row N</x:v>
      </x:c>
      <x:c r="K288" s="31" t="str">
        <x:v>Tag future paper rows by thesis cluster</x:v>
      </x:c>
    </x:row>
    <x:row r="289">
      <x:c r="G289" s="31" t="str">
        <x:v>HR: ROI &gt; hit rate</x:v>
      </x:c>
      <x:c r="H289" s="31" t="str">
        <x:v>Longshot wins can offset many misses</x:v>
      </x:c>
      <x:c r="I289" s="31" t="str">
        <x:v>LOW</x:v>
      </x:c>
      <x:c r="J289" s="31" t="str">
        <x:v>Require exact price + CLV + 50+ sample</x:v>
      </x:c>
      <x:c r="K289" s="31" t="str">
        <x:v>INCUBATE</x:v>
      </x:c>
    </x:row>
    <x:row r="290">
      <x:c r="A290" s="330" t="str">
        <x:v>v0.40 UPDATE — 2026-09-02</x:v>
      </x:c>
      <x:c r="B290" s="330"/>
      <x:c r="C290" s="330"/>
      <x:c r="D290" s="330"/>
      <x:c r="E290" s="330"/>
      <x:c r="F290" s="330"/>
      <x:c r="G290" s="330"/>
      <x:c r="H290" s="330"/>
      <x:c r="I290" s="330"/>
      <x:c r="J290" s="330"/>
      <x:c r="K290" s="330"/>
      <x:c r="L290" s="330"/>
    </x:row>
    <x:row r="291">
      <x:c r="A291" s="31" t="str">
        <x:v>Added confirmed Aug. 30 real-card settlement, Sept. 1 winning real bets/promos, and recovered Aug. 31 paper closeout.</x:v>
      </x:c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</x:row>
    <x:row r="292">
      <x:c r="A292" s="31" t="str">
        <x:v>Data integrity note: where exact Aug. 30 parlay odds/payouts were not recoverable, W/L and leg outcomes are recorded but economics are intentionally left blank rather than fabricated.</x:v>
      </x:c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</x:row>
    <x:row r="293">
      <x:c r="A293" s="31" t="str">
        <x:v>Sept. 1: $12.11 start -&gt; $21.06 end; $2 risked; +$8.95 net. SGPx +454 and Walker HR +441 both won.</x:v>
      </x:c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</x:row>
  </x:sheetData>
  <x:mergeCells>
    <x:mergeCell ref="A1:H1"/>
    <x:mergeCell ref="A17:H19"/>
    <x:mergeCell ref="A21:H23"/>
    <x:mergeCell ref="E4:H4"/>
    <x:mergeCell ref="E5:H5"/>
    <x:mergeCell ref="E6:H6"/>
    <x:mergeCell ref="E7:H7"/>
    <x:mergeCell ref="E8:H8"/>
    <x:mergeCell ref="G1:L1"/>
    <x:mergeCell ref="G10:L10"/>
    <x:mergeCell ref="G19:L19"/>
    <x:mergeCell ref="G26:L26"/>
    <x:mergeCell ref="G34:L34"/>
    <x:mergeCell ref="G39:L39"/>
    <x:mergeCell ref="G47:L47"/>
    <x:mergeCell ref="G52:L52"/>
    <x:mergeCell ref="G57:L57"/>
    <x:mergeCell ref="G63:L63"/>
    <x:mergeCell ref="G69:L69"/>
    <x:mergeCell ref="G76:L76"/>
    <x:mergeCell ref="G89:L89"/>
    <x:mergeCell ref="G98:L98"/>
    <x:mergeCell ref="G108:L108"/>
    <x:mergeCell ref="G120:L120"/>
    <x:mergeCell ref="G126:L126"/>
    <x:mergeCell ref="G137:L137"/>
    <x:mergeCell ref="G145:K145"/>
    <x:mergeCell ref="G158:K158"/>
    <x:mergeCell ref="G174:K174"/>
    <x:mergeCell ref="G181:K181"/>
    <x:mergeCell ref="G192:K192"/>
    <x:mergeCell ref="G202:K202"/>
    <x:mergeCell ref="G209:K209"/>
    <x:mergeCell ref="G218:K218"/>
    <x:mergeCell ref="G225:K225"/>
    <x:mergeCell ref="G235:K235"/>
    <x:mergeCell ref="G241:K241"/>
    <x:mergeCell ref="G251:K251"/>
    <x:mergeCell ref="G257:K257"/>
    <x:mergeCell ref="G268:K268"/>
    <x:mergeCell ref="G281:K281"/>
  </x:mergeCells>
  <x:pageMargins left="0.7" right="0.7" top="0.75" bottom="0.75" header="0.3" footer="0.3"/>
  <x:drawing xmlns:r="http://schemas.openxmlformats.org/officeDocument/2006/relationships" r:id="R1ab280de2b344bc9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4" hidden="0" customWidth="1"/>
    <x:col min="5" max="5" width="10" hidden="0" customWidth="1"/>
    <x:col min="6" max="6" width="14" hidden="0" customWidth="1"/>
    <x:col min="7" max="7" width="20" hidden="0" customWidth="1"/>
    <x:col min="8" max="8" width="18" hidden="0" customWidth="1"/>
    <x:col min="9" max="9" width="24" hidden="0" customWidth="1"/>
    <x:col min="10" max="10" width="10" hidden="0" customWidth="1"/>
    <x:col min="11" max="11" width="12" hidden="0" customWidth="1"/>
    <x:col min="12" max="12" width="12" hidden="0" customWidth="1"/>
    <x:col min="13" max="13" width="18" hidden="0" customWidth="1"/>
    <x:col min="14" max="14" width="9" hidden="0" customWidth="1"/>
    <x:col min="15" max="15" width="10" hidden="0" customWidth="1"/>
    <x:col min="16" max="16" width="8" hidden="0" customWidth="1"/>
    <x:col min="17" max="17" width="12" hidden="0" customWidth="1"/>
    <x:col min="18" max="18" width="12" hidden="0" customWidth="1"/>
    <x:col min="19" max="19" width="18" hidden="0" customWidth="1"/>
    <x:col min="20" max="20" width="28" hidden="0" customWidth="1"/>
    <x:col min="21" max="21" width="36" hidden="0" customWidth="1"/>
    <x:col min="22" max="22" width="38" hidden="0" customWidth="1"/>
  </x:cols>
  <x:sheetData>
    <x:row r="1" ht="28" customHeight="1">
      <x:c r="A1" s="30" t="str">
        <x:v>Date</x:v>
      </x:c>
      <x:c r="B1" s="30" t="str">
        <x:v>Candidate ID</x:v>
      </x:c>
      <x:c r="C1" s="30" t="str">
        <x:v>Source Bucket</x:v>
      </x:c>
      <x:c r="D1" s="30" t="str">
        <x:v>Source / Research Set</x:v>
      </x:c>
      <x:c r="E1" s="30" t="str">
        <x:v>Sport</x:v>
      </x:c>
      <x:c r="F1" s="30" t="str">
        <x:v>Game</x:v>
      </x:c>
      <x:c r="G1" s="30" t="str">
        <x:v>Entity</x:v>
      </x:c>
      <x:c r="H1" s="30" t="str">
        <x:v>Market Family</x:v>
      </x:c>
      <x:c r="I1" s="30" t="str">
        <x:v>Bet / Proposition</x:v>
      </x:c>
      <x:c r="J1" s="30" t="str">
        <x:v>Line</x:v>
      </x:c>
      <x:c r="K1" s="30" t="str">
        <x:v>Odds (American)</x:v>
      </x:c>
      <x:c r="L1" s="30" t="str">
        <x:v>Implied Prob</x:v>
      </x:c>
      <x:c r="M1" s="30" t="str">
        <x:v>Decision</x:v>
      </x:c>
      <x:c r="N1" s="30" t="str">
        <x:v>Placed?</x:v>
      </x:c>
      <x:c r="O1" s="30" t="str">
        <x:v>Result</x:v>
      </x:c>
      <x:c r="P1" s="30" t="str">
        <x:v>Win</x:v>
      </x:c>
      <x:c r="Q1" s="30" t="str">
        <x:v>Actual Value</x:v>
      </x:c>
      <x:c r="R1" s="30" t="str">
        <x:v>Stake Attributed</x:v>
      </x:c>
      <x:c r="S1" s="30" t="str">
        <x:v>Ticket IDs</x:v>
      </x:c>
      <x:c r="T1" s="30" t="str">
        <x:v>Loss Classification</x:v>
      </x:c>
      <x:c r="U1" s="30" t="str">
        <x:v>Market Conversion / Missed Opportunity Note</x:v>
      </x:c>
      <x:c r="V1" s="30" t="str">
        <x:v>Notes</x:v>
      </x:c>
      <x:c r="W1" s="31"/>
      <x:c r="X1" s="31"/>
      <x:c r="Y1" s="31"/>
      <x:c r="Z1" s="31"/>
    </x:row>
    <x:row r="2">
      <x:c r="A2" s="31" t="str">
        <x:v>2026-08-24</x:v>
      </x:c>
      <x:c r="B2" s="31" t="str">
        <x:v>A24-C01</x:v>
      </x:c>
      <x:c r="C2" s="31" t="str">
        <x:v>SOURCED</x:v>
      </x:c>
      <x:c r="D2" s="31" t="str">
        <x:v>Source Single</x:v>
      </x:c>
      <x:c r="E2" s="31" t="str">
        <x:v>WNBA</x:v>
      </x:c>
      <x:c r="F2" s="31" t="str">
        <x:v>GSV @ MIN</x:v>
      </x:c>
      <x:c r="G2" s="31" t="str">
        <x:v>Napheesa Collier</x:v>
      </x:c>
      <x:c r="H2" s="31" t="str">
        <x:v>WNBA PRA</x:v>
      </x:c>
      <x:c r="I2" s="31" t="str">
        <x:v>30+ PRA</x:v>
      </x:c>
      <x:c r="J2" s="31" t="n">
        <x:v>30</x:v>
      </x:c>
      <x:c r="K2" s="31" t="n">
        <x:v>-149</x:v>
      </x:c>
      <x:c r="L2" s="32" t="n">
        <x:f>IF(K2="","",IF(K2&gt;0,100/(K2+100),-K2/(-K2+100)))</x:f>
        <x:v>0.5983935742971888</x:v>
      </x:c>
      <x:c r="M2" s="31" t="str">
        <x:v>BET</x:v>
      </x:c>
      <x:c r="N2" s="31" t="str">
        <x:v>Y</x:v>
      </x:c>
      <x:c r="O2" s="31" t="str">
        <x:v>Loss</x:v>
      </x:c>
      <x:c r="P2" s="31" t="n">
        <x:v>0</x:v>
      </x:c>
      <x:c r="Q2" s="31" t="n">
        <x:v>18</x:v>
      </x:c>
      <x:c r="R2" s="33" t="n">
        <x:v>1</x:v>
      </x:c>
      <x:c r="S2" s="31" t="str">
        <x:v>A24-T01</x:v>
      </x:c>
      <x:c r="T2" s="31" t="str">
        <x:v>Bad handicap</x:v>
      </x:c>
      <x:c r="U2" s="31" t="str">
        <x:v>Threshold/defense overpowered rest/role thesis</x:v>
      </x:c>
      <x:c r="V2" s="31" t="str">
        <x:v>Golden State defense/pace was a major negative.</x:v>
      </x:c>
      <x:c r="W2" s="31"/>
      <x:c r="X2" s="31"/>
      <x:c r="Y2" s="31"/>
      <x:c r="Z2" s="31"/>
    </x:row>
    <x:row r="3">
      <x:c r="A3" s="31" t="str">
        <x:v>2026-08-24</x:v>
      </x:c>
      <x:c r="B3" s="31" t="str">
        <x:v>A24-C02</x:v>
      </x:c>
      <x:c r="C3" s="31" t="str">
        <x:v>HYBRID</x:v>
      </x:c>
      <x:c r="D3" s="31" t="str">
        <x:v>HR Research + independent validation</x:v>
      </x:c>
      <x:c r="E3" s="31" t="str">
        <x:v>MLB</x:v>
      </x:c>
      <x:c r="F3" s="31" t="str">
        <x:v>CHC @ ARI</x:v>
      </x:c>
      <x:c r="G3" s="31" t="str">
        <x:v>Pete Crow-Armstrong</x:v>
      </x:c>
      <x:c r="H3" s="31" t="str">
        <x:v>HR</x:v>
      </x:c>
      <x:c r="I3" s="31" t="str">
        <x:v>HR</x:v>
      </x:c>
      <x:c r="J3" s="31" t="n">
        <x:v>1</x:v>
      </x:c>
      <x:c r="K3" s="31" t="n">
        <x:v>343</x:v>
      </x:c>
      <x:c r="L3" s="32" t="n">
        <x:f>IF(K3="","",IF(K3&gt;0,100/(K3+100),-K3/(-K3+100)))</x:f>
        <x:v>0.22573363431151242</x:v>
      </x:c>
      <x:c r="M3" s="31" t="str">
        <x:v>BET</x:v>
      </x:c>
      <x:c r="N3" s="31" t="str">
        <x:v>Y</x:v>
      </x:c>
      <x:c r="O3" s="31" t="str">
        <x:v>Loss</x:v>
      </x:c>
      <x:c r="P3" s="31" t="n">
        <x:v>0</x:v>
      </x:c>
      <x:c r="Q3" s="31" t="n">
        <x:v>0</x:v>
      </x:c>
      <x:c r="R3" s="33" t="n">
        <x:v>5</x:v>
      </x:c>
      <x:c r="S3" s="31" t="str">
        <x:v>A24-T02</x:v>
      </x:c>
      <x:c r="T3" s="31" t="str">
        <x:v>Normal variance / HR</x:v>
      </x:c>
      <x:c r="U3" s="31" t="str">
        <x:v>Strong player signal, high-variance market expression</x:v>
      </x:c>
      <x:c r="V3" s="31" t="str">
        <x:v>Largest non-roller single exposure.</x:v>
      </x:c>
      <x:c r="W3" s="31"/>
      <x:c r="X3" s="31"/>
      <x:c r="Y3" s="31"/>
      <x:c r="Z3" s="31"/>
    </x:row>
    <x:row r="4">
      <x:c r="A4" s="31" t="str">
        <x:v>2026-08-24</x:v>
      </x:c>
      <x:c r="B4" s="31" t="str">
        <x:v>A24-C03</x:v>
      </x:c>
      <x:c r="C4" s="31" t="str">
        <x:v>SOURCED</x:v>
      </x:c>
      <x:c r="D4" s="31" t="str">
        <x:v>UDLR Single</x:v>
      </x:c>
      <x:c r="E4" s="31" t="str">
        <x:v>MLB</x:v>
      </x:c>
      <x:c r="F4" s="31" t="str">
        <x:v>PIT @ SD</x:v>
      </x:c>
      <x:c r="G4" s="31" t="str">
        <x:v>Fernando Tatis Jr.</x:v>
      </x:c>
      <x:c r="H4" s="31" t="str">
        <x:v>2+ Total Bases</x:v>
      </x:c>
      <x:c r="I4" s="31" t="str">
        <x:v>2+ TB</x:v>
      </x:c>
      <x:c r="J4" s="31" t="n">
        <x:v>2</x:v>
      </x:c>
      <x:c r="K4" s="31" t="n">
        <x:v>115</x:v>
      </x:c>
      <x:c r="L4" s="32" t="n">
        <x:f>IF(K4="","",IF(K4&gt;0,100/(K4+100),-K4/(-K4+100)))</x:f>
        <x:v>0.46511627906976744</x:v>
      </x:c>
      <x:c r="M4" s="31" t="str">
        <x:v>BET</x:v>
      </x:c>
      <x:c r="N4" s="31" t="str">
        <x:v>Y</x:v>
      </x:c>
      <x:c r="O4" s="31" t="str">
        <x:v>Loss</x:v>
      </x:c>
      <x:c r="P4" s="31" t="n">
        <x:v>0</x:v>
      </x:c>
      <x:c r="Q4" s="31" t="n">
        <x:v>0</x:v>
      </x:c>
      <x:c r="R4" s="33" t="n">
        <x:v>2</x:v>
      </x:c>
      <x:c r="S4" s="31" t="str">
        <x:v>A24-T03</x:v>
      </x:c>
      <x:c r="T4" s="31" t="str">
        <x:v>Hitter miss</x:v>
      </x:c>
      <x:c r="U4" s="31" t="str">
        <x:v>Strong recent form did not convert</x:v>
      </x:c>
      <x:c r="V4" s="31" t="str">
        <x:v>CORE exposure.</x:v>
      </x:c>
      <x:c r="W4" s="31"/>
      <x:c r="X4" s="31"/>
      <x:c r="Y4" s="31"/>
      <x:c r="Z4" s="31"/>
    </x:row>
    <x:row r="5">
      <x:c r="A5" s="31" t="str">
        <x:v>2026-08-24</x:v>
      </x:c>
      <x:c r="B5" s="31" t="str">
        <x:v>A24-C04</x:v>
      </x:c>
      <x:c r="C5" s="31" t="str">
        <x:v>SOURCED</x:v>
      </x:c>
      <x:c r="D5" s="31" t="str">
        <x:v>UDLR 3-Pack / Bases Loaded</x:v>
      </x:c>
      <x:c r="E5" s="31" t="str">
        <x:v>MLB</x:v>
      </x:c>
      <x:c r="F5" s="31" t="str">
        <x:v>CHC @ ARI</x:v>
      </x:c>
      <x:c r="G5" s="31" t="str">
        <x:v>Pete Crow-Armstrong</x:v>
      </x:c>
      <x:c r="H5" s="31" t="str">
        <x:v>2+ Total Bases</x:v>
      </x:c>
      <x:c r="I5" s="31" t="str">
        <x:v>2+ TB</x:v>
      </x:c>
      <x:c r="J5" s="31" t="n">
        <x:v>2</x:v>
      </x:c>
      <x:c r="K5" s="31" t="n">
        <x:v>-126</x:v>
      </x:c>
      <x:c r="L5" s="32" t="n">
        <x:f>IF(K5="","",IF(K5&gt;0,100/(K5+100),-K5/(-K5+100)))</x:f>
        <x:v>0.5575221238938053</x:v>
      </x:c>
      <x:c r="M5" s="31" t="str">
        <x:v>BET</x:v>
      </x:c>
      <x:c r="N5" s="31" t="str">
        <x:v>Y</x:v>
      </x:c>
      <x:c r="O5" s="31" t="str">
        <x:v>Loss</x:v>
      </x:c>
      <x:c r="P5" s="31" t="n">
        <x:v>0</x:v>
      </x:c>
      <x:c r="Q5" s="31" t="n">
        <x:v>0</x:v>
      </x:c>
      <x:c r="R5" s="33" t="n">
        <x:v>2</x:v>
      </x:c>
      <x:c r="S5" s="31" t="str">
        <x:v>A24-T04;A24-T08</x:v>
      </x:c>
      <x:c r="T5" s="31" t="str">
        <x:v>Hitter miss / price deterioration</x:v>
      </x:c>
      <x:c r="U5" s="31" t="str">
        <x:v>Source price had been +122; entry fell to -126</x:v>
      </x:c>
      <x:c r="V5" s="31" t="str">
        <x:v>Important CLV/entry-price lesson.</x:v>
      </x:c>
      <x:c r="W5" s="31"/>
      <x:c r="X5" s="31"/>
      <x:c r="Y5" s="31"/>
      <x:c r="Z5" s="31"/>
    </x:row>
    <x:row r="6">
      <x:c r="A6" s="31" t="str">
        <x:v>2026-08-24</x:v>
      </x:c>
      <x:c r="B6" s="31" t="str">
        <x:v>A24-C05</x:v>
      </x:c>
      <x:c r="C6" s="31" t="str">
        <x:v>DISCOVERED</x:v>
      </x:c>
      <x:c r="D6" s="31" t="str">
        <x:v>WNBA Promo Construction</x:v>
      </x:c>
      <x:c r="E6" s="31" t="str">
        <x:v>WNBA</x:v>
      </x:c>
      <x:c r="F6" s="31" t="str">
        <x:v>GSV @ MIN</x:v>
      </x:c>
      <x:c r="G6" s="31" t="str">
        <x:v>Napheesa Collier</x:v>
      </x:c>
      <x:c r="H6" s="31" t="str">
        <x:v>Assists</x:v>
      </x:c>
      <x:c r="I6" s="31" t="str">
        <x:v>3+ assists</x:v>
      </x:c>
      <x:c r="J6" s="31" t="n">
        <x:v>3</x:v>
      </x:c>
      <x:c r="K6" s="31"/>
      <x:c r="L6" s="32" t="str">
        <x:f>IF(K6="","",IF(K6&gt;0,100/(K6+100),-K6/(-K6+100)))</x:f>
      </x:c>
      <x:c r="M6" s="31" t="str">
        <x:v>BET</x:v>
      </x:c>
      <x:c r="N6" s="31" t="str">
        <x:v>Y</x:v>
      </x:c>
      <x:c r="O6" s="31" t="str">
        <x:v>Loss</x:v>
      </x:c>
      <x:c r="P6" s="31" t="n">
        <x:v>0</x:v>
      </x:c>
      <x:c r="Q6" s="31" t="n">
        <x:v>2</x:v>
      </x:c>
      <x:c r="R6" s="33" t="n">
        <x:v>0.33</x:v>
      </x:c>
      <x:c r="S6" s="31" t="str">
        <x:v>A24-T05</x:v>
      </x:c>
      <x:c r="T6" s="31" t="str">
        <x:v>Threshold miss</x:v>
      </x:c>
      <x:c r="U6" s="31" t="str">
        <x:v>Finished exactly one assist short</x:v>
      </x:c>
      <x:c r="V6" s="31" t="str">
        <x:v>Attributed stake is equal split for descriptive analysis only.</x:v>
      </x:c>
      <x:c r="W6" s="31"/>
      <x:c r="X6" s="31"/>
      <x:c r="Y6" s="31"/>
      <x:c r="Z6" s="31"/>
    </x:row>
    <x:row r="7">
      <x:c r="A7" s="31" t="str">
        <x:v>2026-08-24</x:v>
      </x:c>
      <x:c r="B7" s="31" t="str">
        <x:v>A24-C06</x:v>
      </x:c>
      <x:c r="C7" s="31" t="str">
        <x:v>DISCOVERED</x:v>
      </x:c>
      <x:c r="D7" s="31" t="str">
        <x:v>WNBA Promo Construction</x:v>
      </x:c>
      <x:c r="E7" s="31" t="str">
        <x:v>WNBA</x:v>
      </x:c>
      <x:c r="F7" s="31" t="str">
        <x:v>GSV @ MIN</x:v>
      </x:c>
      <x:c r="G7" s="31" t="str">
        <x:v>GSV/MIN</x:v>
      </x:c>
      <x:c r="H7" s="31" t="str">
        <x:v>Game Total</x:v>
      </x:c>
      <x:c r="I7" s="31" t="str">
        <x:v>Under 159.5</x:v>
      </x:c>
      <x:c r="J7" s="31" t="n">
        <x:v>159.5</x:v>
      </x:c>
      <x:c r="K7" s="31"/>
      <x:c r="L7" s="32" t="str">
        <x:f>IF(K7="","",IF(K7&gt;0,100/(K7+100),-K7/(-K7+100)))</x:f>
      </x:c>
      <x:c r="M7" s="31" t="str">
        <x:v>BET</x:v>
      </x:c>
      <x:c r="N7" s="31" t="str">
        <x:v>Y</x:v>
      </x:c>
      <x:c r="O7" s="31" t="str">
        <x:v>Win</x:v>
      </x:c>
      <x:c r="P7" s="31" t="n">
        <x:v>1</x:v>
      </x:c>
      <x:c r="Q7" s="31" t="n">
        <x:v>146</x:v>
      </x:c>
      <x:c r="R7" s="33" t="n">
        <x:v>0.33</x:v>
      </x:c>
      <x:c r="S7" s="31" t="str">
        <x:v>A24-T05</x:v>
      </x:c>
      <x:c r="T7" s="31" t="str"/>
      <x:c r="U7" s="31" t="str">
        <x:v>Correct game-environment read</x:v>
      </x:c>
      <x:c r="V7" s="31" t="str">
        <x:v>Attributed stake is equal split for descriptive analysis only.</x:v>
      </x:c>
      <x:c r="W7" s="31"/>
      <x:c r="X7" s="31"/>
      <x:c r="Y7" s="31"/>
      <x:c r="Z7" s="31"/>
    </x:row>
    <x:row r="8">
      <x:c r="A8" s="31" t="str">
        <x:v>2026-08-24</x:v>
      </x:c>
      <x:c r="B8" s="31" t="str">
        <x:v>A24-C07</x:v>
      </x:c>
      <x:c r="C8" s="31" t="str">
        <x:v>DISCOVERED</x:v>
      </x:c>
      <x:c r="D8" s="31" t="str">
        <x:v>WNBA Promo Construction</x:v>
      </x:c>
      <x:c r="E8" s="31" t="str">
        <x:v>WNBA</x:v>
      </x:c>
      <x:c r="F8" s="31" t="str">
        <x:v>GSV @ MIN</x:v>
      </x:c>
      <x:c r="G8" s="31" t="str">
        <x:v>Minnesota Lynx</x:v>
      </x:c>
      <x:c r="H8" s="31" t="str">
        <x:v>Spread</x:v>
      </x:c>
      <x:c r="I8" s="31" t="str">
        <x:v>-6.5</x:v>
      </x:c>
      <x:c r="J8" s="31" t="n">
        <x:v>-6.5</x:v>
      </x:c>
      <x:c r="K8" s="31"/>
      <x:c r="L8" s="32" t="str">
        <x:f>IF(K8="","",IF(K8&gt;0,100/(K8+100),-K8/(-K8+100)))</x:f>
      </x:c>
      <x:c r="M8" s="31" t="str">
        <x:v>BET</x:v>
      </x:c>
      <x:c r="N8" s="31" t="str">
        <x:v>Y</x:v>
      </x:c>
      <x:c r="O8" s="31" t="str">
        <x:v>Loss</x:v>
      </x:c>
      <x:c r="P8" s="31" t="n">
        <x:v>0</x:v>
      </x:c>
      <x:c r="Q8" s="31" t="n">
        <x:v>-14</x:v>
      </x:c>
      <x:c r="R8" s="33" t="n">
        <x:v>0.34</x:v>
      </x:c>
      <x:c r="S8" s="31" t="str">
        <x:v>A24-T05</x:v>
      </x:c>
      <x:c r="T8" s="31" t="str">
        <x:v>Bad handicap</x:v>
      </x:c>
      <x:c r="U8" s="31" t="str">
        <x:v>Lost outright; not merely a cover miss</x:v>
      </x:c>
      <x:c r="V8" s="31" t="str"/>
      <x:c r="W8" s="31"/>
      <x:c r="X8" s="31"/>
      <x:c r="Y8" s="31"/>
      <x:c r="Z8" s="31"/>
    </x:row>
    <x:row r="9">
      <x:c r="A9" s="31" t="str">
        <x:v>2026-08-24</x:v>
      </x:c>
      <x:c r="B9" s="31" t="str">
        <x:v>A24-C08</x:v>
      </x:c>
      <x:c r="C9" s="31" t="str">
        <x:v>SOURCED</x:v>
      </x:c>
      <x:c r="D9" s="31" t="str">
        <x:v>Original 3-leg NRFI / MLB Promo</x:v>
      </x:c>
      <x:c r="E9" s="31" t="str">
        <x:v>MLB</x:v>
      </x:c>
      <x:c r="F9" s="31" t="str">
        <x:v>TB @ DET</x:v>
      </x:c>
      <x:c r="G9" s="31" t="str">
        <x:v>TB/DET</x:v>
      </x:c>
      <x:c r="H9" s="31" t="str">
        <x:v>NRFI</x:v>
      </x:c>
      <x:c r="I9" s="31" t="str">
        <x:v>NRFI</x:v>
      </x:c>
      <x:c r="J9" s="31"/>
      <x:c r="K9" s="31"/>
      <x:c r="L9" s="32" t="str">
        <x:f>IF(K9="","",IF(K9&gt;0,100/(K9+100),-K9/(-K9+100)))</x:f>
      </x:c>
      <x:c r="M9" s="31" t="str">
        <x:v>BET</x:v>
      </x:c>
      <x:c r="N9" s="31" t="str">
        <x:v>Y</x:v>
      </x:c>
      <x:c r="O9" s="31" t="str">
        <x:v>Loss</x:v>
      </x:c>
      <x:c r="P9" s="31" t="n">
        <x:v>0</x:v>
      </x:c>
      <x:c r="Q9" s="31"/>
      <x:c r="R9" s="33" t="n">
        <x:v>2</x:v>
      </x:c>
      <x:c r="S9" s="31" t="str">
        <x:v>A24-T06;A24-T10</x:v>
      </x:c>
      <x:c r="T9" s="31" t="str">
        <x:v>Normal variance - defensive error</x:v>
      </x:c>
      <x:c r="U9" s="31" t="str">
        <x:v>Single became triple on fielding error before run scored</x:v>
      </x:c>
      <x:c r="V9" s="31" t="str">
        <x:v>Duplicated exposure damaged two tickets.</x:v>
      </x:c>
      <x:c r="W9" s="31"/>
      <x:c r="X9" s="31"/>
      <x:c r="Y9" s="31"/>
      <x:c r="Z9" s="31"/>
    </x:row>
    <x:row r="10">
      <x:c r="A10" s="31" t="str">
        <x:v>2026-08-24</x:v>
      </x:c>
      <x:c r="B10" s="31" t="str">
        <x:v>A24-C09</x:v>
      </x:c>
      <x:c r="C10" s="31" t="str">
        <x:v>SOURCED</x:v>
      </x:c>
      <x:c r="D10" s="31" t="str">
        <x:v>UDLR 3-Pack / MLB Promo</x:v>
      </x:c>
      <x:c r="E10" s="31" t="str">
        <x:v>MLB</x:v>
      </x:c>
      <x:c r="F10" s="31" t="str">
        <x:v>TB @ DET</x:v>
      </x:c>
      <x:c r="G10" s="31" t="str">
        <x:v>Junior Caminero</x:v>
      </x:c>
      <x:c r="H10" s="31" t="str">
        <x:v>H+R+RBI</x:v>
      </x:c>
      <x:c r="I10" s="31" t="str">
        <x:v>2+ H+R+RBI</x:v>
      </x:c>
      <x:c r="J10" s="31" t="n">
        <x:v>2</x:v>
      </x:c>
      <x:c r="K10" s="31"/>
      <x:c r="L10" s="32" t="str">
        <x:f>IF(K10="","",IF(K10&gt;0,100/(K10+100),-K10/(-K10+100)))</x:f>
      </x:c>
      <x:c r="M10" s="31" t="str">
        <x:v>BET</x:v>
      </x:c>
      <x:c r="N10" s="31" t="str">
        <x:v>Y</x:v>
      </x:c>
      <x:c r="O10" s="31" t="str">
        <x:v>Win</x:v>
      </x:c>
      <x:c r="P10" s="31" t="n">
        <x:v>1</x:v>
      </x:c>
      <x:c r="Q10" s="31"/>
      <x:c r="R10" s="33" t="n">
        <x:v>1.33</x:v>
      </x:c>
      <x:c r="S10" s="31" t="str">
        <x:v>A24-T06;A24-T08</x:v>
      </x:c>
      <x:c r="T10" s="31" t="str"/>
      <x:c r="U10" s="31" t="str">
        <x:v>Strong multi-source convergence delivered</x:v>
      </x:c>
      <x:c r="V10" s="31" t="str"/>
      <x:c r="W10" s="31"/>
      <x:c r="X10" s="31"/>
      <x:c r="Y10" s="31"/>
      <x:c r="Z10" s="31"/>
    </x:row>
    <x:row r="11">
      <x:c r="A11" s="31" t="str">
        <x:v>2026-08-24</x:v>
      </x:c>
      <x:c r="B11" s="31" t="str">
        <x:v>A24-C10</x:v>
      </x:c>
      <x:c r="C11" s="31" t="str">
        <x:v>SOURCED</x:v>
      </x:c>
      <x:c r="D11" s="31" t="str">
        <x:v>Original Pitcher Unders / MLB Promo</x:v>
      </x:c>
      <x:c r="E11" s="31" t="str">
        <x:v>MLB</x:v>
      </x:c>
      <x:c r="F11" s="31" t="str">
        <x:v>TB @ DET</x:v>
      </x:c>
      <x:c r="G11" s="31" t="str">
        <x:v>Framber Valdez</x:v>
      </x:c>
      <x:c r="H11" s="31" t="str">
        <x:v>Hits Allowed</x:v>
      </x:c>
      <x:c r="I11" s="31" t="str">
        <x:v>7 or fewer hits</x:v>
      </x:c>
      <x:c r="J11" s="31" t="n">
        <x:v>7</x:v>
      </x:c>
      <x:c r="K11" s="31"/>
      <x:c r="L11" s="32" t="str">
        <x:f>IF(K11="","",IF(K11&gt;0,100/(K11+100),-K11/(-K11+100)))</x:f>
      </x:c>
      <x:c r="M11" s="31" t="str">
        <x:v>BET</x:v>
      </x:c>
      <x:c r="N11" s="31" t="str">
        <x:v>Y</x:v>
      </x:c>
      <x:c r="O11" s="31" t="str">
        <x:v>Loss</x:v>
      </x:c>
      <x:c r="P11" s="31" t="n">
        <x:v>0</x:v>
      </x:c>
      <x:c r="Q11" s="31" t="n">
        <x:v>8</x:v>
      </x:c>
      <x:c r="R11" s="33" t="n">
        <x:v>1.83</x:v>
      </x:c>
      <x:c r="S11" s="31" t="str">
        <x:v>A24-T06;A24-T11</x:v>
      </x:c>
      <x:c r="T11" s="31" t="str">
        <x:v>Threshold miss</x:v>
      </x:c>
      <x:c r="U11" s="31" t="str">
        <x:v>Allowed exactly 8 hits</x:v>
      </x:c>
      <x:c r="V11" s="31" t="str">
        <x:v>Duplicated exposure across two tickets.</x:v>
      </x:c>
      <x:c r="W11" s="31"/>
      <x:c r="X11" s="31"/>
      <x:c r="Y11" s="31"/>
      <x:c r="Z11" s="31"/>
    </x:row>
    <x:row r="12">
      <x:c r="A12" s="31" t="str">
        <x:v>2026-08-24</x:v>
      </x:c>
      <x:c r="B12" s="31" t="str">
        <x:v>A24-C11</x:v>
      </x:c>
      <x:c r="C12" s="31" t="str">
        <x:v>SOURCED</x:v>
      </x:c>
      <x:c r="D12" s="31" t="str">
        <x:v>HR Research</x:v>
      </x:c>
      <x:c r="E12" s="31" t="str">
        <x:v>MLB</x:v>
      </x:c>
      <x:c r="F12" s="31" t="str">
        <x:v>MIN @ ATH</x:v>
      </x:c>
      <x:c r="G12" s="31" t="str">
        <x:v>Kody Clemens</x:v>
      </x:c>
      <x:c r="H12" s="31" t="str">
        <x:v>HR</x:v>
      </x:c>
      <x:c r="I12" s="31" t="str">
        <x:v>HR</x:v>
      </x:c>
      <x:c r="J12" s="31" t="n">
        <x:v>1</x:v>
      </x:c>
      <x:c r="K12" s="31"/>
      <x:c r="L12" s="32" t="str">
        <x:f>IF(K12="","",IF(K12&gt;0,100/(K12+100),-K12/(-K12+100)))</x:f>
      </x:c>
      <x:c r="M12" s="31" t="str">
        <x:v>BET</x:v>
      </x:c>
      <x:c r="N12" s="31" t="str">
        <x:v>Y</x:v>
      </x:c>
      <x:c r="O12" s="31" t="str">
        <x:v>Loss</x:v>
      </x:c>
      <x:c r="P12" s="31" t="n">
        <x:v>0</x:v>
      </x:c>
      <x:c r="Q12" s="31" t="n">
        <x:v>0</x:v>
      </x:c>
      <x:c r="R12" s="33" t="n">
        <x:v>0.445</x:v>
      </x:c>
      <x:c r="S12" s="31" t="str">
        <x:v>A24-T07</x:v>
      </x:c>
      <x:c r="T12" s="31" t="str">
        <x:v>Normal variance / HR</x:v>
      </x:c>
      <x:c r="U12" s="31" t="str">
        <x:v>Good matchup did not convert to HR</x:v>
      </x:c>
      <x:c r="V12" s="31" t="str"/>
      <x:c r="W12" s="31"/>
      <x:c r="X12" s="31"/>
      <x:c r="Y12" s="31"/>
      <x:c r="Z12" s="31"/>
    </x:row>
    <x:row r="13">
      <x:c r="A13" s="31" t="str">
        <x:v>2026-08-24</x:v>
      </x:c>
      <x:c r="B13" s="31" t="str">
        <x:v>A24-C12</x:v>
      </x:c>
      <x:c r="C13" s="31" t="str">
        <x:v>SOURCED</x:v>
      </x:c>
      <x:c r="D13" s="31" t="str">
        <x:v>HR Research</x:v>
      </x:c>
      <x:c r="E13" s="31" t="str">
        <x:v>MLB</x:v>
      </x:c>
      <x:c r="F13" s="31" t="str">
        <x:v>PIT @ SD</x:v>
      </x:c>
      <x:c r="G13" s="31" t="str">
        <x:v>Jackson Merrill</x:v>
      </x:c>
      <x:c r="H13" s="31" t="str">
        <x:v>HR</x:v>
      </x:c>
      <x:c r="I13" s="31" t="str">
        <x:v>HR</x:v>
      </x:c>
      <x:c r="J13" s="31" t="n">
        <x:v>1</x:v>
      </x:c>
      <x:c r="K13" s="31"/>
      <x:c r="L13" s="32" t="str">
        <x:f>IF(K13="","",IF(K13&gt;0,100/(K13+100),-K13/(-K13+100)))</x:f>
      </x:c>
      <x:c r="M13" s="31" t="str">
        <x:v>BET</x:v>
      </x:c>
      <x:c r="N13" s="31" t="str">
        <x:v>Y</x:v>
      </x:c>
      <x:c r="O13" s="31" t="str">
        <x:v>Loss</x:v>
      </x:c>
      <x:c r="P13" s="31" t="n">
        <x:v>0</x:v>
      </x:c>
      <x:c r="Q13" s="31" t="n">
        <x:v>0</x:v>
      </x:c>
      <x:c r="R13" s="33" t="n">
        <x:v>0.445</x:v>
      </x:c>
      <x:c r="S13" s="31" t="str">
        <x:v>A24-T07</x:v>
      </x:c>
      <x:c r="T13" s="31" t="str">
        <x:v>Normal variance / HR</x:v>
      </x:c>
      <x:c r="U13" s="31" t="str">
        <x:v>Longshot satellite miss</x:v>
      </x:c>
      <x:c r="V13" s="31" t="str"/>
      <x:c r="W13" s="31"/>
      <x:c r="X13" s="31"/>
      <x:c r="Y13" s="31"/>
      <x:c r="Z13" s="31"/>
    </x:row>
    <x:row r="14">
      <x:c r="A14" s="31" t="str">
        <x:v>2026-08-24</x:v>
      </x:c>
      <x:c r="B14" s="31" t="str">
        <x:v>A24-C13</x:v>
      </x:c>
      <x:c r="C14" s="31" t="str">
        <x:v>SOURCED</x:v>
      </x:c>
      <x:c r="D14" s="31" t="str">
        <x:v>Original Hits / Adjusted 3-Pack</x:v>
      </x:c>
      <x:c r="E14" s="31" t="str">
        <x:v>MLB</x:v>
      </x:c>
      <x:c r="F14" s="31" t="str">
        <x:v>PIT @ SD</x:v>
      </x:c>
      <x:c r="G14" s="31" t="str">
        <x:v>Fernando Tatis Jr.</x:v>
      </x:c>
      <x:c r="H14" s="31" t="str">
        <x:v>1+ Hit</x:v>
      </x:c>
      <x:c r="I14" s="31" t="str">
        <x:v>1+ hit</x:v>
      </x:c>
      <x:c r="J14" s="31" t="n">
        <x:v>1</x:v>
      </x:c>
      <x:c r="K14" s="31"/>
      <x:c r="L14" s="32" t="str">
        <x:f>IF(K14="","",IF(K14&gt;0,100/(K14+100),-K14/(-K14+100)))</x:f>
      </x:c>
      <x:c r="M14" s="31" t="str">
        <x:v>BET</x:v>
      </x:c>
      <x:c r="N14" s="31" t="str">
        <x:v>Y</x:v>
      </x:c>
      <x:c r="O14" s="31" t="str">
        <x:v>Loss</x:v>
      </x:c>
      <x:c r="P14" s="31" t="n">
        <x:v>0</x:v>
      </x:c>
      <x:c r="Q14" s="31" t="n">
        <x:v>0</x:v>
      </x:c>
      <x:c r="R14" s="33" t="n">
        <x:v>0.33</x:v>
      </x:c>
      <x:c r="S14" s="31" t="str">
        <x:v>A24-T08</x:v>
      </x:c>
      <x:c r="T14" s="31" t="str">
        <x:v>Hitter miss</x:v>
      </x:c>
      <x:c r="U14" s="31" t="str">
        <x:v>Replacement for Burns did not improve ticket</x:v>
      </x:c>
      <x:c r="V14" s="31" t="str"/>
      <x:c r="W14" s="31"/>
      <x:c r="X14" s="31"/>
      <x:c r="Y14" s="31"/>
      <x:c r="Z14" s="31"/>
    </x:row>
    <x:row r="15">
      <x:c r="A15" s="31" t="str">
        <x:v>2026-08-24</x:v>
      </x:c>
      <x:c r="B15" s="31" t="str">
        <x:v>A24-C14</x:v>
      </x:c>
      <x:c r="C15" s="31" t="str">
        <x:v>SOURCED</x:v>
      </x:c>
      <x:c r="D15" s="31" t="str">
        <x:v>Best Bets</x:v>
      </x:c>
      <x:c r="E15" s="31" t="str">
        <x:v>MLB</x:v>
      </x:c>
      <x:c r="F15" s="31" t="str">
        <x:v>PIT @ SD</x:v>
      </x:c>
      <x:c r="G15" s="31" t="str">
        <x:v>Robbie Ray</x:v>
      </x:c>
      <x:c r="H15" s="31" t="str">
        <x:v>Pitcher Outs</x:v>
      </x:c>
      <x:c r="I15" s="31" t="str">
        <x:v>Over 16.5 outs</x:v>
      </x:c>
      <x:c r="J15" s="31" t="n">
        <x:v>16.5</x:v>
      </x:c>
      <x:c r="K15" s="31"/>
      <x:c r="L15" s="32" t="str">
        <x:f>IF(K15="","",IF(K15&gt;0,100/(K15+100),-K15/(-K15+100)))</x:f>
      </x:c>
      <x:c r="M15" s="31" t="str">
        <x:v>BET</x:v>
      </x:c>
      <x:c r="N15" s="31" t="str">
        <x:v>Y</x:v>
      </x:c>
      <x:c r="O15" s="31" t="str">
        <x:v>Loss</x:v>
      </x:c>
      <x:c r="P15" s="31" t="n">
        <x:v>0</x:v>
      </x:c>
      <x:c r="Q15" s="31" t="n">
        <x:v>16</x:v>
      </x:c>
      <x:c r="R15" s="33" t="n">
        <x:v>0.5</x:v>
      </x:c>
      <x:c r="S15" s="31" t="str">
        <x:v>A24-T09</x:v>
      </x:c>
      <x:c r="T15" s="31" t="str">
        <x:v>Threshold miss</x:v>
      </x:c>
      <x:c r="U15" s="31" t="str">
        <x:v>Finished with 16 outs; needed 17</x:v>
      </x:c>
      <x:c r="V15" s="31" t="str"/>
      <x:c r="W15" s="31"/>
      <x:c r="X15" s="31"/>
      <x:c r="Y15" s="31"/>
      <x:c r="Z15" s="31"/>
    </x:row>
    <x:row r="16">
      <x:c r="A16" s="31" t="str">
        <x:v>2026-08-24</x:v>
      </x:c>
      <x:c r="B16" s="31" t="str">
        <x:v>A24-C15</x:v>
      </x:c>
      <x:c r="C16" s="31" t="str">
        <x:v>SOURCED</x:v>
      </x:c>
      <x:c r="D16" s="31" t="str">
        <x:v>Best Bets</x:v>
      </x:c>
      <x:c r="E16" s="31" t="str">
        <x:v>WNBA</x:v>
      </x:c>
      <x:c r="F16" s="31" t="str">
        <x:v>ATL @ LA</x:v>
      </x:c>
      <x:c r="G16" s="31" t="str">
        <x:v>Atlanta Dream</x:v>
      </x:c>
      <x:c r="H16" s="31" t="str">
        <x:v>Spread</x:v>
      </x:c>
      <x:c r="I16" s="31" t="str">
        <x:v>-9.5</x:v>
      </x:c>
      <x:c r="J16" s="31" t="n">
        <x:v>-9.5</x:v>
      </x:c>
      <x:c r="K16" s="31"/>
      <x:c r="L16" s="32" t="str">
        <x:f>IF(K16="","",IF(K16&gt;0,100/(K16+100),-K16/(-K16+100)))</x:f>
      </x:c>
      <x:c r="M16" s="31" t="str">
        <x:v>BET</x:v>
      </x:c>
      <x:c r="N16" s="31" t="str">
        <x:v>Y</x:v>
      </x:c>
      <x:c r="O16" s="31" t="str">
        <x:v>Loss</x:v>
      </x:c>
      <x:c r="P16" s="31" t="n">
        <x:v>0</x:v>
      </x:c>
      <x:c r="Q16" s="31" t="n">
        <x:v>7</x:v>
      </x:c>
      <x:c r="R16" s="33" t="n">
        <x:v>0.5</x:v>
      </x:c>
      <x:c r="S16" s="31" t="str">
        <x:v>A24-T09</x:v>
      </x:c>
      <x:c r="T16" s="31" t="str">
        <x:v>Threshold miss</x:v>
      </x:c>
      <x:c r="U16" s="31" t="str">
        <x:v>Atlanta won by 7 but did not cover</x:v>
      </x:c>
      <x:c r="V16" s="31" t="str">
        <x:v>Directional side was right.</x:v>
      </x:c>
      <x:c r="W16" s="31"/>
      <x:c r="X16" s="31"/>
      <x:c r="Y16" s="31"/>
      <x:c r="Z16" s="31"/>
    </x:row>
    <x:row r="17">
      <x:c r="A17" s="31" t="str">
        <x:v>2026-08-24</x:v>
      </x:c>
      <x:c r="B17" s="31" t="str">
        <x:v>A24-C16</x:v>
      </x:c>
      <x:c r="C17" s="31" t="str">
        <x:v>SOURCED</x:v>
      </x:c>
      <x:c r="D17" s="31" t="str">
        <x:v>Original 3-leg NRFI</x:v>
      </x:c>
      <x:c r="E17" s="31" t="str">
        <x:v>MLB</x:v>
      </x:c>
      <x:c r="F17" s="31" t="str">
        <x:v>BOS @ MIA</x:v>
      </x:c>
      <x:c r="G17" s="31" t="str">
        <x:v>BOS/MIA</x:v>
      </x:c>
      <x:c r="H17" s="31" t="str">
        <x:v>NRFI</x:v>
      </x:c>
      <x:c r="I17" s="31" t="str">
        <x:v>NRFI</x:v>
      </x:c>
      <x:c r="J17" s="31"/>
      <x:c r="K17" s="31"/>
      <x:c r="L17" s="32" t="str">
        <x:f>IF(K17="","",IF(K17&gt;0,100/(K17+100),-K17/(-K17+100)))</x:f>
      </x:c>
      <x:c r="M17" s="31" t="str">
        <x:v>BET</x:v>
      </x:c>
      <x:c r="N17" s="31" t="str">
        <x:v>Y</x:v>
      </x:c>
      <x:c r="O17" s="31" t="str">
        <x:v>Win</x:v>
      </x:c>
      <x:c r="P17" s="31" t="n">
        <x:v>1</x:v>
      </x:c>
      <x:c r="Q17" s="31"/>
      <x:c r="R17" s="33" t="n">
        <x:v>0.33</x:v>
      </x:c>
      <x:c r="S17" s="31" t="str">
        <x:v>A24-T10</x:v>
      </x:c>
      <x:c r="T17" s="31" t="str"/>
      <x:c r="U17" s="31" t="str">
        <x:v>NRFI cleared</x:v>
      </x:c>
      <x:c r="V17" s="31" t="str"/>
      <x:c r="W17" s="31"/>
      <x:c r="X17" s="31"/>
      <x:c r="Y17" s="31"/>
      <x:c r="Z17" s="31"/>
    </x:row>
    <x:row r="18">
      <x:c r="A18" s="31" t="str">
        <x:v>2026-08-24</x:v>
      </x:c>
      <x:c r="B18" s="31" t="str">
        <x:v>A24-C17</x:v>
      </x:c>
      <x:c r="C18" s="31" t="str">
        <x:v>SOURCED</x:v>
      </x:c>
      <x:c r="D18" s="31" t="str">
        <x:v>Original 3-leg NRFI</x:v>
      </x:c>
      <x:c r="E18" s="31" t="str">
        <x:v>MLB</x:v>
      </x:c>
      <x:c r="F18" s="31" t="str">
        <x:v>PHI @ SEA</x:v>
      </x:c>
      <x:c r="G18" s="31" t="str">
        <x:v>PHI/SEA</x:v>
      </x:c>
      <x:c r="H18" s="31" t="str">
        <x:v>NRFI</x:v>
      </x:c>
      <x:c r="I18" s="31" t="str">
        <x:v>NRFI</x:v>
      </x:c>
      <x:c r="J18" s="31"/>
      <x:c r="K18" s="31"/>
      <x:c r="L18" s="32" t="str">
        <x:f>IF(K18="","",IF(K18&gt;0,100/(K18+100),-K18/(-K18+100)))</x:f>
      </x:c>
      <x:c r="M18" s="31" t="str">
        <x:v>BET</x:v>
      </x:c>
      <x:c r="N18" s="31" t="str">
        <x:v>Y</x:v>
      </x:c>
      <x:c r="O18" s="31" t="str">
        <x:v>Loss</x:v>
      </x:c>
      <x:c r="P18" s="31" t="n">
        <x:v>0</x:v>
      </x:c>
      <x:c r="Q18" s="31"/>
      <x:c r="R18" s="33" t="n">
        <x:v>0.33</x:v>
      </x:c>
      <x:c r="S18" s="31" t="str">
        <x:v>A24-T10</x:v>
      </x:c>
      <x:c r="T18" s="31" t="str">
        <x:v>Unreviewed</x:v>
      </x:c>
      <x:c r="U18" s="31" t="str">
        <x:v>Needs play-by-play classification if used in deeper NRFI study</x:v>
      </x:c>
      <x:c r="V18" s="31" t="str"/>
      <x:c r="W18" s="31"/>
      <x:c r="X18" s="31"/>
      <x:c r="Y18" s="31"/>
      <x:c r="Z18" s="31"/>
    </x:row>
    <x:row r="19">
      <x:c r="A19" s="31" t="str">
        <x:v>2026-08-24</x:v>
      </x:c>
      <x:c r="B19" s="31" t="str">
        <x:v>A24-C18</x:v>
      </x:c>
      <x:c r="C19" s="31" t="str">
        <x:v>SOURCED</x:v>
      </x:c>
      <x:c r="D19" s="31" t="str">
        <x:v>Original Pitcher Unders</x:v>
      </x:c>
      <x:c r="E19" s="31" t="str">
        <x:v>MLB</x:v>
      </x:c>
      <x:c r="F19" s="31" t="str">
        <x:v>MIN @ ATH</x:v>
      </x:c>
      <x:c r="G19" s="31" t="str">
        <x:v>Zebby Matthews</x:v>
      </x:c>
      <x:c r="H19" s="31" t="str">
        <x:v>Pitcher K Under</x:v>
      </x:c>
      <x:c r="I19" s="31" t="str">
        <x:v>Under 4.5 Ks</x:v>
      </x:c>
      <x:c r="J19" s="31" t="n">
        <x:v>4.5</x:v>
      </x:c>
      <x:c r="K19" s="31"/>
      <x:c r="L19" s="32" t="str">
        <x:f>IF(K19="","",IF(K19&gt;0,100/(K19+100),-K19/(-K19+100)))</x:f>
      </x:c>
      <x:c r="M19" s="31" t="str">
        <x:v>BET</x:v>
      </x:c>
      <x:c r="N19" s="31" t="str">
        <x:v>Y</x:v>
      </x:c>
      <x:c r="O19" s="31" t="str">
        <x:v>Loss</x:v>
      </x:c>
      <x:c r="P19" s="31" t="n">
        <x:v>0</x:v>
      </x:c>
      <x:c r="Q19" s="31" t="n">
        <x:v>7</x:v>
      </x:c>
      <x:c r="R19" s="33" t="n">
        <x:v>0.5</x:v>
      </x:c>
      <x:c r="S19" s="31" t="str">
        <x:v>A24-T11</x:v>
      </x:c>
      <x:c r="T19" s="31" t="str">
        <x:v>Bad handicap</x:v>
      </x:c>
      <x:c r="U19" s="31" t="str">
        <x:v>Cleared over comfortably with 7 Ks</x:v>
      </x:c>
      <x:c r="V19" s="31" t="str">
        <x:v>Conflicting research had warned over was plausible.</x:v>
      </x:c>
      <x:c r="W19" s="31"/>
      <x:c r="X19" s="31"/>
      <x:c r="Y19" s="31"/>
      <x:c r="Z19" s="31"/>
    </x:row>
    <x:row r="20">
      <x:c r="A20" s="31" t="str">
        <x:v>2026-08-24</x:v>
      </x:c>
      <x:c r="B20" s="31" t="str">
        <x:v>A24-C19</x:v>
      </x:c>
      <x:c r="C20" s="31" t="str">
        <x:v>ROLLER</x:v>
      </x:c>
      <x:c r="D20" s="31" t="str">
        <x:v>Roller</x:v>
      </x:c>
      <x:c r="E20" s="31" t="str">
        <x:v>WNBA</x:v>
      </x:c>
      <x:c r="F20" s="31" t="str">
        <x:v>GSV @ MIN</x:v>
      </x:c>
      <x:c r="G20" s="31" t="str">
        <x:v>Olivia Miles</x:v>
      </x:c>
      <x:c r="H20" s="31" t="str">
        <x:v>Points</x:v>
      </x:c>
      <x:c r="I20" s="31" t="str">
        <x:v>15+ points</x:v>
      </x:c>
      <x:c r="J20" s="31" t="n">
        <x:v>15</x:v>
      </x:c>
      <x:c r="K20" s="31"/>
      <x:c r="L20" s="32" t="str">
        <x:f>IF(K20="","",IF(K20&gt;0,100/(K20+100),-K20/(-K20+100)))</x:f>
      </x:c>
      <x:c r="M20" s="31" t="str">
        <x:v>BET</x:v>
      </x:c>
      <x:c r="N20" s="31" t="str">
        <x:v>Y</x:v>
      </x:c>
      <x:c r="O20" s="31" t="str">
        <x:v>Loss</x:v>
      </x:c>
      <x:c r="P20" s="31" t="n">
        <x:v>0</x:v>
      </x:c>
      <x:c r="Q20" s="31" t="n">
        <x:v>8</x:v>
      </x:c>
      <x:c r="R20" s="33" t="n">
        <x:v>12.81</x:v>
      </x:c>
      <x:c r="S20" s="31" t="str">
        <x:v>A24-T12</x:v>
      </x:c>
      <x:c r="T20" s="31" t="str">
        <x:v>Bad handicap / matchup suppression</x:v>
      </x:c>
      <x:c r="U20" s="31" t="str">
        <x:v>Bought-down threshold still failed badly</x:v>
      </x:c>
      <x:c r="V20" s="31" t="str">
        <x:v>Roller strategy retired after this slate.</x:v>
      </x:c>
      <x:c r="W20" s="31"/>
      <x:c r="X20" s="31"/>
      <x:c r="Y20" s="31"/>
      <x:c r="Z20" s="31"/>
    </x:row>
    <x:row r="21">
      <x:c r="A21" s="31" t="str">
        <x:v>2026-08-24</x:v>
      </x:c>
      <x:c r="B21" s="31" t="str">
        <x:v>A24-C20</x:v>
      </x:c>
      <x:c r="C21" s="31" t="str">
        <x:v>ROLLER</x:v>
      </x:c>
      <x:c r="D21" s="31" t="str">
        <x:v>Roller</x:v>
      </x:c>
      <x:c r="E21" s="31" t="str">
        <x:v>WNBA</x:v>
      </x:c>
      <x:c r="F21" s="31" t="str">
        <x:v>GSV @ MIN</x:v>
      </x:c>
      <x:c r="G21" s="31" t="str">
        <x:v>Janelle Salaun</x:v>
      </x:c>
      <x:c r="H21" s="31" t="str">
        <x:v>Points</x:v>
      </x:c>
      <x:c r="I21" s="31" t="str">
        <x:v>10+ points</x:v>
      </x:c>
      <x:c r="J21" s="31" t="n">
        <x:v>10</x:v>
      </x:c>
      <x:c r="K21" s="31"/>
      <x:c r="L21" s="32" t="str">
        <x:f>IF(K21="","",IF(K21&gt;0,100/(K21+100),-K21/(-K21+100)))</x:f>
      </x:c>
      <x:c r="M21" s="31" t="str">
        <x:v>BET</x:v>
      </x:c>
      <x:c r="N21" s="31" t="str">
        <x:v>Y</x:v>
      </x:c>
      <x:c r="O21" s="31" t="str">
        <x:v>Win</x:v>
      </x:c>
      <x:c r="P21" s="31" t="n">
        <x:v>1</x:v>
      </x:c>
      <x:c r="Q21" s="31" t="n">
        <x:v>12</x:v>
      </x:c>
      <x:c r="R21" s="33" t="n">
        <x:v>12.81</x:v>
      </x:c>
      <x:c r="S21" s="31" t="str">
        <x:v>A24-T12</x:v>
      </x:c>
      <x:c r="T21" s="31" t="str"/>
      <x:c r="U21" s="31" t="str">
        <x:v>Leg did its job</x:v>
      </x:c>
      <x:c r="V21" s="31" t="str">
        <x:v>Roller strategy retired.</x:v>
      </x:c>
      <x:c r="W21" s="31"/>
      <x:c r="X21" s="31"/>
      <x:c r="Y21" s="31"/>
      <x:c r="Z21" s="31"/>
    </x:row>
    <x:row r="22">
      <x:c r="A22" s="31" t="str">
        <x:v>2026-08-24</x:v>
      </x:c>
      <x:c r="B22" s="31" t="str">
        <x:v>A24-S01</x:v>
      </x:c>
      <x:c r="C22" s="31" t="str">
        <x:v>SOURCED</x:v>
      </x:c>
      <x:c r="D22" s="31" t="str">
        <x:v>Prop Menu</x:v>
      </x:c>
      <x:c r="E22" s="31" t="str">
        <x:v>MLB</x:v>
      </x:c>
      <x:c r="F22" s="31" t="str">
        <x:v>CHC @ ARI</x:v>
      </x:c>
      <x:c r="G22" s="31" t="str">
        <x:v>Kevin Gausman</x:v>
      </x:c>
      <x:c r="H22" s="31" t="str">
        <x:v>Pitcher Outs</x:v>
      </x:c>
      <x:c r="I22" s="31" t="str">
        <x:v>Over 16.5 outs</x:v>
      </x:c>
      <x:c r="J22" s="31" t="n">
        <x:v>16.5</x:v>
      </x:c>
      <x:c r="K22" s="31"/>
      <x:c r="L22" s="32" t="str">
        <x:f>IF(K22="","",IF(K22&gt;0,100/(K22+100),-K22/(-K22+100)))</x:f>
      </x:c>
      <x:c r="M22" s="31" t="str">
        <x:v>QUALIFIED_NOT_BET</x:v>
      </x:c>
      <x:c r="N22" s="31" t="str">
        <x:v>N</x:v>
      </x:c>
      <x:c r="O22" s="31" t="str">
        <x:v>Win</x:v>
      </x:c>
      <x:c r="P22" s="31" t="n">
        <x:v>1</x:v>
      </x:c>
      <x:c r="Q22" s="31" t="n">
        <x:v>21</x:v>
      </x:c>
      <x:c r="R22" s="33" t="n">
        <x:v>0</x:v>
      </x:c>
      <x:c r="S22" s="31"/>
      <x:c r="T22" s="31" t="str"/>
      <x:c r="U22" s="31" t="str">
        <x:v>MISSED OPPORTUNITY: sourced leg won and should have been considered independently</x:v>
      </x:c>
      <x:c r="V22" s="31" t="str">
        <x:v>Source menu went 3/4.</x:v>
      </x:c>
      <x:c r="W22" s="31"/>
      <x:c r="X22" s="31"/>
      <x:c r="Y22" s="31"/>
      <x:c r="Z22" s="31"/>
    </x:row>
    <x:row r="23">
      <x:c r="A23" s="31" t="str">
        <x:v>2026-08-24</x:v>
      </x:c>
      <x:c r="B23" s="31" t="str">
        <x:v>A24-S02</x:v>
      </x:c>
      <x:c r="C23" s="31" t="str">
        <x:v>SOURCED</x:v>
      </x:c>
      <x:c r="D23" s="31" t="str">
        <x:v>Prop Menu</x:v>
      </x:c>
      <x:c r="E23" s="31" t="str">
        <x:v>MLB</x:v>
      </x:c>
      <x:c r="F23" s="31" t="str">
        <x:v>TEX @ CWS</x:v>
      </x:c>
      <x:c r="G23" s="31" t="str">
        <x:v>Kumar Rocker</x:v>
      </x:c>
      <x:c r="H23" s="31" t="str">
        <x:v>Pitcher K Over</x:v>
      </x:c>
      <x:c r="I23" s="31" t="str">
        <x:v>Over 4.5 Ks</x:v>
      </x:c>
      <x:c r="J23" s="31" t="n">
        <x:v>4.5</x:v>
      </x:c>
      <x:c r="K23" s="31"/>
      <x:c r="L23" s="32" t="str">
        <x:f>IF(K23="","",IF(K23&gt;0,100/(K23+100),-K23/(-K23+100)))</x:f>
      </x:c>
      <x:c r="M23" s="31" t="str">
        <x:v>QUALIFIED_NOT_BET</x:v>
      </x:c>
      <x:c r="N23" s="31" t="str">
        <x:v>N</x:v>
      </x:c>
      <x:c r="O23" s="31" t="str">
        <x:v>Win</x:v>
      </x:c>
      <x:c r="P23" s="31" t="n">
        <x:v>1</x:v>
      </x:c>
      <x:c r="Q23" s="31" t="n">
        <x:v>8</x:v>
      </x:c>
      <x:c r="R23" s="33" t="n">
        <x:v>0</x:v>
      </x:c>
      <x:c r="S23" s="31"/>
      <x:c r="T23" s="31" t="str"/>
      <x:c r="U23" s="31" t="str">
        <x:v>MISSED OPPORTUNITY: strong sourced K signal</x:v>
      </x:c>
      <x:c r="V23" s="31" t="str"/>
      <x:c r="W23" s="31"/>
      <x:c r="X23" s="31"/>
      <x:c r="Y23" s="31"/>
      <x:c r="Z23" s="31"/>
    </x:row>
    <x:row r="24">
      <x:c r="A24" s="31" t="str">
        <x:v>2026-08-24</x:v>
      </x:c>
      <x:c r="B24" s="31" t="str">
        <x:v>A24-S03</x:v>
      </x:c>
      <x:c r="C24" s="31" t="str">
        <x:v>SOURCED</x:v>
      </x:c>
      <x:c r="D24" s="31" t="str">
        <x:v>Prop Menu</x:v>
      </x:c>
      <x:c r="E24" s="31" t="str">
        <x:v>WNBA</x:v>
      </x:c>
      <x:c r="F24" s="31" t="str">
        <x:v>ATL @ LA</x:v>
      </x:c>
      <x:c r="G24" s="31" t="str">
        <x:v>Naz Hillmon</x:v>
      </x:c>
      <x:c r="H24" s="31" t="str">
        <x:v>WNBA P+R</x:v>
      </x:c>
      <x:c r="I24" s="31" t="str">
        <x:v>Over 13.5 P+R</x:v>
      </x:c>
      <x:c r="J24" s="31" t="n">
        <x:v>13.5</x:v>
      </x:c>
      <x:c r="K24" s="31"/>
      <x:c r="L24" s="32" t="str">
        <x:f>IF(K24="","",IF(K24&gt;0,100/(K24+100),-K24/(-K24+100)))</x:f>
      </x:c>
      <x:c r="M24" s="31" t="str">
        <x:v>QUALIFIED_NOT_BET</x:v>
      </x:c>
      <x:c r="N24" s="31" t="str">
        <x:v>N</x:v>
      </x:c>
      <x:c r="O24" s="31" t="str">
        <x:v>Win</x:v>
      </x:c>
      <x:c r="P24" s="31" t="n">
        <x:v>1</x:v>
      </x:c>
      <x:c r="Q24" s="31" t="n">
        <x:v>19</x:v>
      </x:c>
      <x:c r="R24" s="33" t="n">
        <x:v>0</x:v>
      </x:c>
      <x:c r="S24" s="31"/>
      <x:c r="T24" s="31" t="str"/>
      <x:c r="U24" s="31" t="str">
        <x:v>MISSED OPPORTUNITY: source leg won</x:v>
      </x:c>
      <x:c r="V24" s="31" t="str">
        <x:v>12 points + 7 rebounds.</x:v>
      </x:c>
      <x:c r="W24" s="31"/>
      <x:c r="X24" s="31"/>
      <x:c r="Y24" s="31"/>
      <x:c r="Z24" s="31"/>
    </x:row>
    <x:row r="25">
      <x:c r="A25" s="31" t="str">
        <x:v>2026-08-24</x:v>
      </x:c>
      <x:c r="B25" s="31" t="str">
        <x:v>A24-S04</x:v>
      </x:c>
      <x:c r="C25" s="31" t="str">
        <x:v>SOURCED</x:v>
      </x:c>
      <x:c r="D25" s="31" t="str">
        <x:v>Monday Magic Hits</x:v>
      </x:c>
      <x:c r="E25" s="31" t="str">
        <x:v>MLB</x:v>
      </x:c>
      <x:c r="F25" s="31" t="str">
        <x:v>TB @ DET</x:v>
      </x:c>
      <x:c r="G25" s="31" t="str">
        <x:v>Chandler Simpson</x:v>
      </x:c>
      <x:c r="H25" s="31" t="str">
        <x:v>1+ Hit</x:v>
      </x:c>
      <x:c r="I25" s="31" t="str">
        <x:v>1+ hit</x:v>
      </x:c>
      <x:c r="J25" s="31" t="n">
        <x:v>1</x:v>
      </x:c>
      <x:c r="K25" s="31"/>
      <x:c r="L25" s="32" t="str">
        <x:f>IF(K25="","",IF(K25&gt;0,100/(K25+100),-K25/(-K25+100)))</x:f>
      </x:c>
      <x:c r="M25" s="31" t="str">
        <x:v>QUALIFIED_NOT_BET</x:v>
      </x:c>
      <x:c r="N25" s="31" t="str">
        <x:v>N</x:v>
      </x:c>
      <x:c r="O25" s="31" t="str">
        <x:v>Win</x:v>
      </x:c>
      <x:c r="P25" s="31" t="n">
        <x:v>1</x:v>
      </x:c>
      <x:c r="Q25" s="31" t="n">
        <x:v>1</x:v>
      </x:c>
      <x:c r="R25" s="33" t="n">
        <x:v>0</x:v>
      </x:c>
      <x:c r="S25" s="31"/>
      <x:c r="T25" s="31" t="str"/>
      <x:c r="U25" s="31" t="str">
        <x:v>MISSED OPPORTUNITY: source hit candidate cleared</x:v>
      </x:c>
      <x:c r="V25" s="31" t="str"/>
      <x:c r="W25" s="31"/>
      <x:c r="X25" s="31"/>
      <x:c r="Y25" s="31"/>
      <x:c r="Z25" s="31"/>
    </x:row>
    <x:row r="26">
      <x:c r="A26" s="31" t="str">
        <x:v>2026-08-24</x:v>
      </x:c>
      <x:c r="B26" s="31" t="str">
        <x:v>A24-S05</x:v>
      </x:c>
      <x:c r="C26" s="31" t="str">
        <x:v>SOURCED</x:v>
      </x:c>
      <x:c r="D26" s="31" t="str">
        <x:v>Monday Magic Hits</x:v>
      </x:c>
      <x:c r="E26" s="31" t="str">
        <x:v>MLB</x:v>
      </x:c>
      <x:c r="F26" s="31" t="str">
        <x:v>COL @ WSH</x:v>
      </x:c>
      <x:c r="G26" s="31" t="str">
        <x:v>Connor Norby</x:v>
      </x:c>
      <x:c r="H26" s="31" t="str">
        <x:v>1+ Hit</x:v>
      </x:c>
      <x:c r="I26" s="31" t="str">
        <x:v>1+ hit</x:v>
      </x:c>
      <x:c r="J26" s="31" t="n">
        <x:v>1</x:v>
      </x:c>
      <x:c r="K26" s="31"/>
      <x:c r="L26" s="32" t="str">
        <x:f>IF(K26="","",IF(K26&gt;0,100/(K26+100),-K26/(-K26+100)))</x:f>
      </x:c>
      <x:c r="M26" s="31" t="str">
        <x:v>QUALIFIED_NOT_BET</x:v>
      </x:c>
      <x:c r="N26" s="31" t="str">
        <x:v>N</x:v>
      </x:c>
      <x:c r="O26" s="31" t="str">
        <x:v>Win</x:v>
      </x:c>
      <x:c r="P26" s="31" t="n">
        <x:v>1</x:v>
      </x:c>
      <x:c r="Q26" s="31" t="n">
        <x:v>1</x:v>
      </x:c>
      <x:c r="R26" s="33" t="n">
        <x:v>0</x:v>
      </x:c>
      <x:c r="S26" s="31"/>
      <x:c r="T26" s="31" t="str"/>
      <x:c r="U26" s="31" t="str">
        <x:v>MISSED OPPORTUNITY: we identified Norby as weak leg but he cleared</x:v>
      </x:c>
      <x:c r="V26" s="31" t="str">
        <x:v>Diagnosis error even though source ticket still lost.</x:v>
      </x:c>
      <x:c r="W26" s="31"/>
      <x:c r="X26" s="31"/>
      <x:c r="Y26" s="31"/>
      <x:c r="Z26" s="31"/>
    </x:row>
    <x:row r="27">
      <x:c r="A27" s="31" t="str">
        <x:v>2026-08-24</x:v>
      </x:c>
      <x:c r="B27" s="31" t="str">
        <x:v>A24-S06</x:v>
      </x:c>
      <x:c r="C27" s="31" t="str">
        <x:v>SOURCED</x:v>
      </x:c>
      <x:c r="D27" s="31" t="str">
        <x:v>UDLR 3-Pack Original</x:v>
      </x:c>
      <x:c r="E27" s="31" t="str">
        <x:v>MLB</x:v>
      </x:c>
      <x:c r="F27" s="31" t="str">
        <x:v>CIN @ SF</x:v>
      </x:c>
      <x:c r="G27" s="31" t="str">
        <x:v>Chase Burns</x:v>
      </x:c>
      <x:c r="H27" s="31" t="str">
        <x:v>Pitcher K Over</x:v>
      </x:c>
      <x:c r="I27" s="31" t="str">
        <x:v>Over 6.5 Ks</x:v>
      </x:c>
      <x:c r="J27" s="31" t="n">
        <x:v>6.5</x:v>
      </x:c>
      <x:c r="K27" s="31"/>
      <x:c r="L27" s="32" t="str">
        <x:f>IF(K27="","",IF(K27&gt;0,100/(K27+100),-K27/(-K27+100)))</x:f>
      </x:c>
      <x:c r="M27" s="31" t="str">
        <x:v>REJECTED</x:v>
      </x:c>
      <x:c r="N27" s="31" t="str">
        <x:v>N</x:v>
      </x:c>
      <x:c r="O27" s="31" t="str">
        <x:v>Loss</x:v>
      </x:c>
      <x:c r="P27" s="31" t="n">
        <x:v>0</x:v>
      </x:c>
      <x:c r="Q27" s="31" t="n">
        <x:v>5</x:v>
      </x:c>
      <x:c r="R27" s="33" t="n">
        <x:v>0</x:v>
      </x:c>
      <x:c r="S27" s="31"/>
      <x:c r="T27" s="31" t="str"/>
      <x:c r="U27" s="31" t="str">
        <x:v>Correct rejection</x:v>
      </x:c>
      <x:c r="V27" s="31" t="str">
        <x:v>Original and adjusted versions both lost.</x:v>
      </x:c>
      <x:c r="W27" s="31"/>
      <x:c r="X27" s="31"/>
      <x:c r="Y27" s="31"/>
      <x:c r="Z27" s="31"/>
    </x:row>
    <x:row r="28">
      <x:c r="A28" s="31" t="str">
        <x:v>2026-08-24</x:v>
      </x:c>
      <x:c r="B28" s="31" t="str">
        <x:v>A24-S07</x:v>
      </x:c>
      <x:c r="C28" s="31" t="str">
        <x:v>SOURCED</x:v>
      </x:c>
      <x:c r="D28" s="31" t="str">
        <x:v>Prop Menu</x:v>
      </x:c>
      <x:c r="E28" s="31" t="str">
        <x:v>MLB</x:v>
      </x:c>
      <x:c r="F28" s="31" t="str">
        <x:v>PIT @ SD</x:v>
      </x:c>
      <x:c r="G28" s="31" t="str">
        <x:v>Fernando Tatis Jr.</x:v>
      </x:c>
      <x:c r="H28" s="31" t="str">
        <x:v>H+R+RBI</x:v>
      </x:c>
      <x:c r="I28" s="31" t="str">
        <x:v>Over 1.5 H+R+RBI</x:v>
      </x:c>
      <x:c r="J28" s="31" t="n">
        <x:v>1.5</x:v>
      </x:c>
      <x:c r="K28" s="31"/>
      <x:c r="L28" s="32" t="str">
        <x:f>IF(K28="","",IF(K28&gt;0,100/(K28+100),-K28/(-K28+100)))</x:f>
      </x:c>
      <x:c r="M28" s="31" t="str">
        <x:v>QUALIFIED_NOT_BET</x:v>
      </x:c>
      <x:c r="N28" s="31" t="str">
        <x:v>N</x:v>
      </x:c>
      <x:c r="O28" s="31" t="str">
        <x:v>Loss</x:v>
      </x:c>
      <x:c r="P28" s="31" t="n">
        <x:v>0</x:v>
      </x:c>
      <x:c r="Q28" s="31" t="n">
        <x:v>0</x:v>
      </x:c>
      <x:c r="R28" s="33" t="n">
        <x:v>0</x:v>
      </x:c>
      <x:c r="S28" s="31"/>
      <x:c r="T28" s="31" t="str"/>
      <x:c r="U28" s="31" t="str">
        <x:v>No missed value; sourced signal failed</x:v>
      </x:c>
      <x:c r="V28" s="31" t="str"/>
      <x:c r="W28" s="31"/>
      <x:c r="X28" s="31"/>
      <x:c r="Y28" s="31"/>
      <x:c r="Z28" s="31"/>
    </x:row>
    <x:row r="29">
      <x:c r="A29" s="31" t="str">
        <x:v>2026-08-25</x:v>
      </x:c>
      <x:c r="B29" s="31" t="str">
        <x:v>A25-C01</x:v>
      </x:c>
      <x:c r="C29" s="31" t="str">
        <x:v>DISCOVERED</x:v>
      </x:c>
      <x:c r="D29" s="31" t="str">
        <x:v>Pecko matchup conversion</x:v>
      </x:c>
      <x:c r="E29" s="31" t="str">
        <x:v>MLB</x:v>
      </x:c>
      <x:c r="F29" s="31" t="str">
        <x:v>HOU @ NYY</x:v>
      </x:c>
      <x:c r="G29" s="31" t="str">
        <x:v>Ethan Pecko</x:v>
      </x:c>
      <x:c r="H29" s="31" t="str">
        <x:v>Pitcher Outs</x:v>
      </x:c>
      <x:c r="I29" s="31" t="str">
        <x:v>Under 14.5 outs</x:v>
      </x:c>
      <x:c r="J29" s="31" t="n">
        <x:v>14.5</x:v>
      </x:c>
      <x:c r="K29" s="31" t="n">
        <x:v>-106</x:v>
      </x:c>
      <x:c r="L29" s="32" t="n">
        <x:f>IF(K29="","",IF(K29&gt;0,100/(K29+100),-K29/(-K29+100)))</x:f>
        <x:v>0.5145631067961165</x:v>
      </x:c>
      <x:c r="M29" s="31" t="str">
        <x:v>BET</x:v>
      </x:c>
      <x:c r="N29" s="31" t="str">
        <x:v>Y</x:v>
      </x:c>
      <x:c r="O29" s="31" t="str">
        <x:v>Win</x:v>
      </x:c>
      <x:c r="P29" s="31" t="n">
        <x:v>1</x:v>
      </x:c>
      <x:c r="Q29" s="31"/>
      <x:c r="R29" s="33" t="n">
        <x:v>1</x:v>
      </x:c>
      <x:c r="S29" s="31" t="str">
        <x:v>A25-T01</x:v>
      </x:c>
      <x:c r="T29" s="31" t="str"/>
      <x:c r="U29" s="31" t="str">
        <x:v>Market conversion from K-under lead to workload/out under</x:v>
      </x:c>
      <x:c r="V29" s="31" t="str">
        <x:v>Strong example of system adding value.</x:v>
      </x:c>
      <x:c r="W29" s="31"/>
      <x:c r="X29" s="31"/>
      <x:c r="Y29" s="31"/>
      <x:c r="Z29" s="31"/>
    </x:row>
    <x:row r="30">
      <x:c r="A30" s="31" t="str">
        <x:v>2026-08-25</x:v>
      </x:c>
      <x:c r="B30" s="31" t="str">
        <x:v>A25-C02</x:v>
      </x:c>
      <x:c r="C30" s="31" t="str">
        <x:v>DISCOVERED</x:v>
      </x:c>
      <x:c r="D30" s="31" t="str">
        <x:v>Royals vs Scherzer full-slate scan</x:v>
      </x:c>
      <x:c r="E30" s="31" t="str">
        <x:v>MLB</x:v>
      </x:c>
      <x:c r="F30" s="31" t="str">
        <x:v>KC @ TOR</x:v>
      </x:c>
      <x:c r="G30" s="31" t="str">
        <x:v>Max Scherzer</x:v>
      </x:c>
      <x:c r="H30" s="31" t="str">
        <x:v>Pitcher K Under</x:v>
      </x:c>
      <x:c r="I30" s="31" t="str">
        <x:v>Under 3.5 Ks</x:v>
      </x:c>
      <x:c r="J30" s="31" t="n">
        <x:v>3.5</x:v>
      </x:c>
      <x:c r="K30" s="31" t="n">
        <x:v>126</x:v>
      </x:c>
      <x:c r="L30" s="32" t="n">
        <x:f>IF(K30="","",IF(K30&gt;0,100/(K30+100),-K30/(-K30+100)))</x:f>
        <x:v>0.4424778761061947</x:v>
      </x:c>
      <x:c r="M30" s="31" t="str">
        <x:v>BET</x:v>
      </x:c>
      <x:c r="N30" s="31" t="str">
        <x:v>Y</x:v>
      </x:c>
      <x:c r="O30" s="31" t="str">
        <x:v>Loss</x:v>
      </x:c>
      <x:c r="P30" s="31" t="n">
        <x:v>0</x:v>
      </x:c>
      <x:c r="Q30" s="31" t="n">
        <x:v>4</x:v>
      </x:c>
      <x:c r="R30" s="33" t="n">
        <x:v>1</x:v>
      </x:c>
      <x:c r="S30" s="31" t="str">
        <x:v>A25-T02</x:v>
      </x:c>
      <x:c r="T30" s="31" t="str">
        <x:v>Threshold miss</x:v>
      </x:c>
      <x:c r="U30" s="31" t="str">
        <x:v>Finished with exactly 4 Ks</x:v>
      </x:c>
      <x:c r="V30" s="31" t="str">
        <x:v>K unders now suspended as routine market.</x:v>
      </x:c>
      <x:c r="W30" s="31"/>
      <x:c r="X30" s="31"/>
      <x:c r="Y30" s="31"/>
      <x:c r="Z30" s="31"/>
    </x:row>
    <x:row r="31">
      <x:c r="A31" s="31" t="str">
        <x:v>2026-08-25</x:v>
      </x:c>
      <x:c r="B31" s="31" t="str">
        <x:v>A25-C03</x:v>
      </x:c>
      <x:c r="C31" s="31" t="str">
        <x:v>SOURCED</x:v>
      </x:c>
      <x:c r="D31" s="31" t="str">
        <x:v>Nick Sogard POTD</x:v>
      </x:c>
      <x:c r="E31" s="31" t="str">
        <x:v>MLB</x:v>
      </x:c>
      <x:c r="F31" s="31" t="str">
        <x:v>BOS @ MIA</x:v>
      </x:c>
      <x:c r="G31" s="31" t="str">
        <x:v>Nick Sogard</x:v>
      </x:c>
      <x:c r="H31" s="31" t="str">
        <x:v>2+ Total Bases</x:v>
      </x:c>
      <x:c r="I31" s="31" t="str">
        <x:v>2+ TB</x:v>
      </x:c>
      <x:c r="J31" s="31" t="n">
        <x:v>2</x:v>
      </x:c>
      <x:c r="K31" s="31" t="n">
        <x:v>138</x:v>
      </x:c>
      <x:c r="L31" s="32" t="n">
        <x:f>IF(K31="","",IF(K31&gt;0,100/(K31+100),-K31/(-K31+100)))</x:f>
        <x:v>0.42016806722689076</x:v>
      </x:c>
      <x:c r="M31" s="31" t="str">
        <x:v>BET</x:v>
      </x:c>
      <x:c r="N31" s="31" t="str">
        <x:v>Y</x:v>
      </x:c>
      <x:c r="O31" s="31" t="str">
        <x:v>Loss</x:v>
      </x:c>
      <x:c r="P31" s="31" t="n">
        <x:v>0</x:v>
      </x:c>
      <x:c r="Q31" s="31" t="n">
        <x:v>0</x:v>
      </x:c>
      <x:c r="R31" s="33" t="n">
        <x:v>1</x:v>
      </x:c>
      <x:c r="S31" s="31" t="str">
        <x:v>A25-T03</x:v>
      </x:c>
      <x:c r="T31" s="31" t="str">
        <x:v>Bad selection / hitter miss</x:v>
      </x:c>
      <x:c r="U31" s="31" t="str">
        <x:v>0-for-4</x:v>
      </x:c>
      <x:c r="V31" s="31" t="str"/>
      <x:c r="W31" s="31"/>
      <x:c r="X31" s="31"/>
      <x:c r="Y31" s="31"/>
      <x:c r="Z31" s="31"/>
    </x:row>
    <x:row r="32">
      <x:c r="A32" s="31" t="str">
        <x:v>2026-08-25</x:v>
      </x:c>
      <x:c r="B32" s="31" t="str">
        <x:v>A25-C04</x:v>
      </x:c>
      <x:c r="C32" s="31" t="str">
        <x:v>DISCOVERED</x:v>
      </x:c>
      <x:c r="D32" s="31" t="str">
        <x:v>Yordan/Warren market conversion</x:v>
      </x:c>
      <x:c r="E32" s="31" t="str">
        <x:v>MLB</x:v>
      </x:c>
      <x:c r="F32" s="31" t="str">
        <x:v>HOU @ NYY</x:v>
      </x:c>
      <x:c r="G32" s="31" t="str">
        <x:v>Yordan Alvarez</x:v>
      </x:c>
      <x:c r="H32" s="31" t="str">
        <x:v>2+ Total Bases</x:v>
      </x:c>
      <x:c r="I32" s="31" t="str">
        <x:v>2+ TB</x:v>
      </x:c>
      <x:c r="J32" s="31" t="n">
        <x:v>2</x:v>
      </x:c>
      <x:c r="K32" s="31" t="n">
        <x:v>-105</x:v>
      </x:c>
      <x:c r="L32" s="32" t="n">
        <x:f>IF(K32="","",IF(K32&gt;0,100/(K32+100),-K32/(-K32+100)))</x:f>
        <x:v>0.5121951219512195</x:v>
      </x:c>
      <x:c r="M32" s="31" t="str">
        <x:v>BET</x:v>
      </x:c>
      <x:c r="N32" s="31" t="str">
        <x:v>Y</x:v>
      </x:c>
      <x:c r="O32" s="31" t="str">
        <x:v>Win</x:v>
      </x:c>
      <x:c r="P32" s="31" t="n">
        <x:v>1</x:v>
      </x:c>
      <x:c r="Q32" s="31" t="n">
        <x:v>3</x:v>
      </x:c>
      <x:c r="R32" s="33" t="n">
        <x:v>1</x:v>
      </x:c>
      <x:c r="S32" s="31" t="str">
        <x:v>A25-T04</x:v>
      </x:c>
      <x:c r="T32" s="31" t="str"/>
      <x:c r="U32" s="31" t="str">
        <x:v>HR research converted to a lower-variance TB market</x:v>
      </x:c>
      <x:c r="V32" s="31" t="str">
        <x:v>Triple cleared the bet.</x:v>
      </x:c>
      <x:c r="W32" s="31"/>
      <x:c r="X32" s="31"/>
      <x:c r="Y32" s="31"/>
      <x:c r="Z32" s="31"/>
    </x:row>
    <x:row r="33">
      <x:c r="A33" s="31" t="str">
        <x:v>2026-08-25</x:v>
      </x:c>
      <x:c r="B33" s="31" t="str">
        <x:v>A25-C05</x:v>
      </x:c>
      <x:c r="C33" s="31" t="str">
        <x:v>SOURCED</x:v>
      </x:c>
      <x:c r="D33" s="31" t="str">
        <x:v>WNBA Prop Lead</x:v>
      </x:c>
      <x:c r="E33" s="31" t="str">
        <x:v>WNBA</x:v>
      </x:c>
      <x:c r="F33" s="31" t="str">
        <x:v>WSH @ PHX</x:v>
      </x:c>
      <x:c r="G33" s="31" t="str">
        <x:v>Shakira Austin</x:v>
      </x:c>
      <x:c r="H33" s="31" t="str">
        <x:v>WNBA P+R</x:v>
      </x:c>
      <x:c r="I33" s="31" t="str">
        <x:v>Over 27.5 P+R</x:v>
      </x:c>
      <x:c r="J33" s="31" t="n">
        <x:v>27.5</x:v>
      </x:c>
      <x:c r="K33" s="31" t="n">
        <x:v>-112</x:v>
      </x:c>
      <x:c r="L33" s="32" t="n">
        <x:f>IF(K33="","",IF(K33&gt;0,100/(K33+100),-K33/(-K33+100)))</x:f>
        <x:v>0.5283018867924528</x:v>
      </x:c>
      <x:c r="M33" s="31" t="str">
        <x:v>BET</x:v>
      </x:c>
      <x:c r="N33" s="31" t="str">
        <x:v>Y</x:v>
      </x:c>
      <x:c r="O33" s="31" t="str">
        <x:v>Loss</x:v>
      </x:c>
      <x:c r="P33" s="31" t="n">
        <x:v>0</x:v>
      </x:c>
      <x:c r="Q33" s="31"/>
      <x:c r="R33" s="33" t="n">
        <x:v>1</x:v>
      </x:c>
      <x:c r="S33" s="31" t="str">
        <x:v>A25-T05</x:v>
      </x:c>
      <x:c r="T33" s="31" t="str">
        <x:v>Bad handicap</x:v>
      </x:c>
      <x:c r="U33" s="31" t="str">
        <x:v>Strong recent form did not overcome matchup/game outcome</x:v>
      </x:c>
      <x:c r="V33" s="31" t="str"/>
      <x:c r="W33" s="31"/>
      <x:c r="X33" s="31"/>
      <x:c r="Y33" s="31"/>
      <x:c r="Z33" s="31"/>
    </x:row>
    <x:row r="34">
      <x:c r="A34" s="31" t="str">
        <x:v>2026-08-25</x:v>
      </x:c>
      <x:c r="B34" s="31" t="str">
        <x:v>A25-C06</x:v>
      </x:c>
      <x:c r="C34" s="31" t="str">
        <x:v>HYBRID</x:v>
      </x:c>
      <x:c r="D34" s="31" t="str">
        <x:v>HR candidate + independent scan</x:v>
      </x:c>
      <x:c r="E34" s="31" t="str">
        <x:v>MLB</x:v>
      </x:c>
      <x:c r="F34" s="31" t="str">
        <x:v>LAD @ ATL</x:v>
      </x:c>
      <x:c r="G34" s="31" t="str">
        <x:v>Max Muncy</x:v>
      </x:c>
      <x:c r="H34" s="31" t="str">
        <x:v>HR</x:v>
      </x:c>
      <x:c r="I34" s="31" t="str">
        <x:v>HR</x:v>
      </x:c>
      <x:c r="J34" s="31" t="n">
        <x:v>1</x:v>
      </x:c>
      <x:c r="K34" s="31" t="n">
        <x:v>335</x:v>
      </x:c>
      <x:c r="L34" s="32" t="n">
        <x:f>IF(K34="","",IF(K34&gt;0,100/(K34+100),-K34/(-K34+100)))</x:f>
        <x:v>0.22988505747126436</x:v>
      </x:c>
      <x:c r="M34" s="31" t="str">
        <x:v>BET</x:v>
      </x:c>
      <x:c r="N34" s="31" t="str">
        <x:v>Y</x:v>
      </x:c>
      <x:c r="O34" s="31" t="str">
        <x:v>Loss</x:v>
      </x:c>
      <x:c r="P34" s="31" t="n">
        <x:v>0</x:v>
      </x:c>
      <x:c r="Q34" s="31" t="n">
        <x:v>0</x:v>
      </x:c>
      <x:c r="R34" s="33" t="n">
        <x:v>1</x:v>
      </x:c>
      <x:c r="S34" s="31" t="str">
        <x:v>A25-T06</x:v>
      </x:c>
      <x:c r="T34" s="31" t="str">
        <x:v>Normal variance / HR</x:v>
      </x:c>
      <x:c r="U34" s="31" t="str">
        <x:v>Good matchup, high-variance market</x:v>
      </x:c>
      <x:c r="V34" s="31" t="str"/>
      <x:c r="W34" s="31"/>
      <x:c r="X34" s="31"/>
      <x:c r="Y34" s="31"/>
      <x:c r="Z34" s="31"/>
    </x:row>
    <x:row r="35">
      <x:c r="A35" s="31" t="str">
        <x:v>2026-08-25</x:v>
      </x:c>
      <x:c r="B35" s="31" t="str">
        <x:v>A25-C07</x:v>
      </x:c>
      <x:c r="C35" s="31" t="str">
        <x:v>DISCOVERED</x:v>
      </x:c>
      <x:c r="D35" s="31" t="str">
        <x:v>Broader K-board scan</x:v>
      </x:c>
      <x:c r="E35" s="31" t="str">
        <x:v>MLB</x:v>
      </x:c>
      <x:c r="F35" s="31" t="str">
        <x:v>PHI @ SEA</x:v>
      </x:c>
      <x:c r="G35" s="31" t="str">
        <x:v>Aaron Nola</x:v>
      </x:c>
      <x:c r="H35" s="31" t="str">
        <x:v>Pitcher K Over</x:v>
      </x:c>
      <x:c r="I35" s="31" t="str">
        <x:v>Over 5.5 Ks</x:v>
      </x:c>
      <x:c r="J35" s="31" t="n">
        <x:v>5.5</x:v>
      </x:c>
      <x:c r="K35" s="31"/>
      <x:c r="L35" s="32" t="str">
        <x:f>IF(K35="","",IF(K35&gt;0,100/(K35+100),-K35/(-K35+100)))</x:f>
      </x:c>
      <x:c r="M35" s="31" t="str">
        <x:v>BET</x:v>
      </x:c>
      <x:c r="N35" s="31" t="str">
        <x:v>Y</x:v>
      </x:c>
      <x:c r="O35" s="31" t="str">
        <x:v>Win</x:v>
      </x:c>
      <x:c r="P35" s="31" t="n">
        <x:v>1</x:v>
      </x:c>
      <x:c r="Q35" s="31" t="n">
        <x:v>7</x:v>
      </x:c>
      <x:c r="R35" s="33" t="n">
        <x:v>0.5</x:v>
      </x:c>
      <x:c r="S35" s="31" t="str">
        <x:v>A25-T07</x:v>
      </x:c>
      <x:c r="T35" s="31" t="str"/>
      <x:c r="U35" s="31" t="str">
        <x:v>Comfortable K-over win</x:v>
      </x:c>
      <x:c r="V35" s="31" t="str"/>
      <x:c r="W35" s="31"/>
      <x:c r="X35" s="31"/>
      <x:c r="Y35" s="31"/>
      <x:c r="Z35" s="31"/>
    </x:row>
    <x:row r="36">
      <x:c r="A36" s="31" t="str">
        <x:v>2026-08-25</x:v>
      </x:c>
      <x:c r="B36" s="31" t="str">
        <x:v>A25-C08</x:v>
      </x:c>
      <x:c r="C36" s="31" t="str">
        <x:v>SOURCED</x:v>
      </x:c>
      <x:c r="D36" s="31" t="str">
        <x:v>Prop Kitchen</x:v>
      </x:c>
      <x:c r="E36" s="31" t="str">
        <x:v>MLB</x:v>
      </x:c>
      <x:c r="F36" s="31" t="str">
        <x:v>PIT @ SD</x:v>
      </x:c>
      <x:c r="G36" s="31" t="str">
        <x:v>Michael King</x:v>
      </x:c>
      <x:c r="H36" s="31" t="str">
        <x:v>Pitcher Outs</x:v>
      </x:c>
      <x:c r="I36" s="31" t="str">
        <x:v>Over 17.5 outs</x:v>
      </x:c>
      <x:c r="J36" s="31" t="n">
        <x:v>17.5</x:v>
      </x:c>
      <x:c r="K36" s="31"/>
      <x:c r="L36" s="32" t="str">
        <x:f>IF(K36="","",IF(K36&gt;0,100/(K36+100),-K36/(-K36+100)))</x:f>
      </x:c>
      <x:c r="M36" s="31" t="str">
        <x:v>BET</x:v>
      </x:c>
      <x:c r="N36" s="31" t="str">
        <x:v>Y</x:v>
      </x:c>
      <x:c r="O36" s="31" t="str">
        <x:v>Win</x:v>
      </x:c>
      <x:c r="P36" s="31" t="n">
        <x:v>1</x:v>
      </x:c>
      <x:c r="Q36" s="31" t="n">
        <x:v>21</x:v>
      </x:c>
      <x:c r="R36" s="33" t="n">
        <x:v>0.5</x:v>
      </x:c>
      <x:c r="S36" s="31" t="str">
        <x:v>A25-T07</x:v>
      </x:c>
      <x:c r="T36" s="31" t="str"/>
      <x:c r="U36" s="31" t="str">
        <x:v>Seven scoreless innings; comfortable workload win</x:v>
      </x:c>
      <x:c r="V36" s="31" t="str"/>
      <x:c r="W36" s="31"/>
      <x:c r="X36" s="31"/>
      <x:c r="Y36" s="31"/>
      <x:c r="Z36" s="31"/>
    </x:row>
    <x:row r="37">
      <x:c r="A37" s="31" t="str">
        <x:v>2026-08-25</x:v>
      </x:c>
      <x:c r="B37" s="31" t="str">
        <x:v>A25-C09</x:v>
      </x:c>
      <x:c r="C37" s="31" t="str">
        <x:v>DISCOVERED</x:v>
      </x:c>
      <x:c r="D37" s="31" t="str">
        <x:v>Hits backbone full-lineup expansion</x:v>
      </x:c>
      <x:c r="E37" s="31" t="str">
        <x:v>MLB</x:v>
      </x:c>
      <x:c r="F37" s="31" t="str">
        <x:v>LAD @ ATL</x:v>
      </x:c>
      <x:c r="G37" s="31" t="str">
        <x:v>Freddie Freeman</x:v>
      </x:c>
      <x:c r="H37" s="31" t="str">
        <x:v>1+ Hit</x:v>
      </x:c>
      <x:c r="I37" s="31" t="str">
        <x:v>1+ hit</x:v>
      </x:c>
      <x:c r="J37" s="31" t="n">
        <x:v>1</x:v>
      </x:c>
      <x:c r="K37" s="31"/>
      <x:c r="L37" s="32" t="str">
        <x:f>IF(K37="","",IF(K37&gt;0,100/(K37+100),-K37/(-K37+100)))</x:f>
      </x:c>
      <x:c r="M37" s="31" t="str">
        <x:v>BET</x:v>
      </x:c>
      <x:c r="N37" s="31" t="str">
        <x:v>Y</x:v>
      </x:c>
      <x:c r="O37" s="31" t="str">
        <x:v>Loss</x:v>
      </x:c>
      <x:c r="P37" s="31" t="n">
        <x:v>0</x:v>
      </x:c>
      <x:c r="Q37" s="31" t="n">
        <x:v>0</x:v>
      </x:c>
      <x:c r="R37" s="33" t="n">
        <x:v>0.33</x:v>
      </x:c>
      <x:c r="S37" s="31" t="str">
        <x:v>A25-T08</x:v>
      </x:c>
      <x:c r="T37" s="31" t="str">
        <x:v>Price inefficiency / hitter miss</x:v>
      </x:c>
      <x:c r="U37" s="31" t="str">
        <x:v>Expensive 1+ hit glue added little payout but killed ticket</x:v>
      </x:c>
      <x:c r="V37" s="31" t="str"/>
      <x:c r="W37" s="31"/>
      <x:c r="X37" s="31"/>
      <x:c r="Y37" s="31"/>
      <x:c r="Z37" s="31"/>
    </x:row>
    <x:row r="38">
      <x:c r="A38" s="31" t="str">
        <x:v>2026-08-25</x:v>
      </x:c>
      <x:c r="B38" s="31" t="str">
        <x:v>A25-C10</x:v>
      </x:c>
      <x:c r="C38" s="31" t="str">
        <x:v>DISCOVERED</x:v>
      </x:c>
      <x:c r="D38" s="31" t="str">
        <x:v>Hits backbone market conversion</x:v>
      </x:c>
      <x:c r="E38" s="31" t="str">
        <x:v>MLB</x:v>
      </x:c>
      <x:c r="F38" s="31" t="str">
        <x:v>HOU @ NYY</x:v>
      </x:c>
      <x:c r="G38" s="31" t="str">
        <x:v>Yordan Alvarez</x:v>
      </x:c>
      <x:c r="H38" s="31" t="str">
        <x:v>1+ Hit</x:v>
      </x:c>
      <x:c r="I38" s="31" t="str">
        <x:v>1+ hit</x:v>
      </x:c>
      <x:c r="J38" s="31" t="n">
        <x:v>1</x:v>
      </x:c>
      <x:c r="K38" s="31"/>
      <x:c r="L38" s="32" t="str">
        <x:f>IF(K38="","",IF(K38&gt;0,100/(K38+100),-K38/(-K38+100)))</x:f>
      </x:c>
      <x:c r="M38" s="31" t="str">
        <x:v>BET</x:v>
      </x:c>
      <x:c r="N38" s="31" t="str">
        <x:v>Y</x:v>
      </x:c>
      <x:c r="O38" s="31" t="str">
        <x:v>Win</x:v>
      </x:c>
      <x:c r="P38" s="31" t="n">
        <x:v>1</x:v>
      </x:c>
      <x:c r="Q38" s="31" t="n">
        <x:v>1</x:v>
      </x:c>
      <x:c r="R38" s="33" t="n">
        <x:v>0.33</x:v>
      </x:c>
      <x:c r="S38" s="31" t="str">
        <x:v>A25-T08</x:v>
      </x:c>
      <x:c r="T38" s="31" t="str"/>
      <x:c r="U38" s="31" t="str">
        <x:v>Lower-threshold Yordan exposure cleared</x:v>
      </x:c>
      <x:c r="V38" s="31" t="str"/>
      <x:c r="W38" s="31"/>
      <x:c r="X38" s="31"/>
      <x:c r="Y38" s="31"/>
      <x:c r="Z38" s="31"/>
    </x:row>
    <x:row r="39">
      <x:c r="A39" s="31" t="str">
        <x:v>2026-08-25</x:v>
      </x:c>
      <x:c r="B39" s="31" t="str">
        <x:v>A25-C11</x:v>
      </x:c>
      <x:c r="C39" s="31" t="str">
        <x:v>SOURCED</x:v>
      </x:c>
      <x:c r="D39" s="31" t="str">
        <x:v>Hit Sheet</x:v>
      </x:c>
      <x:c r="E39" s="31" t="str">
        <x:v>MLB</x:v>
      </x:c>
      <x:c r="F39" s="31" t="str">
        <x:v>KC @ TOR</x:v>
      </x:c>
      <x:c r="G39" s="31" t="str">
        <x:v>Bobby Witt Jr.</x:v>
      </x:c>
      <x:c r="H39" s="31" t="str">
        <x:v>1+ Hit</x:v>
      </x:c>
      <x:c r="I39" s="31" t="str">
        <x:v>1+ hit</x:v>
      </x:c>
      <x:c r="J39" s="31" t="n">
        <x:v>1</x:v>
      </x:c>
      <x:c r="K39" s="31"/>
      <x:c r="L39" s="32" t="str">
        <x:f>IF(K39="","",IF(K39&gt;0,100/(K39+100),-K39/(-K39+100)))</x:f>
      </x:c>
      <x:c r="M39" s="31" t="str">
        <x:v>BET</x:v>
      </x:c>
      <x:c r="N39" s="31" t="str">
        <x:v>Y</x:v>
      </x:c>
      <x:c r="O39" s="31" t="str">
        <x:v>Loss</x:v>
      </x:c>
      <x:c r="P39" s="31" t="n">
        <x:v>0</x:v>
      </x:c>
      <x:c r="Q39" s="31" t="n">
        <x:v>0</x:v>
      </x:c>
      <x:c r="R39" s="33" t="n">
        <x:v>0.34</x:v>
      </x:c>
      <x:c r="S39" s="31" t="str">
        <x:v>A25-T08</x:v>
      </x:c>
      <x:c r="T39" s="31" t="str">
        <x:v>Price inefficiency / hitter miss</x:v>
      </x:c>
      <x:c r="U39" s="31" t="str">
        <x:v>Walked twice but did not record a hit</x:v>
      </x:c>
      <x:c r="V39" s="31" t="str">
        <x:v>Need compare all hit-sheet candidates before selection.</x:v>
      </x:c>
      <x:c r="W39" s="31"/>
      <x:c r="X39" s="31"/>
      <x:c r="Y39" s="31"/>
      <x:c r="Z39" s="31"/>
    </x:row>
    <x:row r="40">
      <x:c r="A40" s="31" t="str">
        <x:v>2026-08-25</x:v>
      </x:c>
      <x:c r="B40" s="31" t="str">
        <x:v>A25-C12</x:v>
      </x:c>
      <x:c r="C40" s="31" t="str">
        <x:v>DISCOVERED</x:v>
      </x:c>
      <x:c r="D40" s="31" t="str">
        <x:v>Dodgers SGP</x:v>
      </x:c>
      <x:c r="E40" s="31" t="str">
        <x:v>MLB</x:v>
      </x:c>
      <x:c r="F40" s="31" t="str">
        <x:v>LAD @ ATL</x:v>
      </x:c>
      <x:c r="G40" s="31" t="str">
        <x:v>Shohei Ohtani</x:v>
      </x:c>
      <x:c r="H40" s="31" t="str">
        <x:v>1+ Hit</x:v>
      </x:c>
      <x:c r="I40" s="31" t="str">
        <x:v>1+ hit</x:v>
      </x:c>
      <x:c r="J40" s="31" t="n">
        <x:v>1</x:v>
      </x:c>
      <x:c r="K40" s="31"/>
      <x:c r="L40" s="32" t="str">
        <x:f>IF(K40="","",IF(K40&gt;0,100/(K40+100),-K40/(-K40+100)))</x:f>
      </x:c>
      <x:c r="M40" s="31" t="str">
        <x:v>BET</x:v>
      </x:c>
      <x:c r="N40" s="31" t="str">
        <x:v>Y</x:v>
      </x:c>
      <x:c r="O40" s="31" t="str">
        <x:v>Win</x:v>
      </x:c>
      <x:c r="P40" s="31" t="n">
        <x:v>1</x:v>
      </x:c>
      <x:c r="Q40" s="31" t="n">
        <x:v>1</x:v>
      </x:c>
      <x:c r="R40" s="33" t="n">
        <x:v>0.33</x:v>
      </x:c>
      <x:c r="S40" s="31" t="str">
        <x:v>A25-T09</x:v>
      </x:c>
      <x:c r="T40" s="31" t="str"/>
      <x:c r="U40" s="31" t="str">
        <x:v>Hit leg cleared</x:v>
      </x:c>
      <x:c r="V40" s="31" t="str"/>
      <x:c r="W40" s="31"/>
      <x:c r="X40" s="31"/>
      <x:c r="Y40" s="31"/>
      <x:c r="Z40" s="31"/>
    </x:row>
    <x:row r="41">
      <x:c r="A41" s="31" t="str">
        <x:v>2026-08-25</x:v>
      </x:c>
      <x:c r="B41" s="31" t="str">
        <x:v>A25-C13</x:v>
      </x:c>
      <x:c r="C41" s="31" t="str">
        <x:v>DISCOVERED</x:v>
      </x:c>
      <x:c r="D41" s="31" t="str">
        <x:v>Dodgers SGP</x:v>
      </x:c>
      <x:c r="E41" s="31" t="str">
        <x:v>MLB</x:v>
      </x:c>
      <x:c r="F41" s="31" t="str">
        <x:v>LAD @ ATL</x:v>
      </x:c>
      <x:c r="G41" s="31" t="str">
        <x:v>Bryce Elder</x:v>
      </x:c>
      <x:c r="H41" s="31" t="str">
        <x:v>Pitcher K Under</x:v>
      </x:c>
      <x:c r="I41" s="31" t="str">
        <x:v>Under 4.5 Ks</x:v>
      </x:c>
      <x:c r="J41" s="31" t="n">
        <x:v>4.5</x:v>
      </x:c>
      <x:c r="K41" s="31"/>
      <x:c r="L41" s="32" t="str">
        <x:f>IF(K41="","",IF(K41&gt;0,100/(K41+100),-K41/(-K41+100)))</x:f>
      </x:c>
      <x:c r="M41" s="31" t="str">
        <x:v>BET</x:v>
      </x:c>
      <x:c r="N41" s="31" t="str">
        <x:v>Y</x:v>
      </x:c>
      <x:c r="O41" s="31" t="str">
        <x:v>Loss</x:v>
      </x:c>
      <x:c r="P41" s="31" t="n">
        <x:v>0</x:v>
      </x:c>
      <x:c r="Q41" s="31" t="n">
        <x:v>5</x:v>
      </x:c>
      <x:c r="R41" s="33" t="n">
        <x:v>0.33</x:v>
      </x:c>
      <x:c r="S41" s="31" t="str">
        <x:v>A25-T09</x:v>
      </x:c>
      <x:c r="T41" s="31" t="str">
        <x:v>Threshold miss</x:v>
      </x:c>
      <x:c r="U41" s="31" t="str">
        <x:v>Finished with exactly 5 Ks</x:v>
      </x:c>
      <x:c r="V41" s="31" t="str">
        <x:v>Another K-under miss by one.</x:v>
      </x:c>
      <x:c r="W41" s="31"/>
      <x:c r="X41" s="31"/>
      <x:c r="Y41" s="31"/>
      <x:c r="Z41" s="31"/>
    </x:row>
    <x:row r="42">
      <x:c r="A42" s="31" t="str">
        <x:v>2026-08-25</x:v>
      </x:c>
      <x:c r="B42" s="31" t="str">
        <x:v>A25-C14</x:v>
      </x:c>
      <x:c r="C42" s="31" t="str">
        <x:v>DISCOVERED</x:v>
      </x:c>
      <x:c r="D42" s="31" t="str">
        <x:v>Dodgers SGP / full-lineup expansion</x:v>
      </x:c>
      <x:c r="E42" s="31" t="str">
        <x:v>MLB</x:v>
      </x:c>
      <x:c r="F42" s="31" t="str">
        <x:v>LAD @ ATL</x:v>
      </x:c>
      <x:c r="G42" s="31" t="str">
        <x:v>Freddie Freeman</x:v>
      </x:c>
      <x:c r="H42" s="31" t="str">
        <x:v>2+ Total Bases</x:v>
      </x:c>
      <x:c r="I42" s="31" t="str">
        <x:v>2+ TB</x:v>
      </x:c>
      <x:c r="J42" s="31" t="n">
        <x:v>2</x:v>
      </x:c>
      <x:c r="K42" s="31"/>
      <x:c r="L42" s="32" t="str">
        <x:f>IF(K42="","",IF(K42&gt;0,100/(K42+100),-K42/(-K42+100)))</x:f>
      </x:c>
      <x:c r="M42" s="31" t="str">
        <x:v>BET</x:v>
      </x:c>
      <x:c r="N42" s="31" t="str">
        <x:v>Y</x:v>
      </x:c>
      <x:c r="O42" s="31" t="str">
        <x:v>Loss</x:v>
      </x:c>
      <x:c r="P42" s="31" t="n">
        <x:v>0</x:v>
      </x:c>
      <x:c r="Q42" s="31" t="n">
        <x:v>0</x:v>
      </x:c>
      <x:c r="R42" s="33" t="n">
        <x:v>0.34</x:v>
      </x:c>
      <x:c r="S42" s="31" t="str">
        <x:v>A25-T09</x:v>
      </x:c>
      <x:c r="T42" s="31" t="str">
        <x:v>Hitter miss / market expression</x:v>
      </x:c>
      <x:c r="U42" s="31" t="str">
        <x:v>Dodgers team matchup was good; player concentration failed</x:v>
      </x:c>
      <x:c r="V42" s="31" t="str"/>
      <x:c r="W42" s="31"/>
      <x:c r="X42" s="31"/>
      <x:c r="Y42" s="31"/>
      <x:c r="Z42" s="31"/>
    </x:row>
    <x:row r="43">
      <x:c r="A43" s="31" t="str">
        <x:v>2026-08-25</x:v>
      </x:c>
      <x:c r="B43" s="31" t="str">
        <x:v>A25-C15</x:v>
      </x:c>
      <x:c r="C43" s="31" t="str">
        <x:v>SOURCED</x:v>
      </x:c>
      <x:c r="D43" s="31" t="str">
        <x:v>Adjusted NRFI</x:v>
      </x:c>
      <x:c r="E43" s="31" t="str">
        <x:v>MLB</x:v>
      </x:c>
      <x:c r="F43" s="31" t="str">
        <x:v>CLE @ LAA</x:v>
      </x:c>
      <x:c r="G43" s="31" t="str">
        <x:v>CLE/LAA</x:v>
      </x:c>
      <x:c r="H43" s="31" t="str">
        <x:v>NRFI</x:v>
      </x:c>
      <x:c r="I43" s="31" t="str">
        <x:v>NRFI</x:v>
      </x:c>
      <x:c r="J43" s="31"/>
      <x:c r="K43" s="31"/>
      <x:c r="L43" s="32" t="str">
        <x:f>IF(K43="","",IF(K43&gt;0,100/(K43+100),-K43/(-K43+100)))</x:f>
      </x:c>
      <x:c r="M43" s="31" t="str">
        <x:v>BET</x:v>
      </x:c>
      <x:c r="N43" s="31" t="str">
        <x:v>Y</x:v>
      </x:c>
      <x:c r="O43" s="31" t="str">
        <x:v>Loss</x:v>
      </x:c>
      <x:c r="P43" s="31" t="n">
        <x:v>0</x:v>
      </x:c>
      <x:c r="Q43" s="31"/>
      <x:c r="R43" s="33" t="n">
        <x:v>0.5</x:v>
      </x:c>
      <x:c r="S43" s="31" t="str">
        <x:v>A25-T10</x:v>
      </x:c>
      <x:c r="T43" s="31" t="str">
        <x:v>Normal variance - two-out two-strike HR</x:v>
      </x:c>
      <x:c r="U43" s="31" t="str">
        <x:v>One strike from clearing before Gavin Williams allowed HR</x:v>
      </x:c>
      <x:c r="V43" s="31" t="str">
        <x:v>Do not use full-game scoring to grade NRFI.</x:v>
      </x:c>
      <x:c r="W43" s="31"/>
      <x:c r="X43" s="31"/>
      <x:c r="Y43" s="31"/>
      <x:c r="Z43" s="31"/>
    </x:row>
    <x:row r="44">
      <x:c r="A44" s="31" t="str">
        <x:v>2026-08-25</x:v>
      </x:c>
      <x:c r="B44" s="31" t="str">
        <x:v>A25-C16</x:v>
      </x:c>
      <x:c r="C44" s="31" t="str">
        <x:v>SOURCED</x:v>
      </x:c>
      <x:c r="D44" s="31" t="str">
        <x:v>Adjusted NRFI</x:v>
      </x:c>
      <x:c r="E44" s="31" t="str">
        <x:v>MLB</x:v>
      </x:c>
      <x:c r="F44" s="31" t="str">
        <x:v>PIT @ SD</x:v>
      </x:c>
      <x:c r="G44" s="31" t="str">
        <x:v>PIT/SD</x:v>
      </x:c>
      <x:c r="H44" s="31" t="str">
        <x:v>NRFI</x:v>
      </x:c>
      <x:c r="I44" s="31" t="str">
        <x:v>NRFI</x:v>
      </x:c>
      <x:c r="J44" s="31"/>
      <x:c r="K44" s="31"/>
      <x:c r="L44" s="32" t="str">
        <x:f>IF(K44="","",IF(K44&gt;0,100/(K44+100),-K44/(-K44+100)))</x:f>
      </x:c>
      <x:c r="M44" s="31" t="str">
        <x:v>BET</x:v>
      </x:c>
      <x:c r="N44" s="31" t="str">
        <x:v>Y</x:v>
      </x:c>
      <x:c r="O44" s="31" t="str">
        <x:v>Win</x:v>
      </x:c>
      <x:c r="P44" s="31" t="n">
        <x:v>1</x:v>
      </x:c>
      <x:c r="Q44" s="31"/>
      <x:c r="R44" s="33" t="n">
        <x:v>0.5</x:v>
      </x:c>
      <x:c r="S44" s="31" t="str">
        <x:v>A25-T10</x:v>
      </x:c>
      <x:c r="T44" s="31" t="str"/>
      <x:c r="U44" s="31" t="str">
        <x:v>Game stayed scoreless through eight innings</x:v>
      </x:c>
      <x:c r="V44" s="31" t="str">
        <x:v>Strong NRFI read.</x:v>
      </x:c>
      <x:c r="W44" s="31"/>
      <x:c r="X44" s="31"/>
      <x:c r="Y44" s="31"/>
      <x:c r="Z44" s="31"/>
    </x:row>
    <x:row r="45">
      <x:c r="A45" s="31" t="str">
        <x:v>2026-08-25</x:v>
      </x:c>
      <x:c r="B45" s="31" t="str">
        <x:v>A25-S01</x:v>
      </x:c>
      <x:c r="C45" s="31" t="str">
        <x:v>SOURCED</x:v>
      </x:c>
      <x:c r="D45" s="31" t="str">
        <x:v>Prop Menu</x:v>
      </x:c>
      <x:c r="E45" s="31" t="str">
        <x:v>MLB</x:v>
      </x:c>
      <x:c r="F45" s="31" t="str">
        <x:v>PIT @ SD</x:v>
      </x:c>
      <x:c r="G45" s="31" t="str">
        <x:v>Paul Skenes</x:v>
      </x:c>
      <x:c r="H45" s="31" t="str">
        <x:v>Walks</x:v>
      </x:c>
      <x:c r="I45" s="31" t="str">
        <x:v>Over 1.5 walks</x:v>
      </x:c>
      <x:c r="J45" s="31" t="n">
        <x:v>1.5</x:v>
      </x:c>
      <x:c r="K45" s="31"/>
      <x:c r="L45" s="32" t="str">
        <x:f>IF(K45="","",IF(K45&gt;0,100/(K45+100),-K45/(-K45+100)))</x:f>
      </x:c>
      <x:c r="M45" s="31" t="str">
        <x:v>REJECTED</x:v>
      </x:c>
      <x:c r="N45" s="31" t="str">
        <x:v>N</x:v>
      </x:c>
      <x:c r="O45" s="31" t="str">
        <x:v>Loss</x:v>
      </x:c>
      <x:c r="P45" s="31" t="n">
        <x:v>0</x:v>
      </x:c>
      <x:c r="Q45" s="31" t="n">
        <x:v>0</x:v>
      </x:c>
      <x:c r="R45" s="33" t="n">
        <x:v>0</x:v>
      </x:c>
      <x:c r="S45" s="31"/>
      <x:c r="T45" s="31" t="str"/>
      <x:c r="U45" s="31" t="str">
        <x:v>Correct rejection</x:v>
      </x:c>
      <x:c r="V45" s="31" t="str"/>
      <x:c r="W45" s="31"/>
      <x:c r="X45" s="31"/>
      <x:c r="Y45" s="31"/>
      <x:c r="Z45" s="31"/>
    </x:row>
    <x:row r="46">
      <x:c r="A46" s="31" t="str">
        <x:v>2026-08-25</x:v>
      </x:c>
      <x:c r="B46" s="31" t="str">
        <x:v>A25-S02</x:v>
      </x:c>
      <x:c r="C46" s="31" t="str">
        <x:v>SOURCED</x:v>
      </x:c>
      <x:c r="D46" s="31" t="str">
        <x:v>WNBA Prop Lead</x:v>
      </x:c>
      <x:c r="E46" s="31" t="str">
        <x:v>WNBA</x:v>
      </x:c>
      <x:c r="F46" s="31" t="str">
        <x:v>MIN game</x:v>
      </x:c>
      <x:c r="G46" s="31" t="str">
        <x:v>Jessica Shepard</x:v>
      </x:c>
      <x:c r="H46" s="31" t="str">
        <x:v>WNBA R+A</x:v>
      </x:c>
      <x:c r="I46" s="31" t="str">
        <x:v>Over 15.5 R+A</x:v>
      </x:c>
      <x:c r="J46" s="31" t="n">
        <x:v>15.5</x:v>
      </x:c>
      <x:c r="K46" s="31"/>
      <x:c r="L46" s="32" t="str">
        <x:f>IF(K46="","",IF(K46&gt;0,100/(K46+100),-K46/(-K46+100)))</x:f>
      </x:c>
      <x:c r="M46" s="31" t="str">
        <x:v>REJECTED</x:v>
      </x:c>
      <x:c r="N46" s="31" t="str">
        <x:v>N</x:v>
      </x:c>
      <x:c r="O46" s="31" t="str">
        <x:v>Loss</x:v>
      </x:c>
      <x:c r="P46" s="31" t="n">
        <x:v>0</x:v>
      </x:c>
      <x:c r="Q46" s="31" t="n">
        <x:v>15</x:v>
      </x:c>
      <x:c r="R46" s="33" t="n">
        <x:v>0</x:v>
      </x:c>
      <x:c r="S46" s="31"/>
      <x:c r="T46" s="31" t="str"/>
      <x:c r="U46" s="31" t="str">
        <x:v>Correct rejection</x:v>
      </x:c>
      <x:c r="V46" s="31" t="str">
        <x:v>Finished exactly 15.</x:v>
      </x:c>
      <x:c r="W46" s="31"/>
      <x:c r="X46" s="31"/>
      <x:c r="Y46" s="31"/>
      <x:c r="Z46" s="31"/>
    </x:row>
    <x:row r="47">
      <x:c r="A47" s="31" t="str">
        <x:v>2026-08-25</x:v>
      </x:c>
      <x:c r="B47" s="31" t="str">
        <x:v>A25-S03</x:v>
      </x:c>
      <x:c r="C47" s="31" t="str">
        <x:v>SOURCED</x:v>
      </x:c>
      <x:c r="D47" s="31" t="str">
        <x:v>UDLR 3-Pack Original</x:v>
      </x:c>
      <x:c r="E47" s="31" t="str">
        <x:v>MLB</x:v>
      </x:c>
      <x:c r="F47" s="31" t="str">
        <x:v>PIT @ SD</x:v>
      </x:c>
      <x:c r="G47" s="31" t="str">
        <x:v>Fernando Tatis Jr.</x:v>
      </x:c>
      <x:c r="H47" s="31" t="str">
        <x:v>2+ Total Bases</x:v>
      </x:c>
      <x:c r="I47" s="31" t="str">
        <x:v>2+ TB</x:v>
      </x:c>
      <x:c r="J47" s="31" t="n">
        <x:v>2</x:v>
      </x:c>
      <x:c r="K47" s="31"/>
      <x:c r="L47" s="32" t="str">
        <x:f>IF(K47="","",IF(K47&gt;0,100/(K47+100),-K47/(-K47+100)))</x:f>
      </x:c>
      <x:c r="M47" s="31" t="str">
        <x:v>REJECTED</x:v>
      </x:c>
      <x:c r="N47" s="31" t="str">
        <x:v>N</x:v>
      </x:c>
      <x:c r="O47" s="31" t="str">
        <x:v>Loss</x:v>
      </x:c>
      <x:c r="P47" s="31" t="n">
        <x:v>0</x:v>
      </x:c>
      <x:c r="Q47" s="31" t="n">
        <x:v>0</x:v>
      </x:c>
      <x:c r="R47" s="33" t="n">
        <x:v>0</x:v>
      </x:c>
      <x:c r="S47" s="31"/>
      <x:c r="T47" s="31" t="str"/>
      <x:c r="U47" s="31" t="str">
        <x:v>Correct rejection</x:v>
      </x:c>
      <x:c r="V47" s="31" t="str"/>
      <x:c r="W47" s="31"/>
      <x:c r="X47" s="31"/>
      <x:c r="Y47" s="31"/>
      <x:c r="Z47" s="31"/>
    </x:row>
    <x:row r="48">
      <x:c r="A48" s="31" t="str">
        <x:v>2026-08-25</x:v>
      </x:c>
      <x:c r="B48" s="31" t="str">
        <x:v>A25-S04</x:v>
      </x:c>
      <x:c r="C48" s="31" t="str">
        <x:v>SOURCED</x:v>
      </x:c>
      <x:c r="D48" s="31" t="str">
        <x:v>UDLR 3-Pack Original</x:v>
      </x:c>
      <x:c r="E48" s="31" t="str">
        <x:v>MLB</x:v>
      </x:c>
      <x:c r="F48" s="31" t="str">
        <x:v>STL game</x:v>
      </x:c>
      <x:c r="G48" s="31" t="str">
        <x:v>Alec Burleson</x:v>
      </x:c>
      <x:c r="H48" s="31" t="str">
        <x:v>H+R+RBI</x:v>
      </x:c>
      <x:c r="I48" s="31" t="str">
        <x:v>2+ H+R+RBI</x:v>
      </x:c>
      <x:c r="J48" s="31" t="n">
        <x:v>2</x:v>
      </x:c>
      <x:c r="K48" s="31"/>
      <x:c r="L48" s="32" t="str">
        <x:f>IF(K48="","",IF(K48&gt;0,100/(K48+100),-K48/(-K48+100)))</x:f>
      </x:c>
      <x:c r="M48" s="31" t="str">
        <x:v>REJECTED</x:v>
      </x:c>
      <x:c r="N48" s="31" t="str">
        <x:v>N</x:v>
      </x:c>
      <x:c r="O48" s="31" t="str">
        <x:v>Loss</x:v>
      </x:c>
      <x:c r="P48" s="31" t="n">
        <x:v>0</x:v>
      </x:c>
      <x:c r="Q48" s="31" t="n">
        <x:v>1</x:v>
      </x:c>
      <x:c r="R48" s="33" t="n">
        <x:v>0</x:v>
      </x:c>
      <x:c r="S48" s="31"/>
      <x:c r="T48" s="31" t="str"/>
      <x:c r="U48" s="31" t="str">
        <x:v>Correct rejection</x:v>
      </x:c>
      <x:c r="V48" s="31" t="str">
        <x:v>1 hit, 0 runs, 0 RBI.</x:v>
      </x:c>
      <x:c r="W48" s="31"/>
      <x:c r="X48" s="31"/>
      <x:c r="Y48" s="31"/>
      <x:c r="Z48" s="31"/>
    </x:row>
    <x:row r="49">
      <x:c r="A49" s="31" t="str">
        <x:v>2026-08-25</x:v>
      </x:c>
      <x:c r="B49" s="31" t="str">
        <x:v>A25-S05</x:v>
      </x:c>
      <x:c r="C49" s="31" t="str">
        <x:v>SOURCED</x:v>
      </x:c>
      <x:c r="D49" s="31" t="str">
        <x:v>UDLR 3-Pack Original</x:v>
      </x:c>
      <x:c r="E49" s="31" t="str">
        <x:v>MLB</x:v>
      </x:c>
      <x:c r="F49" s="31" t="str">
        <x:v>HOU @ NYY</x:v>
      </x:c>
      <x:c r="G49" s="31" t="str">
        <x:v>Will Warren</x:v>
      </x:c>
      <x:c r="H49" s="31" t="str">
        <x:v>Pitcher K Over</x:v>
      </x:c>
      <x:c r="I49" s="31" t="str">
        <x:v>Over 4.5 Ks</x:v>
      </x:c>
      <x:c r="J49" s="31" t="n">
        <x:v>4.5</x:v>
      </x:c>
      <x:c r="K49" s="31"/>
      <x:c r="L49" s="32" t="str">
        <x:f>IF(K49="","",IF(K49&gt;0,100/(K49+100),-K49/(-K49+100)))</x:f>
      </x:c>
      <x:c r="M49" s="31" t="str">
        <x:v>REJECTED</x:v>
      </x:c>
      <x:c r="N49" s="31" t="str">
        <x:v>N</x:v>
      </x:c>
      <x:c r="O49" s="31" t="str">
        <x:v>Loss</x:v>
      </x:c>
      <x:c r="P49" s="31" t="n">
        <x:v>0</x:v>
      </x:c>
      <x:c r="Q49" s="31" t="n">
        <x:v>4</x:v>
      </x:c>
      <x:c r="R49" s="33" t="n">
        <x:v>0</x:v>
      </x:c>
      <x:c r="S49" s="31"/>
      <x:c r="T49" s="31" t="str"/>
      <x:c r="U49" s="31" t="str">
        <x:v>Correct rejection</x:v>
      </x:c>
      <x:c r="V49" s="31" t="str"/>
      <x:c r="W49" s="31"/>
      <x:c r="X49" s="31"/>
      <x:c r="Y49" s="31"/>
      <x:c r="Z49" s="31"/>
    </x:row>
    <x:row r="50">
      <x:c r="A50" s="31" t="str">
        <x:v>2026-08-25</x:v>
      </x:c>
      <x:c r="B50" s="31" t="str">
        <x:v>A25-S06</x:v>
      </x:c>
      <x:c r="C50" s="31" t="str">
        <x:v>SOURCED</x:v>
      </x:c>
      <x:c r="D50" s="31" t="str">
        <x:v>Original NRFI</x:v>
      </x:c>
      <x:c r="E50" s="31" t="str">
        <x:v>MLB</x:v>
      </x:c>
      <x:c r="F50" s="31" t="str">
        <x:v>BOS @ MIA</x:v>
      </x:c>
      <x:c r="G50" s="31" t="str">
        <x:v>BOS/MIA</x:v>
      </x:c>
      <x:c r="H50" s="31" t="str">
        <x:v>NRFI</x:v>
      </x:c>
      <x:c r="I50" s="31" t="str">
        <x:v>NRFI</x:v>
      </x:c>
      <x:c r="J50" s="31"/>
      <x:c r="K50" s="31"/>
      <x:c r="L50" s="32" t="str">
        <x:f>IF(K50="","",IF(K50&gt;0,100/(K50+100),-K50/(-K50+100)))</x:f>
      </x:c>
      <x:c r="M50" s="31" t="str">
        <x:v>QUALIFIED_NOT_BET</x:v>
      </x:c>
      <x:c r="N50" s="31" t="str">
        <x:v>N</x:v>
      </x:c>
      <x:c r="O50" s="31" t="str">
        <x:v>Win</x:v>
      </x:c>
      <x:c r="P50" s="31" t="n">
        <x:v>1</x:v>
      </x:c>
      <x:c r="Q50" s="31"/>
      <x:c r="R50" s="33" t="n">
        <x:v>0</x:v>
      </x:c>
      <x:c r="S50" s="31"/>
      <x:c r="T50" s="31" t="str"/>
      <x:c r="U50" s="31" t="str">
        <x:v>MISSED OPPORTUNITY: removed from sourced NRFI card and it cleared</x:v>
      </x:c>
      <x:c r="V50" s="31" t="str">
        <x:v>Adjustment did not improve ticket result.</x:v>
      </x:c>
      <x:c r="W50" s="31"/>
      <x:c r="X50" s="31"/>
      <x:c r="Y50" s="31"/>
      <x:c r="Z50" s="31"/>
    </x:row>
    <x:row r="51">
      <x:c r="A51" s="31" t="str">
        <x:v>2026-08-25</x:v>
      </x:c>
      <x:c r="B51" s="31" t="str">
        <x:v>A25-S07</x:v>
      </x:c>
      <x:c r="C51" s="31" t="str">
        <x:v>SOURCED</x:v>
      </x:c>
      <x:c r="D51" s="31" t="str">
        <x:v>Hit Sheet</x:v>
      </x:c>
      <x:c r="E51" s="31" t="str">
        <x:v>MLB</x:v>
      </x:c>
      <x:c r="F51" s="31" t="str">
        <x:v>NYM game</x:v>
      </x:c>
      <x:c r="G51" s="31" t="str">
        <x:v>Pete Alonso</x:v>
      </x:c>
      <x:c r="H51" s="31" t="str">
        <x:v>1+ Hit</x:v>
      </x:c>
      <x:c r="I51" s="31" t="str">
        <x:v>1+ hit</x:v>
      </x:c>
      <x:c r="J51" s="31" t="n">
        <x:v>1</x:v>
      </x:c>
      <x:c r="K51" s="31"/>
      <x:c r="L51" s="32" t="str">
        <x:f>IF(K51="","",IF(K51&gt;0,100/(K51+100),-K51/(-K51+100)))</x:f>
      </x:c>
      <x:c r="M51" s="31" t="str">
        <x:v>QUALIFIED_NOT_BET</x:v>
      </x:c>
      <x:c r="N51" s="31" t="str">
        <x:v>N</x:v>
      </x:c>
      <x:c r="O51" s="31" t="str">
        <x:v>Win</x:v>
      </x:c>
      <x:c r="P51" s="31" t="n">
        <x:v>1</x:v>
      </x:c>
      <x:c r="Q51" s="31" t="n">
        <x:v>4</x:v>
      </x:c>
      <x:c r="R51" s="33" t="n">
        <x:v>0</x:v>
      </x:c>
      <x:c r="S51" s="31"/>
      <x:c r="T51" s="31" t="str"/>
      <x:c r="U51" s="31" t="str">
        <x:v>MISSED OPPORTUNITY: hit-sheet candidate outperformed selected hit legs</x:v>
      </x:c>
      <x:c r="V51" s="31" t="str">
        <x:v>4-for-4.</x:v>
      </x:c>
      <x:c r="W51" s="31"/>
      <x:c r="X51" s="31"/>
      <x:c r="Y51" s="31"/>
      <x:c r="Z51" s="31"/>
    </x:row>
    <x:row r="52">
      <x:c r="A52" s="31" t="str">
        <x:v>2026-08-25</x:v>
      </x:c>
      <x:c r="B52" s="31" t="str">
        <x:v>A25-S08</x:v>
      </x:c>
      <x:c r="C52" s="31" t="str">
        <x:v>SOURCED</x:v>
      </x:c>
      <x:c r="D52" s="31" t="str">
        <x:v>Hit Sheet</x:v>
      </x:c>
      <x:c r="E52" s="31" t="str">
        <x:v>MLB</x:v>
      </x:c>
      <x:c r="F52" s="31" t="str">
        <x:v>HOU @ NYY</x:v>
      </x:c>
      <x:c r="G52" s="31" t="str">
        <x:v>Cody Bellinger</x:v>
      </x:c>
      <x:c r="H52" s="31" t="str">
        <x:v>1+ Hit</x:v>
      </x:c>
      <x:c r="I52" s="31" t="str">
        <x:v>1+ hit</x:v>
      </x:c>
      <x:c r="J52" s="31" t="n">
        <x:v>1</x:v>
      </x:c>
      <x:c r="K52" s="31"/>
      <x:c r="L52" s="32" t="str">
        <x:f>IF(K52="","",IF(K52&gt;0,100/(K52+100),-K52/(-K52+100)))</x:f>
      </x:c>
      <x:c r="M52" s="31" t="str">
        <x:v>QUALIFIED_NOT_BET</x:v>
      </x:c>
      <x:c r="N52" s="31" t="str">
        <x:v>N</x:v>
      </x:c>
      <x:c r="O52" s="31" t="str">
        <x:v>Win</x:v>
      </x:c>
      <x:c r="P52" s="31" t="n">
        <x:v>1</x:v>
      </x:c>
      <x:c r="Q52" s="31" t="n">
        <x:v>1</x:v>
      </x:c>
      <x:c r="R52" s="33" t="n">
        <x:v>0</x:v>
      </x:c>
      <x:c r="S52" s="31"/>
      <x:c r="T52" s="31" t="str"/>
      <x:c r="U52" s="31" t="str">
        <x:v>MISSED OPPORTUNITY: hit-sheet candidate cleared</x:v>
      </x:c>
      <x:c r="V52" s="31" t="str">
        <x:v>Homered.</x:v>
      </x:c>
      <x:c r="W52" s="31"/>
      <x:c r="X52" s="31"/>
      <x:c r="Y52" s="31"/>
      <x:c r="Z52" s="31"/>
    </x:row>
    <x:row r="53">
      <x:c r="A53" s="31" t="str">
        <x:v>2026-08-25</x:v>
      </x:c>
      <x:c r="B53" s="31" t="str">
        <x:v>A25-S09</x:v>
      </x:c>
      <x:c r="C53" s="31" t="str">
        <x:v>SOURCED</x:v>
      </x:c>
      <x:c r="D53" s="31" t="str">
        <x:v>Hit Sheet</x:v>
      </x:c>
      <x:c r="E53" s="31" t="str">
        <x:v>MLB</x:v>
      </x:c>
      <x:c r="F53" s="31" t="str">
        <x:v>BOS @ MIA</x:v>
      </x:c>
      <x:c r="G53" s="31" t="str">
        <x:v>Xavier Edwards</x:v>
      </x:c>
      <x:c r="H53" s="31" t="str">
        <x:v>1+ Hit</x:v>
      </x:c>
      <x:c r="I53" s="31" t="str">
        <x:v>1+ hit</x:v>
      </x:c>
      <x:c r="J53" s="31" t="n">
        <x:v>1</x:v>
      </x:c>
      <x:c r="K53" s="31"/>
      <x:c r="L53" s="32" t="str">
        <x:f>IF(K53="","",IF(K53&gt;0,100/(K53+100),-K53/(-K53+100)))</x:f>
      </x:c>
      <x:c r="M53" s="31" t="str">
        <x:v>QUALIFIED_NOT_BET</x:v>
      </x:c>
      <x:c r="N53" s="31" t="str">
        <x:v>N</x:v>
      </x:c>
      <x:c r="O53" s="31" t="str">
        <x:v>Win</x:v>
      </x:c>
      <x:c r="P53" s="31" t="n">
        <x:v>1</x:v>
      </x:c>
      <x:c r="Q53" s="31" t="n">
        <x:v>2</x:v>
      </x:c>
      <x:c r="R53" s="33" t="n">
        <x:v>0</x:v>
      </x:c>
      <x:c r="S53" s="31"/>
      <x:c r="T53" s="31" t="str"/>
      <x:c r="U53" s="31" t="str">
        <x:v>MISSED OPPORTUNITY: hit-sheet candidate cleared</x:v>
      </x:c>
      <x:c r="V53" s="31" t="str">
        <x:v>Two hits.</x:v>
      </x:c>
      <x:c r="W53" s="31"/>
      <x:c r="X53" s="31"/>
      <x:c r="Y53" s="31"/>
      <x:c r="Z53" s="31"/>
    </x:row>
    <x:row r="54">
      <x:c r="A54" s="31" t="str">
        <x:v>2026-08-25</x:v>
      </x:c>
      <x:c r="B54" s="31" t="str">
        <x:v>A25-S10</x:v>
      </x:c>
      <x:c r="C54" s="31" t="str">
        <x:v>SOURCED</x:v>
      </x:c>
      <x:c r="D54" s="31" t="str">
        <x:v>HR Parlay Candidate</x:v>
      </x:c>
      <x:c r="E54" s="31" t="str">
        <x:v>MLB</x:v>
      </x:c>
      <x:c r="F54" s="31" t="str">
        <x:v>PIT @ SD</x:v>
      </x:c>
      <x:c r="G54" s="31" t="str">
        <x:v>Oneil Cruz</x:v>
      </x:c>
      <x:c r="H54" s="31" t="str">
        <x:v>HR</x:v>
      </x:c>
      <x:c r="I54" s="31" t="str">
        <x:v>HR</x:v>
      </x:c>
      <x:c r="J54" s="31" t="n">
        <x:v>1</x:v>
      </x:c>
      <x:c r="K54" s="31"/>
      <x:c r="L54" s="32" t="str">
        <x:f>IF(K54="","",IF(K54&gt;0,100/(K54+100),-K54/(-K54+100)))</x:f>
      </x:c>
      <x:c r="M54" s="31" t="str">
        <x:v>QUALIFIED_NOT_BET</x:v>
      </x:c>
      <x:c r="N54" s="31" t="str">
        <x:v>N</x:v>
      </x:c>
      <x:c r="O54" s="31" t="str">
        <x:v>Win</x:v>
      </x:c>
      <x:c r="P54" s="31" t="n">
        <x:v>1</x:v>
      </x:c>
      <x:c r="Q54" s="31" t="n">
        <x:v>1</x:v>
      </x:c>
      <x:c r="R54" s="33" t="n">
        <x:v>0</x:v>
      </x:c>
      <x:c r="S54" s="31"/>
      <x:c r="T54" s="31" t="str"/>
      <x:c r="U54" s="31" t="str">
        <x:v>MISSED OPPORTUNITY: source HR candidate homered</x:v>
      </x:c>
      <x:c r="V54" s="31" t="str">
        <x:v>Ninth-inning game-winning HR.</x:v>
      </x:c>
      <x:c r="W54" s="31"/>
      <x:c r="X54" s="31"/>
      <x:c r="Y54" s="31"/>
      <x:c r="Z54" s="31"/>
    </x:row>
    <x:row r="55">
      <x:c r="A55" s="31" t="str">
        <x:v>2026-08-25</x:v>
      </x:c>
      <x:c r="B55" s="31" t="str">
        <x:v>A25-S11</x:v>
      </x:c>
      <x:c r="C55" s="31" t="str">
        <x:v>SOURCED</x:v>
      </x:c>
      <x:c r="D55" s="31" t="str">
        <x:v>HR Parlay Candidate</x:v>
      </x:c>
      <x:c r="E55" s="31" t="str">
        <x:v>MLB</x:v>
      </x:c>
      <x:c r="F55" s="31" t="str">
        <x:v>CIN @ SF</x:v>
      </x:c>
      <x:c r="G55" s="31" t="str">
        <x:v>Rafael Devers</x:v>
      </x:c>
      <x:c r="H55" s="31" t="str">
        <x:v>HR</x:v>
      </x:c>
      <x:c r="I55" s="31" t="str">
        <x:v>HR</x:v>
      </x:c>
      <x:c r="J55" s="31" t="n">
        <x:v>1</x:v>
      </x:c>
      <x:c r="K55" s="31"/>
      <x:c r="L55" s="32" t="str">
        <x:f>IF(K55="","",IF(K55&gt;0,100/(K55+100),-K55/(-K55+100)))</x:f>
      </x:c>
      <x:c r="M55" s="31" t="str">
        <x:v>QUALIFIED_NOT_BET</x:v>
      </x:c>
      <x:c r="N55" s="31" t="str">
        <x:v>N</x:v>
      </x:c>
      <x:c r="O55" s="31" t="str">
        <x:v>Win</x:v>
      </x:c>
      <x:c r="P55" s="31" t="n">
        <x:v>1</x:v>
      </x:c>
      <x:c r="Q55" s="31" t="n">
        <x:v>1</x:v>
      </x:c>
      <x:c r="R55" s="33" t="n">
        <x:v>0</x:v>
      </x:c>
      <x:c r="S55" s="31"/>
      <x:c r="T55" s="31" t="str"/>
      <x:c r="U55" s="31" t="str">
        <x:v>MISSED OPPORTUNITY: source HR candidate homered</x:v>
      </x:c>
      <x:c r="V55" s="31" t="str"/>
      <x:c r="W55" s="31"/>
      <x:c r="X55" s="31"/>
      <x:c r="Y55" s="31"/>
      <x:c r="Z55" s="31"/>
    </x:row>
    <x:row r="56">
      <x:c r="A56" s="31" t="str">
        <x:v>2026-08-25</x:v>
      </x:c>
      <x:c r="B56" s="31" t="str">
        <x:v>A25-S12</x:v>
      </x:c>
      <x:c r="C56" s="31" t="str">
        <x:v>SOURCED</x:v>
      </x:c>
      <x:c r="D56" s="31" t="str">
        <x:v>HR Candidate</x:v>
      </x:c>
      <x:c r="E56" s="31" t="str">
        <x:v>MLB</x:v>
      </x:c>
      <x:c r="F56" s="31" t="str">
        <x:v>HOU @ NYY</x:v>
      </x:c>
      <x:c r="G56" s="31" t="str">
        <x:v>Yordan Alvarez</x:v>
      </x:c>
      <x:c r="H56" s="31" t="str">
        <x:v>HR</x:v>
      </x:c>
      <x:c r="I56" s="31" t="str">
        <x:v>HR</x:v>
      </x:c>
      <x:c r="J56" s="31" t="n">
        <x:v>1</x:v>
      </x:c>
      <x:c r="K56" s="31"/>
      <x:c r="L56" s="32" t="str">
        <x:f>IF(K56="","",IF(K56&gt;0,100/(K56+100),-K56/(-K56+100)))</x:f>
      </x:c>
      <x:c r="M56" s="31" t="str">
        <x:v>QUALIFIED_NOT_BET</x:v>
      </x:c>
      <x:c r="N56" s="31" t="str">
        <x:v>N</x:v>
      </x:c>
      <x:c r="O56" s="31" t="str">
        <x:v>Loss</x:v>
      </x:c>
      <x:c r="P56" s="31" t="n">
        <x:v>0</x:v>
      </x:c>
      <x:c r="Q56" s="31" t="n">
        <x:v>0</x:v>
      </x:c>
      <x:c r="R56" s="33" t="n">
        <x:v>0</x:v>
      </x:c>
      <x:c r="S56" s="31"/>
      <x:c r="T56" s="31" t="str"/>
      <x:c r="U56" s="31" t="str">
        <x:v>Market-conversion win: HR missed while our 2+ TB won</x:v>
      </x:c>
      <x:c r="V56" s="31" t="str">
        <x:v>Useful example for same-player market testing.</x:v>
      </x:c>
      <x:c r="W56" s="31"/>
      <x:c r="X56" s="31"/>
      <x:c r="Y56" s="31"/>
      <x:c r="Z56" s="31"/>
    </x:row>
    <x:row r="57">
      <x:c r="A57" s="31" t="str">
        <x:v>2026-08-22</x:v>
      </x:c>
      <x:c r="B57" s="31" t="str">
        <x:v>A22-C01</x:v>
      </x:c>
      <x:c r="C57" s="31" t="str">
        <x:v>SOURCED</x:v>
      </x:c>
      <x:c r="D57" s="31" t="str">
        <x:v>Placed Card</x:v>
      </x:c>
      <x:c r="E57" s="31" t="str">
        <x:v>MLB</x:v>
      </x:c>
      <x:c r="F57" s="31" t="str">
        <x:v>TBD</x:v>
      </x:c>
      <x:c r="G57" s="31" t="str">
        <x:v>Jones</x:v>
      </x:c>
      <x:c r="H57" s="31" t="str">
        <x:v>Pitcher K Over</x:v>
      </x:c>
      <x:c r="I57" s="31" t="str">
        <x:v>5+ Ks</x:v>
      </x:c>
      <x:c r="J57" s="31" t="n">
        <x:v>5</x:v>
      </x:c>
      <x:c r="K57" s="31"/>
      <x:c r="L57" s="31"/>
      <x:c r="M57" s="31" t="str">
        <x:v>BET</x:v>
      </x:c>
      <x:c r="N57" s="31" t="str">
        <x:v>Y</x:v>
      </x:c>
      <x:c r="O57" s="31"/>
      <x:c r="P57" s="31"/>
      <x:c r="Q57" s="31"/>
      <x:c r="R57" s="31"/>
      <x:c r="S57" s="31" t="str">
        <x:v>A22-T01</x:v>
      </x:c>
      <x:c r="T57" s="31"/>
      <x:c r="U57" s="31"/>
      <x:c r="V57" s="31" t="str">
        <x:v>Backfilled from project chat; exact game/result pending reconciliation.</x:v>
      </x:c>
      <x:c r="W57" s="31"/>
      <x:c r="X57" s="31"/>
      <x:c r="Y57" s="31"/>
      <x:c r="Z57" s="31"/>
    </x:row>
    <x:row r="58">
      <x:c r="A58" s="31" t="str">
        <x:v>2026-08-22</x:v>
      </x:c>
      <x:c r="B58" s="31" t="str">
        <x:v>A22-C02</x:v>
      </x:c>
      <x:c r="C58" s="31" t="str">
        <x:v>SOURCED</x:v>
      </x:c>
      <x:c r="D58" s="31" t="str">
        <x:v>Placed Card</x:v>
      </x:c>
      <x:c r="E58" s="31" t="str">
        <x:v>WNBA</x:v>
      </x:c>
      <x:c r="F58" s="31" t="str">
        <x:v>ATL game</x:v>
      </x:c>
      <x:c r="G58" s="31" t="str">
        <x:v>Atlanta Dream</x:v>
      </x:c>
      <x:c r="H58" s="31" t="str">
        <x:v>Moneyline</x:v>
      </x:c>
      <x:c r="I58" s="31" t="str">
        <x:v>Dream ML</x:v>
      </x:c>
      <x:c r="J58" s="31"/>
      <x:c r="K58" s="31"/>
      <x:c r="L58" s="31"/>
      <x:c r="M58" s="31" t="str">
        <x:v>BET</x:v>
      </x:c>
      <x:c r="N58" s="31" t="str">
        <x:v>Y</x:v>
      </x:c>
      <x:c r="O58" s="31"/>
      <x:c r="P58" s="31"/>
      <x:c r="Q58" s="31"/>
      <x:c r="R58" s="31"/>
      <x:c r="S58" s="31" t="str">
        <x:v>A22-T01</x:v>
      </x:c>
      <x:c r="T58" s="31"/>
      <x:c r="U58" s="31"/>
      <x:c r="V58" s="31" t="str">
        <x:v>Backfilled from project chat.</x:v>
      </x:c>
      <x:c r="W58" s="31"/>
      <x:c r="X58" s="31"/>
      <x:c r="Y58" s="31"/>
      <x:c r="Z58" s="31"/>
    </x:row>
    <x:row r="59">
      <x:c r="A59" s="31" t="str">
        <x:v>2026-08-22</x:v>
      </x:c>
      <x:c r="B59" s="31" t="str">
        <x:v>A22-C03</x:v>
      </x:c>
      <x:c r="C59" s="31" t="str">
        <x:v>SOURCED</x:v>
      </x:c>
      <x:c r="D59" s="31" t="str">
        <x:v>Hits Card</x:v>
      </x:c>
      <x:c r="E59" s="31" t="str">
        <x:v>MLB</x:v>
      </x:c>
      <x:c r="F59" s="31" t="str">
        <x:v>TBD</x:v>
      </x:c>
      <x:c r="G59" s="31" t="str">
        <x:v>Yandy Diaz</x:v>
      </x:c>
      <x:c r="H59" s="31" t="str">
        <x:v>1+ Hit</x:v>
      </x:c>
      <x:c r="I59" s="31" t="str">
        <x:v>1+ hit</x:v>
      </x:c>
      <x:c r="J59" s="31" t="n">
        <x:v>1</x:v>
      </x:c>
      <x:c r="K59" s="31"/>
      <x:c r="L59" s="31"/>
      <x:c r="M59" s="31" t="str">
        <x:v>BET</x:v>
      </x:c>
      <x:c r="N59" s="31" t="str">
        <x:v>Y</x:v>
      </x:c>
      <x:c r="O59" s="31"/>
      <x:c r="P59" s="31"/>
      <x:c r="Q59" s="31"/>
      <x:c r="R59" s="31"/>
      <x:c r="S59" s="31" t="str">
        <x:v>A22-T02</x:v>
      </x:c>
      <x:c r="T59" s="31"/>
      <x:c r="U59" s="31"/>
      <x:c r="V59" s="31"/>
      <x:c r="W59" s="31"/>
      <x:c r="X59" s="31"/>
      <x:c r="Y59" s="31"/>
      <x:c r="Z59" s="31"/>
    </x:row>
    <x:row r="60">
      <x:c r="A60" s="31" t="str">
        <x:v>2026-08-22</x:v>
      </x:c>
      <x:c r="B60" s="31" t="str">
        <x:v>A22-C04</x:v>
      </x:c>
      <x:c r="C60" s="31" t="str">
        <x:v>SOURCED</x:v>
      </x:c>
      <x:c r="D60" s="31" t="str">
        <x:v>Hits Card</x:v>
      </x:c>
      <x:c r="E60" s="31" t="str">
        <x:v>MLB</x:v>
      </x:c>
      <x:c r="F60" s="31" t="str">
        <x:v>TBD</x:v>
      </x:c>
      <x:c r="G60" s="31" t="str">
        <x:v>Bobby Witt Jr.</x:v>
      </x:c>
      <x:c r="H60" s="31" t="str">
        <x:v>1+ Hit</x:v>
      </x:c>
      <x:c r="I60" s="31" t="str">
        <x:v>1+ hit</x:v>
      </x:c>
      <x:c r="J60" s="31" t="n">
        <x:v>1</x:v>
      </x:c>
      <x:c r="K60" s="31"/>
      <x:c r="L60" s="31"/>
      <x:c r="M60" s="31" t="str">
        <x:v>BET</x:v>
      </x:c>
      <x:c r="N60" s="31" t="str">
        <x:v>Y</x:v>
      </x:c>
      <x:c r="O60" s="31"/>
      <x:c r="P60" s="31"/>
      <x:c r="Q60" s="31"/>
      <x:c r="R60" s="31"/>
      <x:c r="S60" s="31" t="str">
        <x:v>A22-T02</x:v>
      </x:c>
      <x:c r="T60" s="31"/>
      <x:c r="U60" s="31"/>
      <x:c r="V60" s="31"/>
      <x:c r="W60" s="31"/>
      <x:c r="X60" s="31"/>
      <x:c r="Y60" s="31"/>
      <x:c r="Z60" s="31"/>
    </x:row>
    <x:row r="61">
      <x:c r="A61" s="31" t="str">
        <x:v>2026-08-22</x:v>
      </x:c>
      <x:c r="B61" s="31" t="str">
        <x:v>A22-C05</x:v>
      </x:c>
      <x:c r="C61" s="31" t="str">
        <x:v>SOURCED</x:v>
      </x:c>
      <x:c r="D61" s="31" t="str">
        <x:v>Hits Card</x:v>
      </x:c>
      <x:c r="E61" s="31" t="str">
        <x:v>MLB</x:v>
      </x:c>
      <x:c r="F61" s="31" t="str">
        <x:v>TBD</x:v>
      </x:c>
      <x:c r="G61" s="31" t="str">
        <x:v>Willson Contreras</x:v>
      </x:c>
      <x:c r="H61" s="31" t="str">
        <x:v>1+ Hit</x:v>
      </x:c>
      <x:c r="I61" s="31" t="str">
        <x:v>1+ hit</x:v>
      </x:c>
      <x:c r="J61" s="31" t="n">
        <x:v>1</x:v>
      </x:c>
      <x:c r="K61" s="31"/>
      <x:c r="L61" s="31"/>
      <x:c r="M61" s="31" t="str">
        <x:v>BET</x:v>
      </x:c>
      <x:c r="N61" s="31" t="str">
        <x:v>Y</x:v>
      </x:c>
      <x:c r="O61" s="31"/>
      <x:c r="P61" s="31"/>
      <x:c r="Q61" s="31"/>
      <x:c r="R61" s="31"/>
      <x:c r="S61" s="31" t="str">
        <x:v>A22-T02</x:v>
      </x:c>
      <x:c r="T61" s="31"/>
      <x:c r="U61" s="31"/>
      <x:c r="V61" s="31"/>
      <x:c r="W61" s="31"/>
      <x:c r="X61" s="31"/>
      <x:c r="Y61" s="31"/>
      <x:c r="Z61" s="31"/>
    </x:row>
    <x:row r="62">
      <x:c r="A62" s="31" t="str">
        <x:v>2026-08-22</x:v>
      </x:c>
      <x:c r="B62" s="31" t="str">
        <x:v>A22-C06</x:v>
      </x:c>
      <x:c r="C62" s="31" t="str">
        <x:v>SOURCED</x:v>
      </x:c>
      <x:c r="D62" s="31" t="str">
        <x:v>TB + Hit</x:v>
      </x:c>
      <x:c r="E62" s="31" t="str">
        <x:v>MLB</x:v>
      </x:c>
      <x:c r="F62" s="31" t="str">
        <x:v>TBD</x:v>
      </x:c>
      <x:c r="G62" s="31" t="str">
        <x:v>Fernando Tatis Jr.</x:v>
      </x:c>
      <x:c r="H62" s="31" t="str">
        <x:v>2+ Total Bases</x:v>
      </x:c>
      <x:c r="I62" s="31" t="str">
        <x:v>2+ TB</x:v>
      </x:c>
      <x:c r="J62" s="31" t="n">
        <x:v>2</x:v>
      </x:c>
      <x:c r="K62" s="31"/>
      <x:c r="L62" s="31"/>
      <x:c r="M62" s="31" t="str">
        <x:v>BET</x:v>
      </x:c>
      <x:c r="N62" s="31" t="str">
        <x:v>Y</x:v>
      </x:c>
      <x:c r="O62" s="31"/>
      <x:c r="P62" s="31"/>
      <x:c r="Q62" s="31"/>
      <x:c r="R62" s="31"/>
      <x:c r="S62" s="31" t="str">
        <x:v>A22-T03</x:v>
      </x:c>
      <x:c r="T62" s="31"/>
      <x:c r="U62" s="31"/>
      <x:c r="V62" s="31"/>
      <x:c r="W62" s="31"/>
      <x:c r="X62" s="31"/>
      <x:c r="Y62" s="31"/>
      <x:c r="Z62" s="31"/>
    </x:row>
    <x:row r="63">
      <x:c r="A63" s="31" t="str">
        <x:v>2026-08-22</x:v>
      </x:c>
      <x:c r="B63" s="31" t="str">
        <x:v>A22-C07</x:v>
      </x:c>
      <x:c r="C63" s="31" t="str">
        <x:v>SOURCED</x:v>
      </x:c>
      <x:c r="D63" s="31" t="str">
        <x:v>TB + Hit</x:v>
      </x:c>
      <x:c r="E63" s="31" t="str">
        <x:v>MLB</x:v>
      </x:c>
      <x:c r="F63" s="31" t="str">
        <x:v>TBD</x:v>
      </x:c>
      <x:c r="G63" s="31" t="str">
        <x:v>Francisco Lindor</x:v>
      </x:c>
      <x:c r="H63" s="31" t="str">
        <x:v>1+ Hit</x:v>
      </x:c>
      <x:c r="I63" s="31" t="str">
        <x:v>1+ hit</x:v>
      </x:c>
      <x:c r="J63" s="31" t="n">
        <x:v>1</x:v>
      </x:c>
      <x:c r="K63" s="31"/>
      <x:c r="L63" s="31"/>
      <x:c r="M63" s="31" t="str">
        <x:v>BET</x:v>
      </x:c>
      <x:c r="N63" s="31" t="str">
        <x:v>Y</x:v>
      </x:c>
      <x:c r="O63" s="31"/>
      <x:c r="P63" s="31"/>
      <x:c r="Q63" s="31"/>
      <x:c r="R63" s="31"/>
      <x:c r="S63" s="31" t="str">
        <x:v>A22-T03</x:v>
      </x:c>
      <x:c r="T63" s="31"/>
      <x:c r="U63" s="31"/>
      <x:c r="V63" s="31"/>
      <x:c r="W63" s="31"/>
      <x:c r="X63" s="31"/>
      <x:c r="Y63" s="31"/>
      <x:c r="Z63" s="31"/>
    </x:row>
    <x:row r="64">
      <x:c r="A64" s="31" t="str">
        <x:v>2026-08-22</x:v>
      </x:c>
      <x:c r="B64" s="31" t="str">
        <x:v>A22-C08</x:v>
      </x:c>
      <x:c r="C64" s="31" t="str">
        <x:v>SOURCED</x:v>
      </x:c>
      <x:c r="D64" s="31" t="str">
        <x:v>Pitcher K Card</x:v>
      </x:c>
      <x:c r="E64" s="31" t="str">
        <x:v>MLB</x:v>
      </x:c>
      <x:c r="F64" s="31" t="str">
        <x:v>TBD</x:v>
      </x:c>
      <x:c r="G64" s="31" t="str">
        <x:v>Shane McClanahan</x:v>
      </x:c>
      <x:c r="H64" s="31" t="str">
        <x:v>Pitcher K Over</x:v>
      </x:c>
      <x:c r="I64" s="31" t="str">
        <x:v>4+ Ks</x:v>
      </x:c>
      <x:c r="J64" s="31" t="n">
        <x:v>4</x:v>
      </x:c>
      <x:c r="K64" s="31"/>
      <x:c r="L64" s="31"/>
      <x:c r="M64" s="31" t="str">
        <x:v>BET</x:v>
      </x:c>
      <x:c r="N64" s="31" t="str">
        <x:v>Y</x:v>
      </x:c>
      <x:c r="O64" s="31"/>
      <x:c r="P64" s="31"/>
      <x:c r="Q64" s="31"/>
      <x:c r="R64" s="31"/>
      <x:c r="S64" s="31" t="str">
        <x:v>A22-T04</x:v>
      </x:c>
      <x:c r="T64" s="31"/>
      <x:c r="U64" s="31"/>
      <x:c r="V64" s="31"/>
      <x:c r="W64" s="31"/>
      <x:c r="X64" s="31"/>
      <x:c r="Y64" s="31"/>
      <x:c r="Z64" s="31"/>
    </x:row>
    <x:row r="65">
      <x:c r="A65" s="31" t="str">
        <x:v>2026-08-22</x:v>
      </x:c>
      <x:c r="B65" s="31" t="str">
        <x:v>A22-C09</x:v>
      </x:c>
      <x:c r="C65" s="31" t="str">
        <x:v>SOURCED</x:v>
      </x:c>
      <x:c r="D65" s="31" t="str">
        <x:v>Pitcher K Card</x:v>
      </x:c>
      <x:c r="E65" s="31" t="str">
        <x:v>MLB</x:v>
      </x:c>
      <x:c r="F65" s="31" t="str">
        <x:v>TBD</x:v>
      </x:c>
      <x:c r="G65" s="31" t="str">
        <x:v>Andrew Painter</x:v>
      </x:c>
      <x:c r="H65" s="31" t="str">
        <x:v>Pitcher K Over</x:v>
      </x:c>
      <x:c r="I65" s="31" t="str">
        <x:v>3+ Ks</x:v>
      </x:c>
      <x:c r="J65" s="31" t="n">
        <x:v>3</x:v>
      </x:c>
      <x:c r="K65" s="31"/>
      <x:c r="L65" s="31"/>
      <x:c r="M65" s="31" t="str">
        <x:v>BET</x:v>
      </x:c>
      <x:c r="N65" s="31" t="str">
        <x:v>Y</x:v>
      </x:c>
      <x:c r="O65" s="31"/>
      <x:c r="P65" s="31"/>
      <x:c r="Q65" s="31"/>
      <x:c r="R65" s="31"/>
      <x:c r="S65" s="31" t="str">
        <x:v>A22-T04;A22-T09</x:v>
      </x:c>
      <x:c r="T65" s="31"/>
      <x:c r="U65" s="31"/>
      <x:c r="V65" s="31"/>
      <x:c r="W65" s="31"/>
      <x:c r="X65" s="31"/>
      <x:c r="Y65" s="31"/>
      <x:c r="Z65" s="31"/>
    </x:row>
    <x:row r="66">
      <x:c r="A66" s="31" t="str">
        <x:v>2026-08-22</x:v>
      </x:c>
      <x:c r="B66" s="31" t="str">
        <x:v>A22-C10</x:v>
      </x:c>
      <x:c r="C66" s="31" t="str">
        <x:v>SOURCED</x:v>
      </x:c>
      <x:c r="D66" s="31" t="str">
        <x:v>Pitcher K Card</x:v>
      </x:c>
      <x:c r="E66" s="31" t="str">
        <x:v>MLB</x:v>
      </x:c>
      <x:c r="F66" s="31" t="str">
        <x:v>TBD</x:v>
      </x:c>
      <x:c r="G66" s="31" t="str">
        <x:v>Tarik Skubal</x:v>
      </x:c>
      <x:c r="H66" s="31" t="str">
        <x:v>Pitcher K Over</x:v>
      </x:c>
      <x:c r="I66" s="31" t="str">
        <x:v>8+ Ks</x:v>
      </x:c>
      <x:c r="J66" s="31" t="n">
        <x:v>8</x:v>
      </x:c>
      <x:c r="K66" s="31"/>
      <x:c r="L66" s="31"/>
      <x:c r="M66" s="31" t="str">
        <x:v>BET</x:v>
      </x:c>
      <x:c r="N66" s="31" t="str">
        <x:v>Y</x:v>
      </x:c>
      <x:c r="O66" s="31"/>
      <x:c r="P66" s="31"/>
      <x:c r="Q66" s="31"/>
      <x:c r="R66" s="31"/>
      <x:c r="S66" s="31" t="str">
        <x:v>A22-T04</x:v>
      </x:c>
      <x:c r="T66" s="31"/>
      <x:c r="U66" s="31"/>
      <x:c r="V66" s="31"/>
      <x:c r="W66" s="31"/>
      <x:c r="X66" s="31"/>
      <x:c r="Y66" s="31"/>
      <x:c r="Z66" s="31"/>
    </x:row>
    <x:row r="67">
      <x:c r="A67" s="31" t="str">
        <x:v>2026-08-22</x:v>
      </x:c>
      <x:c r="B67" s="31" t="str">
        <x:v>A22-C11</x:v>
      </x:c>
      <x:c r="C67" s="31" t="str">
        <x:v>SOURCED</x:v>
      </x:c>
      <x:c r="D67" s="31" t="str">
        <x:v>SGPx</x:v>
      </x:c>
      <x:c r="E67" s="31" t="str">
        <x:v>MLB</x:v>
      </x:c>
      <x:c r="F67" s="31" t="str">
        <x:v>TBD</x:v>
      </x:c>
      <x:c r="G67" s="31" t="str">
        <x:v>Scott</x:v>
      </x:c>
      <x:c r="H67" s="31" t="str">
        <x:v>Pitcher K Over</x:v>
      </x:c>
      <x:c r="I67" s="31" t="str">
        <x:v>5+ Ks</x:v>
      </x:c>
      <x:c r="J67" s="31" t="n">
        <x:v>5</x:v>
      </x:c>
      <x:c r="K67" s="31"/>
      <x:c r="L67" s="31"/>
      <x:c r="M67" s="31" t="str">
        <x:v>BET</x:v>
      </x:c>
      <x:c r="N67" s="31" t="str">
        <x:v>Y</x:v>
      </x:c>
      <x:c r="O67" s="31"/>
      <x:c r="P67" s="31"/>
      <x:c r="Q67" s="31"/>
      <x:c r="R67" s="31"/>
      <x:c r="S67" s="31" t="str">
        <x:v>A22-T05</x:v>
      </x:c>
      <x:c r="T67" s="31"/>
      <x:c r="U67" s="31"/>
      <x:c r="V67" s="31" t="str">
        <x:v>First name/game pending exact screenshot reconciliation.</x:v>
      </x:c>
      <x:c r="W67" s="31"/>
      <x:c r="X67" s="31"/>
      <x:c r="Y67" s="31"/>
      <x:c r="Z67" s="31"/>
    </x:row>
    <x:row r="68">
      <x:c r="A68" s="31" t="str">
        <x:v>2026-08-22</x:v>
      </x:c>
      <x:c r="B68" s="31" t="str">
        <x:v>A22-C12</x:v>
      </x:c>
      <x:c r="C68" s="31" t="str">
        <x:v>SOURCED</x:v>
      </x:c>
      <x:c r="D68" s="31" t="str">
        <x:v>SGPx</x:v>
      </x:c>
      <x:c r="E68" s="31" t="str">
        <x:v>MLB</x:v>
      </x:c>
      <x:c r="F68" s="31" t="str">
        <x:v>TBD</x:v>
      </x:c>
      <x:c r="G68" s="31" t="str">
        <x:v>Bo Bichette</x:v>
      </x:c>
      <x:c r="H68" s="31" t="str">
        <x:v>1+ Hit</x:v>
      </x:c>
      <x:c r="I68" s="31" t="str">
        <x:v>1+ hit</x:v>
      </x:c>
      <x:c r="J68" s="31" t="n">
        <x:v>1</x:v>
      </x:c>
      <x:c r="K68" s="31"/>
      <x:c r="L68" s="31"/>
      <x:c r="M68" s="31" t="str">
        <x:v>BET</x:v>
      </x:c>
      <x:c r="N68" s="31" t="str">
        <x:v>Y</x:v>
      </x:c>
      <x:c r="O68" s="31"/>
      <x:c r="P68" s="31"/>
      <x:c r="Q68" s="31"/>
      <x:c r="R68" s="31"/>
      <x:c r="S68" s="31" t="str">
        <x:v>A22-T05</x:v>
      </x:c>
      <x:c r="T68" s="31"/>
      <x:c r="U68" s="31"/>
      <x:c r="V68" s="31"/>
      <x:c r="W68" s="31"/>
      <x:c r="X68" s="31"/>
      <x:c r="Y68" s="31"/>
      <x:c r="Z68" s="31"/>
    </x:row>
    <x:row r="69">
      <x:c r="A69" s="31" t="str">
        <x:v>2026-08-22</x:v>
      </x:c>
      <x:c r="B69" s="31" t="str">
        <x:v>A22-C13</x:v>
      </x:c>
      <x:c r="C69" s="31" t="str">
        <x:v>SOURCED</x:v>
      </x:c>
      <x:c r="D69" s="31" t="str">
        <x:v>SGPx</x:v>
      </x:c>
      <x:c r="E69" s="31" t="str">
        <x:v>MLB</x:v>
      </x:c>
      <x:c r="F69" s="31" t="str">
        <x:v>TBD</x:v>
      </x:c>
      <x:c r="G69" s="31" t="str">
        <x:v>Francisco Lindor</x:v>
      </x:c>
      <x:c r="H69" s="31" t="str">
        <x:v>H+R+RBI</x:v>
      </x:c>
      <x:c r="I69" s="31" t="str">
        <x:v>2+ H+R+RBI</x:v>
      </x:c>
      <x:c r="J69" s="31" t="n">
        <x:v>2</x:v>
      </x:c>
      <x:c r="K69" s="31"/>
      <x:c r="L69" s="31"/>
      <x:c r="M69" s="31" t="str">
        <x:v>BET</x:v>
      </x:c>
      <x:c r="N69" s="31" t="str">
        <x:v>Y</x:v>
      </x:c>
      <x:c r="O69" s="31"/>
      <x:c r="P69" s="31"/>
      <x:c r="Q69" s="31"/>
      <x:c r="R69" s="31"/>
      <x:c r="S69" s="31" t="str">
        <x:v>A22-T05</x:v>
      </x:c>
      <x:c r="T69" s="31"/>
      <x:c r="U69" s="31"/>
      <x:c r="V69" s="31"/>
      <x:c r="W69" s="31"/>
      <x:c r="X69" s="31"/>
      <x:c r="Y69" s="31"/>
      <x:c r="Z69" s="31"/>
    </x:row>
    <x:row r="70">
      <x:c r="A70" s="31" t="str">
        <x:v>2026-08-22</x:v>
      </x:c>
      <x:c r="B70" s="31" t="str">
        <x:v>A22-C14</x:v>
      </x:c>
      <x:c r="C70" s="31" t="str">
        <x:v>SOURCED</x:v>
      </x:c>
      <x:c r="D70" s="31" t="str">
        <x:v>SGPx</x:v>
      </x:c>
      <x:c r="E70" s="31" t="str">
        <x:v>MLB</x:v>
      </x:c>
      <x:c r="F70" s="31" t="str">
        <x:v>TBD</x:v>
      </x:c>
      <x:c r="G70" s="31" t="str">
        <x:v>Steven Kwan</x:v>
      </x:c>
      <x:c r="H70" s="31" t="str">
        <x:v>1+ Hit</x:v>
      </x:c>
      <x:c r="I70" s="31" t="str">
        <x:v>1+ hit</x:v>
      </x:c>
      <x:c r="J70" s="31" t="n">
        <x:v>1</x:v>
      </x:c>
      <x:c r="K70" s="31"/>
      <x:c r="L70" s="31"/>
      <x:c r="M70" s="31" t="str">
        <x:v>BET</x:v>
      </x:c>
      <x:c r="N70" s="31" t="str">
        <x:v>Y</x:v>
      </x:c>
      <x:c r="O70" s="31"/>
      <x:c r="P70" s="31"/>
      <x:c r="Q70" s="31"/>
      <x:c r="R70" s="31"/>
      <x:c r="S70" s="31" t="str">
        <x:v>A22-T05</x:v>
      </x:c>
      <x:c r="T70" s="31"/>
      <x:c r="U70" s="31"/>
      <x:c r="V70" s="31"/>
      <x:c r="W70" s="31"/>
      <x:c r="X70" s="31"/>
      <x:c r="Y70" s="31"/>
      <x:c r="Z70" s="31"/>
    </x:row>
    <x:row r="71">
      <x:c r="A71" s="31" t="str">
        <x:v>2026-08-22</x:v>
      </x:c>
      <x:c r="B71" s="31" t="str">
        <x:v>A22-C15</x:v>
      </x:c>
      <x:c r="C71" s="31" t="str">
        <x:v>SOURCED</x:v>
      </x:c>
      <x:c r="D71" s="31" t="str">
        <x:v>SGPx</x:v>
      </x:c>
      <x:c r="E71" s="31" t="str">
        <x:v>MLB</x:v>
      </x:c>
      <x:c r="F71" s="31" t="str">
        <x:v>TBD</x:v>
      </x:c>
      <x:c r="G71" s="31" t="str">
        <x:v>Chase DeLauter</x:v>
      </x:c>
      <x:c r="H71" s="31" t="str">
        <x:v>1+ Hit</x:v>
      </x:c>
      <x:c r="I71" s="31" t="str">
        <x:v>1+ hit</x:v>
      </x:c>
      <x:c r="J71" s="31" t="n">
        <x:v>1</x:v>
      </x:c>
      <x:c r="K71" s="31"/>
      <x:c r="L71" s="31"/>
      <x:c r="M71" s="31" t="str">
        <x:v>BET</x:v>
      </x:c>
      <x:c r="N71" s="31" t="str">
        <x:v>Y</x:v>
      </x:c>
      <x:c r="O71" s="31"/>
      <x:c r="P71" s="31"/>
      <x:c r="Q71" s="31"/>
      <x:c r="R71" s="31"/>
      <x:c r="S71" s="31" t="str">
        <x:v>A22-T05</x:v>
      </x:c>
      <x:c r="T71" s="31"/>
      <x:c r="U71" s="31"/>
      <x:c r="V71" s="31"/>
      <x:c r="W71" s="31"/>
      <x:c r="X71" s="31"/>
      <x:c r="Y71" s="31"/>
      <x:c r="Z71" s="31"/>
    </x:row>
    <x:row r="72">
      <x:c r="A72" s="31" t="str">
        <x:v>2026-08-22</x:v>
      </x:c>
      <x:c r="B72" s="31" t="str">
        <x:v>A22-C16</x:v>
      </x:c>
      <x:c r="C72" s="31" t="str">
        <x:v>SOURCED</x:v>
      </x:c>
      <x:c r="D72" s="31" t="str">
        <x:v>TB Card</x:v>
      </x:c>
      <x:c r="E72" s="31" t="str">
        <x:v>MLB</x:v>
      </x:c>
      <x:c r="F72" s="31" t="str">
        <x:v>TBD</x:v>
      </x:c>
      <x:c r="G72" s="31" t="str">
        <x:v>Brandon Lowe</x:v>
      </x:c>
      <x:c r="H72" s="31" t="str">
        <x:v>2+ Total Bases</x:v>
      </x:c>
      <x:c r="I72" s="31" t="str">
        <x:v>2+ TB</x:v>
      </x:c>
      <x:c r="J72" s="31" t="n">
        <x:v>2</x:v>
      </x:c>
      <x:c r="K72" s="31"/>
      <x:c r="L72" s="31"/>
      <x:c r="M72" s="31" t="str">
        <x:v>BET</x:v>
      </x:c>
      <x:c r="N72" s="31" t="str">
        <x:v>Y</x:v>
      </x:c>
      <x:c r="O72" s="31"/>
      <x:c r="P72" s="31"/>
      <x:c r="Q72" s="31"/>
      <x:c r="R72" s="31"/>
      <x:c r="S72" s="31" t="str">
        <x:v>A22-T06</x:v>
      </x:c>
      <x:c r="T72" s="31"/>
      <x:c r="U72" s="31"/>
      <x:c r="V72" s="31"/>
      <x:c r="W72" s="31"/>
      <x:c r="X72" s="31"/>
      <x:c r="Y72" s="31"/>
      <x:c r="Z72" s="31"/>
    </x:row>
    <x:row r="73">
      <x:c r="A73" s="31" t="str">
        <x:v>2026-08-22</x:v>
      </x:c>
      <x:c r="B73" s="31" t="str">
        <x:v>A22-C17</x:v>
      </x:c>
      <x:c r="C73" s="31" t="str">
        <x:v>SOURCED</x:v>
      </x:c>
      <x:c r="D73" s="31" t="str">
        <x:v>TB Card</x:v>
      </x:c>
      <x:c r="E73" s="31" t="str">
        <x:v>MLB</x:v>
      </x:c>
      <x:c r="F73" s="31" t="str">
        <x:v>TBD</x:v>
      </x:c>
      <x:c r="G73" s="31" t="str">
        <x:v>Corey Seager</x:v>
      </x:c>
      <x:c r="H73" s="31" t="str">
        <x:v>2+ Total Bases</x:v>
      </x:c>
      <x:c r="I73" s="31" t="str">
        <x:v>2+ TB</x:v>
      </x:c>
      <x:c r="J73" s="31" t="n">
        <x:v>2</x:v>
      </x:c>
      <x:c r="K73" s="31"/>
      <x:c r="L73" s="31"/>
      <x:c r="M73" s="31" t="str">
        <x:v>BET</x:v>
      </x:c>
      <x:c r="N73" s="31" t="str">
        <x:v>Y</x:v>
      </x:c>
      <x:c r="O73" s="31"/>
      <x:c r="P73" s="31"/>
      <x:c r="Q73" s="31"/>
      <x:c r="R73" s="31"/>
      <x:c r="S73" s="31" t="str">
        <x:v>A22-T06</x:v>
      </x:c>
      <x:c r="T73" s="31"/>
      <x:c r="U73" s="31"/>
      <x:c r="V73" s="31"/>
      <x:c r="W73" s="31"/>
      <x:c r="X73" s="31"/>
      <x:c r="Y73" s="31"/>
      <x:c r="Z73" s="31"/>
    </x:row>
    <x:row r="74">
      <x:c r="A74" s="31" t="str">
        <x:v>2026-08-22</x:v>
      </x:c>
      <x:c r="B74" s="31" t="str">
        <x:v>A22-C18</x:v>
      </x:c>
      <x:c r="C74" s="31" t="str">
        <x:v>SOURCED</x:v>
      </x:c>
      <x:c r="D74" s="31" t="str">
        <x:v>Cross-Sport Card</x:v>
      </x:c>
      <x:c r="E74" s="31" t="str">
        <x:v>MLB</x:v>
      </x:c>
      <x:c r="F74" s="31" t="str">
        <x:v>TBD</x:v>
      </x:c>
      <x:c r="G74" s="31" t="str">
        <x:v>Michael Soroka</x:v>
      </x:c>
      <x:c r="H74" s="31" t="str">
        <x:v>Pitcher Outs</x:v>
      </x:c>
      <x:c r="I74" s="31" t="str">
        <x:v>Over 15.5 outs</x:v>
      </x:c>
      <x:c r="J74" s="31" t="n">
        <x:v>15.5</x:v>
      </x:c>
      <x:c r="K74" s="31"/>
      <x:c r="L74" s="31"/>
      <x:c r="M74" s="31" t="str">
        <x:v>BET</x:v>
      </x:c>
      <x:c r="N74" s="31" t="str">
        <x:v>Y</x:v>
      </x:c>
      <x:c r="O74" s="31"/>
      <x:c r="P74" s="31"/>
      <x:c r="Q74" s="31"/>
      <x:c r="R74" s="31"/>
      <x:c r="S74" s="31" t="str">
        <x:v>A22-T07</x:v>
      </x:c>
      <x:c r="T74" s="31"/>
      <x:c r="U74" s="31"/>
      <x:c r="V74" s="31"/>
      <x:c r="W74" s="31"/>
      <x:c r="X74" s="31"/>
      <x:c r="Y74" s="31"/>
      <x:c r="Z74" s="31"/>
    </x:row>
    <x:row r="75">
      <x:c r="A75" s="31" t="str">
        <x:v>2026-08-22</x:v>
      </x:c>
      <x:c r="B75" s="31" t="str">
        <x:v>A22-C19</x:v>
      </x:c>
      <x:c r="C75" s="31" t="str">
        <x:v>SOURCED</x:v>
      </x:c>
      <x:c r="D75" s="31" t="str">
        <x:v>Cross-Sport Card</x:v>
      </x:c>
      <x:c r="E75" s="31" t="str">
        <x:v>MLB</x:v>
      </x:c>
      <x:c r="F75" s="31" t="str">
        <x:v>TBD</x:v>
      </x:c>
      <x:c r="G75" s="31" t="str">
        <x:v>Wilyer Abreu</x:v>
      </x:c>
      <x:c r="H75" s="31" t="str">
        <x:v>H+R+RBI</x:v>
      </x:c>
      <x:c r="I75" s="31" t="str">
        <x:v>2+ H+R+RBI</x:v>
      </x:c>
      <x:c r="J75" s="31" t="n">
        <x:v>2</x:v>
      </x:c>
      <x:c r="K75" s="31"/>
      <x:c r="L75" s="31"/>
      <x:c r="M75" s="31" t="str">
        <x:v>BET</x:v>
      </x:c>
      <x:c r="N75" s="31" t="str">
        <x:v>Y</x:v>
      </x:c>
      <x:c r="O75" s="31"/>
      <x:c r="P75" s="31"/>
      <x:c r="Q75" s="31"/>
      <x:c r="R75" s="31"/>
      <x:c r="S75" s="31" t="str">
        <x:v>A22-T07</x:v>
      </x:c>
      <x:c r="T75" s="31"/>
      <x:c r="U75" s="31"/>
      <x:c r="V75" s="31"/>
      <x:c r="W75" s="31"/>
      <x:c r="X75" s="31"/>
      <x:c r="Y75" s="31"/>
      <x:c r="Z75" s="31"/>
    </x:row>
    <x:row r="76">
      <x:c r="A76" s="31" t="str">
        <x:v>2026-08-22</x:v>
      </x:c>
      <x:c r="B76" s="31" t="str">
        <x:v>A22-C20</x:v>
      </x:c>
      <x:c r="C76" s="31" t="str">
        <x:v>SOURCED</x:v>
      </x:c>
      <x:c r="D76" s="31" t="str">
        <x:v>Cross-Sport Card</x:v>
      </x:c>
      <x:c r="E76" s="31" t="str">
        <x:v>WNBA</x:v>
      </x:c>
      <x:c r="F76" s="31" t="str">
        <x:v>TBD</x:v>
      </x:c>
      <x:c r="G76" s="31" t="str">
        <x:v>Rhyne Howard</x:v>
      </x:c>
      <x:c r="H76" s="31" t="str">
        <x:v>WNBA P+A</x:v>
      </x:c>
      <x:c r="I76" s="31" t="str">
        <x:v>20+ points + assists</x:v>
      </x:c>
      <x:c r="J76" s="31" t="n">
        <x:v>20</x:v>
      </x:c>
      <x:c r="K76" s="31"/>
      <x:c r="L76" s="31"/>
      <x:c r="M76" s="31" t="str">
        <x:v>BET</x:v>
      </x:c>
      <x:c r="N76" s="31" t="str">
        <x:v>Y</x:v>
      </x:c>
      <x:c r="O76" s="31"/>
      <x:c r="P76" s="31"/>
      <x:c r="Q76" s="31"/>
      <x:c r="R76" s="31"/>
      <x:c r="S76" s="31" t="str">
        <x:v>A22-T07</x:v>
      </x:c>
      <x:c r="T76" s="31"/>
      <x:c r="U76" s="31"/>
      <x:c r="V76" s="31"/>
      <x:c r="W76" s="31"/>
      <x:c r="X76" s="31"/>
      <x:c r="Y76" s="31"/>
      <x:c r="Z76" s="31"/>
    </x:row>
    <x:row r="77">
      <x:c r="A77" s="31" t="str">
        <x:v>2026-08-22</x:v>
      </x:c>
      <x:c r="B77" s="31" t="str">
        <x:v>A22-C21</x:v>
      </x:c>
      <x:c r="C77" s="31" t="str">
        <x:v>SOURCED</x:v>
      </x:c>
      <x:c r="D77" s="31" t="str">
        <x:v>Cross-Sport Card</x:v>
      </x:c>
      <x:c r="E77" s="31" t="str">
        <x:v>WNBA</x:v>
      </x:c>
      <x:c r="F77" s="31" t="str">
        <x:v>TBD</x:v>
      </x:c>
      <x:c r="G77" s="31" t="str">
        <x:v>Caitlin Clark</x:v>
      </x:c>
      <x:c r="H77" s="31" t="str">
        <x:v>Assists</x:v>
      </x:c>
      <x:c r="I77" s="31" t="str">
        <x:v>8+ assists</x:v>
      </x:c>
      <x:c r="J77" s="31" t="n">
        <x:v>8</x:v>
      </x:c>
      <x:c r="K77" s="31"/>
      <x:c r="L77" s="31"/>
      <x:c r="M77" s="31" t="str">
        <x:v>BET</x:v>
      </x:c>
      <x:c r="N77" s="31" t="str">
        <x:v>Y</x:v>
      </x:c>
      <x:c r="O77" s="31"/>
      <x:c r="P77" s="31"/>
      <x:c r="Q77" s="31"/>
      <x:c r="R77" s="31"/>
      <x:c r="S77" s="31" t="str">
        <x:v>A22-T07</x:v>
      </x:c>
      <x:c r="T77" s="31"/>
      <x:c r="U77" s="31"/>
      <x:c r="V77" s="31"/>
      <x:c r="W77" s="31"/>
      <x:c r="X77" s="31"/>
      <x:c r="Y77" s="31"/>
      <x:c r="Z77" s="31"/>
    </x:row>
    <x:row r="78">
      <x:c r="A78" s="31" t="str">
        <x:v>2026-08-22</x:v>
      </x:c>
      <x:c r="B78" s="31" t="str">
        <x:v>A22-C22</x:v>
      </x:c>
      <x:c r="C78" s="31" t="str">
        <x:v>SOURCED</x:v>
      </x:c>
      <x:c r="D78" s="31" t="str">
        <x:v>HRR Card</x:v>
      </x:c>
      <x:c r="E78" s="31" t="str">
        <x:v>MLB</x:v>
      </x:c>
      <x:c r="F78" s="31" t="str">
        <x:v>TBD</x:v>
      </x:c>
      <x:c r="G78" s="31" t="str">
        <x:v>Jordan Walker</x:v>
      </x:c>
      <x:c r="H78" s="31" t="str">
        <x:v>H+R+RBI</x:v>
      </x:c>
      <x:c r="I78" s="31" t="str">
        <x:v>2+ H+R+RBI</x:v>
      </x:c>
      <x:c r="J78" s="31" t="n">
        <x:v>2</x:v>
      </x:c>
      <x:c r="K78" s="31"/>
      <x:c r="L78" s="31"/>
      <x:c r="M78" s="31" t="str">
        <x:v>BET</x:v>
      </x:c>
      <x:c r="N78" s="31" t="str">
        <x:v>Y</x:v>
      </x:c>
      <x:c r="O78" s="31"/>
      <x:c r="P78" s="31"/>
      <x:c r="Q78" s="31"/>
      <x:c r="R78" s="31"/>
      <x:c r="S78" s="31" t="str">
        <x:v>A22-T08</x:v>
      </x:c>
      <x:c r="T78" s="31"/>
      <x:c r="U78" s="31"/>
      <x:c r="V78" s="31"/>
      <x:c r="W78" s="31"/>
      <x:c r="X78" s="31"/>
      <x:c r="Y78" s="31"/>
      <x:c r="Z78" s="31"/>
    </x:row>
    <x:row r="79">
      <x:c r="A79" s="31" t="str">
        <x:v>2026-08-22</x:v>
      </x:c>
      <x:c r="B79" s="31" t="str">
        <x:v>A22-C23</x:v>
      </x:c>
      <x:c r="C79" s="31" t="str">
        <x:v>SOURCED</x:v>
      </x:c>
      <x:c r="D79" s="31" t="str">
        <x:v>HRR Card</x:v>
      </x:c>
      <x:c r="E79" s="31" t="str">
        <x:v>MLB</x:v>
      </x:c>
      <x:c r="F79" s="31" t="str">
        <x:v>TBD</x:v>
      </x:c>
      <x:c r="G79" s="31" t="str">
        <x:v>Pete Alonso</x:v>
      </x:c>
      <x:c r="H79" s="31" t="str">
        <x:v>H+R+RBI</x:v>
      </x:c>
      <x:c r="I79" s="31" t="str">
        <x:v>2+ H+R+RBI</x:v>
      </x:c>
      <x:c r="J79" s="31" t="n">
        <x:v>2</x:v>
      </x:c>
      <x:c r="K79" s="31"/>
      <x:c r="L79" s="31"/>
      <x:c r="M79" s="31" t="str">
        <x:v>BET</x:v>
      </x:c>
      <x:c r="N79" s="31" t="str">
        <x:v>Y</x:v>
      </x:c>
      <x:c r="O79" s="31"/>
      <x:c r="P79" s="31"/>
      <x:c r="Q79" s="31"/>
      <x:c r="R79" s="31"/>
      <x:c r="S79" s="31" t="str">
        <x:v>A22-T08</x:v>
      </x:c>
      <x:c r="T79" s="31"/>
      <x:c r="U79" s="31"/>
      <x:c r="V79" s="31"/>
      <x:c r="W79" s="31"/>
      <x:c r="X79" s="31"/>
      <x:c r="Y79" s="31"/>
      <x:c r="Z79" s="31"/>
    </x:row>
    <x:row r="80">
      <x:c r="A80" s="31" t="str">
        <x:v>2026-08-22</x:v>
      </x:c>
      <x:c r="B80" s="31" t="str">
        <x:v>A22-C24</x:v>
      </x:c>
      <x:c r="C80" s="31" t="str">
        <x:v>SOURCED</x:v>
      </x:c>
      <x:c r="D80" s="31" t="str">
        <x:v>HRR Card</x:v>
      </x:c>
      <x:c r="E80" s="31" t="str">
        <x:v>MLB</x:v>
      </x:c>
      <x:c r="F80" s="31" t="str">
        <x:v>TBD</x:v>
      </x:c>
      <x:c r="G80" s="31" t="str">
        <x:v>Ceddanne Rafaela</x:v>
      </x:c>
      <x:c r="H80" s="31" t="str">
        <x:v>H+R+RBI</x:v>
      </x:c>
      <x:c r="I80" s="31" t="str">
        <x:v>2+ H+R+RBI</x:v>
      </x:c>
      <x:c r="J80" s="31" t="n">
        <x:v>2</x:v>
      </x:c>
      <x:c r="K80" s="31"/>
      <x:c r="L80" s="31"/>
      <x:c r="M80" s="31" t="str">
        <x:v>BET</x:v>
      </x:c>
      <x:c r="N80" s="31" t="str">
        <x:v>Y</x:v>
      </x:c>
      <x:c r="O80" s="31"/>
      <x:c r="P80" s="31"/>
      <x:c r="Q80" s="31"/>
      <x:c r="R80" s="31"/>
      <x:c r="S80" s="31" t="str">
        <x:v>A22-T08</x:v>
      </x:c>
      <x:c r="T80" s="31"/>
      <x:c r="U80" s="31"/>
      <x:c r="V80" s="31"/>
      <x:c r="W80" s="31"/>
      <x:c r="X80" s="31"/>
      <x:c r="Y80" s="31"/>
      <x:c r="Z80" s="31"/>
    </x:row>
    <x:row r="81">
      <x:c r="A81" s="31" t="str">
        <x:v>2026-08-22</x:v>
      </x:c>
      <x:c r="B81" s="31" t="str">
        <x:v>A22-C25</x:v>
      </x:c>
      <x:c r="C81" s="31" t="str">
        <x:v>HYBRID</x:v>
      </x:c>
      <x:c r="D81" s="31" t="str">
        <x:v>Additional Created Card</x:v>
      </x:c>
      <x:c r="E81" s="31" t="str">
        <x:v>MLB</x:v>
      </x:c>
      <x:c r="F81" s="31" t="str">
        <x:v>TBD</x:v>
      </x:c>
      <x:c r="G81" s="31" t="str">
        <x:v>Pete Crow-Armstrong</x:v>
      </x:c>
      <x:c r="H81" s="31" t="str">
        <x:v>2+ Total Bases</x:v>
      </x:c>
      <x:c r="I81" s="31" t="str">
        <x:v>2+ TB</x:v>
      </x:c>
      <x:c r="J81" s="31" t="n">
        <x:v>2</x:v>
      </x:c>
      <x:c r="K81" s="31"/>
      <x:c r="L81" s="31"/>
      <x:c r="M81" s="31" t="str">
        <x:v>BET</x:v>
      </x:c>
      <x:c r="N81" s="31" t="str">
        <x:v>Y</x:v>
      </x:c>
      <x:c r="O81" s="31"/>
      <x:c r="P81" s="31"/>
      <x:c r="Q81" s="31"/>
      <x:c r="R81" s="31"/>
      <x:c r="S81" s="31" t="str">
        <x:v>A22-T09</x:v>
      </x:c>
      <x:c r="T81" s="31"/>
      <x:c r="U81" s="31"/>
      <x:c r="V81" s="31"/>
      <x:c r="W81" s="31"/>
      <x:c r="X81" s="31"/>
      <x:c r="Y81" s="31"/>
      <x:c r="Z81" s="31"/>
    </x:row>
    <x:row r="82">
      <x:c r="A82" s="31" t="str">
        <x:v>2026-08-22</x:v>
      </x:c>
      <x:c r="B82" s="31" t="str">
        <x:v>A22-C26</x:v>
      </x:c>
      <x:c r="C82" s="31" t="str">
        <x:v>HYBRID</x:v>
      </x:c>
      <x:c r="D82" s="31" t="str">
        <x:v>Additional Created Card</x:v>
      </x:c>
      <x:c r="E82" s="31" t="str">
        <x:v>MLB</x:v>
      </x:c>
      <x:c r="F82" s="31" t="str">
        <x:v>TBD</x:v>
      </x:c>
      <x:c r="G82" s="31" t="str">
        <x:v>Pete Alonso</x:v>
      </x:c>
      <x:c r="H82" s="31" t="str">
        <x:v>H+R+RBI</x:v>
      </x:c>
      <x:c r="I82" s="31" t="str">
        <x:v>2+ H+R+RBI</x:v>
      </x:c>
      <x:c r="J82" s="31" t="n">
        <x:v>2</x:v>
      </x:c>
      <x:c r="K82" s="31"/>
      <x:c r="L82" s="31"/>
      <x:c r="M82" s="31" t="str">
        <x:v>BET</x:v>
      </x:c>
      <x:c r="N82" s="31" t="str">
        <x:v>Y</x:v>
      </x:c>
      <x:c r="O82" s="31"/>
      <x:c r="P82" s="31"/>
      <x:c r="Q82" s="31"/>
      <x:c r="R82" s="31"/>
      <x:c r="S82" s="31" t="str">
        <x:v>A22-T09</x:v>
      </x:c>
      <x:c r="T82" s="31"/>
      <x:c r="U82" s="31"/>
      <x:c r="V82" s="31"/>
      <x:c r="W82" s="31"/>
      <x:c r="X82" s="31"/>
      <x:c r="Y82" s="31"/>
      <x:c r="Z82" s="31"/>
    </x:row>
    <x:row r="83">
      <x:c r="A83" s="31" t="str">
        <x:v>2026-08-23</x:v>
      </x:c>
      <x:c r="B83" s="31" t="str">
        <x:v>A23-C01</x:v>
      </x:c>
      <x:c r="C83" s="31" t="str">
        <x:v>SOURCED</x:v>
      </x:c>
      <x:c r="D83" s="31" t="str">
        <x:v>NRFI Card</x:v>
      </x:c>
      <x:c r="E83" s="31" t="str">
        <x:v>MLB</x:v>
      </x:c>
      <x:c r="F83" s="31" t="str">
        <x:v>STL @ PHI</x:v>
      </x:c>
      <x:c r="G83" s="31" t="str">
        <x:v>STL/PHI</x:v>
      </x:c>
      <x:c r="H83" s="31" t="str">
        <x:v>NRFI</x:v>
      </x:c>
      <x:c r="I83" s="31" t="str">
        <x:v>NRFI</x:v>
      </x:c>
      <x:c r="J83" s="31"/>
      <x:c r="K83" s="31"/>
      <x:c r="L83" s="31"/>
      <x:c r="M83" s="31" t="str">
        <x:v>BET</x:v>
      </x:c>
      <x:c r="N83" s="31" t="str">
        <x:v>Y</x:v>
      </x:c>
      <x:c r="O83" s="31" t="str">
        <x:v>Loss</x:v>
      </x:c>
      <x:c r="P83" s="31" t="n">
        <x:v>0</x:v>
      </x:c>
      <x:c r="Q83" s="31"/>
      <x:c r="R83" s="31" t="n">
        <x:v>0.5</x:v>
      </x:c>
      <x:c r="S83" s="31" t="str">
        <x:v>A23-T01</x:v>
      </x:c>
      <x:c r="T83" s="31" t="str">
        <x:v>First-inning run</x:v>
      </x:c>
      <x:c r="U83" s="31"/>
      <x:c r="V83" s="31" t="str">
        <x:v>Known settled outcome from project journal.</x:v>
      </x:c>
      <x:c r="W83" s="31"/>
      <x:c r="X83" s="31"/>
      <x:c r="Y83" s="31"/>
      <x:c r="Z83" s="31"/>
    </x:row>
    <x:row r="84">
      <x:c r="A84" s="31" t="str">
        <x:v>2026-08-23</x:v>
      </x:c>
      <x:c r="B84" s="31" t="str">
        <x:v>A23-C02</x:v>
      </x:c>
      <x:c r="C84" s="31" t="str">
        <x:v>SOURCED</x:v>
      </x:c>
      <x:c r="D84" s="31" t="str">
        <x:v>NRFI Card</x:v>
      </x:c>
      <x:c r="E84" s="31" t="str">
        <x:v>MLB</x:v>
      </x:c>
      <x:c r="F84" s="31" t="str">
        <x:v>CHC @ SEA</x:v>
      </x:c>
      <x:c r="G84" s="31" t="str">
        <x:v>CHC/SEA</x:v>
      </x:c>
      <x:c r="H84" s="31" t="str">
        <x:v>NRFI</x:v>
      </x:c>
      <x:c r="I84" s="31" t="str">
        <x:v>NRFI</x:v>
      </x:c>
      <x:c r="J84" s="31"/>
      <x:c r="K84" s="31"/>
      <x:c r="L84" s="31"/>
      <x:c r="M84" s="31" t="str">
        <x:v>BET</x:v>
      </x:c>
      <x:c r="N84" s="31" t="str">
        <x:v>Y</x:v>
      </x:c>
      <x:c r="O84" s="31" t="str">
        <x:v>Loss</x:v>
      </x:c>
      <x:c r="P84" s="31" t="n">
        <x:v>0</x:v>
      </x:c>
      <x:c r="Q84" s="31"/>
      <x:c r="R84" s="31" t="n">
        <x:v>0.5</x:v>
      </x:c>
      <x:c r="S84" s="31" t="str">
        <x:v>A23-T01</x:v>
      </x:c>
      <x:c r="T84" s="31" t="str">
        <x:v>First-inning run</x:v>
      </x:c>
      <x:c r="U84" s="31"/>
      <x:c r="V84" s="31" t="str">
        <x:v>Known settled outcome from project journal.</x:v>
      </x:c>
      <x:c r="W84" s="31"/>
      <x:c r="X84" s="31"/>
      <x:c r="Y84" s="31"/>
      <x:c r="Z84" s="31"/>
    </x:row>
    <x:row r="85">
      <x:c r="A85" s="31" t="str">
        <x:v>2026-08-23</x:v>
      </x:c>
      <x:c r="B85" s="31" t="str">
        <x:v>A23-C03</x:v>
      </x:c>
      <x:c r="C85" s="31" t="str">
        <x:v>SOURCED</x:v>
      </x:c>
      <x:c r="D85" s="31" t="str">
        <x:v>TB Card</x:v>
      </x:c>
      <x:c r="E85" s="31" t="str">
        <x:v>MLB</x:v>
      </x:c>
      <x:c r="F85" s="31" t="str">
        <x:v>TBD</x:v>
      </x:c>
      <x:c r="G85" s="31" t="str">
        <x:v>Shohei Ohtani</x:v>
      </x:c>
      <x:c r="H85" s="31" t="str">
        <x:v>2+ Total Bases</x:v>
      </x:c>
      <x:c r="I85" s="31" t="str">
        <x:v>2+ TB</x:v>
      </x:c>
      <x:c r="J85" s="31" t="n">
        <x:v>2</x:v>
      </x:c>
      <x:c r="K85" s="31"/>
      <x:c r="L85" s="31"/>
      <x:c r="M85" s="31" t="str">
        <x:v>BET</x:v>
      </x:c>
      <x:c r="N85" s="31" t="str">
        <x:v>Y</x:v>
      </x:c>
      <x:c r="O85" s="31" t="str">
        <x:v>Loss</x:v>
      </x:c>
      <x:c r="P85" s="31" t="n">
        <x:v>0</x:v>
      </x:c>
      <x:c r="Q85" s="31"/>
      <x:c r="R85" s="31" t="n">
        <x:v>0.33</x:v>
      </x:c>
      <x:c r="S85" s="31" t="str">
        <x:v>A23-T02;A23-T05</x:v>
      </x:c>
      <x:c r="T85" s="31" t="str">
        <x:v>Hitter miss</x:v>
      </x:c>
      <x:c r="U85" s="31" t="str">
        <x:v>Repeated exposure damaged multiple tickets</x:v>
      </x:c>
      <x:c r="V85" s="31" t="str">
        <x:v>Known miss killed two parlays.</x:v>
      </x:c>
      <x:c r="W85" s="31"/>
      <x:c r="X85" s="31"/>
      <x:c r="Y85" s="31"/>
      <x:c r="Z85" s="31"/>
    </x:row>
    <x:row r="86">
      <x:c r="A86" s="31" t="str">
        <x:v>2026-08-23</x:v>
      </x:c>
      <x:c r="B86" s="31" t="str">
        <x:v>A23-C04</x:v>
      </x:c>
      <x:c r="C86" s="31" t="str">
        <x:v>SOURCED</x:v>
      </x:c>
      <x:c r="D86" s="31" t="str">
        <x:v>TB Card</x:v>
      </x:c>
      <x:c r="E86" s="31" t="str">
        <x:v>MLB</x:v>
      </x:c>
      <x:c r="F86" s="31" t="str">
        <x:v>TBD</x:v>
      </x:c>
      <x:c r="G86" s="31" t="str">
        <x:v>Fernando Tatis Jr.</x:v>
      </x:c>
      <x:c r="H86" s="31" t="str">
        <x:v>2+ Total Bases</x:v>
      </x:c>
      <x:c r="I86" s="31" t="str">
        <x:v>2+ TB</x:v>
      </x:c>
      <x:c r="J86" s="31" t="n">
        <x:v>2</x:v>
      </x:c>
      <x:c r="K86" s="31"/>
      <x:c r="L86" s="31"/>
      <x:c r="M86" s="31" t="str">
        <x:v>BET</x:v>
      </x:c>
      <x:c r="N86" s="31" t="str">
        <x:v>Y</x:v>
      </x:c>
      <x:c r="O86" s="31"/>
      <x:c r="P86" s="31"/>
      <x:c r="Q86" s="31"/>
      <x:c r="R86" s="31" t="n">
        <x:v>0.33</x:v>
      </x:c>
      <x:c r="S86" s="31" t="str">
        <x:v>A23-T02</x:v>
      </x:c>
      <x:c r="T86" s="31"/>
      <x:c r="U86" s="31"/>
      <x:c r="V86" s="31" t="str">
        <x:v>Outcome pending exact reconciliation.</x:v>
      </x:c>
      <x:c r="W86" s="31"/>
      <x:c r="X86" s="31"/>
      <x:c r="Y86" s="31"/>
      <x:c r="Z86" s="31"/>
    </x:row>
    <x:row r="87">
      <x:c r="A87" s="31" t="str">
        <x:v>2026-08-23</x:v>
      </x:c>
      <x:c r="B87" s="31" t="str">
        <x:v>A23-C05</x:v>
      </x:c>
      <x:c r="C87" s="31" t="str">
        <x:v>SOURCED</x:v>
      </x:c>
      <x:c r="D87" s="31" t="str">
        <x:v>TB Card</x:v>
      </x:c>
      <x:c r="E87" s="31" t="str">
        <x:v>MLB</x:v>
      </x:c>
      <x:c r="F87" s="31" t="str">
        <x:v>TBD</x:v>
      </x:c>
      <x:c r="G87" s="31" t="str">
        <x:v>Corbin Carroll</x:v>
      </x:c>
      <x:c r="H87" s="31" t="str">
        <x:v>2+ Total Bases</x:v>
      </x:c>
      <x:c r="I87" s="31" t="str">
        <x:v>2+ TB</x:v>
      </x:c>
      <x:c r="J87" s="31" t="n">
        <x:v>2</x:v>
      </x:c>
      <x:c r="K87" s="31"/>
      <x:c r="L87" s="31"/>
      <x:c r="M87" s="31" t="str">
        <x:v>BET</x:v>
      </x:c>
      <x:c r="N87" s="31" t="str">
        <x:v>Y</x:v>
      </x:c>
      <x:c r="O87" s="31"/>
      <x:c r="P87" s="31"/>
      <x:c r="Q87" s="31"/>
      <x:c r="R87" s="31" t="n">
        <x:v>0.34</x:v>
      </x:c>
      <x:c r="S87" s="31" t="str">
        <x:v>A23-T02</x:v>
      </x:c>
      <x:c r="T87" s="31"/>
      <x:c r="U87" s="31"/>
      <x:c r="V87" s="31" t="str">
        <x:v>Outcome pending exact reconciliation.</x:v>
      </x:c>
      <x:c r="W87" s="31"/>
      <x:c r="X87" s="31"/>
      <x:c r="Y87" s="31"/>
      <x:c r="Z87" s="31"/>
    </x:row>
    <x:row r="88">
      <x:c r="A88" s="31" t="str">
        <x:v>2026-08-23</x:v>
      </x:c>
      <x:c r="B88" s="31" t="str">
        <x:v>A23-C06</x:v>
      </x:c>
      <x:c r="C88" s="31" t="str">
        <x:v>SOURCED</x:v>
      </x:c>
      <x:c r="D88" s="31" t="str">
        <x:v>Cross-Sport Card</x:v>
      </x:c>
      <x:c r="E88" s="31" t="str">
        <x:v>WNBA</x:v>
      </x:c>
      <x:c r="F88" s="31" t="str">
        <x:v>TBD</x:v>
      </x:c>
      <x:c r="G88" s="31" t="str">
        <x:v>Kamilla Cardoso</x:v>
      </x:c>
      <x:c r="H88" s="31" t="str">
        <x:v>WNBA PRA</x:v>
      </x:c>
      <x:c r="I88" s="31" t="str">
        <x:v>Over 27.5 PRA</x:v>
      </x:c>
      <x:c r="J88" s="31" t="n">
        <x:v>27.5</x:v>
      </x:c>
      <x:c r="K88" s="31"/>
      <x:c r="L88" s="31"/>
      <x:c r="M88" s="31" t="str">
        <x:v>BET</x:v>
      </x:c>
      <x:c r="N88" s="31" t="str">
        <x:v>Y</x:v>
      </x:c>
      <x:c r="O88" s="31"/>
      <x:c r="P88" s="31"/>
      <x:c r="Q88" s="31"/>
      <x:c r="R88" s="31" t="n">
        <x:v>0.33</x:v>
      </x:c>
      <x:c r="S88" s="31" t="str">
        <x:v>A23-T03</x:v>
      </x:c>
      <x:c r="T88" s="31"/>
      <x:c r="U88" s="31"/>
      <x:c r="V88" s="31" t="str">
        <x:v>Outcome pending exact reconciliation.</x:v>
      </x:c>
      <x:c r="W88" s="31"/>
      <x:c r="X88" s="31"/>
      <x:c r="Y88" s="31"/>
      <x:c r="Z88" s="31"/>
    </x:row>
    <x:row r="89">
      <x:c r="A89" s="31" t="str">
        <x:v>2026-08-23</x:v>
      </x:c>
      <x:c r="B89" s="31" t="str">
        <x:v>A23-C07</x:v>
      </x:c>
      <x:c r="C89" s="31" t="str">
        <x:v>SOURCED</x:v>
      </x:c>
      <x:c r="D89" s="31" t="str">
        <x:v>Cross-Sport Card</x:v>
      </x:c>
      <x:c r="E89" s="31" t="str">
        <x:v>MLB</x:v>
      </x:c>
      <x:c r="F89" s="31" t="str">
        <x:v>TBD</x:v>
      </x:c>
      <x:c r="G89" s="31" t="str">
        <x:v>Bryce Miller</x:v>
      </x:c>
      <x:c r="H89" s="31" t="str">
        <x:v>Hits Allowed</x:v>
      </x:c>
      <x:c r="I89" s="31" t="str">
        <x:v>Over 4.5 hits allowed</x:v>
      </x:c>
      <x:c r="J89" s="31" t="n">
        <x:v>4.5</x:v>
      </x:c>
      <x:c r="K89" s="31"/>
      <x:c r="L89" s="31"/>
      <x:c r="M89" s="31" t="str">
        <x:v>BET</x:v>
      </x:c>
      <x:c r="N89" s="31" t="str">
        <x:v>Y</x:v>
      </x:c>
      <x:c r="O89" s="31" t="str">
        <x:v>Loss</x:v>
      </x:c>
      <x:c r="P89" s="31" t="n">
        <x:v>0</x:v>
      </x:c>
      <x:c r="Q89" s="31"/>
      <x:c r="R89" s="31" t="n">
        <x:v>0.33</x:v>
      </x:c>
      <x:c r="S89" s="31" t="str">
        <x:v>A23-T03</x:v>
      </x:c>
      <x:c r="T89" s="31" t="str">
        <x:v>Bad threshold / pitcher suppression</x:v>
      </x:c>
      <x:c r="U89" s="31"/>
      <x:c r="V89" s="31" t="str">
        <x:v>Known miss from project journal.</x:v>
      </x:c>
      <x:c r="W89" s="31"/>
      <x:c r="X89" s="31"/>
      <x:c r="Y89" s="31"/>
      <x:c r="Z89" s="31"/>
    </x:row>
    <x:row r="90">
      <x:c r="A90" s="31" t="str">
        <x:v>2026-08-23</x:v>
      </x:c>
      <x:c r="B90" s="31" t="str">
        <x:v>A23-C08</x:v>
      </x:c>
      <x:c r="C90" s="31" t="str">
        <x:v>SOURCED</x:v>
      </x:c>
      <x:c r="D90" s="31" t="str">
        <x:v>Cross-Sport + Mixed MLB</x:v>
      </x:c>
      <x:c r="E90" s="31" t="str">
        <x:v>MLB</x:v>
      </x:c>
      <x:c r="F90" s="31" t="str">
        <x:v>TBD</x:v>
      </x:c>
      <x:c r="G90" s="31" t="str">
        <x:v>Nolan McLean</x:v>
      </x:c>
      <x:c r="H90" s="31" t="str">
        <x:v>Pitcher Outs</x:v>
      </x:c>
      <x:c r="I90" s="31" t="str">
        <x:v>Over 17.5 outs</x:v>
      </x:c>
      <x:c r="J90" s="31" t="n">
        <x:v>17.5</x:v>
      </x:c>
      <x:c r="K90" s="31"/>
      <x:c r="L90" s="31"/>
      <x:c r="M90" s="31" t="str">
        <x:v>BET</x:v>
      </x:c>
      <x:c r="N90" s="31" t="str">
        <x:v>Y</x:v>
      </x:c>
      <x:c r="O90" s="31" t="str">
        <x:v>Win</x:v>
      </x:c>
      <x:c r="P90" s="31" t="n">
        <x:v>1</x:v>
      </x:c>
      <x:c r="Q90" s="31"/>
      <x:c r="R90" s="31" t="n">
        <x:v>0.34</x:v>
      </x:c>
      <x:c r="S90" s="31" t="str">
        <x:v>A23-T03;A23-T05</x:v>
      </x:c>
      <x:c r="T90" s="31"/>
      <x:c r="U90" s="31" t="str">
        <x:v>Strong workload market</x:v>
      </x:c>
      <x:c r="V90" s="31" t="str">
        <x:v>Known win.</x:v>
      </x:c>
      <x:c r="W90" s="31"/>
      <x:c r="X90" s="31"/>
      <x:c r="Y90" s="31"/>
      <x:c r="Z90" s="31"/>
    </x:row>
    <x:row r="91">
      <x:c r="A91" s="31" t="str">
        <x:v>2026-08-23</x:v>
      </x:c>
      <x:c r="B91" s="31" t="str">
        <x:v>A23-C09</x:v>
      </x:c>
      <x:c r="C91" s="31" t="str">
        <x:v>SOURCED</x:v>
      </x:c>
      <x:c r="D91" s="31" t="str">
        <x:v>Mixed MLB + K Card</x:v>
      </x:c>
      <x:c r="E91" s="31" t="str">
        <x:v>MLB</x:v>
      </x:c>
      <x:c r="F91" s="31" t="str">
        <x:v>TBD</x:v>
      </x:c>
      <x:c r="G91" s="31" t="str">
        <x:v>Nick Martinez</x:v>
      </x:c>
      <x:c r="H91" s="31" t="str">
        <x:v>Pitcher K Over</x:v>
      </x:c>
      <x:c r="I91" s="31" t="str">
        <x:v>4+ Ks</x:v>
      </x:c>
      <x:c r="J91" s="31" t="n">
        <x:v>4</x:v>
      </x:c>
      <x:c r="K91" s="31"/>
      <x:c r="L91" s="31"/>
      <x:c r="M91" s="31" t="str">
        <x:v>BET</x:v>
      </x:c>
      <x:c r="N91" s="31" t="str">
        <x:v>Y</x:v>
      </x:c>
      <x:c r="O91" s="31" t="str">
        <x:v>Win</x:v>
      </x:c>
      <x:c r="P91" s="31" t="n">
        <x:v>1</x:v>
      </x:c>
      <x:c r="Q91" s="31"/>
      <x:c r="R91" s="31" t="n">
        <x:v>0.5</x:v>
      </x:c>
      <x:c r="S91" s="31" t="str">
        <x:v>A23-T05;A23-T06</x:v>
      </x:c>
      <x:c r="T91" s="31"/>
      <x:c r="U91" s="31"/>
      <x:c r="V91" s="31" t="str">
        <x:v>Known win.</x:v>
      </x:c>
      <x:c r="W91" s="31"/>
      <x:c r="X91" s="31"/>
      <x:c r="Y91" s="31"/>
      <x:c r="Z91" s="31"/>
    </x:row>
    <x:row r="92">
      <x:c r="A92" s="31" t="str">
        <x:v>2026-08-23</x:v>
      </x:c>
      <x:c r="B92" s="31" t="str">
        <x:v>A23-C10</x:v>
      </x:c>
      <x:c r="C92" s="31" t="str">
        <x:v>SOURCED</x:v>
      </x:c>
      <x:c r="D92" s="31" t="str">
        <x:v>K Card</x:v>
      </x:c>
      <x:c r="E92" s="31" t="str">
        <x:v>MLB</x:v>
      </x:c>
      <x:c r="F92" s="31" t="str">
        <x:v>TBD</x:v>
      </x:c>
      <x:c r="G92" s="31" t="str">
        <x:v>Jose Soriano</x:v>
      </x:c>
      <x:c r="H92" s="31" t="str">
        <x:v>Pitcher K Over</x:v>
      </x:c>
      <x:c r="I92" s="31" t="str">
        <x:v>5+ Ks</x:v>
      </x:c>
      <x:c r="J92" s="31" t="n">
        <x:v>5</x:v>
      </x:c>
      <x:c r="K92" s="31"/>
      <x:c r="L92" s="31"/>
      <x:c r="M92" s="31" t="str">
        <x:v>BET</x:v>
      </x:c>
      <x:c r="N92" s="31" t="str">
        <x:v>Y</x:v>
      </x:c>
      <x:c r="O92" s="31" t="str">
        <x:v>Win</x:v>
      </x:c>
      <x:c r="P92" s="31" t="n">
        <x:v>1</x:v>
      </x:c>
      <x:c r="Q92" s="31"/>
      <x:c r="R92" s="31" t="n">
        <x:v>0.33</x:v>
      </x:c>
      <x:c r="S92" s="31" t="str">
        <x:v>A23-T06</x:v>
      </x:c>
      <x:c r="T92" s="31"/>
      <x:c r="U92" s="31"/>
      <x:c r="V92" s="31" t="str">
        <x:v>Known win.</x:v>
      </x:c>
      <x:c r="W92" s="31"/>
      <x:c r="X92" s="31"/>
      <x:c r="Y92" s="31"/>
      <x:c r="Z92" s="31"/>
    </x:row>
    <x:row r="93">
      <x:c r="A93" s="31" t="str">
        <x:v>2026-08-23</x:v>
      </x:c>
      <x:c r="B93" s="31" t="str">
        <x:v>A23-C11</x:v>
      </x:c>
      <x:c r="C93" s="31" t="str">
        <x:v>SOURCED</x:v>
      </x:c>
      <x:c r="D93" s="31" t="str">
        <x:v>K Card</x:v>
      </x:c>
      <x:c r="E93" s="31" t="str">
        <x:v>MLB</x:v>
      </x:c>
      <x:c r="F93" s="31" t="str">
        <x:v>TBD</x:v>
      </x:c>
      <x:c r="G93" s="31" t="str">
        <x:v>Shota Imanaga</x:v>
      </x:c>
      <x:c r="H93" s="31" t="str">
        <x:v>Pitcher K Over</x:v>
      </x:c>
      <x:c r="I93" s="31" t="str">
        <x:v>5+ Ks</x:v>
      </x:c>
      <x:c r="J93" s="31" t="n">
        <x:v>5</x:v>
      </x:c>
      <x:c r="K93" s="31"/>
      <x:c r="L93" s="31"/>
      <x:c r="M93" s="31" t="str">
        <x:v>BET</x:v>
      </x:c>
      <x:c r="N93" s="31" t="str">
        <x:v>Y</x:v>
      </x:c>
      <x:c r="O93" s="31" t="str">
        <x:v>Loss</x:v>
      </x:c>
      <x:c r="P93" s="31" t="n">
        <x:v>0</x:v>
      </x:c>
      <x:c r="Q93" s="31" t="n">
        <x:v>4</x:v>
      </x:c>
      <x:c r="R93" s="31" t="n">
        <x:v>0.34</x:v>
      </x:c>
      <x:c r="S93" s="31" t="str">
        <x:v>A23-T06</x:v>
      </x:c>
      <x:c r="T93" s="31" t="str">
        <x:v>Threshold miss</x:v>
      </x:c>
      <x:c r="U93" s="31" t="str">
        <x:v>Finished at 4 Ks</x:v>
      </x:c>
      <x:c r="V93" s="31" t="str">
        <x:v>Known miss by one.</x:v>
      </x:c>
      <x:c r="W93" s="31"/>
      <x:c r="X93" s="31"/>
      <x:c r="Y93" s="31"/>
      <x:c r="Z93" s="31"/>
    </x:row>
    <x:row r="94">
      <x:c r="A94" s="31" t="str">
        <x:v>2026-08-23</x:v>
      </x:c>
      <x:c r="B94" s="31" t="str">
        <x:v>A23-C12</x:v>
      </x:c>
      <x:c r="C94" s="31" t="str">
        <x:v>SOURCED</x:v>
      </x:c>
      <x:c r="D94" s="31" t="str">
        <x:v>Hits Card</x:v>
      </x:c>
      <x:c r="E94" s="31" t="str">
        <x:v>MLB</x:v>
      </x:c>
      <x:c r="F94" s="31" t="str">
        <x:v>TBD</x:v>
      </x:c>
      <x:c r="G94" s="31" t="str">
        <x:v>Zach Neto</x:v>
      </x:c>
      <x:c r="H94" s="31" t="str">
        <x:v>1+ Hit</x:v>
      </x:c>
      <x:c r="I94" s="31" t="str">
        <x:v>1+ hit</x:v>
      </x:c>
      <x:c r="J94" s="31" t="n">
        <x:v>1</x:v>
      </x:c>
      <x:c r="K94" s="31"/>
      <x:c r="L94" s="31"/>
      <x:c r="M94" s="31" t="str">
        <x:v>BET</x:v>
      </x:c>
      <x:c r="N94" s="31" t="str">
        <x:v>Y</x:v>
      </x:c>
      <x:c r="O94" s="31" t="str">
        <x:v>Win</x:v>
      </x:c>
      <x:c r="P94" s="31" t="n">
        <x:v>1</x:v>
      </x:c>
      <x:c r="Q94" s="31"/>
      <x:c r="R94" s="31" t="n">
        <x:v>0.33</x:v>
      </x:c>
      <x:c r="S94" s="31" t="str">
        <x:v>A23-T07</x:v>
      </x:c>
      <x:c r="T94" s="31"/>
      <x:c r="U94" s="31"/>
      <x:c r="V94" s="31" t="str">
        <x:v>Known win.</x:v>
      </x:c>
      <x:c r="W94" s="31"/>
      <x:c r="X94" s="31"/>
      <x:c r="Y94" s="31"/>
      <x:c r="Z94" s="31"/>
    </x:row>
    <x:row r="95">
      <x:c r="A95" s="31" t="str">
        <x:v>2026-08-23</x:v>
      </x:c>
      <x:c r="B95" s="31" t="str">
        <x:v>A23-C13</x:v>
      </x:c>
      <x:c r="C95" s="31" t="str">
        <x:v>SOURCED</x:v>
      </x:c>
      <x:c r="D95" s="31" t="str">
        <x:v>Hits Card</x:v>
      </x:c>
      <x:c r="E95" s="31" t="str">
        <x:v>MLB</x:v>
      </x:c>
      <x:c r="F95" s="31" t="str">
        <x:v>TBD</x:v>
      </x:c>
      <x:c r="G95" s="31" t="str">
        <x:v>Kody Clemens</x:v>
      </x:c>
      <x:c r="H95" s="31" t="str">
        <x:v>1+ Hit</x:v>
      </x:c>
      <x:c r="I95" s="31" t="str">
        <x:v>1+ hit</x:v>
      </x:c>
      <x:c r="J95" s="31" t="n">
        <x:v>1</x:v>
      </x:c>
      <x:c r="K95" s="31"/>
      <x:c r="L95" s="31"/>
      <x:c r="M95" s="31" t="str">
        <x:v>BET</x:v>
      </x:c>
      <x:c r="N95" s="31" t="str">
        <x:v>Y</x:v>
      </x:c>
      <x:c r="O95" s="31" t="str">
        <x:v>Loss</x:v>
      </x:c>
      <x:c r="P95" s="31" t="n">
        <x:v>0</x:v>
      </x:c>
      <x:c r="Q95" s="31" t="n">
        <x:v>0</x:v>
      </x:c>
      <x:c r="R95" s="31" t="n">
        <x:v>0.33</x:v>
      </x:c>
      <x:c r="S95" s="31" t="str">
        <x:v>A23-T07</x:v>
      </x:c>
      <x:c r="T95" s="31" t="str">
        <x:v>Hitter miss</x:v>
      </x:c>
      <x:c r="U95" s="31"/>
      <x:c r="V95" s="31" t="str">
        <x:v>Known miss.</x:v>
      </x:c>
      <x:c r="W95" s="31"/>
      <x:c r="X95" s="31"/>
      <x:c r="Y95" s="31"/>
      <x:c r="Z95" s="31"/>
    </x:row>
    <x:row r="96">
      <x:c r="A96" s="31" t="str">
        <x:v>2026-08-23</x:v>
      </x:c>
      <x:c r="B96" s="31" t="str">
        <x:v>A23-C14</x:v>
      </x:c>
      <x:c r="C96" s="31" t="str">
        <x:v>SOURCED</x:v>
      </x:c>
      <x:c r="D96" s="31" t="str">
        <x:v>Hits Card</x:v>
      </x:c>
      <x:c r="E96" s="31" t="str">
        <x:v>MLB</x:v>
      </x:c>
      <x:c r="F96" s="31" t="str">
        <x:v>TBD</x:v>
      </x:c>
      <x:c r="G96" s="31" t="str">
        <x:v>Michael Harris II</x:v>
      </x:c>
      <x:c r="H96" s="31" t="str">
        <x:v>1+ Hit</x:v>
      </x:c>
      <x:c r="I96" s="31" t="str">
        <x:v>1+ hit</x:v>
      </x:c>
      <x:c r="J96" s="31" t="n">
        <x:v>1</x:v>
      </x:c>
      <x:c r="K96" s="31"/>
      <x:c r="L96" s="31"/>
      <x:c r="M96" s="31" t="str">
        <x:v>BET</x:v>
      </x:c>
      <x:c r="N96" s="31" t="str">
        <x:v>Y</x:v>
      </x:c>
      <x:c r="O96" s="31"/>
      <x:c r="P96" s="31"/>
      <x:c r="Q96" s="31"/>
      <x:c r="R96" s="31" t="n">
        <x:v>0.34</x:v>
      </x:c>
      <x:c r="S96" s="31" t="str">
        <x:v>A23-T07</x:v>
      </x:c>
      <x:c r="T96" s="31"/>
      <x:c r="U96" s="31"/>
      <x:c r="V96" s="31" t="str">
        <x:v>Outcome pending exact reconciliation.</x:v>
      </x:c>
      <x:c r="W96" s="31"/>
      <x:c r="X96" s="31"/>
      <x:c r="Y96" s="31"/>
      <x:c r="Z96" s="31"/>
    </x:row>
    <x:row r="97">
      <x:c r="A97" s="31" t="str">
        <x:v>2026-08-23</x:v>
      </x:c>
      <x:c r="B97" s="31" t="str">
        <x:v>A23-C15</x:v>
      </x:c>
      <x:c r="C97" s="31" t="str">
        <x:v>SOURCED</x:v>
      </x:c>
      <x:c r="D97" s="31" t="str">
        <x:v>2+ TB Single</x:v>
      </x:c>
      <x:c r="E97" s="31" t="str">
        <x:v>MLB</x:v>
      </x:c>
      <x:c r="F97" s="31" t="str">
        <x:v>TBD</x:v>
      </x:c>
      <x:c r="G97" s="31" t="str">
        <x:v>Jackson Chourio</x:v>
      </x:c>
      <x:c r="H97" s="31" t="str">
        <x:v>2+ Total Bases</x:v>
      </x:c>
      <x:c r="I97" s="31" t="str">
        <x:v>2+ TB</x:v>
      </x:c>
      <x:c r="J97" s="31" t="n">
        <x:v>2</x:v>
      </x:c>
      <x:c r="K97" s="31" t="n">
        <x:v>127</x:v>
      </x:c>
      <x:c r="L97" s="31" t="n">
        <x:v>0.44052863436123346</x:v>
      </x:c>
      <x:c r="M97" s="31" t="str">
        <x:v>BET</x:v>
      </x:c>
      <x:c r="N97" s="31" t="str">
        <x:v>Y</x:v>
      </x:c>
      <x:c r="O97" s="31"/>
      <x:c r="P97" s="31"/>
      <x:c r="Q97" s="31"/>
      <x:c r="R97" s="31" t="n">
        <x:v>5</x:v>
      </x:c>
      <x:c r="S97" s="31" t="str">
        <x:v>A23-T11</x:v>
      </x:c>
      <x:c r="T97" s="31"/>
      <x:c r="U97" s="31"/>
      <x:c r="V97" s="31" t="str">
        <x:v>$5 single from Aug. 23 card; outcome pending reconciliation.</x:v>
      </x:c>
      <x:c r="W97" s="31"/>
      <x:c r="X97" s="31"/>
      <x:c r="Y97" s="31"/>
      <x:c r="Z97" s="31"/>
    </x:row>
    <x:row r="98">
      <x:c r="A98" s="31" t="str">
        <x:v>2026-08-23</x:v>
      </x:c>
      <x:c r="B98" s="31" t="str">
        <x:v>A23-C16</x:v>
      </x:c>
      <x:c r="C98" s="31" t="str">
        <x:v>SOURCED</x:v>
      </x:c>
      <x:c r="D98" s="31" t="str">
        <x:v>Original 2-leg not played</x:v>
      </x:c>
      <x:c r="E98" s="31" t="str">
        <x:v>MLB</x:v>
      </x:c>
      <x:c r="F98" s="31" t="str">
        <x:v>TBD</x:v>
      </x:c>
      <x:c r="G98" s="31" t="str">
        <x:v>Mason Bennett</x:v>
      </x:c>
      <x:c r="H98" s="31" t="str">
        <x:v>Pitcher K Over</x:v>
      </x:c>
      <x:c r="I98" s="31" t="str">
        <x:v>Over 4.5 Ks</x:v>
      </x:c>
      <x:c r="J98" s="31" t="n">
        <x:v>4.5</x:v>
      </x:c>
      <x:c r="K98" s="31"/>
      <x:c r="L98" s="31"/>
      <x:c r="M98" s="31" t="str">
        <x:v>QUALIFIED_NOT_BET</x:v>
      </x:c>
      <x:c r="N98" s="31" t="str">
        <x:v>N</x:v>
      </x:c>
      <x:c r="O98" s="31" t="str">
        <x:v>Win</x:v>
      </x:c>
      <x:c r="P98" s="31" t="n">
        <x:v>1</x:v>
      </x:c>
      <x:c r="Q98" s="31" t="n">
        <x:v>6</x:v>
      </x:c>
      <x:c r="R98" s="31" t="n">
        <x:v>0</x:v>
      </x:c>
      <x:c r="S98" s="31"/>
      <x:c r="T98" s="31" t="str">
        <x:v>Missed opportunity</x:v>
      </x:c>
      <x:c r="U98" s="31" t="str">
        <x:v>Original would have cashed</x:v>
      </x:c>
      <x:c r="V98" s="31" t="str">
        <x:v>Known 6 Ks / 7 IP.</x:v>
      </x:c>
      <x:c r="W98" s="31"/>
      <x:c r="X98" s="31"/>
      <x:c r="Y98" s="31"/>
      <x:c r="Z98" s="31"/>
    </x:row>
    <x:row r="99">
      <x:c r="A99" s="31" t="str">
        <x:v>2026-08-23</x:v>
      </x:c>
      <x:c r="B99" s="31" t="str">
        <x:v>A23-C17</x:v>
      </x:c>
      <x:c r="C99" s="31" t="str">
        <x:v>SOURCED</x:v>
      </x:c>
      <x:c r="D99" s="31" t="str">
        <x:v>Original 2-leg not played</x:v>
      </x:c>
      <x:c r="E99" s="31" t="str">
        <x:v>MLB</x:v>
      </x:c>
      <x:c r="F99" s="31" t="str">
        <x:v>TBD</x:v>
      </x:c>
      <x:c r="G99" s="31" t="str">
        <x:v>Yusei Kikuchi</x:v>
      </x:c>
      <x:c r="H99" s="31" t="str">
        <x:v>Pitcher Outs</x:v>
      </x:c>
      <x:c r="I99" s="31" t="str">
        <x:v>Over 14.5 outs</x:v>
      </x:c>
      <x:c r="J99" s="31" t="n">
        <x:v>14.5</x:v>
      </x:c>
      <x:c r="K99" s="31"/>
      <x:c r="L99" s="31"/>
      <x:c r="M99" s="31" t="str">
        <x:v>QUALIFIED_NOT_BET</x:v>
      </x:c>
      <x:c r="N99" s="31" t="str">
        <x:v>N</x:v>
      </x:c>
      <x:c r="O99" s="31" t="str">
        <x:v>Win</x:v>
      </x:c>
      <x:c r="P99" s="31" t="n">
        <x:v>1</x:v>
      </x:c>
      <x:c r="Q99" s="31" t="n">
        <x:v>15</x:v>
      </x:c>
      <x:c r="R99" s="31" t="n">
        <x:v>0</x:v>
      </x:c>
      <x:c r="S99" s="31"/>
      <x:c r="T99" s="31" t="str">
        <x:v>Missed opportunity</x:v>
      </x:c>
      <x:c r="U99" s="31" t="str">
        <x:v>Original would have cashed</x:v>
      </x:c>
      <x:c r="V99" s="31" t="str">
        <x:v>Known 5 IP / 15 outs.</x:v>
      </x:c>
      <x:c r="W99" s="31"/>
      <x:c r="X99" s="31"/>
      <x:c r="Y99" s="31"/>
      <x:c r="Z99" s="31"/>
    </x:row>
    <x:row r="100">
      <x:c r="A100" s="31" t="str">
        <x:v>2026-08-23</x:v>
      </x:c>
      <x:c r="B100" s="31" t="str">
        <x:v>A23-C18</x:v>
      </x:c>
      <x:c r="C100" s="31" t="str">
        <x:v>SOURCED</x:v>
      </x:c>
      <x:c r="D100" s="31" t="str">
        <x:v>Research Candidate</x:v>
      </x:c>
      <x:c r="E100" s="31" t="str">
        <x:v>MLB</x:v>
      </x:c>
      <x:c r="F100" s="31" t="str">
        <x:v>TBD</x:v>
      </x:c>
      <x:c r="G100" s="31" t="str">
        <x:v>Chandler Simpson</x:v>
      </x:c>
      <x:c r="H100" s="31" t="str">
        <x:v>H+R+RBI</x:v>
      </x:c>
      <x:c r="I100" s="31" t="str">
        <x:v>Over 1.5 H+R+RBI</x:v>
      </x:c>
      <x:c r="J100" s="31" t="n">
        <x:v>1.5</x:v>
      </x:c>
      <x:c r="K100" s="31"/>
      <x:c r="L100" s="31"/>
      <x:c r="M100" s="31" t="str">
        <x:v>QUALIFIED_NOT_BET</x:v>
      </x:c>
      <x:c r="N100" s="31" t="str">
        <x:v>N</x:v>
      </x:c>
      <x:c r="O100" s="31" t="str">
        <x:v>Win</x:v>
      </x:c>
      <x:c r="P100" s="31" t="n">
        <x:v>1</x:v>
      </x:c>
      <x:c r="Q100" s="31"/>
      <x:c r="R100" s="31" t="n">
        <x:v>0</x:v>
      </x:c>
      <x:c r="S100" s="31"/>
      <x:c r="T100" s="31" t="str">
        <x:v>Missed opportunity</x:v>
      </x:c>
      <x:c r="U100" s="31" t="str">
        <x:v>Composite market candidate cleared</x:v>
      </x:c>
      <x:c r="V100" s="31" t="str">
        <x:v>Known hit.</x:v>
      </x:c>
      <x:c r="W100" s="31"/>
      <x:c r="X100" s="31"/>
      <x:c r="Y100" s="31"/>
      <x:c r="Z100" s="31"/>
    </x:row>
    <x:row r="101">
      <x:c r="A101" s="31" t="str">
        <x:v>2026-08-23</x:v>
      </x:c>
      <x:c r="B101" s="31" t="str">
        <x:v>A23-C19</x:v>
      </x:c>
      <x:c r="C101" s="31" t="str">
        <x:v>SOURCED</x:v>
      </x:c>
      <x:c r="D101" s="31" t="str">
        <x:v>Research Candidate</x:v>
      </x:c>
      <x:c r="E101" s="31" t="str">
        <x:v>MLB</x:v>
      </x:c>
      <x:c r="F101" s="31" t="str">
        <x:v>TBD</x:v>
      </x:c>
      <x:c r="G101" s="31" t="str">
        <x:v>Alejandro Kirk</x:v>
      </x:c>
      <x:c r="H101" s="31" t="str">
        <x:v>H+R+RBI</x:v>
      </x:c>
      <x:c r="I101" s="31" t="str">
        <x:v>Over 1.5 H+R+RBI</x:v>
      </x:c>
      <x:c r="J101" s="31" t="n">
        <x:v>1.5</x:v>
      </x:c>
      <x:c r="K101" s="31"/>
      <x:c r="L101" s="31"/>
      <x:c r="M101" s="31" t="str">
        <x:v>QUALIFIED_NOT_BET</x:v>
      </x:c>
      <x:c r="N101" s="31" t="str">
        <x:v>N</x:v>
      </x:c>
      <x:c r="O101" s="31" t="str">
        <x:v>Win</x:v>
      </x:c>
      <x:c r="P101" s="31" t="n">
        <x:v>1</x:v>
      </x:c>
      <x:c r="Q101" s="31"/>
      <x:c r="R101" s="31" t="n">
        <x:v>0</x:v>
      </x:c>
      <x:c r="S101" s="31"/>
      <x:c r="T101" s="31" t="str">
        <x:v>Missed opportunity</x:v>
      </x:c>
      <x:c r="U101" s="31" t="str">
        <x:v>Composite market candidate cleared</x:v>
      </x:c>
      <x:c r="V101" s="31" t="str">
        <x:v>Known hit.</x:v>
      </x:c>
      <x:c r="W101" s="31"/>
      <x:c r="X101" s="31"/>
      <x:c r="Y101" s="31"/>
      <x:c r="Z101" s="31"/>
    </x:row>
    <x:row r="102">
      <x:c r="A102" s="31" t="str">
        <x:v>2026-08-26</x:v>
      </x:c>
      <x:c r="B102" s="31" t="str">
        <x:v>A26-R01</x:v>
      </x:c>
      <x:c r="C102" s="31" t="str">
        <x:v>SOURCED</x:v>
      </x:c>
      <x:c r="D102" s="31" t="str">
        <x:v>NRFI Source Card</x:v>
      </x:c>
      <x:c r="E102" s="31" t="str">
        <x:v>MLB</x:v>
      </x:c>
      <x:c r="F102" s="31" t="str">
        <x:v>CIN @ SF</x:v>
      </x:c>
      <x:c r="G102" s="31" t="str">
        <x:v>CIN/SF</x:v>
      </x:c>
      <x:c r="H102" s="31" t="str">
        <x:v>NRFI</x:v>
      </x:c>
      <x:c r="I102" s="31" t="str">
        <x:v>NRFI</x:v>
      </x:c>
      <x:c r="J102" s="31"/>
      <x:c r="K102" s="31" t="n">
        <x:v>-126</x:v>
      </x:c>
      <x:c r="L102" s="31" t="n">
        <x:v>0.5575221238938053</x:v>
      </x:c>
      <x:c r="M102" s="31" t="str">
        <x:v>RESEARCH_POOL</x:v>
      </x:c>
      <x:c r="N102" s="31" t="str">
        <x:v>N</x:v>
      </x:c>
      <x:c r="O102" s="31" t="str">
        <x:v>Pending</x:v>
      </x:c>
      <x:c r="P102" s="31"/>
      <x:c r="Q102" s="31"/>
      <x:c r="R102" s="31" t="n">
        <x:v>0</x:v>
      </x:c>
      <x:c r="S102" s="31"/>
      <x:c r="T102" s="31"/>
      <x:c r="U102" s="31" t="str">
        <x:v>EXP-10 candidate: source 3-leg NRFI; compare single/2-leg/3-leg construction.</x:v>
      </x:c>
      <x:c r="V102" s="31" t="str">
        <x:v>Nick Lodolo vs Landen Roupp shown on source card.</x:v>
      </x:c>
      <x:c r="W102" s="31"/>
      <x:c r="X102" s="31"/>
      <x:c r="Y102" s="31"/>
      <x:c r="Z102" s="31"/>
    </x:row>
    <x:row r="103">
      <x:c r="A103" s="31" t="str">
        <x:v>2026-08-26</x:v>
      </x:c>
      <x:c r="B103" s="31" t="str">
        <x:v>A26-R02</x:v>
      </x:c>
      <x:c r="C103" s="31" t="str">
        <x:v>SOURCED</x:v>
      </x:c>
      <x:c r="D103" s="31" t="str">
        <x:v>NRFI Source Card</x:v>
      </x:c>
      <x:c r="E103" s="31" t="str">
        <x:v>MLB</x:v>
      </x:c>
      <x:c r="F103" s="31" t="str">
        <x:v>PHI @ SEA</x:v>
      </x:c>
      <x:c r="G103" s="31" t="str">
        <x:v>PHI/SEA</x:v>
      </x:c>
      <x:c r="H103" s="31" t="str">
        <x:v>NRFI</x:v>
      </x:c>
      <x:c r="I103" s="31" t="str">
        <x:v>NRFI</x:v>
      </x:c>
      <x:c r="J103" s="31"/>
      <x:c r="K103" s="31" t="n">
        <x:v>-130</x:v>
      </x:c>
      <x:c r="L103" s="31" t="n">
        <x:v>0.5652173913043478</x:v>
      </x:c>
      <x:c r="M103" s="31" t="str">
        <x:v>RESEARCH_POOL</x:v>
      </x:c>
      <x:c r="N103" s="31" t="str">
        <x:v>N</x:v>
      </x:c>
      <x:c r="O103" s="31" t="str">
        <x:v>Pending</x:v>
      </x:c>
      <x:c r="P103" s="31"/>
      <x:c r="Q103" s="31"/>
      <x:c r="R103" s="31" t="n">
        <x:v>0</x:v>
      </x:c>
      <x:c r="S103" s="31"/>
      <x:c r="T103" s="31"/>
      <x:c r="U103" s="31" t="str">
        <x:v>EXP-10 candidate: preserve source leg and test separately.</x:v>
      </x:c>
      <x:c r="V103" s="31" t="str">
        <x:v>Jesús Luzardo vs Bryan Woo.</x:v>
      </x:c>
      <x:c r="W103" s="31"/>
      <x:c r="X103" s="31"/>
      <x:c r="Y103" s="31"/>
      <x:c r="Z103" s="31"/>
    </x:row>
    <x:row r="104">
      <x:c r="A104" s="31" t="str">
        <x:v>2026-08-26</x:v>
      </x:c>
      <x:c r="B104" s="31" t="str">
        <x:v>A26-R03</x:v>
      </x:c>
      <x:c r="C104" s="31" t="str">
        <x:v>SOURCED</x:v>
      </x:c>
      <x:c r="D104" s="31" t="str">
        <x:v>NRFI Source Card</x:v>
      </x:c>
      <x:c r="E104" s="31" t="str">
        <x:v>MLB</x:v>
      </x:c>
      <x:c r="F104" s="31" t="str">
        <x:v>BOS @ MIA</x:v>
      </x:c>
      <x:c r="G104" s="31" t="str">
        <x:v>BOS/MIA</x:v>
      </x:c>
      <x:c r="H104" s="31" t="str">
        <x:v>NRFI</x:v>
      </x:c>
      <x:c r="I104" s="31" t="str">
        <x:v>NRFI</x:v>
      </x:c>
      <x:c r="J104" s="31"/>
      <x:c r="K104" s="31" t="n">
        <x:v>-113</x:v>
      </x:c>
      <x:c r="L104" s="31" t="n">
        <x:v>0.5305164319248826</x:v>
      </x:c>
      <x:c r="M104" s="31" t="str">
        <x:v>RESEARCH_POOL</x:v>
      </x:c>
      <x:c r="N104" s="31" t="str">
        <x:v>N</x:v>
      </x:c>
      <x:c r="O104" s="31" t="str">
        <x:v>Pending</x:v>
      </x:c>
      <x:c r="P104" s="31"/>
      <x:c r="Q104" s="31"/>
      <x:c r="R104" s="31" t="n">
        <x:v>0</x:v>
      </x:c>
      <x:c r="S104" s="31"/>
      <x:c r="T104" s="31"/>
      <x:c r="U104" s="31" t="str">
        <x:v>EXP-10 candidate: preserve source leg and test separately.</x:v>
      </x:c>
      <x:c r="V104" s="31" t="str">
        <x:v>Sonny Gray vs Ryan Gusto shown.</x:v>
      </x:c>
      <x:c r="W104" s="31"/>
      <x:c r="X104" s="31"/>
      <x:c r="Y104" s="31"/>
      <x:c r="Z104" s="31"/>
    </x:row>
    <x:row r="105">
      <x:c r="A105" s="31" t="str">
        <x:v>2026-08-26</x:v>
      </x:c>
      <x:c r="B105" s="31" t="str">
        <x:v>A26-R04</x:v>
      </x:c>
      <x:c r="C105" s="31" t="str">
        <x:v>SOURCED</x:v>
      </x:c>
      <x:c r="D105" s="31" t="str">
        <x:v>Prop Kitchen Prop Menu</x:v>
      </x:c>
      <x:c r="E105" s="31" t="str">
        <x:v>MLB</x:v>
      </x:c>
      <x:c r="F105" s="31" t="str">
        <x:v>TEX @ CHW</x:v>
      </x:c>
      <x:c r="G105" s="31" t="str">
        <x:v>Sean Burke</x:v>
      </x:c>
      <x:c r="H105" s="31" t="str">
        <x:v>Pitcher Outs</x:v>
      </x:c>
      <x:c r="I105" s="31" t="str">
        <x:v>Over 17.5 outs</x:v>
      </x:c>
      <x:c r="J105" s="31" t="n">
        <x:v>17.5</x:v>
      </x:c>
      <x:c r="K105" s="31"/>
      <x:c r="L105" s="31"/>
      <x:c r="M105" s="31" t="str">
        <x:v>RESEARCH_POOL</x:v>
      </x:c>
      <x:c r="N105" s="31" t="str">
        <x:v>N</x:v>
      </x:c>
      <x:c r="O105" s="31" t="str">
        <x:v>Pending</x:v>
      </x:c>
      <x:c r="P105" s="31"/>
      <x:c r="Q105" s="31"/>
      <x:c r="R105" s="31" t="n">
        <x:v>0</x:v>
      </x:c>
      <x:c r="S105" s="31"/>
      <x:c r="T105" s="31"/>
      <x:c r="U105" s="31" t="str">
        <x:v>EXP-01 direct test of workload/outs thesis.</x:v>
      </x:c>
      <x:c r="V105" s="31" t="str">
        <x:v>Independent validation needed before bet decision.</x:v>
      </x:c>
      <x:c r="W105" s="31"/>
      <x:c r="X105" s="31"/>
      <x:c r="Y105" s="31"/>
      <x:c r="Z105" s="31"/>
    </x:row>
    <x:row r="106">
      <x:c r="A106" s="31" t="str">
        <x:v>2026-08-26</x:v>
      </x:c>
      <x:c r="B106" s="31" t="str">
        <x:v>A26-R05</x:v>
      </x:c>
      <x:c r="C106" s="31" t="str">
        <x:v>SOURCED</x:v>
      </x:c>
      <x:c r="D106" s="31" t="str">
        <x:v>Prop Kitchen Prop Menu</x:v>
      </x:c>
      <x:c r="E106" s="31" t="str">
        <x:v>MLB</x:v>
      </x:c>
      <x:c r="F106" s="31" t="str">
        <x:v>CHC @ ARI</x:v>
      </x:c>
      <x:c r="G106" s="31" t="str">
        <x:v>Eduardo Rodríguez</x:v>
      </x:c>
      <x:c r="H106" s="31" t="str">
        <x:v>Pitcher K Under</x:v>
      </x:c>
      <x:c r="I106" s="31" t="str">
        <x:v>Under 4.5 Ks</x:v>
      </x:c>
      <x:c r="J106" s="31" t="n">
        <x:v>4.5</x:v>
      </x:c>
      <x:c r="K106" s="31"/>
      <x:c r="L106" s="31"/>
      <x:c r="M106" s="31" t="str">
        <x:v>RESEARCH_POOL</x:v>
      </x:c>
      <x:c r="N106" s="31" t="str">
        <x:v>N</x:v>
      </x:c>
      <x:c r="O106" s="31" t="str">
        <x:v>Loss</x:v>
      </x:c>
      <x:c r="P106" s="31" t="n">
        <x:v>0</x:v>
      </x:c>
      <x:c r="Q106" s="31" t="n">
        <x:v>9</x:v>
      </x:c>
      <x:c r="R106" s="31" t="n">
        <x:v>0</x:v>
      </x:c>
      <x:c r="S106" s="31"/>
      <x:c r="T106" s="31" t="str">
        <x:v>Bad handicap</x:v>
      </x:c>
      <x:c r="U106" s="31" t="str">
        <x:v>Eduardo Rodríguez U4.5 K lost decisively; 9 Ks.</x:v>
      </x:c>
      <x:c r="V106" s="31" t="str">
        <x:v>K-under hypothesis failed.</x:v>
      </x:c>
      <x:c r="W106" s="31"/>
      <x:c r="X106" s="31"/>
      <x:c r="Y106" s="31"/>
      <x:c r="Z106" s="31"/>
    </x:row>
    <x:row r="107">
      <x:c r="A107" s="31" t="str">
        <x:v>2026-08-26</x:v>
      </x:c>
      <x:c r="B107" s="31" t="str">
        <x:v>A26-R06</x:v>
      </x:c>
      <x:c r="C107" s="31" t="str">
        <x:v>SOURCED</x:v>
      </x:c>
      <x:c r="D107" s="31" t="str">
        <x:v>Prop Kitchen Prop Menu</x:v>
      </x:c>
      <x:c r="E107" s="31" t="str">
        <x:v>MLB</x:v>
      </x:c>
      <x:c r="F107" s="31" t="str">
        <x:v>BAL @ STL</x:v>
      </x:c>
      <x:c r="G107" s="31" t="str">
        <x:v>Alec Burleson</x:v>
      </x:c>
      <x:c r="H107" s="31" t="str">
        <x:v>H+R+RBI</x:v>
      </x:c>
      <x:c r="I107" s="31" t="str">
        <x:v>Over 1.5 H+R+RBI</x:v>
      </x:c>
      <x:c r="J107" s="31" t="n">
        <x:v>1.5</x:v>
      </x:c>
      <x:c r="K107" s="31"/>
      <x:c r="L107" s="31"/>
      <x:c r="M107" s="31" t="str">
        <x:v>RESEARCH_POOL</x:v>
      </x:c>
      <x:c r="N107" s="31" t="str">
        <x:v>N</x:v>
      </x:c>
      <x:c r="O107" s="31" t="str">
        <x:v>Win</x:v>
      </x:c>
      <x:c r="P107" s="31" t="n">
        <x:v>1</x:v>
      </x:c>
      <x:c r="Q107" s="31"/>
      <x:c r="R107" s="31" t="n">
        <x:v>0</x:v>
      </x:c>
      <x:c r="S107" s="31"/>
      <x:c r="T107" s="31"/>
      <x:c r="U107" s="31" t="str">
        <x:v>Prospective paper win: Burleson cleared 2+ H+R+RBI.</x:v>
      </x:c>
      <x:c r="V107" s="31" t="str">
        <x:v>User-confirmed live result.</x:v>
      </x:c>
      <x:c r="W107" s="31"/>
      <x:c r="X107" s="31"/>
      <x:c r="Y107" s="31"/>
      <x:c r="Z107" s="31"/>
    </x:row>
    <x:row r="108">
      <x:c r="A108" s="31" t="str">
        <x:v>2026-08-26</x:v>
      </x:c>
      <x:c r="B108" s="31" t="str">
        <x:v>A26-R07</x:v>
      </x:c>
      <x:c r="C108" s="31" t="str">
        <x:v>SOURCED</x:v>
      </x:c>
      <x:c r="D108" s="31" t="str">
        <x:v>Prop Kitchen Prop Menu</x:v>
      </x:c>
      <x:c r="E108" s="31" t="str">
        <x:v>WNBA</x:v>
      </x:c>
      <x:c r="F108" s="31" t="str">
        <x:v>TBD</x:v>
      </x:c>
      <x:c r="G108" s="31" t="str">
        <x:v>Charlisse Leger-Walker</x:v>
      </x:c>
      <x:c r="H108" s="31" t="str">
        <x:v>WNBA R+A</x:v>
      </x:c>
      <x:c r="I108" s="31" t="str">
        <x:v>Over 6.5 rebounds + assists</x:v>
      </x:c>
      <x:c r="J108" s="31" t="n">
        <x:v>6.5</x:v>
      </x:c>
      <x:c r="K108" s="31"/>
      <x:c r="L108" s="31"/>
      <x:c r="M108" s="31" t="str">
        <x:v>RESEARCH_POOL</x:v>
      </x:c>
      <x:c r="N108" s="31" t="str">
        <x:v>N</x:v>
      </x:c>
      <x:c r="O108" s="31" t="str">
        <x:v>Pending</x:v>
      </x:c>
      <x:c r="P108" s="31"/>
      <x:c r="Q108" s="31"/>
      <x:c r="R108" s="31" t="n">
        <x:v>0</x:v>
      </x:c>
      <x:c r="S108" s="31"/>
      <x:c r="T108" s="31"/>
      <x:c r="U108" s="31" t="str">
        <x:v>Role/minutes and opponent context required.</x:v>
      </x:c>
      <x:c r="V108" s="31" t="str">
        <x:v>Pregame source lead.</x:v>
      </x:c>
      <x:c r="W108" s="31"/>
      <x:c r="X108" s="31"/>
      <x:c r="Y108" s="31"/>
      <x:c r="Z108" s="31"/>
    </x:row>
    <x:row r="109">
      <x:c r="A109" s="31" t="str">
        <x:v>2026-08-26</x:v>
      </x:c>
      <x:c r="B109" s="31" t="str">
        <x:v>A26-R08</x:v>
      </x:c>
      <x:c r="C109" s="31" t="str">
        <x:v>SOURCED</x:v>
      </x:c>
      <x:c r="D109" s="31" t="str">
        <x:v>Toad HR Projections</x:v>
      </x:c>
      <x:c r="E109" s="31" t="str">
        <x:v>MLB</x:v>
      </x:c>
      <x:c r="F109" s="31" t="str">
        <x:v>TBD</x:v>
      </x:c>
      <x:c r="G109" s="31" t="str">
        <x:v>CJ Abrams</x:v>
      </x:c>
      <x:c r="H109" s="31" t="str">
        <x:v>HR</x:v>
      </x:c>
      <x:c r="I109" s="31" t="str">
        <x:v>HR</x:v>
      </x:c>
      <x:c r="J109" s="31" t="n">
        <x:v>1</x:v>
      </x:c>
      <x:c r="K109" s="31" t="n">
        <x:v>321</x:v>
      </x:c>
      <x:c r="L109" s="31" t="n">
        <x:v>0.2375296912114014</x:v>
      </x:c>
      <x:c r="M109" s="31" t="str">
        <x:v>RESEARCH_POOL</x:v>
      </x:c>
      <x:c r="N109" s="31" t="str">
        <x:v>N</x:v>
      </x:c>
      <x:c r="O109" s="31" t="str">
        <x:v>Pending</x:v>
      </x:c>
      <x:c r="P109" s="31"/>
      <x:c r="Q109" s="31"/>
      <x:c r="R109" s="31" t="n">
        <x:v>0</x:v>
      </x:c>
      <x:c r="S109" s="31"/>
      <x:c r="T109" s="31"/>
      <x:c r="U109" s="31" t="str">
        <x:v>HR projection 26.1%; candidate for K-vs-HR boost test.</x:v>
      </x:c>
      <x:c r="V109" s="31" t="str">
        <x:v>Source projected 26.1%.</x:v>
      </x:c>
      <x:c r="W109" s="31"/>
      <x:c r="X109" s="31"/>
      <x:c r="Y109" s="31"/>
      <x:c r="Z109" s="31"/>
    </x:row>
    <x:row r="110">
      <x:c r="A110" s="31" t="str">
        <x:v>2026-08-26</x:v>
      </x:c>
      <x:c r="B110" s="31" t="str">
        <x:v>A26-R09</x:v>
      </x:c>
      <x:c r="C110" s="31" t="str">
        <x:v>SOURCED</x:v>
      </x:c>
      <x:c r="D110" s="31" t="str">
        <x:v>Toad HR Projections</x:v>
      </x:c>
      <x:c r="E110" s="31" t="str">
        <x:v>MLB</x:v>
      </x:c>
      <x:c r="F110" s="31" t="str">
        <x:v>TBD</x:v>
      </x:c>
      <x:c r="G110" s="31" t="str">
        <x:v>Junior Caminero</x:v>
      </x:c>
      <x:c r="H110" s="31" t="str">
        <x:v>HR</x:v>
      </x:c>
      <x:c r="I110" s="31" t="str">
        <x:v>HR</x:v>
      </x:c>
      <x:c r="J110" s="31" t="n">
        <x:v>1</x:v>
      </x:c>
      <x:c r="K110" s="31" t="n">
        <x:v>410</x:v>
      </x:c>
      <x:c r="L110" s="31" t="n">
        <x:v>0.19607843137254902</x:v>
      </x:c>
      <x:c r="M110" s="31" t="str">
        <x:v>RESEARCH_POOL</x:v>
      </x:c>
      <x:c r="N110" s="31" t="str">
        <x:v>N</x:v>
      </x:c>
      <x:c r="O110" s="31" t="str">
        <x:v>Pending</x:v>
      </x:c>
      <x:c r="P110" s="31"/>
      <x:c r="Q110" s="31"/>
      <x:c r="R110" s="31" t="n">
        <x:v>0</x:v>
      </x:c>
      <x:c r="S110" s="31"/>
      <x:c r="T110" s="31"/>
      <x:c r="U110" s="31" t="str">
        <x:v>HR projection 24.4%; candidate for K-vs-HR boost test.</x:v>
      </x:c>
      <x:c r="V110" s="31" t="str">
        <x:v>Screenshot price is FanDuel, not necessarily DK.</x:v>
      </x:c>
      <x:c r="W110" s="31"/>
      <x:c r="X110" s="31"/>
      <x:c r="Y110" s="31"/>
      <x:c r="Z110" s="31"/>
    </x:row>
    <x:row r="111">
      <x:c r="A111" s="31" t="str">
        <x:v>2026-08-26</x:v>
      </x:c>
      <x:c r="B111" s="31" t="str">
        <x:v>A26-R10</x:v>
      </x:c>
      <x:c r="C111" s="31" t="str">
        <x:v>SOURCED</x:v>
      </x:c>
      <x:c r="D111" s="31" t="str">
        <x:v>Toad HR Projections</x:v>
      </x:c>
      <x:c r="E111" s="31" t="str">
        <x:v>MLB</x:v>
      </x:c>
      <x:c r="F111" s="31" t="str">
        <x:v>TBD</x:v>
      </x:c>
      <x:c r="G111" s="31" t="str">
        <x:v>Heriberto Hernández</x:v>
      </x:c>
      <x:c r="H111" s="31" t="str">
        <x:v>HR</x:v>
      </x:c>
      <x:c r="I111" s="31" t="str">
        <x:v>HR</x:v>
      </x:c>
      <x:c r="J111" s="31" t="n">
        <x:v>1</x:v>
      </x:c>
      <x:c r="K111" s="31" t="n">
        <x:v>587</x:v>
      </x:c>
      <x:c r="L111" s="31" t="n">
        <x:v>0.14556040756914118</x:v>
      </x:c>
      <x:c r="M111" s="31" t="str">
        <x:v>RESEARCH_POOL</x:v>
      </x:c>
      <x:c r="N111" s="31" t="str">
        <x:v>N</x:v>
      </x:c>
      <x:c r="O111" s="31" t="str">
        <x:v>Pending</x:v>
      </x:c>
      <x:c r="P111" s="31"/>
      <x:c r="Q111" s="31"/>
      <x:c r="R111" s="31" t="n">
        <x:v>0</x:v>
      </x:c>
      <x:c r="S111" s="31"/>
      <x:c r="T111" s="31"/>
      <x:c r="U111" s="31" t="str">
        <x:v>HR projection 24.0%; investigate price discrepancy/value.</x:v>
      </x:c>
      <x:c r="V111" s="31" t="str">
        <x:v>DraftKings +587 on source.</x:v>
      </x:c>
      <x:c r="W111" s="31"/>
      <x:c r="X111" s="31"/>
      <x:c r="Y111" s="31"/>
      <x:c r="Z111" s="31"/>
    </x:row>
    <x:row r="112">
      <x:c r="A112" s="31" t="str">
        <x:v>2026-08-26</x:v>
      </x:c>
      <x:c r="B112" s="31" t="str">
        <x:v>A26-R11</x:v>
      </x:c>
      <x:c r="C112" s="31" t="str">
        <x:v>SOURCED</x:v>
      </x:c>
      <x:c r="D112" s="31" t="str">
        <x:v>Toad HR Projections</x:v>
      </x:c>
      <x:c r="E112" s="31" t="str">
        <x:v>MLB</x:v>
      </x:c>
      <x:c r="F112" s="31" t="str">
        <x:v>TBD</x:v>
      </x:c>
      <x:c r="G112" s="31" t="str">
        <x:v>Joc Pederson</x:v>
      </x:c>
      <x:c r="H112" s="31" t="str">
        <x:v>HR</x:v>
      </x:c>
      <x:c r="I112" s="31" t="str">
        <x:v>HR</x:v>
      </x:c>
      <x:c r="J112" s="31" t="n">
        <x:v>1</x:v>
      </x:c>
      <x:c r="K112" s="31" t="n">
        <x:v>362</x:v>
      </x:c>
      <x:c r="L112" s="31" t="n">
        <x:v>0.21645021645021645</x:v>
      </x:c>
      <x:c r="M112" s="31" t="str">
        <x:v>RESEARCH_POOL</x:v>
      </x:c>
      <x:c r="N112" s="31" t="str">
        <x:v>N</x:v>
      </x:c>
      <x:c r="O112" s="31" t="str">
        <x:v>Pending</x:v>
      </x:c>
      <x:c r="P112" s="31"/>
      <x:c r="Q112" s="31"/>
      <x:c r="R112" s="31" t="n">
        <x:v>0</x:v>
      </x:c>
      <x:c r="S112" s="31"/>
      <x:c r="T112" s="31"/>
      <x:c r="U112" s="31" t="str">
        <x:v>HR projection 23.9%.</x:v>
      </x:c>
      <x:c r="V112" s="31" t="str">
        <x:v>DraftKings +362 on source.</x:v>
      </x:c>
      <x:c r="W112" s="31"/>
      <x:c r="X112" s="31"/>
      <x:c r="Y112" s="31"/>
      <x:c r="Z112" s="31"/>
    </x:row>
    <x:row r="113">
      <x:c r="A113" s="31" t="str">
        <x:v>2026-08-26</x:v>
      </x:c>
      <x:c r="B113" s="31" t="str">
        <x:v>A26-R12</x:v>
      </x:c>
      <x:c r="C113" s="31" t="str">
        <x:v>SOURCED</x:v>
      </x:c>
      <x:c r="D113" s="31" t="str">
        <x:v>Toad HR Projections</x:v>
      </x:c>
      <x:c r="E113" s="31" t="str">
        <x:v>MLB</x:v>
      </x:c>
      <x:c r="F113" s="31" t="str">
        <x:v>TBD</x:v>
      </x:c>
      <x:c r="G113" s="31" t="str">
        <x:v>Munetaka Murakami</x:v>
      </x:c>
      <x:c r="H113" s="31" t="str">
        <x:v>HR</x:v>
      </x:c>
      <x:c r="I113" s="31" t="str">
        <x:v>HR</x:v>
      </x:c>
      <x:c r="J113" s="31" t="n">
        <x:v>1</x:v>
      </x:c>
      <x:c r="K113" s="31" t="n">
        <x:v>380</x:v>
      </x:c>
      <x:c r="L113" s="31" t="n">
        <x:v>0.20833333333333334</x:v>
      </x:c>
      <x:c r="M113" s="31" t="str">
        <x:v>RESEARCH_POOL</x:v>
      </x:c>
      <x:c r="N113" s="31" t="str">
        <x:v>N</x:v>
      </x:c>
      <x:c r="O113" s="31" t="str">
        <x:v>Pending</x:v>
      </x:c>
      <x:c r="P113" s="31"/>
      <x:c r="Q113" s="31"/>
      <x:c r="R113" s="31" t="n">
        <x:v>0</x:v>
      </x:c>
      <x:c r="S113" s="31"/>
      <x:c r="T113" s="31"/>
      <x:c r="U113" s="31" t="str">
        <x:v>HR projection 22.9%.</x:v>
      </x:c>
      <x:c r="V113" s="31" t="str">
        <x:v>DraftKings +380 on source.</x:v>
      </x:c>
      <x:c r="W113" s="31"/>
      <x:c r="X113" s="31"/>
      <x:c r="Y113" s="31"/>
      <x:c r="Z113" s="31"/>
    </x:row>
    <x:row r="114">
      <x:c r="A114" s="31" t="str">
        <x:v>2026-08-26</x:v>
      </x:c>
      <x:c r="B114" s="31" t="str">
        <x:v>A26-R13</x:v>
      </x:c>
      <x:c r="C114" s="31" t="str">
        <x:v>SOURCED</x:v>
      </x:c>
      <x:c r="D114" s="31" t="str">
        <x:v>Toad HR Projections</x:v>
      </x:c>
      <x:c r="E114" s="31" t="str">
        <x:v>MLB</x:v>
      </x:c>
      <x:c r="F114" s="31" t="str">
        <x:v>TBD</x:v>
      </x:c>
      <x:c r="G114" s="31" t="str">
        <x:v>Esmerlyn Valdez</x:v>
      </x:c>
      <x:c r="H114" s="31" t="str">
        <x:v>HR</x:v>
      </x:c>
      <x:c r="I114" s="31" t="str">
        <x:v>HR</x:v>
      </x:c>
      <x:c r="J114" s="31" t="n">
        <x:v>1</x:v>
      </x:c>
      <x:c r="K114" s="31" t="n">
        <x:v>379</x:v>
      </x:c>
      <x:c r="L114" s="31" t="n">
        <x:v>0.20876826722338204</x:v>
      </x:c>
      <x:c r="M114" s="31" t="str">
        <x:v>RESEARCH_POOL</x:v>
      </x:c>
      <x:c r="N114" s="31" t="str">
        <x:v>N</x:v>
      </x:c>
      <x:c r="O114" s="31" t="str">
        <x:v>Pending</x:v>
      </x:c>
      <x:c r="P114" s="31"/>
      <x:c r="Q114" s="31"/>
      <x:c r="R114" s="31" t="n">
        <x:v>0</x:v>
      </x:c>
      <x:c r="S114" s="31"/>
      <x:c r="T114" s="31"/>
      <x:c r="U114" s="31" t="str">
        <x:v>HR projection 22.5%.</x:v>
      </x:c>
      <x:c r="V114" s="31" t="str">
        <x:v>DraftKings +379 on source.</x:v>
      </x:c>
      <x:c r="W114" s="31"/>
      <x:c r="X114" s="31"/>
      <x:c r="Y114" s="31"/>
      <x:c r="Z114" s="31"/>
    </x:row>
    <x:row r="115">
      <x:c r="A115" s="31" t="str">
        <x:v>2026-08-26</x:v>
      </x:c>
      <x:c r="B115" s="31" t="str">
        <x:v>A26-R14</x:v>
      </x:c>
      <x:c r="C115" s="31" t="str">
        <x:v>SOURCED</x:v>
      </x:c>
      <x:c r="D115" s="31" t="str">
        <x:v>Toad HR Projections</x:v>
      </x:c>
      <x:c r="E115" s="31" t="str">
        <x:v>MLB</x:v>
      </x:c>
      <x:c r="F115" s="31" t="str">
        <x:v>TBD</x:v>
      </x:c>
      <x:c r="G115" s="31" t="str">
        <x:v>Mickey Moniak</x:v>
      </x:c>
      <x:c r="H115" s="31" t="str">
        <x:v>HR</x:v>
      </x:c>
      <x:c r="I115" s="31" t="str">
        <x:v>HR</x:v>
      </x:c>
      <x:c r="J115" s="31" t="n">
        <x:v>1</x:v>
      </x:c>
      <x:c r="K115" s="31" t="n">
        <x:v>390</x:v>
      </x:c>
      <x:c r="L115" s="31" t="n">
        <x:v>0.20408163265306123</x:v>
      </x:c>
      <x:c r="M115" s="31" t="str">
        <x:v>RESEARCH_POOL</x:v>
      </x:c>
      <x:c r="N115" s="31" t="str">
        <x:v>N</x:v>
      </x:c>
      <x:c r="O115" s="31" t="str">
        <x:v>Pending</x:v>
      </x:c>
      <x:c r="P115" s="31"/>
      <x:c r="Q115" s="31"/>
      <x:c r="R115" s="31" t="n">
        <x:v>0</x:v>
      </x:c>
      <x:c r="S115" s="31"/>
      <x:c r="T115" s="31"/>
      <x:c r="U115" s="31" t="str">
        <x:v>HR projection 21.1%.</x:v>
      </x:c>
      <x:c r="V115" s="31" t="str">
        <x:v>Screenshot price is BetMGM.</x:v>
      </x:c>
      <x:c r="W115" s="31"/>
      <x:c r="X115" s="31"/>
      <x:c r="Y115" s="31"/>
      <x:c r="Z115" s="31"/>
    </x:row>
    <x:row r="116">
      <x:c r="A116" s="31" t="str">
        <x:v>2026-08-26</x:v>
      </x:c>
      <x:c r="B116" s="31" t="str">
        <x:v>A26-R15</x:v>
      </x:c>
      <x:c r="C116" s="31" t="str">
        <x:v>SOURCED</x:v>
      </x:c>
      <x:c r="D116" s="31" t="str">
        <x:v>Toad HR Projections</x:v>
      </x:c>
      <x:c r="E116" s="31" t="str">
        <x:v>MLB</x:v>
      </x:c>
      <x:c r="F116" s="31" t="str">
        <x:v>TBD</x:v>
      </x:c>
      <x:c r="G116" s="31" t="str">
        <x:v>Matt Olson</x:v>
      </x:c>
      <x:c r="H116" s="31" t="str">
        <x:v>HR</x:v>
      </x:c>
      <x:c r="I116" s="31" t="str">
        <x:v>HR</x:v>
      </x:c>
      <x:c r="J116" s="31" t="n">
        <x:v>1</x:v>
      </x:c>
      <x:c r="K116" s="31" t="n">
        <x:v>367</x:v>
      </x:c>
      <x:c r="L116" s="31" t="n">
        <x:v>0.21413276231263384</x:v>
      </x:c>
      <x:c r="M116" s="31" t="str">
        <x:v>RESEARCH_POOL</x:v>
      </x:c>
      <x:c r="N116" s="31" t="str">
        <x:v>N</x:v>
      </x:c>
      <x:c r="O116" s="31" t="str">
        <x:v>Pending</x:v>
      </x:c>
      <x:c r="P116" s="31"/>
      <x:c r="Q116" s="31"/>
      <x:c r="R116" s="31" t="n">
        <x:v>0</x:v>
      </x:c>
      <x:c r="S116" s="31"/>
      <x:c r="T116" s="31"/>
      <x:c r="U116" s="31" t="str">
        <x:v>HR projection 20.9%.</x:v>
      </x:c>
      <x:c r="V116" s="31" t="str">
        <x:v>DraftKings +367 on source.</x:v>
      </x:c>
      <x:c r="W116" s="31"/>
      <x:c r="X116" s="31"/>
      <x:c r="Y116" s="31"/>
      <x:c r="Z116" s="31"/>
    </x:row>
    <x:row r="117">
      <x:c r="A117" s="31" t="str">
        <x:v>2026-08-26</x:v>
      </x:c>
      <x:c r="B117" s="31" t="str">
        <x:v>A26-R16</x:v>
      </x:c>
      <x:c r="C117" s="31" t="str">
        <x:v>SOURCED</x:v>
      </x:c>
      <x:c r="D117" s="31" t="str">
        <x:v>Toad HR Projections</x:v>
      </x:c>
      <x:c r="E117" s="31" t="str">
        <x:v>MLB</x:v>
      </x:c>
      <x:c r="F117" s="31" t="str">
        <x:v>TBD</x:v>
      </x:c>
      <x:c r="G117" s="31" t="str">
        <x:v>Sal Stewart</x:v>
      </x:c>
      <x:c r="H117" s="31" t="str">
        <x:v>HR</x:v>
      </x:c>
      <x:c r="I117" s="31" t="str">
        <x:v>HR</x:v>
      </x:c>
      <x:c r="J117" s="31" t="n">
        <x:v>1</x:v>
      </x:c>
      <x:c r="K117" s="31" t="n">
        <x:v>630</x:v>
      </x:c>
      <x:c r="L117" s="31" t="n">
        <x:v>0.136986301369863</x:v>
      </x:c>
      <x:c r="M117" s="31" t="str">
        <x:v>RESEARCH_POOL</x:v>
      </x:c>
      <x:c r="N117" s="31" t="str">
        <x:v>N</x:v>
      </x:c>
      <x:c r="O117" s="31" t="str">
        <x:v>Pending</x:v>
      </x:c>
      <x:c r="P117" s="31"/>
      <x:c r="Q117" s="31"/>
      <x:c r="R117" s="31" t="n">
        <x:v>0</x:v>
      </x:c>
      <x:c r="S117" s="31"/>
      <x:c r="T117" s="31"/>
      <x:c r="U117" s="31" t="str">
        <x:v>HR projection 20.7%; large model-vs-price discrepancy to investigate.</x:v>
      </x:c>
      <x:c r="V117" s="31" t="str">
        <x:v>DraftKings +630 on source.</x:v>
      </x:c>
      <x:c r="W117" s="31"/>
      <x:c r="X117" s="31"/>
      <x:c r="Y117" s="31"/>
      <x:c r="Z117" s="31"/>
    </x:row>
    <x:row r="118">
      <x:c r="A118" s="31" t="str">
        <x:v>2026-08-26</x:v>
      </x:c>
      <x:c r="B118" s="31" t="str">
        <x:v>A26-R17</x:v>
      </x:c>
      <x:c r="C118" s="31" t="str">
        <x:v>SOURCED</x:v>
      </x:c>
      <x:c r="D118" s="31" t="str">
        <x:v>Toad HR Projections</x:v>
      </x:c>
      <x:c r="E118" s="31" t="str">
        <x:v>MLB</x:v>
      </x:c>
      <x:c r="F118" s="31" t="str">
        <x:v>TBD</x:v>
      </x:c>
      <x:c r="G118" s="31" t="str">
        <x:v>Fernando Tatis Jr.</x:v>
      </x:c>
      <x:c r="H118" s="31" t="str">
        <x:v>HR</x:v>
      </x:c>
      <x:c r="I118" s="31" t="str">
        <x:v>HR</x:v>
      </x:c>
      <x:c r="J118" s="31" t="n">
        <x:v>1</x:v>
      </x:c>
      <x:c r="K118" s="31" t="n">
        <x:v>375</x:v>
      </x:c>
      <x:c r="L118" s="31" t="n">
        <x:v>0.21052631578947367</x:v>
      </x:c>
      <x:c r="M118" s="31" t="str">
        <x:v>RESEARCH_POOL</x:v>
      </x:c>
      <x:c r="N118" s="31" t="str">
        <x:v>N</x:v>
      </x:c>
      <x:c r="O118" s="31" t="str">
        <x:v>Pending</x:v>
      </x:c>
      <x:c r="P118" s="31"/>
      <x:c r="Q118" s="31"/>
      <x:c r="R118" s="31" t="n">
        <x:v>0</x:v>
      </x:c>
      <x:c r="S118" s="31"/>
      <x:c r="T118" s="31"/>
      <x:c r="U118" s="31" t="str">
        <x:v>HR projection 20.2%.</x:v>
      </x:c>
      <x:c r="V118" s="31" t="str">
        <x:v>Screenshot price is BetMGM.</x:v>
      </x:c>
      <x:c r="W118" s="31"/>
      <x:c r="X118" s="31"/>
      <x:c r="Y118" s="31"/>
      <x:c r="Z118" s="31"/>
    </x:row>
    <x:row r="119">
      <x:c r="A119" s="31" t="str">
        <x:v>2026-08-26</x:v>
      </x:c>
      <x:c r="B119" s="31" t="str">
        <x:v>A26-R18</x:v>
      </x:c>
      <x:c r="C119" s="31" t="str">
        <x:v>SOURCED</x:v>
      </x:c>
      <x:c r="D119" s="31" t="str">
        <x:v>Hitter Spotlight</x:v>
      </x:c>
      <x:c r="E119" s="31" t="str">
        <x:v>MLB</x:v>
      </x:c>
      <x:c r="F119" s="31" t="str">
        <x:v>CHC @ ARI</x:v>
      </x:c>
      <x:c r="G119" s="31" t="str">
        <x:v>Alex Bregman</x:v>
      </x:c>
      <x:c r="H119" s="31" t="str">
        <x:v>Hitter Signal</x:v>
      </x:c>
      <x:c r="I119" s="31" t="str">
        <x:v>Evaluate hit / TB / HRR</x:v>
      </x:c>
      <x:c r="J119" s="31"/>
      <x:c r="K119" s="31"/>
      <x:c r="L119" s="31"/>
      <x:c r="M119" s="31" t="str">
        <x:v>RESEARCH_POOL</x:v>
      </x:c>
      <x:c r="N119" s="31" t="str">
        <x:v>N</x:v>
      </x:c>
      <x:c r="O119" s="31" t="str">
        <x:v>Pending</x:v>
      </x:c>
      <x:c r="P119" s="31"/>
      <x:c r="Q119" s="31"/>
      <x:c r="R119" s="31" t="n">
        <x:v>0</x:v>
      </x:c>
      <x:c r="S119" s="31"/>
      <x:c r="T119" s="31"/>
      <x:c r="U119" s="31" t="str">
        <x:v>BvP is a lead only; do not overweight. Compare full market menu vs Eduardo Rodríguez.</x:v>
      </x:c>
      <x:c r="V119" s="31" t="str">
        <x:v>Source: 9-for-27, 5 XBH, 3 HR, 8 RBI; .333/.419/1.160.</x:v>
      </x:c>
      <x:c r="W119" s="31"/>
      <x:c r="X119" s="31"/>
      <x:c r="Y119" s="31"/>
      <x:c r="Z119" s="31"/>
    </x:row>
    <x:row r="120">
      <x:c r="A120" s="31" t="str">
        <x:v>2026-08-26</x:v>
      </x:c>
      <x:c r="B120" s="31" t="str">
        <x:v>A26-R19</x:v>
      </x:c>
      <x:c r="C120" s="31" t="str">
        <x:v>SOURCED</x:v>
      </x:c>
      <x:c r="D120" s="31" t="str">
        <x:v>Source Hit Parlay</x:v>
      </x:c>
      <x:c r="E120" s="31" t="str">
        <x:v>MLB</x:v>
      </x:c>
      <x:c r="F120" s="31" t="str">
        <x:v>CLE @ LAA</x:v>
      </x:c>
      <x:c r="G120" s="31" t="str">
        <x:v>Zach Neto</x:v>
      </x:c>
      <x:c r="H120" s="31" t="str">
        <x:v>1+ Hit</x:v>
      </x:c>
      <x:c r="I120" s="31" t="str">
        <x:v>1+ hit</x:v>
      </x:c>
      <x:c r="J120" s="31" t="n">
        <x:v>1</x:v>
      </x:c>
      <x:c r="K120" s="31" t="n">
        <x:v>-153</x:v>
      </x:c>
      <x:c r="L120" s="31" t="n">
        <x:v>0.6047430830039525</x:v>
      </x:c>
      <x:c r="M120" s="31" t="str">
        <x:v>RESEARCH_POOL</x:v>
      </x:c>
      <x:c r="N120" s="31" t="str">
        <x:v>N</x:v>
      </x:c>
      <x:c r="O120" s="31" t="str">
        <x:v>Pending</x:v>
      </x:c>
      <x:c r="P120" s="31"/>
      <x:c r="Q120" s="31"/>
      <x:c r="R120" s="31" t="n">
        <x:v>0</x:v>
      </x:c>
      <x:c r="S120" s="31"/>
      <x:c r="T120" s="31"/>
      <x:c r="U120" s="31" t="str">
        <x:v>EXP-08 candidate ranking test.</x:v>
      </x:c>
      <x:c r="V120" s="31" t="str">
        <x:v>Source card leg.</x:v>
      </x:c>
      <x:c r="W120" s="31"/>
      <x:c r="X120" s="31"/>
      <x:c r="Y120" s="31"/>
      <x:c r="Z120" s="31"/>
    </x:row>
    <x:row r="121">
      <x:c r="A121" s="31" t="str">
        <x:v>2026-08-26</x:v>
      </x:c>
      <x:c r="B121" s="31" t="str">
        <x:v>A26-R20</x:v>
      </x:c>
      <x:c r="C121" s="31" t="str">
        <x:v>SOURCED</x:v>
      </x:c>
      <x:c r="D121" s="31" t="str">
        <x:v>Source Hit Parlay</x:v>
      </x:c>
      <x:c r="E121" s="31" t="str">
        <x:v>MLB</x:v>
      </x:c>
      <x:c r="F121" s="31" t="str">
        <x:v>KC @ TOR</x:v>
      </x:c>
      <x:c r="G121" s="31" t="str">
        <x:v>Salvador Perez</x:v>
      </x:c>
      <x:c r="H121" s="31" t="str">
        <x:v>1+ Hit</x:v>
      </x:c>
      <x:c r="I121" s="31" t="str">
        <x:v>1+ hit</x:v>
      </x:c>
      <x:c r="J121" s="31" t="n">
        <x:v>1</x:v>
      </x:c>
      <x:c r="K121" s="31" t="n">
        <x:v>-143</x:v>
      </x:c>
      <x:c r="L121" s="31" t="n">
        <x:v>0.588477366255144</x:v>
      </x:c>
      <x:c r="M121" s="31" t="str">
        <x:v>RESEARCH_POOL</x:v>
      </x:c>
      <x:c r="N121" s="31" t="str">
        <x:v>N</x:v>
      </x:c>
      <x:c r="O121" s="31" t="str">
        <x:v>Pending</x:v>
      </x:c>
      <x:c r="P121" s="31"/>
      <x:c r="Q121" s="31"/>
      <x:c r="R121" s="31" t="n">
        <x:v>0</x:v>
      </x:c>
      <x:c r="S121" s="31"/>
      <x:c r="T121" s="31"/>
      <x:c r="U121" s="31" t="str">
        <x:v>EXP-08 candidate ranking test.</x:v>
      </x:c>
      <x:c r="V121" s="31" t="str">
        <x:v>Source card leg.</x:v>
      </x:c>
      <x:c r="W121" s="31"/>
      <x:c r="X121" s="31"/>
      <x:c r="Y121" s="31"/>
      <x:c r="Z121" s="31"/>
    </x:row>
    <x:row r="122">
      <x:c r="A122" s="31" t="str">
        <x:v>2026-08-26</x:v>
      </x:c>
      <x:c r="B122" s="31" t="str">
        <x:v>A26-R21</x:v>
      </x:c>
      <x:c r="C122" s="31" t="str">
        <x:v>SOURCED</x:v>
      </x:c>
      <x:c r="D122" s="31" t="str">
        <x:v>Source Hit Parlay</x:v>
      </x:c>
      <x:c r="E122" s="31" t="str">
        <x:v>MLB</x:v>
      </x:c>
      <x:c r="F122" s="31" t="str">
        <x:v>LAD @ ATL</x:v>
      </x:c>
      <x:c r="G122" s="31" t="str">
        <x:v>Michael Harris II</x:v>
      </x:c>
      <x:c r="H122" s="31" t="str">
        <x:v>1+ Hit</x:v>
      </x:c>
      <x:c r="I122" s="31" t="str">
        <x:v>1+ hit</x:v>
      </x:c>
      <x:c r="J122" s="31" t="n">
        <x:v>1</x:v>
      </x:c>
      <x:c r="K122" s="31" t="n">
        <x:v>-190</x:v>
      </x:c>
      <x:c r="L122" s="31" t="n">
        <x:v>0.6551724137931034</x:v>
      </x:c>
      <x:c r="M122" s="31" t="str">
        <x:v>RESEARCH_POOL</x:v>
      </x:c>
      <x:c r="N122" s="31" t="str">
        <x:v>N</x:v>
      </x:c>
      <x:c r="O122" s="31" t="str">
        <x:v>Pending</x:v>
      </x:c>
      <x:c r="P122" s="31"/>
      <x:c r="Q122" s="31"/>
      <x:c r="R122" s="31" t="n">
        <x:v>0</x:v>
      </x:c>
      <x:c r="S122" s="31"/>
      <x:c r="T122" s="31"/>
      <x:c r="U122" s="31" t="str">
        <x:v>EXP-08 candidate ranking test.</x:v>
      </x:c>
      <x:c r="V122" s="31" t="str">
        <x:v>Source card leg.</x:v>
      </x:c>
      <x:c r="W122" s="31"/>
      <x:c r="X122" s="31"/>
      <x:c r="Y122" s="31"/>
      <x:c r="Z122" s="31"/>
    </x:row>
    <x:row r="123">
      <x:c r="A123" s="31" t="str">
        <x:v>2026-08-26</x:v>
      </x:c>
      <x:c r="B123" s="31" t="str">
        <x:v>A26-R22</x:v>
      </x:c>
      <x:c r="C123" s="31" t="str">
        <x:v>SOURCED</x:v>
      </x:c>
      <x:c r="D123" s="31" t="str">
        <x:v>WNBA Pick</x:v>
      </x:c>
      <x:c r="E123" s="31" t="str">
        <x:v>WNBA</x:v>
      </x:c>
      <x:c r="F123" s="31" t="str">
        <x:v>SEA vs TOR</x:v>
      </x:c>
      <x:c r="G123" s="31" t="str">
        <x:v>Dominique Malonga</x:v>
      </x:c>
      <x:c r="H123" s="31" t="str">
        <x:v>Rebounds</x:v>
      </x:c>
      <x:c r="I123" s="31" t="str">
        <x:v>Over 9.5 rebounds</x:v>
      </x:c>
      <x:c r="J123" s="31" t="n">
        <x:v>9.5</x:v>
      </x:c>
      <x:c r="K123" s="31"/>
      <x:c r="L123" s="31"/>
      <x:c r="M123" s="31" t="str">
        <x:v>RESEARCH_POOL</x:v>
      </x:c>
      <x:c r="N123" s="31" t="str">
        <x:v>N</x:v>
      </x:c>
      <x:c r="O123" s="31" t="str">
        <x:v>Pending</x:v>
      </x:c>
      <x:c r="P123" s="31"/>
      <x:c r="Q123" s="31"/>
      <x:c r="R123" s="31" t="n">
        <x:v>0</x:v>
      </x:c>
      <x:c r="S123" s="31"/>
      <x:c r="T123" s="31"/>
      <x:c r="U123" s="31" t="str">
        <x:v>EXP-12 candidate: opponent rebound environment + depleted frontcourt vs role/minutes.</x:v>
      </x:c>
      <x:c r="V123" s="31" t="str">
        <x:v>Source notes 4/5 recent covers, 8/14 overall, 10.5 RPG stretch; Toronto allows high rebound volume; verify current injury report.</x:v>
      </x:c>
      <x:c r="W123" s="31"/>
      <x:c r="X123" s="31"/>
      <x:c r="Y123" s="31"/>
      <x:c r="Z123" s="31"/>
    </x:row>
    <x:row r="124">
      <x:c r="A124" s="31" t="str">
        <x:v>2026-08-26</x:v>
      </x:c>
      <x:c r="B124" s="31" t="str">
        <x:v>A26-R23</x:v>
      </x:c>
      <x:c r="C124" s="31" t="str">
        <x:v>SOURCED</x:v>
      </x:c>
      <x:c r="D124" s="31" t="str">
        <x:v>MLB Best Bet</x:v>
      </x:c>
      <x:c r="E124" s="31" t="str">
        <x:v>MLB</x:v>
      </x:c>
      <x:c r="F124" s="31" t="str">
        <x:v>BAL @ STL</x:v>
      </x:c>
      <x:c r="G124" s="31" t="str">
        <x:v>Jordan Walker</x:v>
      </x:c>
      <x:c r="H124" s="31" t="str">
        <x:v>H+R+RBI</x:v>
      </x:c>
      <x:c r="I124" s="31" t="str">
        <x:v>2+ H+R+RBI</x:v>
      </x:c>
      <x:c r="J124" s="31" t="n">
        <x:v>2</x:v>
      </x:c>
      <x:c r="K124" s="31"/>
      <x:c r="L124" s="31"/>
      <x:c r="M124" s="31" t="str">
        <x:v>RESEARCH_POOL</x:v>
      </x:c>
      <x:c r="N124" s="31" t="str">
        <x:v>N</x:v>
      </x:c>
      <x:c r="O124" s="31" t="str">
        <x:v>Win</x:v>
      </x:c>
      <x:c r="P124" s="31" t="n">
        <x:v>1</x:v>
      </x:c>
      <x:c r="Q124" s="31"/>
      <x:c r="R124" s="31" t="n">
        <x:v>0</x:v>
      </x:c>
      <x:c r="S124" s="31"/>
      <x:c r="T124" s="31"/>
      <x:c r="U124" s="31" t="str">
        <x:v>Prospective paper win: Walker cleared 2+ H+R+RBI; user also reports 2+ TB.</x:v>
      </x:c>
      <x:c r="V124" s="31" t="str">
        <x:v>User-confirmed live result.</x:v>
      </x:c>
      <x:c r="W124" s="31"/>
      <x:c r="X124" s="31"/>
      <x:c r="Y124" s="31"/>
      <x:c r="Z124" s="31"/>
    </x:row>
    <x:row r="125">
      <x:c r="A125" s="31" t="str">
        <x:v>2026-08-26</x:v>
      </x:c>
      <x:c r="B125" s="31" t="str">
        <x:v>A26-R24</x:v>
      </x:c>
      <x:c r="C125" s="31" t="str">
        <x:v>SOURCED</x:v>
      </x:c>
      <x:c r="D125" s="31" t="str">
        <x:v>F5 ML Source Card</x:v>
      </x:c>
      <x:c r="E125" s="31" t="str">
        <x:v>MLB</x:v>
      </x:c>
      <x:c r="F125" s="31" t="str">
        <x:v>CIN @ SF</x:v>
      </x:c>
      <x:c r="G125" s="31" t="str">
        <x:v>San Francisco Giants</x:v>
      </x:c>
      <x:c r="H125" s="31" t="str">
        <x:v>F5 Moneyline</x:v>
      </x:c>
      <x:c r="I125" s="31" t="str">
        <x:v>F5 ML</x:v>
      </x:c>
      <x:c r="J125" s="31"/>
      <x:c r="K125" s="31" t="n">
        <x:v>-112</x:v>
      </x:c>
      <x:c r="L125" s="31" t="n">
        <x:v>0.5283018867924528</x:v>
      </x:c>
      <x:c r="M125" s="31" t="str">
        <x:v>RESEARCH_POOL</x:v>
      </x:c>
      <x:c r="N125" s="31" t="str">
        <x:v>N</x:v>
      </x:c>
      <x:c r="O125" s="31" t="str">
        <x:v>Pending</x:v>
      </x:c>
      <x:c r="P125" s="31"/>
      <x:c r="Q125" s="31"/>
      <x:c r="R125" s="31" t="n">
        <x:v>0</x:v>
      </x:c>
      <x:c r="S125" s="31"/>
      <x:c r="T125" s="31"/>
      <x:c r="U125" s="31" t="str">
        <x:v>EXP-11 candidate: test F5 edge vs full-game Early Win ML.</x:v>
      </x:c>
      <x:c r="V125" s="31" t="str">
        <x:v>Source four-leg F5 card.</x:v>
      </x:c>
      <x:c r="W125" s="31"/>
      <x:c r="X125" s="31"/>
      <x:c r="Y125" s="31"/>
      <x:c r="Z125" s="31"/>
    </x:row>
    <x:row r="126">
      <x:c r="A126" s="31" t="str">
        <x:v>2026-08-26</x:v>
      </x:c>
      <x:c r="B126" s="31" t="str">
        <x:v>A26-R25</x:v>
      </x:c>
      <x:c r="C126" s="31" t="str">
        <x:v>SOURCED</x:v>
      </x:c>
      <x:c r="D126" s="31" t="str">
        <x:v>F5 ML Source Card</x:v>
      </x:c>
      <x:c r="E126" s="31" t="str">
        <x:v>MLB</x:v>
      </x:c>
      <x:c r="F126" s="31" t="str">
        <x:v>CLE @ LAA</x:v>
      </x:c>
      <x:c r="G126" s="31" t="str">
        <x:v>Cleveland Guardians</x:v>
      </x:c>
      <x:c r="H126" s="31" t="str">
        <x:v>F5 Moneyline</x:v>
      </x:c>
      <x:c r="I126" s="31" t="str">
        <x:v>F5 ML</x:v>
      </x:c>
      <x:c r="J126" s="31"/>
      <x:c r="K126" s="31" t="n">
        <x:v>-142</x:v>
      </x:c>
      <x:c r="L126" s="31" t="n">
        <x:v>0.5867768595041323</x:v>
      </x:c>
      <x:c r="M126" s="31" t="str">
        <x:v>RESEARCH_POOL</x:v>
      </x:c>
      <x:c r="N126" s="31" t="str">
        <x:v>N</x:v>
      </x:c>
      <x:c r="O126" s="31" t="str">
        <x:v>Pending</x:v>
      </x:c>
      <x:c r="P126" s="31"/>
      <x:c r="Q126" s="31"/>
      <x:c r="R126" s="31" t="n">
        <x:v>0</x:v>
      </x:c>
      <x:c r="S126" s="31"/>
      <x:c r="T126" s="31"/>
      <x:c r="U126" s="31" t="str">
        <x:v>EXP-11 candidate: test F5 edge vs full-game Early Win ML.</x:v>
      </x:c>
      <x:c r="V126" s="31" t="str">
        <x:v>Source four-leg F5 card.</x:v>
      </x:c>
      <x:c r="W126" s="31"/>
      <x:c r="X126" s="31"/>
      <x:c r="Y126" s="31"/>
      <x:c r="Z126" s="31"/>
    </x:row>
    <x:row r="127">
      <x:c r="A127" s="31" t="str">
        <x:v>2026-08-26</x:v>
      </x:c>
      <x:c r="B127" s="31" t="str">
        <x:v>A26-R26</x:v>
      </x:c>
      <x:c r="C127" s="31" t="str">
        <x:v>SOURCED</x:v>
      </x:c>
      <x:c r="D127" s="31" t="str">
        <x:v>F5 ML Source Card</x:v>
      </x:c>
      <x:c r="E127" s="31" t="str">
        <x:v>MLB</x:v>
      </x:c>
      <x:c r="F127" s="31" t="str">
        <x:v>BOS @ MIA</x:v>
      </x:c>
      <x:c r="G127" s="31" t="str">
        <x:v>Boston Red Sox</x:v>
      </x:c>
      <x:c r="H127" s="31" t="str">
        <x:v>F5 Moneyline</x:v>
      </x:c>
      <x:c r="I127" s="31" t="str">
        <x:v>F5 ML</x:v>
      </x:c>
      <x:c r="J127" s="31"/>
      <x:c r="K127" s="31" t="n">
        <x:v>-135</x:v>
      </x:c>
      <x:c r="L127" s="31" t="n">
        <x:v>0.574468085106383</x:v>
      </x:c>
      <x:c r="M127" s="31" t="str">
        <x:v>RESEARCH_POOL</x:v>
      </x:c>
      <x:c r="N127" s="31" t="str">
        <x:v>N</x:v>
      </x:c>
      <x:c r="O127" s="31" t="str">
        <x:v>Pending</x:v>
      </x:c>
      <x:c r="P127" s="31"/>
      <x:c r="Q127" s="31"/>
      <x:c r="R127" s="31" t="n">
        <x:v>0</x:v>
      </x:c>
      <x:c r="S127" s="31"/>
      <x:c r="T127" s="31"/>
      <x:c r="U127" s="31" t="str">
        <x:v>EXP-11 candidate: test F5 edge vs full-game Early Win ML.</x:v>
      </x:c>
      <x:c r="V127" s="31" t="str">
        <x:v>Source four-leg F5 card.</x:v>
      </x:c>
      <x:c r="W127" s="31"/>
      <x:c r="X127" s="31"/>
      <x:c r="Y127" s="31"/>
      <x:c r="Z127" s="31"/>
    </x:row>
    <x:row r="128">
      <x:c r="A128" s="31" t="str">
        <x:v>2026-08-26</x:v>
      </x:c>
      <x:c r="B128" s="31" t="str">
        <x:v>A26-R27</x:v>
      </x:c>
      <x:c r="C128" s="31" t="str">
        <x:v>SOURCED</x:v>
      </x:c>
      <x:c r="D128" s="31" t="str">
        <x:v>F5 ML Source Card</x:v>
      </x:c>
      <x:c r="E128" s="31" t="str">
        <x:v>MLB</x:v>
      </x:c>
      <x:c r="F128" s="31" t="str">
        <x:v>LAD @ ATL</x:v>
      </x:c>
      <x:c r="G128" s="31" t="str">
        <x:v>Los Angeles Dodgers</x:v>
      </x:c>
      <x:c r="H128" s="31" t="str">
        <x:v>F5 Moneyline</x:v>
      </x:c>
      <x:c r="I128" s="31" t="str">
        <x:v>F5 ML</x:v>
      </x:c>
      <x:c r="J128" s="31"/>
      <x:c r="K128" s="31" t="n">
        <x:v>-132</x:v>
      </x:c>
      <x:c r="L128" s="31" t="n">
        <x:v>0.5689655172413793</x:v>
      </x:c>
      <x:c r="M128" s="31" t="str">
        <x:v>RESEARCH_POOL</x:v>
      </x:c>
      <x:c r="N128" s="31" t="str">
        <x:v>N</x:v>
      </x:c>
      <x:c r="O128" s="31" t="str">
        <x:v>Pending</x:v>
      </x:c>
      <x:c r="P128" s="31"/>
      <x:c r="Q128" s="31"/>
      <x:c r="R128" s="31" t="n">
        <x:v>0</x:v>
      </x:c>
      <x:c r="S128" s="31"/>
      <x:c r="T128" s="31"/>
      <x:c r="U128" s="31" t="str">
        <x:v>EXP-11 candidate: test F5 edge vs full-game Early Win ML.</x:v>
      </x:c>
      <x:c r="V128" s="31" t="str">
        <x:v>Source four-leg F5 card.</x:v>
      </x:c>
      <x:c r="W128" s="31"/>
      <x:c r="X128" s="31"/>
      <x:c r="Y128" s="31"/>
      <x:c r="Z128" s="31"/>
    </x:row>
    <x:row r="129">
      <x:c r="A129" s="31" t="str">
        <x:v>2026-08-26</x:v>
      </x:c>
      <x:c r="B129" s="31" t="str">
        <x:v>A26-R28</x:v>
      </x:c>
      <x:c r="C129" s="31" t="str">
        <x:v>SOURCED</x:v>
      </x:c>
      <x:c r="D129" s="31" t="str">
        <x:v>Bases Loaded Hitter Target</x:v>
      </x:c>
      <x:c r="E129" s="31" t="str">
        <x:v>MLB</x:v>
      </x:c>
      <x:c r="F129" s="31" t="str">
        <x:v>HOU game</x:v>
      </x:c>
      <x:c r="G129" s="31" t="str">
        <x:v>Yordan Alvarez</x:v>
      </x:c>
      <x:c r="H129" s="31" t="str">
        <x:v>Hitter Signal</x:v>
      </x:c>
      <x:c r="I129" s="31" t="str">
        <x:v>Evaluate hit / TB / HRR / HR</x:v>
      </x:c>
      <x:c r="J129" s="31"/>
      <x:c r="K129" s="31"/>
      <x:c r="L129" s="31"/>
      <x:c r="M129" s="31" t="str">
        <x:v>RESEARCH_POOL</x:v>
      </x:c>
      <x:c r="N129" s="31" t="str">
        <x:v>N</x:v>
      </x:c>
      <x:c r="O129" s="31" t="str">
        <x:v>Pending</x:v>
      </x:c>
      <x:c r="P129" s="31"/>
      <x:c r="Q129" s="31"/>
      <x:c r="R129" s="31" t="n">
        <x:v>0</x:v>
      </x:c>
      <x:c r="S129" s="31"/>
      <x:c r="T129" s="31"/>
      <x:c r="U129" s="31" t="str">
        <x:v>EXP-03/04 candidate: underlying contact + market conversion.</x:v>
      </x:c>
      <x:c r="V129" s="31" t="str">
        <x:v>Source cites 7 hits and 4 XBH L5; 7/10 batted balls vs RHP 95+ mph; opposing Rodriguez .284 AVG allowed.</x:v>
      </x:c>
      <x:c r="W129" s="31"/>
      <x:c r="X129" s="31"/>
      <x:c r="Y129" s="31"/>
      <x:c r="Z129" s="31"/>
    </x:row>
    <x:row r="130">
      <x:c r="A130" s="31" t="str">
        <x:v>2026-08-26</x:v>
      </x:c>
      <x:c r="B130" s="31" t="str">
        <x:v>A26-R29</x:v>
      </x:c>
      <x:c r="C130" s="31" t="str">
        <x:v>SOURCED</x:v>
      </x:c>
      <x:c r="D130" s="31" t="str">
        <x:v>Bases Loaded Hitter Target</x:v>
      </x:c>
      <x:c r="E130" s="31" t="str">
        <x:v>MLB</x:v>
      </x:c>
      <x:c r="F130" s="31" t="str">
        <x:v>TEX @ CHW</x:v>
      </x:c>
      <x:c r="G130" s="31" t="str">
        <x:v>Corey Seager</x:v>
      </x:c>
      <x:c r="H130" s="31" t="str">
        <x:v>Hitter Signal</x:v>
      </x:c>
      <x:c r="I130" s="31" t="str">
        <x:v>Evaluate hit / TB / HRR / HR</x:v>
      </x:c>
      <x:c r="J130" s="31"/>
      <x:c r="K130" s="31"/>
      <x:c r="L130" s="31"/>
      <x:c r="M130" s="31" t="str">
        <x:v>RESEARCH_POOL</x:v>
      </x:c>
      <x:c r="N130" s="31" t="str">
        <x:v>N</x:v>
      </x:c>
      <x:c r="O130" s="31" t="str">
        <x:v>Pending</x:v>
      </x:c>
      <x:c r="P130" s="31"/>
      <x:c r="Q130" s="31"/>
      <x:c r="R130" s="31" t="n">
        <x:v>0</x:v>
      </x:c>
      <x:c r="S130" s="31"/>
      <x:c r="T130" s="31"/>
      <x:c r="U130" s="31" t="str">
        <x:v>EXP-03/04 candidate: recent TB results vs underlying contact.</x:v>
      </x:c>
      <x:c r="V130" s="31" t="str">
        <x:v>Source cites 2+ TB in 7/9 with 5 XBH; 6/7 batted balls vs RHP 94+ mph; Burke .262 AVG to LHB in August.</x:v>
      </x:c>
      <x:c r="W130" s="31"/>
      <x:c r="X130" s="31"/>
      <x:c r="Y130" s="31"/>
      <x:c r="Z130" s="31"/>
    </x:row>
    <x:row r="131">
      <x:c r="A131" s="31" t="str">
        <x:v>2026-08-26</x:v>
      </x:c>
      <x:c r="B131" s="31" t="str">
        <x:v>A26-R30</x:v>
      </x:c>
      <x:c r="C131" s="31" t="str">
        <x:v>SOURCED</x:v>
      </x:c>
      <x:c r="D131" s="31" t="str">
        <x:v>Bases Loaded Hitter Target</x:v>
      </x:c>
      <x:c r="E131" s="31" t="str">
        <x:v>MLB</x:v>
      </x:c>
      <x:c r="F131" s="31" t="str">
        <x:v>MIN game</x:v>
      </x:c>
      <x:c r="G131" s="31" t="str">
        <x:v>Kody Clemens</x:v>
      </x:c>
      <x:c r="H131" s="31" t="str">
        <x:v>Hitter Signal</x:v>
      </x:c>
      <x:c r="I131" s="31" t="str">
        <x:v>Evaluate hit / TB / HRR / HR</x:v>
      </x:c>
      <x:c r="J131" s="31"/>
      <x:c r="K131" s="31"/>
      <x:c r="L131" s="31"/>
      <x:c r="M131" s="31" t="str">
        <x:v>RESEARCH_POOL</x:v>
      </x:c>
      <x:c r="N131" s="31" t="str">
        <x:v>N</x:v>
      </x:c>
      <x:c r="O131" s="31" t="str">
        <x:v>Pending</x:v>
      </x:c>
      <x:c r="P131" s="31"/>
      <x:c r="Q131" s="31"/>
      <x:c r="R131" s="31" t="n">
        <x:v>0</x:v>
      </x:c>
      <x:c r="S131" s="31"/>
      <x:c r="T131" s="31"/>
      <x:c r="U131" s="31" t="str">
        <x:v>EXP-03/04 candidate: recent TB results vs underlying contact.</x:v>
      </x:c>
      <x:c r="V131" s="31" t="str">
        <x:v>Source cites 2+ TB in 6/9 with 3 XBH; 8/12 batted balls vs RHP 94+ mph; JT Ginn .250 home AVG allowed.</x:v>
      </x:c>
      <x:c r="W131" s="31"/>
      <x:c r="X131" s="31"/>
      <x:c r="Y131" s="31"/>
      <x:c r="Z131" s="31"/>
    </x:row>
    <x:row r="132">
      <x:c r="A132" s="31" t="str">
        <x:v>2026-08-26</x:v>
      </x:c>
      <x:c r="B132" s="31" t="str">
        <x:v>A26-R31</x:v>
      </x:c>
      <x:c r="C132" s="31" t="str">
        <x:v>SOURCED</x:v>
      </x:c>
      <x:c r="D132" s="31" t="str">
        <x:v>Bases Loaded Hitter Target</x:v>
      </x:c>
      <x:c r="E132" s="31" t="str">
        <x:v>MLB</x:v>
      </x:c>
      <x:c r="F132" s="31" t="str">
        <x:v>WSH game</x:v>
      </x:c>
      <x:c r="G132" s="31" t="str">
        <x:v>CJ Abrams</x:v>
      </x:c>
      <x:c r="H132" s="31" t="str">
        <x:v>Hitter Signal</x:v>
      </x:c>
      <x:c r="I132" s="31" t="str">
        <x:v>Evaluate hit / TB / HRR / HR</x:v>
      </x:c>
      <x:c r="J132" s="31"/>
      <x:c r="K132" s="31"/>
      <x:c r="L132" s="31"/>
      <x:c r="M132" s="31" t="str">
        <x:v>RESEARCH_POOL</x:v>
      </x:c>
      <x:c r="N132" s="31" t="str">
        <x:v>N</x:v>
      </x:c>
      <x:c r="O132" s="31" t="str">
        <x:v>Pending</x:v>
      </x:c>
      <x:c r="P132" s="31"/>
      <x:c r="Q132" s="31"/>
      <x:c r="R132" s="31" t="n">
        <x:v>0</x:v>
      </x:c>
      <x:c r="S132" s="31"/>
      <x:c r="T132" s="31"/>
      <x:c r="U132" s="31" t="str">
        <x:v>EXP-03/04 candidate: HR-board + hitter-board convergence.</x:v>
      </x:c>
      <x:c r="V132" s="31" t="str">
        <x:v>Source cites 2+ TB in 3/4 with 3 XBH; Tanner Gordon .317 AVG allowed to LHB; low barrel percentile.</x:v>
      </x:c>
      <x:c r="W132" s="31"/>
      <x:c r="X132" s="31"/>
      <x:c r="Y132" s="31"/>
      <x:c r="Z132" s="31"/>
    </x:row>
    <x:row r="133">
      <x:c r="A133" s="31" t="str">
        <x:v>2026-08-26</x:v>
      </x:c>
      <x:c r="B133" s="31" t="str">
        <x:v>A26-R32</x:v>
      </x:c>
      <x:c r="C133" s="31" t="str">
        <x:v>SOURCED</x:v>
      </x:c>
      <x:c r="D133" s="31" t="str">
        <x:v>Team Hitter Target</x:v>
      </x:c>
      <x:c r="E133" s="31" t="str">
        <x:v>MLB</x:v>
      </x:c>
      <x:c r="F133" s="31" t="str">
        <x:v>LAD @ ATL</x:v>
      </x:c>
      <x:c r="G133" s="31" t="str">
        <x:v>Los Angeles Dodgers</x:v>
      </x:c>
      <x:c r="H133" s="31" t="str">
        <x:v>Team Target</x:v>
      </x:c>
      <x:c r="I133" s="31" t="str">
        <x:v>Full lineup hitter-prop scan</x:v>
      </x:c>
      <x:c r="J133" s="31"/>
      <x:c r="K133" s="31"/>
      <x:c r="L133" s="31"/>
      <x:c r="M133" s="31" t="str">
        <x:v>RESEARCH_POOL</x:v>
      </x:c>
      <x:c r="N133" s="31" t="str">
        <x:v>N</x:v>
      </x:c>
      <x:c r="O133" s="31" t="str">
        <x:v>Pending</x:v>
      </x:c>
      <x:c r="P133" s="31"/>
      <x:c r="Q133" s="31"/>
      <x:c r="R133" s="31" t="n">
        <x:v>0</x:v>
      </x:c>
      <x:c r="S133" s="31"/>
      <x:c r="T133" s="31"/>
      <x:c r="U133" s="31" t="str">
        <x:v>Expand entire confirmed lineup; source is team-level lead only.</x:v>
      </x:c>
      <x:c r="V133" s="31" t="str">
        <x:v>vs AJ Smith-Shawver.</x:v>
      </x:c>
      <x:c r="W133" s="31"/>
      <x:c r="X133" s="31"/>
      <x:c r="Y133" s="31"/>
      <x:c r="Z133" s="31"/>
    </x:row>
    <x:row r="134">
      <x:c r="A134" s="31" t="str">
        <x:v>2026-08-26</x:v>
      </x:c>
      <x:c r="B134" s="31" t="str">
        <x:v>A26-R33</x:v>
      </x:c>
      <x:c r="C134" s="31" t="str">
        <x:v>SOURCED</x:v>
      </x:c>
      <x:c r="D134" s="31" t="str">
        <x:v>Team Hitter Target</x:v>
      </x:c>
      <x:c r="E134" s="31" t="str">
        <x:v>MLB</x:v>
      </x:c>
      <x:c r="F134" s="31" t="str">
        <x:v>CHC @ ARI</x:v>
      </x:c>
      <x:c r="G134" s="31" t="str">
        <x:v>Chicago Cubs</x:v>
      </x:c>
      <x:c r="H134" s="31" t="str">
        <x:v>Team Target</x:v>
      </x:c>
      <x:c r="I134" s="31" t="str">
        <x:v>Full lineup hitter-prop scan</x:v>
      </x:c>
      <x:c r="J134" s="31"/>
      <x:c r="K134" s="31"/>
      <x:c r="L134" s="31"/>
      <x:c r="M134" s="31" t="str">
        <x:v>RESEARCH_POOL</x:v>
      </x:c>
      <x:c r="N134" s="31" t="str">
        <x:v>N</x:v>
      </x:c>
      <x:c r="O134" s="31" t="str">
        <x:v>Pending</x:v>
      </x:c>
      <x:c r="P134" s="31"/>
      <x:c r="Q134" s="31"/>
      <x:c r="R134" s="31" t="n">
        <x:v>0</x:v>
      </x:c>
      <x:c r="S134" s="31"/>
      <x:c r="T134" s="31"/>
      <x:c r="U134" s="31" t="str">
        <x:v>Expand entire confirmed lineup; compare Bregman and all other Cubs.</x:v>
      </x:c>
      <x:c r="V134" s="31" t="str">
        <x:v>vs Eduardo Rodríguez.</x:v>
      </x:c>
      <x:c r="W134" s="31"/>
      <x:c r="X134" s="31"/>
      <x:c r="Y134" s="31"/>
      <x:c r="Z134" s="31"/>
    </x:row>
    <x:row r="135">
      <x:c r="A135" s="31" t="str">
        <x:v>2026-08-26</x:v>
      </x:c>
      <x:c r="B135" s="31" t="str">
        <x:v>A26-R34</x:v>
      </x:c>
      <x:c r="C135" s="31" t="str">
        <x:v>SOURCED</x:v>
      </x:c>
      <x:c r="D135" s="31" t="str">
        <x:v>Team Hitter Target</x:v>
      </x:c>
      <x:c r="E135" s="31" t="str">
        <x:v>MLB</x:v>
      </x:c>
      <x:c r="F135" s="31" t="str">
        <x:v>MIN game</x:v>
      </x:c>
      <x:c r="G135" s="31" t="str">
        <x:v>Minnesota Twins</x:v>
      </x:c>
      <x:c r="H135" s="31" t="str">
        <x:v>Team Target</x:v>
      </x:c>
      <x:c r="I135" s="31" t="str">
        <x:v>Full lineup hitter-prop scan</x:v>
      </x:c>
      <x:c r="J135" s="31"/>
      <x:c r="K135" s="31"/>
      <x:c r="L135" s="31"/>
      <x:c r="M135" s="31" t="str">
        <x:v>RESEARCH_POOL</x:v>
      </x:c>
      <x:c r="N135" s="31" t="str">
        <x:v>N</x:v>
      </x:c>
      <x:c r="O135" s="31" t="str">
        <x:v>Pending</x:v>
      </x:c>
      <x:c r="P135" s="31"/>
      <x:c r="Q135" s="31"/>
      <x:c r="R135" s="31" t="n">
        <x:v>0</x:v>
      </x:c>
      <x:c r="S135" s="31"/>
      <x:c r="T135" s="31"/>
      <x:c r="U135" s="31" t="str">
        <x:v>Expand entire confirmed lineup; source is team-level lead only.</x:v>
      </x:c>
      <x:c r="V135" s="31" t="str">
        <x:v>vs JT Ginn.</x:v>
      </x:c>
      <x:c r="W135" s="31"/>
      <x:c r="X135" s="31"/>
      <x:c r="Y135" s="31"/>
      <x:c r="Z135" s="31"/>
    </x:row>
    <x:row r="136">
      <x:c r="A136" s="31" t="str">
        <x:v>2026-08-26</x:v>
      </x:c>
      <x:c r="B136" s="31" t="str">
        <x:v>A26-R35</x:v>
      </x:c>
      <x:c r="C136" s="31" t="str">
        <x:v>SOURCED</x:v>
      </x:c>
      <x:c r="D136" s="31" t="str">
        <x:v>Team Hitter Target</x:v>
      </x:c>
      <x:c r="E136" s="31" t="str">
        <x:v>MLB</x:v>
      </x:c>
      <x:c r="F136" s="31" t="str">
        <x:v>MIL game</x:v>
      </x:c>
      <x:c r="G136" s="31" t="str">
        <x:v>Milwaukee Brewers</x:v>
      </x:c>
      <x:c r="H136" s="31" t="str">
        <x:v>Team Target</x:v>
      </x:c>
      <x:c r="I136" s="31" t="str">
        <x:v>Full lineup hitter-prop scan</x:v>
      </x:c>
      <x:c r="J136" s="31"/>
      <x:c r="K136" s="31"/>
      <x:c r="L136" s="31"/>
      <x:c r="M136" s="31" t="str">
        <x:v>RESEARCH_POOL</x:v>
      </x:c>
      <x:c r="N136" s="31" t="str">
        <x:v>N</x:v>
      </x:c>
      <x:c r="O136" s="31" t="str">
        <x:v>Pending</x:v>
      </x:c>
      <x:c r="P136" s="31"/>
      <x:c r="Q136" s="31"/>
      <x:c r="R136" s="31" t="n">
        <x:v>0</x:v>
      </x:c>
      <x:c r="S136" s="31"/>
      <x:c r="T136" s="31"/>
      <x:c r="U136" s="31" t="str">
        <x:v>Expand entire confirmed lineup; source is team-level lead only.</x:v>
      </x:c>
      <x:c r="V136" s="31" t="str">
        <x:v>vs Robert Stock.</x:v>
      </x:c>
      <x:c r="W136" s="31"/>
      <x:c r="X136" s="31"/>
      <x:c r="Y136" s="31"/>
      <x:c r="Z136" s="31"/>
    </x:row>
    <x:row r="137">
      <x:c r="A137" s="31" t="str">
        <x:v>2026-08-26</x:v>
      </x:c>
      <x:c r="B137" s="31" t="str">
        <x:v>A26-R36</x:v>
      </x:c>
      <x:c r="C137" s="31" t="str">
        <x:v>SOURCED</x:v>
      </x:c>
      <x:c r="D137" s="31" t="str">
        <x:v>Team Hitter Target</x:v>
      </x:c>
      <x:c r="E137" s="31" t="str">
        <x:v>MLB</x:v>
      </x:c>
      <x:c r="F137" s="31" t="str">
        <x:v>WSH game</x:v>
      </x:c>
      <x:c r="G137" s="31" t="str">
        <x:v>Washington Nationals</x:v>
      </x:c>
      <x:c r="H137" s="31" t="str">
        <x:v>Team Target</x:v>
      </x:c>
      <x:c r="I137" s="31" t="str">
        <x:v>Full lineup hitter-prop scan</x:v>
      </x:c>
      <x:c r="J137" s="31"/>
      <x:c r="K137" s="31"/>
      <x:c r="L137" s="31"/>
      <x:c r="M137" s="31" t="str">
        <x:v>RESEARCH_POOL</x:v>
      </x:c>
      <x:c r="N137" s="31" t="str">
        <x:v>N</x:v>
      </x:c>
      <x:c r="O137" s="31" t="str">
        <x:v>Pending</x:v>
      </x:c>
      <x:c r="P137" s="31"/>
      <x:c r="Q137" s="31"/>
      <x:c r="R137" s="31" t="n">
        <x:v>0</x:v>
      </x:c>
      <x:c r="S137" s="31"/>
      <x:c r="T137" s="31"/>
      <x:c r="U137" s="31" t="str">
        <x:v>Expand entire confirmed lineup; source is team-level lead only.</x:v>
      </x:c>
      <x:c r="V137" s="31" t="str">
        <x:v>vs Tanner Gordon.</x:v>
      </x:c>
      <x:c r="W137" s="31"/>
      <x:c r="X137" s="31"/>
      <x:c r="Y137" s="31"/>
      <x:c r="Z137" s="31"/>
    </x:row>
    <x:row r="138">
      <x:c r="A138" s="31" t="str">
        <x:v>2026-08-26</x:v>
      </x:c>
      <x:c r="B138" s="31" t="str">
        <x:v>A26-R37</x:v>
      </x:c>
      <x:c r="C138" s="31" t="str">
        <x:v>SOURCED</x:v>
      </x:c>
      <x:c r="D138" s="31" t="str">
        <x:v>Total Base POTD</x:v>
      </x:c>
      <x:c r="E138" s="31" t="str">
        <x:v>MLB</x:v>
      </x:c>
      <x:c r="F138" s="31" t="str">
        <x:v>BAL game</x:v>
      </x:c>
      <x:c r="G138" s="31" t="str">
        <x:v>Pete Alonso</x:v>
      </x:c>
      <x:c r="H138" s="31" t="str">
        <x:v>2+ Total Bases</x:v>
      </x:c>
      <x:c r="I138" s="31" t="str">
        <x:v>Over 1.5 total bases</x:v>
      </x:c>
      <x:c r="J138" s="31" t="n">
        <x:v>1.5</x:v>
      </x:c>
      <x:c r="K138" s="31"/>
      <x:c r="L138" s="31"/>
      <x:c r="M138" s="31" t="str">
        <x:v>RESEARCH_POOL</x:v>
      </x:c>
      <x:c r="N138" s="31" t="str">
        <x:v>N</x:v>
      </x:c>
      <x:c r="O138" s="31" t="str">
        <x:v>Win</x:v>
      </x:c>
      <x:c r="P138" s="31" t="n">
        <x:v>1</x:v>
      </x:c>
      <x:c r="Q138" s="31"/>
      <x:c r="R138" s="31" t="n">
        <x:v>0</x:v>
      </x:c>
      <x:c r="S138" s="31"/>
      <x:c r="T138" s="31"/>
      <x:c r="U138" s="31" t="str">
        <x:v>Prospective paper win: Alonso homered, clearing 2+ total bases.</x:v>
      </x:c>
      <x:c r="V138" s="31" t="str">
        <x:v>User-confirmed live result.</x:v>
      </x:c>
      <x:c r="W138" s="31"/>
      <x:c r="X138" s="31"/>
      <x:c r="Y138" s="31"/>
      <x:c r="Z138" s="31"/>
    </x:row>
    <x:row r="139">
      <x:c r="A139" s="31" t="str">
        <x:v>2026-08-26</x:v>
      </x:c>
      <x:c r="B139" s="31" t="str">
        <x:v>A26-D01</x:v>
      </x:c>
      <x:c r="C139" s="31" t="str">
        <x:v>DISCOVERED</x:v>
      </x:c>
      <x:c r="D139" s="31" t="str">
        <x:v>Independent K Board</x:v>
      </x:c>
      <x:c r="E139" s="31" t="str">
        <x:v>MLB</x:v>
      </x:c>
      <x:c r="F139" s="31" t="str">
        <x:v>PHI @ SEA</x:v>
      </x:c>
      <x:c r="G139" s="31" t="str">
        <x:v>Jesús Luzardo</x:v>
      </x:c>
      <x:c r="H139" s="31" t="str">
        <x:v>Pitcher K Over</x:v>
      </x:c>
      <x:c r="I139" s="31" t="str">
        <x:v>Over 8.5 Ks</x:v>
      </x:c>
      <x:c r="J139" s="31" t="n">
        <x:v>8.5</x:v>
      </x:c>
      <x:c r="K139" s="31" t="n">
        <x:v>116</x:v>
      </x:c>
      <x:c r="L139" s="31" t="n">
        <x:v>0.46296296296296297</x:v>
      </x:c>
      <x:c r="M139" s="31" t="str">
        <x:v>PAPER</x:v>
      </x:c>
      <x:c r="N139" s="31" t="str">
        <x:v>N</x:v>
      </x:c>
      <x:c r="O139" s="31" t="str">
        <x:v>Win</x:v>
      </x:c>
      <x:c r="P139" s="31" t="n">
        <x:v>1</x:v>
      </x:c>
      <x:c r="Q139" s="31" t="n">
        <x:v>9</x:v>
      </x:c>
      <x:c r="R139" s="31" t="n">
        <x:v>0</x:v>
      </x:c>
      <x:c r="S139" s="31"/>
      <x:c r="T139" s="31"/>
      <x:c r="U139" s="31" t="str">
        <x:v>Paper moved-line test won: Luzardo reached 9 Ks.</x:v>
      </x:c>
      <x:c r="V139" s="31" t="str">
        <x:v>Actual real 8+ K also won.</x:v>
      </x:c>
      <x:c r="W139" s="31"/>
      <x:c r="X139" s="31"/>
      <x:c r="Y139" s="31"/>
      <x:c r="Z139" s="31"/>
    </x:row>
    <x:row r="140">
      <x:c r="A140" s="31" t="str">
        <x:v>2026-08-26</x:v>
      </x:c>
      <x:c r="B140" s="31" t="str">
        <x:v>A26-D02</x:v>
      </x:c>
      <x:c r="C140" s="31" t="str">
        <x:v>HYBRID</x:v>
      </x:c>
      <x:c r="D140" s="31" t="str">
        <x:v>UDLR + Independent K Board</x:v>
      </x:c>
      <x:c r="E140" s="31" t="str">
        <x:v>MLB</x:v>
      </x:c>
      <x:c r="F140" s="31" t="str">
        <x:v>PIT @ SD</x:v>
      </x:c>
      <x:c r="G140" s="31" t="str">
        <x:v>Bubba Chandler</x:v>
      </x:c>
      <x:c r="H140" s="31" t="str">
        <x:v>Pitcher K Over</x:v>
      </x:c>
      <x:c r="I140" s="31" t="str">
        <x:v>5+ Ks</x:v>
      </x:c>
      <x:c r="J140" s="31" t="n">
        <x:v>5</x:v>
      </x:c>
      <x:c r="K140" s="31" t="n">
        <x:v>122</x:v>
      </x:c>
      <x:c r="L140" s="31" t="n">
        <x:v>0.45045045045045046</x:v>
      </x:c>
      <x:c r="M140" s="31" t="str">
        <x:v>QUALIFIED_NOT_BET</x:v>
      </x:c>
      <x:c r="N140" s="31" t="str">
        <x:v>N</x:v>
      </x:c>
      <x:c r="O140" s="31" t="str">
        <x:v>Loss</x:v>
      </x:c>
      <x:c r="P140" s="31" t="n">
        <x:v>0</x:v>
      </x:c>
      <x:c r="Q140" s="31" t="n">
        <x:v>3</x:v>
      </x:c>
      <x:c r="R140" s="31" t="n">
        <x:v>0</x:v>
      </x:c>
      <x:c r="S140" s="31"/>
      <x:c r="T140" s="31" t="str">
        <x:v>Bad handicap</x:v>
      </x:c>
      <x:c r="U140" s="31" t="str">
        <x:v>Chandler 5+ K paper candidate lost with 3 Ks.</x:v>
      </x:c>
      <x:c r="V140" s="31" t="str">
        <x:v>Alternative to Luzardo did not work.</x:v>
      </x:c>
      <x:c r="W140" s="31"/>
      <x:c r="X140" s="31"/>
      <x:c r="Y140" s="31"/>
      <x:c r="Z140" s="31"/>
    </x:row>
    <x:row r="141">
      <x:c r="A141" s="31" t="str">
        <x:v>2026-08-26</x:v>
      </x:c>
      <x:c r="B141" s="31" t="str">
        <x:v>A26-D03</x:v>
      </x:c>
      <x:c r="C141" s="31" t="str">
        <x:v>HYBRID</x:v>
      </x:c>
      <x:c r="D141" s="31" t="str">
        <x:v>Early Win + F5/Independent Validation</x:v>
      </x:c>
      <x:c r="E141" s="31" t="str">
        <x:v>MLB</x:v>
      </x:c>
      <x:c r="F141" s="31" t="str">
        <x:v>CLE @ LAA</x:v>
      </x:c>
      <x:c r="G141" s="31" t="str">
        <x:v>Cleveland Guardians</x:v>
      </x:c>
      <x:c r="H141" s="31" t="str">
        <x:v>Moneyline</x:v>
      </x:c>
      <x:c r="I141" s="31" t="str">
        <x:v>Guardians ML — 2 Runs Up Early Win</x:v>
      </x:c>
      <x:c r="J141" s="31"/>
      <x:c r="K141" s="31" t="n">
        <x:v>-135</x:v>
      </x:c>
      <x:c r="L141" s="31" t="n">
        <x:v>0.574468085106383</x:v>
      </x:c>
      <x:c r="M141" s="31" t="str">
        <x:v>BET</x:v>
      </x:c>
      <x:c r="N141" s="31" t="str">
        <x:v>Y</x:v>
      </x:c>
      <x:c r="O141" s="31" t="str">
        <x:v>Win</x:v>
      </x:c>
      <x:c r="P141" s="31" t="n">
        <x:v>1</x:v>
      </x:c>
      <x:c r="Q141" s="31"/>
      <x:c r="R141" s="31" t="n">
        <x:v>1</x:v>
      </x:c>
      <x:c r="S141" s="31" t="str">
        <x:v>A26-T02</x:v>
      </x:c>
      <x:c r="T141" s="31"/>
      <x:c r="U141" s="31" t="str">
        <x:v>CLE won 4-3; Early Win two-run trigger did not activate.</x:v>
      </x:c>
      <x:c r="V141" s="31" t="str">
        <x:v>Standard ML cashed; promo trigger added no incremental value.</x:v>
      </x:c>
      <x:c r="W141" s="31"/>
      <x:c r="X141" s="31"/>
      <x:c r="Y141" s="31"/>
      <x:c r="Z141" s="31"/>
    </x:row>
    <x:row r="142">
      <x:c r="A142" s="31" t="str">
        <x:v>2026-08-26</x:v>
      </x:c>
      <x:c r="B142" s="31" t="str">
        <x:v>A26-D04</x:v>
      </x:c>
      <x:c r="C142" s="31" t="str">
        <x:v>DISCOVERED</x:v>
      </x:c>
      <x:c r="D142" s="31" t="str">
        <x:v>Independent K Board</x:v>
      </x:c>
      <x:c r="E142" s="31" t="str">
        <x:v>MLB</x:v>
      </x:c>
      <x:c r="F142" s="31" t="str">
        <x:v>PHI @ SEA</x:v>
      </x:c>
      <x:c r="G142" s="31" t="str">
        <x:v>Jesús Luzardo</x:v>
      </x:c>
      <x:c r="H142" s="31" t="str">
        <x:v>Pitcher K Over</x:v>
      </x:c>
      <x:c r="I142" s="31" t="str">
        <x:v>8+ Ks</x:v>
      </x:c>
      <x:c r="J142" s="31" t="n">
        <x:v>8</x:v>
      </x:c>
      <x:c r="K142" s="31" t="n">
        <x:v>-172</x:v>
      </x:c>
      <x:c r="L142" s="31" t="n">
        <x:v>0.6323529411764706</x:v>
      </x:c>
      <x:c r="M142" s="31" t="str">
        <x:v>BET</x:v>
      </x:c>
      <x:c r="N142" s="31" t="str">
        <x:v>Y</x:v>
      </x:c>
      <x:c r="O142" s="31" t="str">
        <x:v>Win</x:v>
      </x:c>
      <x:c r="P142" s="31" t="n">
        <x:v>1</x:v>
      </x:c>
      <x:c r="Q142" s="31" t="n">
        <x:v>9</x:v>
      </x:c>
      <x:c r="R142" s="31" t="n">
        <x:v>1</x:v>
      </x:c>
      <x:c r="S142" s="31" t="str">
        <x:v>A26-T03</x:v>
      </x:c>
      <x:c r="T142" s="31"/>
      <x:c r="U142" s="31" t="str">
        <x:v>Luzardo finished with 9 Ks; 8+ boosted bet won.</x:v>
      </x:c>
      <x:c r="V142" s="31" t="str">
        <x:v>Paper 9+ threshold also won.</x:v>
      </x:c>
      <x:c r="W142" s="31"/>
      <x:c r="X142" s="31"/>
      <x:c r="Y142" s="31"/>
      <x:c r="Z142" s="31"/>
    </x:row>
    <x:row r="143">
      <x:c r="A143" s="31" t="str">
        <x:v>2026-08-26</x:v>
      </x:c>
      <x:c r="B143" s="31" t="str">
        <x:v>A26-D05</x:v>
      </x:c>
      <x:c r="C143" s="31" t="str">
        <x:v>DISCOVERED</x:v>
      </x:c>
      <x:c r="D143" s="31" t="str">
        <x:v>Independent Workload Scan</x:v>
      </x:c>
      <x:c r="E143" s="31" t="str">
        <x:v>MLB</x:v>
      </x:c>
      <x:c r="F143" s="31" t="str">
        <x:v>PHI @ SEA</x:v>
      </x:c>
      <x:c r="G143" s="31" t="str">
        <x:v>Bryan Woo</x:v>
      </x:c>
      <x:c r="H143" s="31" t="str">
        <x:v>Pitcher Outs</x:v>
      </x:c>
      <x:c r="I143" s="31" t="str">
        <x:v>Under 17.5 outs</x:v>
      </x:c>
      <x:c r="J143" s="31" t="n">
        <x:v>17.5</x:v>
      </x:c>
      <x:c r="K143" s="31" t="n">
        <x:v>-112</x:v>
      </x:c>
      <x:c r="L143" s="31" t="n">
        <x:v>0.5283018867924528</x:v>
      </x:c>
      <x:c r="M143" s="31" t="str">
        <x:v>BET</x:v>
      </x:c>
      <x:c r="N143" s="31" t="str">
        <x:v>Y</x:v>
      </x:c>
      <x:c r="O143" s="31" t="str">
        <x:v>Win</x:v>
      </x:c>
      <x:c r="P143" s="31" t="n">
        <x:v>1</x:v>
      </x:c>
      <x:c r="Q143" s="31" t="n">
        <x:v>12</x:v>
      </x:c>
      <x:c r="R143" s="31" t="n">
        <x:v>1</x:v>
      </x:c>
      <x:c r="S143" s="31" t="str">
        <x:v>A26-T04</x:v>
      </x:c>
      <x:c r="T143" s="31"/>
      <x:c r="U143" s="31" t="str">
        <x:v>Woo lasted 4.0 IP = 12 outs; U17.5 won comfortably.</x:v>
      </x:c>
      <x:c r="V143" s="31" t="str">
        <x:v>Hard workload/leash signal validated.</x:v>
      </x:c>
      <x:c r="W143" s="31"/>
      <x:c r="X143" s="31"/>
      <x:c r="Y143" s="31"/>
      <x:c r="Z143" s="31"/>
    </x:row>
    <x:row r="144">
      <x:c r="A144" s="31" t="str">
        <x:v>2026-08-26</x:v>
      </x:c>
      <x:c r="B144" s="31" t="str">
        <x:v>A26-D06</x:v>
      </x:c>
      <x:c r="C144" s="31" t="str">
        <x:v>DISCOVERED</x:v>
      </x:c>
      <x:c r="D144" s="31" t="str">
        <x:v>Hitter Market Conversion</x:v>
      </x:c>
      <x:c r="E144" s="31" t="str">
        <x:v>MLB</x:v>
      </x:c>
      <x:c r="F144" s="31" t="str">
        <x:v>HOU @ NYY</x:v>
      </x:c>
      <x:c r="G144" s="31" t="str">
        <x:v>Yordan Alvarez</x:v>
      </x:c>
      <x:c r="H144" s="31" t="str">
        <x:v>2+ Total Bases</x:v>
      </x:c>
      <x:c r="I144" s="31" t="str">
        <x:v>2+ TB</x:v>
      </x:c>
      <x:c r="J144" s="31" t="n">
        <x:v>2</x:v>
      </x:c>
      <x:c r="K144" s="31" t="n">
        <x:v>-105</x:v>
      </x:c>
      <x:c r="L144" s="31" t="n">
        <x:v>0.5121951219512195</x:v>
      </x:c>
      <x:c r="M144" s="31" t="str">
        <x:v>BET</x:v>
      </x:c>
      <x:c r="N144" s="31" t="str">
        <x:v>Y</x:v>
      </x:c>
      <x:c r="O144" s="31" t="str">
        <x:v>Loss</x:v>
      </x:c>
      <x:c r="P144" s="31" t="n">
        <x:v>0</x:v>
      </x:c>
      <x:c r="Q144" s="31" t="n">
        <x:v>1</x:v>
      </x:c>
      <x:c r="R144" s="31" t="n">
        <x:v>0.5</x:v>
      </x:c>
      <x:c r="S144" s="31" t="str">
        <x:v>A26-T05</x:v>
      </x:c>
      <x:c r="T144" s="31" t="str">
        <x:v>Threshold / market-expression miss</x:v>
      </x:c>
      <x:c r="U144" s="31" t="str">
        <x:v>Yordan went 1-for-4 with one single = 1 total base; needed 2+.</x:v>
      </x:c>
      <x:c r="V144" s="31" t="str">
        <x:v>Broad hitter thesis produced a hit, but 2+ TB was one base too aggressive.</x:v>
      </x:c>
      <x:c r="W144" s="31"/>
      <x:c r="X144" s="31"/>
      <x:c r="Y144" s="31"/>
      <x:c r="Z144" s="31"/>
    </x:row>
    <x:row r="145">
      <x:c r="A145" s="31" t="str">
        <x:v>2026-08-26</x:v>
      </x:c>
      <x:c r="B145" s="31" t="str">
        <x:v>A26-D07</x:v>
      </x:c>
      <x:c r="C145" s="31" t="str">
        <x:v>DISCOVERED</x:v>
      </x:c>
      <x:c r="D145" s="31" t="str">
        <x:v>Hitter Market Conversion</x:v>
      </x:c>
      <x:c r="E145" s="31" t="str">
        <x:v>MLB</x:v>
      </x:c>
      <x:c r="F145" s="31" t="str">
        <x:v>CIN @ SF</x:v>
      </x:c>
      <x:c r="G145" s="31" t="str">
        <x:v>Sal Stewart</x:v>
      </x:c>
      <x:c r="H145" s="31" t="str">
        <x:v>H+R+RBI</x:v>
      </x:c>
      <x:c r="I145" s="31" t="str">
        <x:v>1+ H+R+RBI</x:v>
      </x:c>
      <x:c r="J145" s="31" t="n">
        <x:v>1</x:v>
      </x:c>
      <x:c r="K145" s="31" t="n">
        <x:v>-307</x:v>
      </x:c>
      <x:c r="L145" s="31" t="n">
        <x:v>0.7542997542997543</x:v>
      </x:c>
      <x:c r="M145" s="31" t="str">
        <x:v>BET</x:v>
      </x:c>
      <x:c r="N145" s="31" t="str">
        <x:v>Y</x:v>
      </x:c>
      <x:c r="O145" s="31" t="str">
        <x:v>Win</x:v>
      </x:c>
      <x:c r="P145" s="31" t="n">
        <x:v>1</x:v>
      </x:c>
      <x:c r="Q145" s="31"/>
      <x:c r="R145" s="31" t="n">
        <x:v>0.5</x:v>
      </x:c>
      <x:c r="S145" s="31" t="str">
        <x:v>A26-T05</x:v>
      </x:c>
      <x:c r="T145" s="31"/>
      <x:c r="U145" s="31" t="str">
        <x:v>Sal Stewart cleared 1+ H+R+RBI.</x:v>
      </x:c>
      <x:c r="V145" s="31" t="str">
        <x:v>Safer composite threshold worked.</x:v>
      </x:c>
      <x:c r="W145" s="31"/>
      <x:c r="X145" s="31"/>
      <x:c r="Y145" s="31"/>
      <x:c r="Z145" s="31"/>
    </x:row>
    <x:row r="146">
      <x:c r="A146" s="31" t="str">
        <x:v>2026-08-26</x:v>
      </x:c>
      <x:c r="B146" s="31" t="str">
        <x:v>A26-D08</x:v>
      </x:c>
      <x:c r="C146" s="31" t="str">
        <x:v>HYBRID</x:v>
      </x:c>
      <x:c r="D146" s="31" t="str">
        <x:v>Real Madrid SGP Construction</x:v>
      </x:c>
      <x:c r="E146" s="31" t="str">
        <x:v>Soccer</x:v>
      </x:c>
      <x:c r="F146" s="31" t="str">
        <x:v>RMA vs RSO</x:v>
      </x:c>
      <x:c r="G146" s="31" t="str">
        <x:v>Real Madrid SGP</x:v>
      </x:c>
      <x:c r="H146" s="31" t="str">
        <x:v>Soccer SGP</x:v>
      </x:c>
      <x:c r="I146" s="31" t="str">
        <x:v>RMA ML + O3.5 goals + RMA O6.5 corners</x:v>
      </x:c>
      <x:c r="J146" s="31"/>
      <x:c r="K146" s="31" t="n">
        <x:v>262</x:v>
      </x:c>
      <x:c r="L146" s="31" t="n">
        <x:v>0.27624309392265195</x:v>
      </x:c>
      <x:c r="M146" s="31" t="str">
        <x:v>BET</x:v>
      </x:c>
      <x:c r="N146" s="31" t="str">
        <x:v>Y</x:v>
      </x:c>
      <x:c r="O146" s="31" t="str">
        <x:v>Loss</x:v>
      </x:c>
      <x:c r="P146" s="31" t="n">
        <x:v>0</x:v>
      </x:c>
      <x:c r="Q146" s="31"/>
      <x:c r="R146" s="31" t="n">
        <x:v>1</x:v>
      </x:c>
      <x:c r="S146" s="31" t="str">
        <x:v>A26-T01</x:v>
      </x:c>
      <x:c r="T146" s="31" t="str">
        <x:v>Market selection miss</x:v>
      </x:c>
      <x:c r="U146" s="31" t="str">
        <x:v>Madrid ML and O3.5 goals hit; RMA O6.5 team corners failed.</x:v>
      </x:c>
      <x:c r="V146" s="31" t="str">
        <x:v>Pregame O10.5 total-corners alternative would have cashed; execution O/U mistake did not cause loss.</x:v>
      </x:c>
      <x:c r="W146" s="31"/>
      <x:c r="X146" s="31"/>
      <x:c r="Y146" s="31"/>
      <x:c r="Z146" s="31"/>
    </x:row>
    <x:row r="147">
      <x:c r="A147" s="31" t="str">
        <x:v>2026-08-26</x:v>
      </x:c>
      <x:c r="B147" s="31" t="str">
        <x:v>A26-D09</x:v>
      </x:c>
      <x:c r="C147" s="31" t="str">
        <x:v>DISCOVERED</x:v>
      </x:c>
      <x:c r="D147" s="31" t="str">
        <x:v>Late Slate Workload Scan</x:v>
      </x:c>
      <x:c r="E147" s="31" t="str">
        <x:v>MLB</x:v>
      </x:c>
      <x:c r="F147" s="31" t="str">
        <x:v>KC @ TOR</x:v>
      </x:c>
      <x:c r="G147" s="31" t="str">
        <x:v>Randy Dobnak</x:v>
      </x:c>
      <x:c r="H147" s="31" t="str">
        <x:v>Pitcher Outs</x:v>
      </x:c>
      <x:c r="I147" s="31" t="str">
        <x:v>Under 15.5 outs</x:v>
      </x:c>
      <x:c r="J147" s="31" t="n">
        <x:v>15.5</x:v>
      </x:c>
      <x:c r="K147" s="31" t="n">
        <x:v>-101</x:v>
      </x:c>
      <x:c r="L147" s="31" t="n">
        <x:v>0.5024875621890548</x:v>
      </x:c>
      <x:c r="M147" s="31" t="str">
        <x:v>BET</x:v>
      </x:c>
      <x:c r="N147" s="31" t="str">
        <x:v>Y</x:v>
      </x:c>
      <x:c r="O147" s="31" t="str">
        <x:v>Loss</x:v>
      </x:c>
      <x:c r="P147" s="31" t="n">
        <x:v>0</x:v>
      </x:c>
      <x:c r="Q147" s="31" t="n">
        <x:v>18</x:v>
      </x:c>
      <x:c r="R147" s="31" t="n">
        <x:v>1</x:v>
      </x:c>
      <x:c r="S147" s="31" t="str">
        <x:v>A26-T06</x:v>
      </x:c>
      <x:c r="T147" s="31" t="str">
        <x:v>Bad workload handicap</x:v>
      </x:c>
      <x:c r="U147" s="31" t="str">
        <x:v>Dobnak completed 6.0 IP = 18 outs; U15.5 lost.</x:v>
      </x:c>
      <x:c r="V147" s="31" t="str">
        <x:v>Paper U16.5 also lost; not a threshold-choice issue.</x:v>
      </x:c>
      <x:c r="W147" s="31"/>
      <x:c r="X147" s="31"/>
      <x:c r="Y147" s="31"/>
      <x:c r="Z147" s="31"/>
    </x:row>
    <x:row r="148">
      <x:c r="A148" s="31" t="str">
        <x:v>2026-08-26</x:v>
      </x:c>
      <x:c r="B148" s="31" t="str">
        <x:v>A26-D10</x:v>
      </x:c>
      <x:c r="C148" s="31" t="str">
        <x:v>HYBRID</x:v>
      </x:c>
      <x:c r="D148" s="31" t="str">
        <x:v>WNBA Source + Independent Validation</x:v>
      </x:c>
      <x:c r="E148" s="31" t="str">
        <x:v>WNBA</x:v>
      </x:c>
      <x:c r="F148" s="31" t="str">
        <x:v>TOR @ SEA</x:v>
      </x:c>
      <x:c r="G148" s="31" t="str">
        <x:v>Dominique Malonga</x:v>
      </x:c>
      <x:c r="H148" s="31" t="str">
        <x:v>Rebounds</x:v>
      </x:c>
      <x:c r="I148" s="31" t="str">
        <x:v>10+ rebounds</x:v>
      </x:c>
      <x:c r="J148" s="31" t="n">
        <x:v>10</x:v>
      </x:c>
      <x:c r="K148" s="31" t="n">
        <x:v>-152</x:v>
      </x:c>
      <x:c r="L148" s="31" t="n">
        <x:v>0.6031746031746031</x:v>
      </x:c>
      <x:c r="M148" s="31" t="str">
        <x:v>RESEARCH_POOL</x:v>
      </x:c>
      <x:c r="N148" s="31" t="str">
        <x:v>N</x:v>
      </x:c>
      <x:c r="O148" s="31" t="str">
        <x:v>Pending</x:v>
      </x:c>
      <x:c r="P148" s="31"/>
      <x:c r="Q148" s="31"/>
      <x:c r="R148" s="31" t="n">
        <x:v>0</x:v>
      </x:c>
      <x:c r="S148" s="31"/>
      <x:c r="T148" s="31"/>
      <x:c r="U148" s="31" t="str">
        <x:v>EXP-12: matchup/injury rebound test; Toronto depleted frontcourt and bottom-tier rebounding.</x:v>
      </x:c>
      <x:c r="V148" s="31" t="str">
        <x:v>Prefer 10+ or O9.5 at acceptable price; verify DK.</x:v>
      </x:c>
      <x:c r="W148" s="31"/>
      <x:c r="X148" s="31"/>
      <x:c r="Y148" s="31"/>
      <x:c r="Z148" s="31"/>
    </x:row>
    <x:row r="149">
      <x:c r="A149" s="31" t="str">
        <x:v>2026-08-26</x:v>
      </x:c>
      <x:c r="B149" s="31" t="str">
        <x:v>A26-D11</x:v>
      </x:c>
      <x:c r="C149" s="31" t="str">
        <x:v>DISCOVERED</x:v>
      </x:c>
      <x:c r="D149" s="31" t="str">
        <x:v>Late Slate K Scan</x:v>
      </x:c>
      <x:c r="E149" s="31" t="str">
        <x:v>MLB</x:v>
      </x:c>
      <x:c r="F149" s="31" t="str">
        <x:v>TEX @ CHW</x:v>
      </x:c>
      <x:c r="G149" s="31" t="str">
        <x:v>MacKenzie Gore</x:v>
      </x:c>
      <x:c r="H149" s="31" t="str">
        <x:v>Pitcher K Over</x:v>
      </x:c>
      <x:c r="I149" s="31" t="str">
        <x:v>Over 6.5 Ks</x:v>
      </x:c>
      <x:c r="J149" s="31" t="n">
        <x:v>6.5</x:v>
      </x:c>
      <x:c r="K149" s="31" t="n">
        <x:v>114</x:v>
      </x:c>
      <x:c r="L149" s="31" t="n">
        <x:v>0.4672897196261682</x:v>
      </x:c>
      <x:c r="M149" s="31" t="str">
        <x:v>PAPER</x:v>
      </x:c>
      <x:c r="N149" s="31" t="str">
        <x:v>N</x:v>
      </x:c>
      <x:c r="O149" s="31" t="str">
        <x:v>Pending</x:v>
      </x:c>
      <x:c r="P149" s="31"/>
      <x:c r="Q149" s="31"/>
      <x:c r="R149" s="31" t="n">
        <x:v>0</x:v>
      </x:c>
      <x:c r="S149" s="31"/>
      <x:c r="T149" s="31"/>
      <x:c r="U149" s="31" t="str">
        <x:v>EXP-02/04: recent whiff/CSW surge plus opponent K profile.</x:v>
      </x:c>
      <x:c r="V149" s="31" t="str">
        <x:v>Paper unless price is especially strong; already have real K exposure.</x:v>
      </x:c>
      <x:c r="W149" s="31"/>
      <x:c r="X149" s="31"/>
      <x:c r="Y149" s="31"/>
      <x:c r="Z149" s="31"/>
    </x:row>
    <x:row r="150">
      <x:c r="A150" s="31" t="str">
        <x:v>2026-08-26</x:v>
      </x:c>
      <x:c r="B150" s="31" t="str">
        <x:v>A26-D12</x:v>
      </x:c>
      <x:c r="C150" s="31" t="str">
        <x:v>DISCOVERED</x:v>
      </x:c>
      <x:c r="D150" s="31" t="str">
        <x:v>WNBA Game Environment Scan</x:v>
      </x:c>
      <x:c r="E150" s="31" t="str">
        <x:v>WNBA</x:v>
      </x:c>
      <x:c r="F150" s="31" t="str">
        <x:v>TOR @ SEA</x:v>
      </x:c>
      <x:c r="G150" s="31" t="str">
        <x:v>TOR/SEA</x:v>
      </x:c>
      <x:c r="H150" s="31" t="str">
        <x:v>Game Total</x:v>
      </x:c>
      <x:c r="I150" s="31" t="str">
        <x:v>Under 176.5</x:v>
      </x:c>
      <x:c r="J150" s="31" t="n">
        <x:v>176.5</x:v>
      </x:c>
      <x:c r="K150" s="31" t="n">
        <x:v>-108</x:v>
      </x:c>
      <x:c r="L150" s="31" t="n">
        <x:v>0.5192307692307693</x:v>
      </x:c>
      <x:c r="M150" s="31" t="str">
        <x:v>PAPER</x:v>
      </x:c>
      <x:c r="N150" s="31" t="str">
        <x:v>N</x:v>
      </x:c>
      <x:c r="O150" s="31" t="str">
        <x:v>Pending</x:v>
      </x:c>
      <x:c r="P150" s="31"/>
      <x:c r="Q150" s="31"/>
      <x:c r="R150" s="31" t="n">
        <x:v>0</x:v>
      </x:c>
      <x:c r="S150" s="31"/>
      <x:c r="T150" s="31"/>
      <x:c r="U150" s="31" t="str">
        <x:v>Injury-driven low-offense environment test.</x:v>
      </x:c>
      <x:c r="V150" s="31" t="str">
        <x:v>Paper comparison to Malonga prop.</x:v>
      </x:c>
      <x:c r="W150" s="31"/>
      <x:c r="X150" s="31"/>
      <x:c r="Y150" s="31"/>
      <x:c r="Z150" s="31"/>
    </x:row>
    <x:row r="151">
      <x:c r="A151" s="31" t="str">
        <x:v>2026-08-27</x:v>
      </x:c>
      <x:c r="B151" s="31" t="str">
        <x:v>A27-R01</x:v>
      </x:c>
      <x:c r="C151" s="31" t="str">
        <x:v>SOURCED</x:v>
      </x:c>
      <x:c r="D151" s="31" t="str">
        <x:v>Penguin WNBA POTD</x:v>
      </x:c>
      <x:c r="E151" s="31" t="str">
        <x:v>WNBA</x:v>
      </x:c>
      <x:c r="F151" s="31" t="str">
        <x:v>WSH @ PHX</x:v>
      </x:c>
      <x:c r="G151" s="31" t="str">
        <x:v>Alyssa Thomas</x:v>
      </x:c>
      <x:c r="H151" s="31" t="str">
        <x:v>WNBA PRA</x:v>
      </x:c>
      <x:c r="I151" s="31" t="str">
        <x:v>Over 30.5 PRA</x:v>
      </x:c>
      <x:c r="J151" s="31" t="n">
        <x:v>30.5</x:v>
      </x:c>
      <x:c r="K151" s="31" t="n">
        <x:v>-112</x:v>
      </x:c>
      <x:c r="L151" s="31" t="n">
        <x:v>0.5283018867924528</x:v>
      </x:c>
      <x:c r="M151" s="31" t="str">
        <x:v>PAPER</x:v>
      </x:c>
      <x:c r="N151" s="31" t="str">
        <x:v>N</x:v>
      </x:c>
      <x:c r="O151" s="31" t="str">
        <x:v>Loss</x:v>
      </x:c>
      <x:c r="P151" s="31" t="n">
        <x:v>0</x:v>
      </x:c>
      <x:c r="Q151" s="31" t="n">
        <x:v>22</x:v>
      </x:c>
      <x:c r="R151" s="31" t="n">
        <x:v>0</x:v>
      </x:c>
      <x:c r="S151" s="31"/>
      <x:c r="T151" s="31" t="str">
        <x:v>market-selection / market-expression miss</x:v>
      </x:c>
      <x:c r="U151" s="31" t="str">
        <x:v>High-priority source lead; compare PRA vs R+A/PA market expression.</x:v>
      </x:c>
      <x:c r="V151" s="31" t="str">
        <x:v>Thomas finished 4 PTS + 10 REB + 8 AST = 22 PRA. Assist-only expression won; broad PRA failed.</x:v>
      </x:c>
      <x:c r="W151" s="31"/>
      <x:c r="X151" s="31"/>
      <x:c r="Y151" s="31"/>
      <x:c r="Z151" s="31"/>
    </x:row>
    <x:row r="152">
      <x:c r="A152" s="31" t="str">
        <x:v>2026-08-27</x:v>
      </x:c>
      <x:c r="B152" s="31" t="str">
        <x:v>A27-R02</x:v>
      </x:c>
      <x:c r="C152" s="31" t="str">
        <x:v>SOURCED</x:v>
      </x:c>
      <x:c r="D152" s="31" t="str">
        <x:v>Source Hit Parlay</x:v>
      </x:c>
      <x:c r="E152" s="31" t="str">
        <x:v>MLB</x:v>
      </x:c>
      <x:c r="F152" s="31" t="str">
        <x:v>COL @ WSH</x:v>
      </x:c>
      <x:c r="G152" s="31" t="str">
        <x:v>Connor Norby</x:v>
      </x:c>
      <x:c r="H152" s="31" t="str">
        <x:v>1+ Hit</x:v>
      </x:c>
      <x:c r="I152" s="31" t="str">
        <x:v>1+ hit</x:v>
      </x:c>
      <x:c r="J152" s="31" t="n">
        <x:v>1</x:v>
      </x:c>
      <x:c r="K152" s="31" t="n">
        <x:v>-161</x:v>
      </x:c>
      <x:c r="L152" s="31" t="n">
        <x:v>0.6168582375478927</x:v>
      </x:c>
      <x:c r="M152" s="31" t="str">
        <x:v>RESEARCH_POOL</x:v>
      </x:c>
      <x:c r="N152" s="31" t="str">
        <x:v>N</x:v>
      </x:c>
      <x:c r="O152" s="31" t="str">
        <x:v>Pending</x:v>
      </x:c>
      <x:c r="P152" s="31"/>
      <x:c r="Q152" s="31"/>
      <x:c r="R152" s="31" t="n">
        <x:v>0</x:v>
      </x:c>
      <x:c r="S152" s="31"/>
      <x:c r="T152" s="31"/>
      <x:c r="U152" s="31" t="str">
        <x:v>Source candidate only; compare to full COL/WSH hitter universe.</x:v>
      </x:c>
      <x:c r="V152" s="31" t="str">
        <x:v>11-game hit streak entering today, but season vs RHP has been much weaker than recent run.</x:v>
      </x:c>
      <x:c r="W152" s="31"/>
      <x:c r="X152" s="31"/>
      <x:c r="Y152" s="31"/>
      <x:c r="Z152" s="31"/>
    </x:row>
    <x:row r="153">
      <x:c r="A153" s="31" t="str">
        <x:v>2026-08-27</x:v>
      </x:c>
      <x:c r="B153" s="31" t="str">
        <x:v>A27-R03</x:v>
      </x:c>
      <x:c r="C153" s="31" t="str">
        <x:v>SOURCED</x:v>
      </x:c>
      <x:c r="D153" s="31" t="str">
        <x:v>Source Hit Parlay</x:v>
      </x:c>
      <x:c r="E153" s="31" t="str">
        <x:v>MLB</x:v>
      </x:c>
      <x:c r="F153" s="31" t="str">
        <x:v>BAL @ STL</x:v>
      </x:c>
      <x:c r="G153" s="31" t="str">
        <x:v>Alec Burleson</x:v>
      </x:c>
      <x:c r="H153" s="31" t="str">
        <x:v>1+ Hit</x:v>
      </x:c>
      <x:c r="I153" s="31" t="str">
        <x:v>1+ hit</x:v>
      </x:c>
      <x:c r="J153" s="31" t="n">
        <x:v>1</x:v>
      </x:c>
      <x:c r="K153" s="31" t="n">
        <x:v>-195</x:v>
      </x:c>
      <x:c r="L153" s="31" t="n">
        <x:v>0.6610169491525424</x:v>
      </x:c>
      <x:c r="M153" s="31" t="str">
        <x:v>PAPER</x:v>
      </x:c>
      <x:c r="N153" s="31" t="str">
        <x:v>N</x:v>
      </x:c>
      <x:c r="O153" s="31" t="str">
        <x:v>Win</x:v>
      </x:c>
      <x:c r="P153" s="31" t="n">
        <x:v>1</x:v>
      </x:c>
      <x:c r="Q153" s="31" t="n">
        <x:v>2</x:v>
      </x:c>
      <x:c r="R153" s="31" t="n">
        <x:v>0</x:v>
      </x:c>
      <x:c r="S153" s="31"/>
      <x:c r="T153" s="31"/>
      <x:c r="U153" s="31" t="str">
        <x:v>Downgrade pending lineup: left-on-left matchup vs Trevor Rogers is poor.</x:v>
      </x:c>
      <x:c r="V153" s="31" t="str">
        <x:v>Burleson went 2-for-4 with 2 R and 1 RBI. Platoon downgrade reduced confidence but did not prevent the hit.</x:v>
      </x:c>
      <x:c r="W153" s="31"/>
      <x:c r="X153" s="31"/>
      <x:c r="Y153" s="31"/>
      <x:c r="Z153" s="31"/>
    </x:row>
    <x:row r="154">
      <x:c r="A154" s="31" t="str">
        <x:v>2026-08-27</x:v>
      </x:c>
      <x:c r="B154" s="31" t="str">
        <x:v>A27-R04</x:v>
      </x:c>
      <x:c r="C154" s="31" t="str">
        <x:v>SOURCED</x:v>
      </x:c>
      <x:c r="D154" s="31" t="str">
        <x:v>Source Hit Parlay</x:v>
      </x:c>
      <x:c r="E154" s="31" t="str">
        <x:v>MLB</x:v>
      </x:c>
      <x:c r="F154" s="31" t="str">
        <x:v>HOU @ NYY</x:v>
      </x:c>
      <x:c r="G154" s="31" t="str">
        <x:v>Cody Bellinger</x:v>
      </x:c>
      <x:c r="H154" s="31" t="str">
        <x:v>1+ Hit</x:v>
      </x:c>
      <x:c r="I154" s="31" t="str">
        <x:v>1+ hit</x:v>
      </x:c>
      <x:c r="J154" s="31" t="n">
        <x:v>1</x:v>
      </x:c>
      <x:c r="K154" s="31" t="n">
        <x:v>-180</x:v>
      </x:c>
      <x:c r="L154" s="31" t="n">
        <x:v>0.6428571428571429</x:v>
      </x:c>
      <x:c r="M154" s="31" t="str">
        <x:v>RESEARCH_POOL</x:v>
      </x:c>
      <x:c r="N154" s="31" t="str">
        <x:v>N</x:v>
      </x:c>
      <x:c r="O154" s="31" t="str">
        <x:v>Pending</x:v>
      </x:c>
      <x:c r="P154" s="31"/>
      <x:c r="Q154" s="31"/>
      <x:c r="R154" s="31" t="n">
        <x:v>0</x:v>
      </x:c>
      <x:c r="S154" s="31"/>
      <x:c r="T154" s="31"/>
      <x:c r="U154" s="31" t="str">
        <x:v>Reasonable contact profile but faces Gerrit Cole; compare price to full slate.</x:v>
      </x:c>
      <x:c r="V154" s="31" t="str">
        <x:v>Not an automatic glue leg at -180.</x:v>
      </x:c>
      <x:c r="W154" s="31"/>
      <x:c r="X154" s="31"/>
      <x:c r="Y154" s="31"/>
      <x:c r="Z154" s="31"/>
    </x:row>
    <x:row r="155">
      <x:c r="A155" s="31" t="str">
        <x:v>2026-08-27</x:v>
      </x:c>
      <x:c r="B155" s="31" t="str">
        <x:v>A27-R05</x:v>
      </x:c>
      <x:c r="C155" s="31" t="str">
        <x:v>SOURCED</x:v>
      </x:c>
      <x:c r="D155" s="31" t="str">
        <x:v>Hitter Spotlight</x:v>
      </x:c>
      <x:c r="E155" s="31" t="str">
        <x:v>MLB</x:v>
      </x:c>
      <x:c r="F155" s="31" t="str">
        <x:v>ARI @ SF</x:v>
      </x:c>
      <x:c r="G155" s="31" t="str">
        <x:v>Nolan Arenado</x:v>
      </x:c>
      <x:c r="H155" s="31" t="str">
        <x:v>Hitter Signal</x:v>
      </x:c>
      <x:c r="I155" s="31" t="str">
        <x:v>Evaluate hit / HRR / TB</x:v>
      </x:c>
      <x:c r="J155" s="31"/>
      <x:c r="K155" s="31"/>
      <x:c r="L155" s="31"/>
      <x:c r="M155" s="31" t="str">
        <x:v>RESEARCH_POOL</x:v>
      </x:c>
      <x:c r="N155" s="31" t="str">
        <x:v>N</x:v>
      </x:c>
      <x:c r="O155" s="31" t="str">
        <x:v>Pending</x:v>
      </x:c>
      <x:c r="P155" s="31"/>
      <x:c r="Q155" s="31"/>
      <x:c r="R155" s="31" t="n">
        <x:v>0</x:v>
      </x:c>
      <x:c r="S155" s="31"/>
      <x:c r="T155" s="31"/>
      <x:c r="U155" s="31" t="str">
        <x:v>BvP lead only; 11 AB sample receives low model weight.</x:v>
      </x:c>
      <x:c r="V155" s="31" t="str">
        <x:v>Source: 5-for-11, 3 XBH, .455 AVG/.455 OBP/1.182 OPS vs Landen Roupp.</x:v>
      </x:c>
      <x:c r="W155" s="31"/>
      <x:c r="X155" s="31"/>
      <x:c r="Y155" s="31"/>
      <x:c r="Z155" s="31"/>
    </x:row>
    <x:row r="156">
      <x:c r="A156" s="31" t="str">
        <x:v>2026-08-27</x:v>
      </x:c>
      <x:c r="B156" s="31" t="str">
        <x:v>A27-R06</x:v>
      </x:c>
      <x:c r="C156" s="31" t="str">
        <x:v>SOURCED</x:v>
      </x:c>
      <x:c r="D156" s="31" t="str">
        <x:v>Toad HR Projections</x:v>
      </x:c>
      <x:c r="E156" s="31" t="str">
        <x:v>MLB</x:v>
      </x:c>
      <x:c r="F156" s="31" t="str">
        <x:v>COL @ WSH</x:v>
      </x:c>
      <x:c r="G156" s="31" t="str">
        <x:v>CJ Abrams</x:v>
      </x:c>
      <x:c r="H156" s="31" t="str">
        <x:v>HR</x:v>
      </x:c>
      <x:c r="I156" s="31" t="str">
        <x:v>HR</x:v>
      </x:c>
      <x:c r="J156" s="31" t="n">
        <x:v>1</x:v>
      </x:c>
      <x:c r="K156" s="31" t="n">
        <x:v>345</x:v>
      </x:c>
      <x:c r="L156" s="31" t="n">
        <x:v>0.2247191011235955</x:v>
      </x:c>
      <x:c r="M156" s="31" t="str">
        <x:v>PAPER</x:v>
      </x:c>
      <x:c r="N156" s="31" t="str">
        <x:v>N</x:v>
      </x:c>
      <x:c r="O156" s="31" t="str">
        <x:v>Loss</x:v>
      </x:c>
      <x:c r="P156" s="31" t="n">
        <x:v>0</x:v>
      </x:c>
      <x:c r="Q156" s="31" t="n">
        <x:v>0</x:v>
      </x:c>
      <x:c r="R156" s="31" t="n">
        <x:v>0</x:v>
      </x:c>
      <x:c r="S156" s="31"/>
      <x:c r="T156" s="31" t="str">
        <x:v>normal variance / HR</x:v>
      </x:c>
      <x:c r="U156" s="31" t="str">
        <x:v>HR model 26.1%; strong model-price gap if current DK price holds.</x:v>
      </x:c>
      <x:c r="V156" s="31" t="str">
        <x:v>Abrams did not homer; Washington homers came from Daylen Lile and Keibert Ruiz.</x:v>
      </x:c>
      <x:c r="W156" s="31"/>
      <x:c r="X156" s="31"/>
      <x:c r="Y156" s="31"/>
      <x:c r="Z156" s="31"/>
    </x:row>
    <x:row r="157">
      <x:c r="A157" s="31" t="str">
        <x:v>2026-08-27</x:v>
      </x:c>
      <x:c r="B157" s="31" t="str">
        <x:v>A27-R07</x:v>
      </x:c>
      <x:c r="C157" s="31" t="str">
        <x:v>SOURCED</x:v>
      </x:c>
      <x:c r="D157" s="31" t="str">
        <x:v>Toad HR Projections</x:v>
      </x:c>
      <x:c r="E157" s="31" t="str">
        <x:v>MLB</x:v>
      </x:c>
      <x:c r="F157" s="31" t="str">
        <x:v>TBD</x:v>
      </x:c>
      <x:c r="G157" s="31" t="str">
        <x:v>Rafael Devers</x:v>
      </x:c>
      <x:c r="H157" s="31" t="str">
        <x:v>HR</x:v>
      </x:c>
      <x:c r="I157" s="31" t="str">
        <x:v>HR</x:v>
      </x:c>
      <x:c r="J157" s="31" t="n">
        <x:v>1</x:v>
      </x:c>
      <x:c r="K157" s="31" t="n">
        <x:v>400</x:v>
      </x:c>
      <x:c r="L157" s="31" t="n">
        <x:v>0.2</x:v>
      </x:c>
      <x:c r="M157" s="31" t="str">
        <x:v>RESEARCH_POOL</x:v>
      </x:c>
      <x:c r="N157" s="31" t="str">
        <x:v>N</x:v>
      </x:c>
      <x:c r="O157" s="31" t="str">
        <x:v>Pending</x:v>
      </x:c>
      <x:c r="P157" s="31"/>
      <x:c r="Q157" s="31"/>
      <x:c r="R157" s="31" t="n">
        <x:v>0</x:v>
      </x:c>
      <x:c r="S157" s="31"/>
      <x:c r="T157" s="31"/>
      <x:c r="U157" s="31" t="str">
        <x:v>HR model 25.8%; source price FanDuel, not necessarily DK.</x:v>
      </x:c>
      <x:c r="V157" s="31" t="str">
        <x:v>Model fair odds approx +288.</x:v>
      </x:c>
      <x:c r="W157" s="31"/>
      <x:c r="X157" s="31"/>
      <x:c r="Y157" s="31"/>
      <x:c r="Z157" s="31"/>
    </x:row>
    <x:row r="158">
      <x:c r="A158" s="31" t="str">
        <x:v>2026-08-27</x:v>
      </x:c>
      <x:c r="B158" s="31" t="str">
        <x:v>A27-R08</x:v>
      </x:c>
      <x:c r="C158" s="31" t="str">
        <x:v>SOURCED</x:v>
      </x:c>
      <x:c r="D158" s="31" t="str">
        <x:v>Toad HR Projections</x:v>
      </x:c>
      <x:c r="E158" s="31" t="str">
        <x:v>MLB</x:v>
      </x:c>
      <x:c r="F158" s="31" t="str">
        <x:v>LAD @ ATL</x:v>
      </x:c>
      <x:c r="G158" s="31" t="str">
        <x:v>Shohei Ohtani</x:v>
      </x:c>
      <x:c r="H158" s="31" t="str">
        <x:v>HR</x:v>
      </x:c>
      <x:c r="I158" s="31" t="str">
        <x:v>HR</x:v>
      </x:c>
      <x:c r="J158" s="31" t="n">
        <x:v>1</x:v>
      </x:c>
      <x:c r="K158" s="31" t="n">
        <x:v>439</x:v>
      </x:c>
      <x:c r="L158" s="31" t="n">
        <x:v>0.18552875695732837</x:v>
      </x:c>
      <x:c r="M158" s="31" t="str">
        <x:v>PAPER</x:v>
      </x:c>
      <x:c r="N158" s="31" t="str">
        <x:v>N</x:v>
      </x:c>
      <x:c r="O158" s="31" t="str">
        <x:v>Loss</x:v>
      </x:c>
      <x:c r="P158" s="31" t="n">
        <x:v>0</x:v>
      </x:c>
      <x:c r="Q158" s="31" t="n">
        <x:v>0</x:v>
      </x:c>
      <x:c r="R158" s="31" t="n">
        <x:v>0</x:v>
      </x:c>
      <x:c r="S158" s="31"/>
      <x:c r="T158" s="31" t="str">
        <x:v>normal variance / HR</x:v>
      </x:c>
      <x:c r="U158" s="31" t="str">
        <x:v>HR model 23.0%; large model-price gap if +439 remains.</x:v>
      </x:c>
      <x:c r="V158" s="31" t="str">
        <x:v>Ohtani did not homer in Atlanta's 1-0 win; Chris Sale threw a complete-game shutout.</x:v>
      </x:c>
      <x:c r="W158" s="31"/>
      <x:c r="X158" s="31"/>
      <x:c r="Y158" s="31"/>
      <x:c r="Z158" s="31"/>
    </x:row>
    <x:row r="159">
      <x:c r="A159" s="31" t="str">
        <x:v>2026-08-27</x:v>
      </x:c>
      <x:c r="B159" s="31" t="str">
        <x:v>A27-R09</x:v>
      </x:c>
      <x:c r="C159" s="31" t="str">
        <x:v>SOURCED</x:v>
      </x:c>
      <x:c r="D159" s="31" t="str">
        <x:v>Toad HR Projections</x:v>
      </x:c>
      <x:c r="E159" s="31" t="str">
        <x:v>MLB</x:v>
      </x:c>
      <x:c r="F159" s="31" t="str">
        <x:v>TBD</x:v>
      </x:c>
      <x:c r="G159" s="31" t="str">
        <x:v>Mickey Moniak</x:v>
      </x:c>
      <x:c r="H159" s="31" t="str">
        <x:v>HR</x:v>
      </x:c>
      <x:c r="I159" s="31" t="str">
        <x:v>HR</x:v>
      </x:c>
      <x:c r="J159" s="31" t="n">
        <x:v>1</x:v>
      </x:c>
      <x:c r="K159" s="31" t="n">
        <x:v>318</x:v>
      </x:c>
      <x:c r="L159" s="31" t="n">
        <x:v>0.23923444976076555</x:v>
      </x:c>
      <x:c r="M159" s="31" t="str">
        <x:v>RESEARCH_POOL</x:v>
      </x:c>
      <x:c r="N159" s="31" t="str">
        <x:v>N</x:v>
      </x:c>
      <x:c r="O159" s="31" t="str">
        <x:v>Pending</x:v>
      </x:c>
      <x:c r="P159" s="31"/>
      <x:c r="Q159" s="31"/>
      <x:c r="R159" s="31" t="n">
        <x:v>0</x:v>
      </x:c>
      <x:c r="S159" s="31"/>
      <x:c r="T159" s="31"/>
      <x:c r="U159" s="31" t="str">
        <x:v>HR model 21.1%; source price appears shorter than model fair.</x:v>
      </x:c>
      <x:c r="V159" s="31" t="str">
        <x:v>Model fair odds approx +374; not attractive on model price alone.</x:v>
      </x:c>
      <x:c r="W159" s="31"/>
      <x:c r="X159" s="31"/>
      <x:c r="Y159" s="31"/>
      <x:c r="Z159" s="31"/>
    </x:row>
    <x:row r="160">
      <x:c r="A160" s="31" t="str">
        <x:v>2026-08-27</x:v>
      </x:c>
      <x:c r="B160" s="31" t="str">
        <x:v>A27-R10</x:v>
      </x:c>
      <x:c r="C160" s="31" t="str">
        <x:v>SOURCED</x:v>
      </x:c>
      <x:c r="D160" s="31" t="str">
        <x:v>Toad HR Projections</x:v>
      </x:c>
      <x:c r="E160" s="31" t="str">
        <x:v>MLB</x:v>
      </x:c>
      <x:c r="F160" s="31" t="str">
        <x:v>LAD @ ATL</x:v>
      </x:c>
      <x:c r="G160" s="31" t="str">
        <x:v>Matt Olson</x:v>
      </x:c>
      <x:c r="H160" s="31" t="str">
        <x:v>HR</x:v>
      </x:c>
      <x:c r="I160" s="31" t="str">
        <x:v>HR</x:v>
      </x:c>
      <x:c r="J160" s="31" t="n">
        <x:v>1</x:v>
      </x:c>
      <x:c r="K160" s="31" t="n">
        <x:v>440</x:v>
      </x:c>
      <x:c r="L160" s="31" t="n">
        <x:v>0.18518518518518517</x:v>
      </x:c>
      <x:c r="M160" s="31" t="str">
        <x:v>RESEARCH_POOL</x:v>
      </x:c>
      <x:c r="N160" s="31" t="str">
        <x:v>N</x:v>
      </x:c>
      <x:c r="O160" s="31" t="str">
        <x:v>Pending</x:v>
      </x:c>
      <x:c r="P160" s="31"/>
      <x:c r="Q160" s="31"/>
      <x:c r="R160" s="31" t="n">
        <x:v>0</x:v>
      </x:c>
      <x:c r="S160" s="31"/>
      <x:c r="T160" s="31"/>
      <x:c r="U160" s="31" t="str">
        <x:v>HR model 20.3%; modest model-price gap.</x:v>
      </x:c>
      <x:c r="V160" s="31" t="str">
        <x:v>Model fair odds approx +393.</x:v>
      </x:c>
      <x:c r="W160" s="31"/>
      <x:c r="X160" s="31"/>
      <x:c r="Y160" s="31"/>
      <x:c r="Z160" s="31"/>
    </x:row>
    <x:row r="161">
      <x:c r="A161" s="31" t="str">
        <x:v>2026-08-27</x:v>
      </x:c>
      <x:c r="B161" s="31" t="str">
        <x:v>A27-R11</x:v>
      </x:c>
      <x:c r="C161" s="31" t="str">
        <x:v>SOURCED</x:v>
      </x:c>
      <x:c r="D161" s="31" t="str">
        <x:v>Toad HR Projections</x:v>
      </x:c>
      <x:c r="E161" s="31" t="str">
        <x:v>MLB</x:v>
      </x:c>
      <x:c r="F161" s="31" t="str">
        <x:v>TBD</x:v>
      </x:c>
      <x:c r="G161" s="31" t="str">
        <x:v>Jac Caglianone</x:v>
      </x:c>
      <x:c r="H161" s="31" t="str">
        <x:v>HR</x:v>
      </x:c>
      <x:c r="I161" s="31" t="str">
        <x:v>HR</x:v>
      </x:c>
      <x:c r="J161" s="31" t="n">
        <x:v>1</x:v>
      </x:c>
      <x:c r="K161" s="31" t="n">
        <x:v>350</x:v>
      </x:c>
      <x:c r="L161" s="31" t="n">
        <x:v>0.2222222222222222</x:v>
      </x:c>
      <x:c r="M161" s="31" t="str">
        <x:v>PAPER</x:v>
      </x:c>
      <x:c r="N161" s="31" t="str">
        <x:v>N</x:v>
      </x:c>
      <x:c r="O161" s="31" t="str">
        <x:v>Win</x:v>
      </x:c>
      <x:c r="P161" s="31" t="n">
        <x:v>1</x:v>
      </x:c>
      <x:c r="Q161" s="31" t="n">
        <x:v>1</x:v>
      </x:c>
      <x:c r="R161" s="31" t="n">
        <x:v>0</x:v>
      </x:c>
      <x:c r="S161" s="31"/>
      <x:c r="T161" s="31"/>
      <x:c r="U161" s="31" t="str">
        <x:v>HR model 20.8%; source price FanDuel and shorter than model fair.</x:v>
      </x:c>
      <x:c r="V161" s="31" t="str">
        <x:v>Caglianone homered and went 5-for-6 with 3 R and 6 RBI. HR paper arm won; real HRR expression also won.</x:v>
      </x:c>
      <x:c r="W161" s="31"/>
      <x:c r="X161" s="31"/>
      <x:c r="Y161" s="31"/>
      <x:c r="Z161" s="31"/>
    </x:row>
    <x:row r="162">
      <x:c r="A162" s="31" t="str">
        <x:v>2026-08-27</x:v>
      </x:c>
      <x:c r="B162" s="31" t="str">
        <x:v>A27-R12</x:v>
      </x:c>
      <x:c r="C162" s="31" t="str">
        <x:v>SOURCED</x:v>
      </x:c>
      <x:c r="D162" s="31" t="str">
        <x:v>Toad HR Projections</x:v>
      </x:c>
      <x:c r="E162" s="31" t="str">
        <x:v>MLB</x:v>
      </x:c>
      <x:c r="F162" s="31" t="str">
        <x:v>BAL @ STL</x:v>
      </x:c>
      <x:c r="G162" s="31" t="str">
        <x:v>Alec Burleson</x:v>
      </x:c>
      <x:c r="H162" s="31" t="str">
        <x:v>HR</x:v>
      </x:c>
      <x:c r="I162" s="31" t="str">
        <x:v>HR</x:v>
      </x:c>
      <x:c r="J162" s="31" t="n">
        <x:v>1</x:v>
      </x:c>
      <x:c r="K162" s="31" t="n">
        <x:v>480</x:v>
      </x:c>
      <x:c r="L162" s="31" t="n">
        <x:v>0.1724137931034483</x:v>
      </x:c>
      <x:c r="M162" s="31" t="str">
        <x:v>RESEARCH_POOL</x:v>
      </x:c>
      <x:c r="N162" s="31" t="str">
        <x:v>N</x:v>
      </x:c>
      <x:c r="O162" s="31" t="str">
        <x:v>Pending</x:v>
      </x:c>
      <x:c r="P162" s="31"/>
      <x:c r="Q162" s="31"/>
      <x:c r="R162" s="31" t="n">
        <x:v>0</x:v>
      </x:c>
      <x:c r="S162" s="31"/>
      <x:c r="T162" s="31"/>
      <x:c r="U162" s="31" t="str">
        <x:v>HR model 18.9%, but platoon matchup vs LHP is a meaningful negative.</x:v>
      </x:c>
      <x:c r="V162" s="31" t="str">
        <x:v>Model fair odds approx +429 before platoon downgrade.</x:v>
      </x:c>
      <x:c r="W162" s="31"/>
      <x:c r="X162" s="31"/>
      <x:c r="Y162" s="31"/>
      <x:c r="Z162" s="31"/>
    </x:row>
    <x:row r="163">
      <x:c r="A163" s="31" t="str">
        <x:v>2026-08-27</x:v>
      </x:c>
      <x:c r="B163" s="31" t="str">
        <x:v>A27-R13</x:v>
      </x:c>
      <x:c r="C163" s="31" t="str">
        <x:v>SOURCED</x:v>
      </x:c>
      <x:c r="D163" s="31" t="str">
        <x:v>Toad HR Projections</x:v>
      </x:c>
      <x:c r="E163" s="31" t="str">
        <x:v>MLB</x:v>
      </x:c>
      <x:c r="F163" s="31" t="str">
        <x:v>HOU @ NYY</x:v>
      </x:c>
      <x:c r="G163" s="31" t="str">
        <x:v>Jeremy Peña</x:v>
      </x:c>
      <x:c r="H163" s="31" t="str">
        <x:v>HR</x:v>
      </x:c>
      <x:c r="I163" s="31" t="str">
        <x:v>HR</x:v>
      </x:c>
      <x:c r="J163" s="31" t="n">
        <x:v>1</x:v>
      </x:c>
      <x:c r="K163" s="31" t="n">
        <x:v>591</x:v>
      </x:c>
      <x:c r="L163" s="31" t="n">
        <x:v>0.1447178002894356</x:v>
      </x:c>
      <x:c r="M163" s="31" t="str">
        <x:v>PAPER</x:v>
      </x:c>
      <x:c r="N163" s="31" t="str">
        <x:v>N</x:v>
      </x:c>
      <x:c r="O163" s="31" t="str">
        <x:v>Win</x:v>
      </x:c>
      <x:c r="P163" s="31" t="n">
        <x:v>1</x:v>
      </x:c>
      <x:c r="Q163" s="31" t="n">
        <x:v>1</x:v>
      </x:c>
      <x:c r="R163" s="31" t="n">
        <x:v>0</x:v>
      </x:c>
      <x:c r="S163" s="31"/>
      <x:c r="T163" s="31"/>
      <x:c r="U163" s="31" t="str">
        <x:v>HR model 18.1%; very large model-price gap if current DK price holds.</x:v>
      </x:c>
      <x:c r="V163" s="31" t="str">
        <x:v>Peña homered in Houston's 5-1 win. Important source-model win despite our matchup downgrade versus Cole.</x:v>
      </x:c>
      <x:c r="W163" s="31"/>
      <x:c r="X163" s="31"/>
      <x:c r="Y163" s="31"/>
      <x:c r="Z163" s="31"/>
    </x:row>
    <x:row r="164">
      <x:c r="A164" s="31" t="str">
        <x:v>2026-08-27</x:v>
      </x:c>
      <x:c r="B164" s="31" t="str">
        <x:v>A27-R14</x:v>
      </x:c>
      <x:c r="C164" s="31" t="str">
        <x:v>SOURCED</x:v>
      </x:c>
      <x:c r="D164" s="31" t="str">
        <x:v>Toad HR Projections</x:v>
      </x:c>
      <x:c r="E164" s="31" t="str">
        <x:v>MLB</x:v>
      </x:c>
      <x:c r="F164" s="31" t="str">
        <x:v>KC @ TOR</x:v>
      </x:c>
      <x:c r="G164" s="31" t="str">
        <x:v>Kazuma Okamoto</x:v>
      </x:c>
      <x:c r="H164" s="31" t="str">
        <x:v>HR</x:v>
      </x:c>
      <x:c r="I164" s="31" t="str">
        <x:v>HR</x:v>
      </x:c>
      <x:c r="J164" s="31" t="n">
        <x:v>1</x:v>
      </x:c>
      <x:c r="K164" s="31" t="n">
        <x:v>453</x:v>
      </x:c>
      <x:c r="L164" s="31" t="n">
        <x:v>0.18083182640144665</x:v>
      </x:c>
      <x:c r="M164" s="31" t="str">
        <x:v>RESEARCH_POOL</x:v>
      </x:c>
      <x:c r="N164" s="31" t="str">
        <x:v>N</x:v>
      </x:c>
      <x:c r="O164" s="31" t="str">
        <x:v>Pending</x:v>
      </x:c>
      <x:c r="P164" s="31"/>
      <x:c r="Q164" s="31"/>
      <x:c r="R164" s="31" t="n">
        <x:v>0</x:v>
      </x:c>
      <x:c r="S164" s="31"/>
      <x:c r="T164" s="31"/>
      <x:c r="U164" s="31" t="str">
        <x:v>HR model 18.1%; price essentially at model fair.</x:v>
      </x:c>
      <x:c r="V164" s="31" t="str">
        <x:v>Model fair odds approx +452.</x:v>
      </x:c>
      <x:c r="W164" s="31"/>
      <x:c r="X164" s="31"/>
      <x:c r="Y164" s="31"/>
      <x:c r="Z164" s="31"/>
    </x:row>
    <x:row r="165">
      <x:c r="A165" s="31" t="str">
        <x:v>2026-08-27</x:v>
      </x:c>
      <x:c r="B165" s="31" t="str">
        <x:v>A27-R15</x:v>
      </x:c>
      <x:c r="C165" s="31" t="str">
        <x:v>SOURCED</x:v>
      </x:c>
      <x:c r="D165" s="31" t="str">
        <x:v>Toad HR Projections</x:v>
      </x:c>
      <x:c r="E165" s="31" t="str">
        <x:v>MLB</x:v>
      </x:c>
      <x:c r="F165" s="31" t="str">
        <x:v>MIL @ NYM</x:v>
      </x:c>
      <x:c r="G165" s="31" t="str">
        <x:v>Jackson Chourio</x:v>
      </x:c>
      <x:c r="H165" s="31" t="str">
        <x:v>HR</x:v>
      </x:c>
      <x:c r="I165" s="31" t="str">
        <x:v>HR</x:v>
      </x:c>
      <x:c r="J165" s="31" t="n">
        <x:v>1</x:v>
      </x:c>
      <x:c r="K165" s="31" t="n">
        <x:v>413</x:v>
      </x:c>
      <x:c r="L165" s="31" t="n">
        <x:v>0.1949317738791423</x:v>
      </x:c>
      <x:c r="M165" s="31" t="str">
        <x:v>RESEARCH_POOL</x:v>
      </x:c>
      <x:c r="N165" s="31" t="str">
        <x:v>N</x:v>
      </x:c>
      <x:c r="O165" s="31" t="str">
        <x:v>Pending</x:v>
      </x:c>
      <x:c r="P165" s="31"/>
      <x:c r="Q165" s="31"/>
      <x:c r="R165" s="31" t="n">
        <x:v>0</x:v>
      </x:c>
      <x:c r="S165" s="31"/>
      <x:c r="T165" s="31"/>
      <x:c r="U165" s="31" t="str">
        <x:v>HR model 17.4%; current source price is shorter than model fair.</x:v>
      </x:c>
      <x:c r="V165" s="31" t="str">
        <x:v>Model fair odds approx +475.</x:v>
      </x:c>
      <x:c r="W165" s="31"/>
      <x:c r="X165" s="31"/>
      <x:c r="Y165" s="31"/>
      <x:c r="Z165" s="31"/>
    </x:row>
    <x:row r="166">
      <x:c r="A166" s="31" t="str">
        <x:v>2026-08-27</x:v>
      </x:c>
      <x:c r="B166" s="31" t="str">
        <x:v>A27-R16</x:v>
      </x:c>
      <x:c r="C166" s="31" t="str">
        <x:v>SOURCED</x:v>
      </x:c>
      <x:c r="D166" s="31" t="str">
        <x:v>User F5 Look</x:v>
      </x:c>
      <x:c r="E166" s="31" t="str">
        <x:v>MLB</x:v>
      </x:c>
      <x:c r="F166" s="31" t="str">
        <x:v>COL @ WSH</x:v>
      </x:c>
      <x:c r="G166" s="31" t="str">
        <x:v>COL/WSH</x:v>
      </x:c>
      <x:c r="H166" s="31" t="str">
        <x:v>F5 Team Runs</x:v>
      </x:c>
      <x:c r="I166" s="31" t="str">
        <x:v>Both teams 2+ runs F5</x:v>
      </x:c>
      <x:c r="J166" s="31" t="n">
        <x:v>2</x:v>
      </x:c>
      <x:c r="K166" s="31"/>
      <x:c r="L166" s="31"/>
      <x:c r="M166" s="31" t="str">
        <x:v>PAPER</x:v>
      </x:c>
      <x:c r="N166" s="31" t="str">
        <x:v>N</x:v>
      </x:c>
      <x:c r="O166" s="31" t="str">
        <x:v>Loss</x:v>
      </x:c>
      <x:c r="P166" s="31" t="n">
        <x:v>0</x:v>
      </x:c>
      <x:c r="Q166" s="31" t="n">
        <x:v>1</x:v>
      </x:c>
      <x:c r="R166" s="31" t="n">
        <x:v>0</x:v>
      </x:c>
      <x:c r="S166" s="31"/>
      <x:c r="T166" s="31" t="str">
        <x:v>market-selection / market-expression miss</x:v>
      </x:c>
      <x:c r="U166" s="31" t="str">
        <x:v>High-scoring environment, but each-team condition is structurally fragile; compare F5 over/team totals.</x:v>
      </x:c>
      <x:c r="V166" s="31" t="str">
        <x:v>F5 score was COL 1, WSH 4. Restrictive both-teams-2+ condition failed while F5 O4.5 won at exactly 5.</x:v>
      </x:c>
      <x:c r="W166" s="31"/>
      <x:c r="X166" s="31"/>
      <x:c r="Y166" s="31"/>
      <x:c r="Z166" s="31"/>
    </x:row>
    <x:row r="167">
      <x:c r="A167" s="31" t="str">
        <x:v>2026-08-27</x:v>
      </x:c>
      <x:c r="B167" s="31" t="str">
        <x:v>A27-D01</x:v>
      </x:c>
      <x:c r="C167" s="31" t="str">
        <x:v>DISCOVERED</x:v>
      </x:c>
      <x:c r="D167" s="31" t="str">
        <x:v>Independent Full-Slate Scan</x:v>
      </x:c>
      <x:c r="E167" s="31" t="str">
        <x:v>MLB</x:v>
      </x:c>
      <x:c r="F167" s="31" t="str">
        <x:v>COL @ WSH</x:v>
      </x:c>
      <x:c r="G167" s="31" t="str">
        <x:v>Hunter Goodman</x:v>
      </x:c>
      <x:c r="H167" s="31" t="str">
        <x:v>HR</x:v>
      </x:c>
      <x:c r="I167" s="31" t="str">
        <x:v>HR</x:v>
      </x:c>
      <x:c r="J167" s="31" t="n">
        <x:v>1</x:v>
      </x:c>
      <x:c r="K167" s="31" t="n">
        <x:v>256</x:v>
      </x:c>
      <x:c r="L167" s="31" t="n">
        <x:v>0.2808988764044944</x:v>
      </x:c>
      <x:c r="M167" s="31" t="str">
        <x:v>PAPER</x:v>
      </x:c>
      <x:c r="N167" s="31" t="str">
        <x:v>N</x:v>
      </x:c>
      <x:c r="O167" s="31" t="str">
        <x:v>Loss</x:v>
      </x:c>
      <x:c r="P167" s="31" t="n">
        <x:v>0</x:v>
      </x:c>
      <x:c r="Q167" s="31" t="n">
        <x:v>0</x:v>
      </x:c>
      <x:c r="R167" s="31" t="n">
        <x:v>0</x:v>
      </x:c>
      <x:c r="S167" s="31"/>
      <x:c r="T167" s="31" t="str">
        <x:v>normal variance / HR</x:v>
      </x:c>
      <x:c r="U167" s="31" t="str">
        <x:v>Independent add outside HR board; strong power matchup vs Jake Irvin.</x:v>
      </x:c>
      <x:c r="V167" s="31" t="str">
        <x:v>Goodman did not homer in COL's 7-1 loss.</x:v>
      </x:c>
      <x:c r="W167" s="31"/>
      <x:c r="X167" s="31"/>
      <x:c r="Y167" s="31"/>
      <x:c r="Z167" s="31"/>
    </x:row>
    <x:row r="168">
      <x:c r="A168" s="31" t="str">
        <x:v>2026-08-27</x:v>
      </x:c>
      <x:c r="B168" s="31" t="str">
        <x:v>A27-D02</x:v>
      </x:c>
      <x:c r="C168" s="31" t="str">
        <x:v>DISCOVERED</x:v>
      </x:c>
      <x:c r="D168" s="31" t="str">
        <x:v>Independent Workload Scan</x:v>
      </x:c>
      <x:c r="E168" s="31" t="str">
        <x:v>MLB</x:v>
      </x:c>
      <x:c r="F168" s="31" t="str">
        <x:v>COL @ WSH</x:v>
      </x:c>
      <x:c r="G168" s="31" t="str">
        <x:v>Gabriel Hughes</x:v>
      </x:c>
      <x:c r="H168" s="31" t="str">
        <x:v>Pitcher Outs</x:v>
      </x:c>
      <x:c r="I168" s="31" t="str">
        <x:v>Under 15.5 outs</x:v>
      </x:c>
      <x:c r="J168" s="31" t="n">
        <x:v>15.5</x:v>
      </x:c>
      <x:c r="K168" s="31" t="n">
        <x:v>-125</x:v>
      </x:c>
      <x:c r="L168" s="31" t="n">
        <x:v>0.5555555555555556</x:v>
      </x:c>
      <x:c r="M168" s="31" t="str">
        <x:v>BET</x:v>
      </x:c>
      <x:c r="N168" s="31" t="str">
        <x:v>Y</x:v>
      </x:c>
      <x:c r="O168" s="31" t="str">
        <x:v>Win</x:v>
      </x:c>
      <x:c r="P168" s="31" t="n">
        <x:v>1</x:v>
      </x:c>
      <x:c r="Q168" s="31" t="n">
        <x:v>15</x:v>
      </x:c>
      <x:c r="R168" s="31" t="n">
        <x:v>1</x:v>
      </x:c>
      <x:c r="S168" s="31" t="str">
        <x:v>A27-T01</x:v>
      </x:c>
      <x:c r="T168" s="31"/>
      <x:c r="U168" s="31" t="str">
        <x:v>Real-money outs under placed after independent workload/quality scan.</x:v>
      </x:c>
      <x:c r="V168" s="31" t="str">
        <x:v>Hughes worked exactly 5.0 IP / 15 outs on 95 pitches. Under won by one out; supports five-inning ceiling/pitch-cost thesis, not an early-hook claim.</x:v>
      </x:c>
      <x:c r="W168" s="31"/>
      <x:c r="X168" s="31"/>
      <x:c r="Y168" s="31"/>
      <x:c r="Z168" s="31"/>
    </x:row>
    <x:row r="169">
      <x:c r="A169" s="31" t="str">
        <x:v>2026-08-27</x:v>
      </x:c>
      <x:c r="B169" s="31" t="str">
        <x:v>A27-D03</x:v>
      </x:c>
      <x:c r="C169" s="31" t="str">
        <x:v>DISCOVERED</x:v>
      </x:c>
      <x:c r="D169" s="31" t="str">
        <x:v>Independent Matchup Scan</x:v>
      </x:c>
      <x:c r="E169" s="31" t="str">
        <x:v>MLB</x:v>
      </x:c>
      <x:c r="F169" s="31" t="str">
        <x:v>BAL @ STL</x:v>
      </x:c>
      <x:c r="G169" s="31" t="str">
        <x:v>Jordan Walker</x:v>
      </x:c>
      <x:c r="H169" s="31" t="str">
        <x:v>Hitter Signal</x:v>
      </x:c>
      <x:c r="I169" s="31" t="str">
        <x:v>Evaluate hit / HRR / TB</x:v>
      </x:c>
      <x:c r="J169" s="31"/>
      <x:c r="K169" s="31"/>
      <x:c r="L169" s="31"/>
      <x:c r="M169" s="31" t="str">
        <x:v>RESEARCH_POOL</x:v>
      </x:c>
      <x:c r="N169" s="31" t="str">
        <x:v>N</x:v>
      </x:c>
      <x:c r="O169" s="31" t="str">
        <x:v>Pending</x:v>
      </x:c>
      <x:c r="P169" s="31"/>
      <x:c r="Q169" s="31"/>
      <x:c r="R169" s="31" t="n">
        <x:v>0</x:v>
      </x:c>
      <x:c r="S169" s="31"/>
      <x:c r="T169" s="31"/>
      <x:c r="U169" s="31" t="str">
        <x:v>Independent replacement candidate over Burleson vs LHP Trevor Rogers.</x:v>
      </x:c>
      <x:c r="V169" s="31" t="str">
        <x:v>Walker .286/.375/.541 vs LHP in 2026; Rogers has allowed .275 AVG/.444 SLG to RHB vs .178/.273 to LHB.</x:v>
      </x:c>
      <x:c r="W169" s="31"/>
      <x:c r="X169" s="31"/>
      <x:c r="Y169" s="31"/>
      <x:c r="Z169" s="31"/>
    </x:row>
    <x:row r="170">
      <x:c r="A170" s="31" t="str">
        <x:v>2026-08-27</x:v>
      </x:c>
      <x:c r="B170" s="31" t="str">
        <x:v>A27-R17</x:v>
      </x:c>
      <x:c r="C170" s="31" t="str">
        <x:v>SOURCED</x:v>
      </x:c>
      <x:c r="D170" s="31" t="str">
        <x:v>Penguin La Liga POTD</x:v>
      </x:c>
      <x:c r="E170" s="31" t="str">
        <x:v>Soccer</x:v>
      </x:c>
      <x:c r="F170" s="31" t="str">
        <x:v>BAR vs ATH</x:v>
      </x:c>
      <x:c r="G170" s="31" t="str">
        <x:v>Barcelona</x:v>
      </x:c>
      <x:c r="H170" s="31" t="str">
        <x:v>Team Shots on Target</x:v>
      </x:c>
      <x:c r="I170" s="31" t="str">
        <x:v>7+ team SOT</x:v>
      </x:c>
      <x:c r="J170" s="31" t="n">
        <x:v>7</x:v>
      </x:c>
      <x:c r="K170" s="31" t="n">
        <x:v>-125</x:v>
      </x:c>
      <x:c r="L170" s="31" t="n">
        <x:v>0.5555555555555556</x:v>
      </x:c>
      <x:c r="M170" s="31" t="str">
        <x:v>PAPER</x:v>
      </x:c>
      <x:c r="N170" s="31" t="str">
        <x:v>N</x:v>
      </x:c>
      <x:c r="O170" s="31" t="str">
        <x:v>Win</x:v>
      </x:c>
      <x:c r="P170" s="31" t="n">
        <x:v>1</x:v>
      </x:c>
      <x:c r="Q170" s="31" t="n">
        <x:v>10</x:v>
      </x:c>
      <x:c r="R170" s="31" t="n">
        <x:v>0</x:v>
      </x:c>
      <x:c r="S170" s="31"/>
      <x:c r="T170" s="31"/>
      <x:c r="U170" s="31" t="str">
        <x:v>EXP-17: team SOT threshold test; source line implies 55.6% breakeven.</x:v>
      </x:c>
      <x:c r="V170" s="31" t="str">
        <x:v>Barcelona recorded 10 shots on target, clearing the sourced 7+ threshold comfortably.</x:v>
      </x:c>
      <x:c r="W170" s="31"/>
      <x:c r="X170" s="31"/>
      <x:c r="Y170" s="31"/>
      <x:c r="Z170" s="31"/>
    </x:row>
    <x:row r="171">
      <x:c r="A171" s="31" t="str">
        <x:v>2026-08-27</x:v>
      </x:c>
      <x:c r="B171" s="31" t="str">
        <x:v>A27-R18</x:v>
      </x:c>
      <x:c r="C171" s="31" t="str">
        <x:v>SOURCED</x:v>
      </x:c>
      <x:c r="D171" s="31" t="str">
        <x:v>MLB Hit Sheet</x:v>
      </x:c>
      <x:c r="E171" s="31" t="str">
        <x:v>MLB</x:v>
      </x:c>
      <x:c r="F171" s="31" t="str">
        <x:v>BAL @ STL</x:v>
      </x:c>
      <x:c r="G171" s="31" t="str">
        <x:v>Alec Burleson</x:v>
      </x:c>
      <x:c r="H171" s="31" t="str">
        <x:v>1+ Hit</x:v>
      </x:c>
      <x:c r="I171" s="31" t="str">
        <x:v>1+ hit</x:v>
      </x:c>
      <x:c r="J171" s="31" t="n">
        <x:v>1</x:v>
      </x:c>
      <x:c r="K171" s="31"/>
      <x:c r="L171" s="31"/>
      <x:c r="M171" s="31" t="str">
        <x:v>PAPER</x:v>
      </x:c>
      <x:c r="N171" s="31" t="str">
        <x:v>N</x:v>
      </x:c>
      <x:c r="O171" s="31" t="str">
        <x:v>Win</x:v>
      </x:c>
      <x:c r="P171" s="31" t="n">
        <x:v>1</x:v>
      </x:c>
      <x:c r="Q171" s="31" t="n">
        <x:v>2</x:v>
      </x:c>
      <x:c r="R171" s="31" t="n">
        <x:v>0</x:v>
      </x:c>
      <x:c r="S171" s="31"/>
      <x:c r="T171" s="31"/>
      <x:c r="U171" s="31" t="str">
        <x:v>Recent hit-rate signal; major platoon downgrade vs LHP remains.</x:v>
      </x:c>
      <x:c r="V171" s="31" t="str">
        <x:v>Burleson went 2-for-4 despite the L/L platoon downgrade. Treat platoon as probability adjustment, not binary veto.</x:v>
      </x:c>
      <x:c r="W171" s="31"/>
      <x:c r="X171" s="31"/>
      <x:c r="Y171" s="31"/>
      <x:c r="Z171" s="31"/>
    </x:row>
    <x:row r="172">
      <x:c r="A172" s="31" t="str">
        <x:v>2026-08-27</x:v>
      </x:c>
      <x:c r="B172" s="31" t="str">
        <x:v>A27-R19</x:v>
      </x:c>
      <x:c r="C172" s="31" t="str">
        <x:v>SOURCED</x:v>
      </x:c>
      <x:c r="D172" s="31" t="str">
        <x:v>MLB Hit Sheet</x:v>
      </x:c>
      <x:c r="E172" s="31" t="str">
        <x:v>MLB</x:v>
      </x:c>
      <x:c r="F172" s="31" t="str">
        <x:v>COL @ WSH</x:v>
      </x:c>
      <x:c r="G172" s="31" t="str">
        <x:v>Connor Norby</x:v>
      </x:c>
      <x:c r="H172" s="31" t="str">
        <x:v>1+ Hit</x:v>
      </x:c>
      <x:c r="I172" s="31" t="str">
        <x:v>1+ hit</x:v>
      </x:c>
      <x:c r="J172" s="31" t="n">
        <x:v>1</x:v>
      </x:c>
      <x:c r="K172" s="31"/>
      <x:c r="L172" s="31"/>
      <x:c r="M172" s="31" t="str">
        <x:v>RESEARCH_POOL</x:v>
      </x:c>
      <x:c r="N172" s="31" t="str">
        <x:v>N</x:v>
      </x:c>
      <x:c r="O172" s="31" t="str">
        <x:v>Pending</x:v>
      </x:c>
      <x:c r="P172" s="31"/>
      <x:c r="Q172" s="31"/>
      <x:c r="R172" s="31" t="n">
        <x:v>0</x:v>
      </x:c>
      <x:c r="S172" s="31"/>
      <x:c r="T172" s="31"/>
      <x:c r="U172" s="31" t="str">
        <x:v>Recent hit-rate signal; compare to lineup spot and current price.</x:v>
      </x:c>
      <x:c r="V172" s="31" t="str">
        <x:v>Sheet: 100% L10, 56% season, .263 vs RHP.</x:v>
      </x:c>
      <x:c r="W172" s="31"/>
      <x:c r="X172" s="31"/>
      <x:c r="Y172" s="31"/>
      <x:c r="Z172" s="31"/>
    </x:row>
    <x:row r="173">
      <x:c r="A173" s="31" t="str">
        <x:v>2026-08-27</x:v>
      </x:c>
      <x:c r="B173" s="31" t="str">
        <x:v>A27-R20</x:v>
      </x:c>
      <x:c r="C173" s="31" t="str">
        <x:v>SOURCED</x:v>
      </x:c>
      <x:c r="D173" s="31" t="str">
        <x:v>MLB Hit Sheet</x:v>
      </x:c>
      <x:c r="E173" s="31" t="str">
        <x:v>MLB</x:v>
      </x:c>
      <x:c r="F173" s="31" t="str">
        <x:v>LAD @ ATL</x:v>
      </x:c>
      <x:c r="G173" s="31" t="str">
        <x:v>Michael Harris II</x:v>
      </x:c>
      <x:c r="H173" s="31" t="str">
        <x:v>1+ Hit</x:v>
      </x:c>
      <x:c r="I173" s="31" t="str">
        <x:v>1+ hit</x:v>
      </x:c>
      <x:c r="J173" s="31" t="n">
        <x:v>1</x:v>
      </x:c>
      <x:c r="K173" s="31"/>
      <x:c r="L173" s="31"/>
      <x:c r="M173" s="31" t="str">
        <x:v>RESEARCH_POOL</x:v>
      </x:c>
      <x:c r="N173" s="31" t="str">
        <x:v>N</x:v>
      </x:c>
      <x:c r="O173" s="31" t="str">
        <x:v>Pending</x:v>
      </x:c>
      <x:c r="P173" s="31"/>
      <x:c r="Q173" s="31"/>
      <x:c r="R173" s="31" t="n">
        <x:v>0</x:v>
      </x:c>
      <x:c r="S173" s="31"/>
      <x:c r="T173" s="31"/>
      <x:c r="U173" s="31" t="str">
        <x:v>Hit-sheet candidate; good season contact vs RHP but faces elite pitching environment.</x:v>
      </x:c>
      <x:c r="V173" s="31" t="str">
        <x:v>Sheet: 90% L10, 70% season, .343 vs RHP.</x:v>
      </x:c>
      <x:c r="W173" s="31"/>
      <x:c r="X173" s="31"/>
      <x:c r="Y173" s="31"/>
      <x:c r="Z173" s="31"/>
    </x:row>
    <x:row r="174">
      <x:c r="A174" s="31" t="str">
        <x:v>2026-08-27</x:v>
      </x:c>
      <x:c r="B174" s="31" t="str">
        <x:v>A27-R21</x:v>
      </x:c>
      <x:c r="C174" s="31" t="str">
        <x:v>SOURCED</x:v>
      </x:c>
      <x:c r="D174" s="31" t="str">
        <x:v>MLB Hit Sheet</x:v>
      </x:c>
      <x:c r="E174" s="31" t="str">
        <x:v>MLB</x:v>
      </x:c>
      <x:c r="F174" s="31" t="str">
        <x:v>HOU @ NYY</x:v>
      </x:c>
      <x:c r="G174" s="31" t="str">
        <x:v>Cody Bellinger</x:v>
      </x:c>
      <x:c r="H174" s="31" t="str">
        <x:v>1+ Hit</x:v>
      </x:c>
      <x:c r="I174" s="31" t="str">
        <x:v>1+ hit</x:v>
      </x:c>
      <x:c r="J174" s="31" t="n">
        <x:v>1</x:v>
      </x:c>
      <x:c r="K174" s="31"/>
      <x:c r="L174" s="31"/>
      <x:c r="M174" s="31" t="str">
        <x:v>RESEARCH_POOL</x:v>
      </x:c>
      <x:c r="N174" s="31" t="str">
        <x:v>N</x:v>
      </x:c>
      <x:c r="O174" s="31" t="str">
        <x:v>Pending</x:v>
      </x:c>
      <x:c r="P174" s="31"/>
      <x:c r="Q174" s="31"/>
      <x:c r="R174" s="31" t="n">
        <x:v>0</x:v>
      </x:c>
      <x:c r="S174" s="31"/>
      <x:c r="T174" s="31"/>
      <x:c r="U174" s="31" t="str">
        <x:v>Duplicate source lead; price and Gerrit Cole matchup matter.</x:v>
      </x:c>
      <x:c r="V174" s="31" t="str">
        <x:v>Sheet: 90% L10, 68% season, .268 vs RHP.</x:v>
      </x:c>
      <x:c r="W174" s="31"/>
      <x:c r="X174" s="31"/>
      <x:c r="Y174" s="31"/>
      <x:c r="Z174" s="31"/>
    </x:row>
    <x:row r="175">
      <x:c r="A175" s="31" t="str">
        <x:v>2026-08-27</x:v>
      </x:c>
      <x:c r="B175" s="31" t="str">
        <x:v>A27-R22</x:v>
      </x:c>
      <x:c r="C175" s="31" t="str">
        <x:v>SOURCED</x:v>
      </x:c>
      <x:c r="D175" s="31" t="str">
        <x:v>MLB Hit Sheet</x:v>
      </x:c>
      <x:c r="E175" s="31" t="str">
        <x:v>MLB</x:v>
      </x:c>
      <x:c r="F175" s="31" t="str">
        <x:v>KC @ TOR</x:v>
      </x:c>
      <x:c r="G175" s="31" t="str">
        <x:v>Vladimir Guerrero Jr.</x:v>
      </x:c>
      <x:c r="H175" s="31" t="str">
        <x:v>1+ Hit</x:v>
      </x:c>
      <x:c r="I175" s="31" t="str">
        <x:v>1+ hit</x:v>
      </x:c>
      <x:c r="J175" s="31" t="n">
        <x:v>1</x:v>
      </x:c>
      <x:c r="K175" s="31"/>
      <x:c r="L175" s="31"/>
      <x:c r="M175" s="31" t="str">
        <x:v>RESEARCH_POOL</x:v>
      </x:c>
      <x:c r="N175" s="31" t="str">
        <x:v>N</x:v>
      </x:c>
      <x:c r="O175" s="31" t="str">
        <x:v>Pending</x:v>
      </x:c>
      <x:c r="P175" s="31"/>
      <x:c r="Q175" s="31"/>
      <x:c r="R175" s="31" t="n">
        <x:v>0</x:v>
      </x:c>
      <x:c r="S175" s="31"/>
      <x:c r="T175" s="31"/>
      <x:c r="U175" s="31" t="str">
        <x:v>High-priority hit-sheet candidate pending exact opponent/price.</x:v>
      </x:c>
      <x:c r="V175" s="31" t="str">
        <x:v>Sheet: 90% L10, 64% season, .303 split.</x:v>
      </x:c>
      <x:c r="W175" s="31"/>
      <x:c r="X175" s="31"/>
      <x:c r="Y175" s="31"/>
      <x:c r="Z175" s="31"/>
    </x:row>
    <x:row r="176">
      <x:c r="A176" s="31" t="str">
        <x:v>2026-08-27</x:v>
      </x:c>
      <x:c r="B176" s="31" t="str">
        <x:v>A27-R23</x:v>
      </x:c>
      <x:c r="C176" s="31" t="str">
        <x:v>SOURCED</x:v>
      </x:c>
      <x:c r="D176" s="31" t="str">
        <x:v>MLB Hit Sheet</x:v>
      </x:c>
      <x:c r="E176" s="31" t="str">
        <x:v>MLB</x:v>
      </x:c>
      <x:c r="F176" s="31" t="str">
        <x:v>MIL @ NYM</x:v>
      </x:c>
      <x:c r="G176" s="31" t="str">
        <x:v>Andrew Vaughn</x:v>
      </x:c>
      <x:c r="H176" s="31" t="str">
        <x:v>1+ Hit</x:v>
      </x:c>
      <x:c r="I176" s="31" t="str">
        <x:v>1+ hit</x:v>
      </x:c>
      <x:c r="J176" s="31" t="n">
        <x:v>1</x:v>
      </x:c>
      <x:c r="K176" s="31" t="n">
        <x:v>-205</x:v>
      </x:c>
      <x:c r="L176" s="31" t="n">
        <x:v>0.6721311475409836</x:v>
      </x:c>
      <x:c r="M176" s="31" t="str">
        <x:v>PAPER</x:v>
      </x:c>
      <x:c r="N176" s="31" t="str">
        <x:v>N</x:v>
      </x:c>
      <x:c r="O176" s="31" t="str">
        <x:v>Win</x:v>
      </x:c>
      <x:c r="P176" s="31" t="n">
        <x:v>1</x:v>
      </x:c>
      <x:c r="Q176" s="31" t="n">
        <x:v>2</x:v>
      </x:c>
      <x:c r="R176" s="31" t="n">
        <x:v>0</x:v>
      </x:c>
      <x:c r="S176" s="31"/>
      <x:c r="T176" s="31"/>
      <x:c r="U176" s="31" t="str">
        <x:v>Current DK 1+ hit -205; 2+ HRR -108. Excellent 2026 production vs LHP; faces Sean Manaea.</x:v>
      </x:c>
      <x:c r="V176" s="31" t="str">
        <x:v>Vaughn went 2-for-4; both 1+ hit and 2+ HRR paired arms won.</x:v>
      </x:c>
      <x:c r="W176" s="31"/>
      <x:c r="X176" s="31"/>
      <x:c r="Y176" s="31"/>
      <x:c r="Z176" s="31"/>
    </x:row>
    <x:row r="177">
      <x:c r="A177" s="31" t="str">
        <x:v>2026-08-27</x:v>
      </x:c>
      <x:c r="B177" s="31" t="str">
        <x:v>A27-R24</x:v>
      </x:c>
      <x:c r="C177" s="31" t="str">
        <x:v>SOURCED</x:v>
      </x:c>
      <x:c r="D177" s="31" t="str">
        <x:v>MLB Hit Sheet</x:v>
      </x:c>
      <x:c r="E177" s="31" t="str">
        <x:v>MLB</x:v>
      </x:c>
      <x:c r="F177" s="31" t="str">
        <x:v>BAL @ STL</x:v>
      </x:c>
      <x:c r="G177" s="31" t="str">
        <x:v>Jordan Walker</x:v>
      </x:c>
      <x:c r="H177" s="31" t="str">
        <x:v>1+ Hit</x:v>
      </x:c>
      <x:c r="I177" s="31" t="str">
        <x:v>1+ hit</x:v>
      </x:c>
      <x:c r="J177" s="31" t="n">
        <x:v>1</x:v>
      </x:c>
      <x:c r="K177" s="31" t="n">
        <x:v>-230</x:v>
      </x:c>
      <x:c r="L177" s="31" t="n">
        <x:v>0.696969696969697</x:v>
      </x:c>
      <x:c r="M177" s="31" t="str">
        <x:v>RESEARCH_POOL</x:v>
      </x:c>
      <x:c r="N177" s="31" t="str">
        <x:v>N</x:v>
      </x:c>
      <x:c r="O177" s="31" t="str">
        <x:v>Pending</x:v>
      </x:c>
      <x:c r="P177" s="31"/>
      <x:c r="Q177" s="31"/>
      <x:c r="R177" s="31" t="n">
        <x:v>0</x:v>
      </x:c>
      <x:c r="S177" s="31"/>
      <x:c r="T177" s="31"/>
      <x:c r="U177" s="31" t="str">
        <x:v>Current DK 1+ hit -230; 2+ HRR -115. Strong platoon fit vs LHP Trevor Rogers.</x:v>
      </x:c>
      <x:c r="V177" s="31" t="str">
        <x:v>Prefer 2+ HRR for promo construction if lineup confirmed.</x:v>
      </x:c>
      <x:c r="W177" s="31"/>
      <x:c r="X177" s="31"/>
      <x:c r="Y177" s="31"/>
      <x:c r="Z177" s="31"/>
    </x:row>
    <x:row r="178">
      <x:c r="A178" s="31" t="str">
        <x:v>2026-08-27</x:v>
      </x:c>
      <x:c r="B178" s="31" t="str">
        <x:v>A27-R25</x:v>
      </x:c>
      <x:c r="C178" s="31" t="str">
        <x:v>SOURCED</x:v>
      </x:c>
      <x:c r="D178" s="31" t="str">
        <x:v>MLB Hit Sheet</x:v>
      </x:c>
      <x:c r="E178" s="31" t="str">
        <x:v>MLB</x:v>
      </x:c>
      <x:c r="F178" s="31" t="str">
        <x:v>ARI @ SF</x:v>
      </x:c>
      <x:c r="G178" s="31" t="str">
        <x:v>Gabriel Moreno</x:v>
      </x:c>
      <x:c r="H178" s="31" t="str">
        <x:v>1+ Hit</x:v>
      </x:c>
      <x:c r="I178" s="31" t="str">
        <x:v>1+ hit</x:v>
      </x:c>
      <x:c r="J178" s="31" t="n">
        <x:v>1</x:v>
      </x:c>
      <x:c r="K178" s="31" t="n">
        <x:v>-309</x:v>
      </x:c>
      <x:c r="L178" s="31" t="n">
        <x:v>0.7555012224938875</x:v>
      </x:c>
      <x:c r="M178" s="31" t="str">
        <x:v>RESEARCH_POOL</x:v>
      </x:c>
      <x:c r="N178" s="31" t="str">
        <x:v>N</x:v>
      </x:c>
      <x:c r="O178" s="31" t="str">
        <x:v>Pending</x:v>
      </x:c>
      <x:c r="P178" s="31"/>
      <x:c r="Q178" s="31"/>
      <x:c r="R178" s="31" t="n">
        <x:v>0</x:v>
      </x:c>
      <x:c r="S178" s="31"/>
      <x:c r="T178" s="31"/>
      <x:c r="U178" s="31" t="str">
        <x:v>Current DK 1+ hit -309; 2+ HRR -150. Convergence with best-bet writeup and Roupp fade.</x:v>
      </x:c>
      <x:c r="V178" s="31" t="str">
        <x:v>Prefer 2+ HRR for promo construction if lineup confirmed.</x:v>
      </x:c>
      <x:c r="W178" s="31"/>
      <x:c r="X178" s="31"/>
      <x:c r="Y178" s="31"/>
      <x:c r="Z178" s="31"/>
    </x:row>
    <x:row r="179">
      <x:c r="A179" s="31" t="str">
        <x:v>2026-08-27</x:v>
      </x:c>
      <x:c r="B179" s="31" t="str">
        <x:v>A27-R26</x:v>
      </x:c>
      <x:c r="C179" s="31" t="str">
        <x:v>SOURCED</x:v>
      </x:c>
      <x:c r="D179" s="31" t="str">
        <x:v>MLB Hit Sheet</x:v>
      </x:c>
      <x:c r="E179" s="31" t="str">
        <x:v>MLB</x:v>
      </x:c>
      <x:c r="F179" s="31" t="str">
        <x:v>MIL @ NYM</x:v>
      </x:c>
      <x:c r="G179" s="31" t="str">
        <x:v>Carson Benge</x:v>
      </x:c>
      <x:c r="H179" s="31" t="str">
        <x:v>1+ Hit</x:v>
      </x:c>
      <x:c r="I179" s="31" t="str">
        <x:v>1+ hit</x:v>
      </x:c>
      <x:c r="J179" s="31" t="n">
        <x:v>1</x:v>
      </x:c>
      <x:c r="K179" s="31"/>
      <x:c r="L179" s="31"/>
      <x:c r="M179" s="31" t="str">
        <x:v>RESEARCH_POOL</x:v>
      </x:c>
      <x:c r="N179" s="31" t="str">
        <x:v>N</x:v>
      </x:c>
      <x:c r="O179" s="31" t="str">
        <x:v>Pending</x:v>
      </x:c>
      <x:c r="P179" s="31"/>
      <x:c r="Q179" s="31"/>
      <x:c r="R179" s="31" t="n">
        <x:v>0</x:v>
      </x:c>
      <x:c r="S179" s="31"/>
      <x:c r="T179" s="31"/>
      <x:c r="U179" s="31" t="str">
        <x:v>Candidate only; needs exact lineup spot and matchup.</x:v>
      </x:c>
      <x:c r="V179" s="31" t="str">
        <x:v>Sheet: 80% L10, 68% season, .231 split.</x:v>
      </x:c>
      <x:c r="W179" s="31"/>
      <x:c r="X179" s="31"/>
      <x:c r="Y179" s="31"/>
      <x:c r="Z179" s="31"/>
    </x:row>
    <x:row r="180">
      <x:c r="A180" s="31" t="str">
        <x:v>2026-08-27</x:v>
      </x:c>
      <x:c r="B180" s="31" t="str">
        <x:v>A27-R27</x:v>
      </x:c>
      <x:c r="C180" s="31" t="str">
        <x:v>SOURCED</x:v>
      </x:c>
      <x:c r="D180" s="31" t="str">
        <x:v>MLB Hit Sheet</x:v>
      </x:c>
      <x:c r="E180" s="31" t="str">
        <x:v>MLB</x:v>
      </x:c>
      <x:c r="F180" s="31" t="str">
        <x:v>COL @ WSH</x:v>
      </x:c>
      <x:c r="G180" s="31" t="str">
        <x:v>Willi Castro</x:v>
      </x:c>
      <x:c r="H180" s="31" t="str">
        <x:v>1+ Hit</x:v>
      </x:c>
      <x:c r="I180" s="31" t="str">
        <x:v>1+ hit</x:v>
      </x:c>
      <x:c r="J180" s="31" t="n">
        <x:v>1</x:v>
      </x:c>
      <x:c r="K180" s="31"/>
      <x:c r="L180" s="31"/>
      <x:c r="M180" s="31" t="str">
        <x:v>RESEARCH_POOL</x:v>
      </x:c>
      <x:c r="N180" s="31" t="str">
        <x:v>N</x:v>
      </x:c>
      <x:c r="O180" s="31" t="str">
        <x:v>Pending</x:v>
      </x:c>
      <x:c r="P180" s="31"/>
      <x:c r="Q180" s="31"/>
      <x:c r="R180" s="31" t="n">
        <x:v>0</x:v>
      </x:c>
      <x:c r="S180" s="31"/>
      <x:c r="T180" s="31"/>
      <x:c r="U180" s="31" t="str">
        <x:v>Candidate only; hitter-friendly game environment but weak split shown.</x:v>
      </x:c>
      <x:c r="V180" s="31" t="str">
        <x:v>Sheet: 80% L10, 67% season, .207 split.</x:v>
      </x:c>
      <x:c r="W180" s="31"/>
      <x:c r="X180" s="31"/>
      <x:c r="Y180" s="31"/>
      <x:c r="Z180" s="31"/>
    </x:row>
    <x:row r="181">
      <x:c r="A181" s="31" t="str">
        <x:v>2026-08-27</x:v>
      </x:c>
      <x:c r="B181" s="31" t="str">
        <x:v>A27-R28</x:v>
      </x:c>
      <x:c r="C181" s="31" t="str">
        <x:v>SOURCED</x:v>
      </x:c>
      <x:c r="D181" s="31" t="str">
        <x:v>MLB Hit Sheet</x:v>
      </x:c>
      <x:c r="E181" s="31" t="str">
        <x:v>MLB</x:v>
      </x:c>
      <x:c r="F181" s="31" t="str">
        <x:v>LAD @ ATL</x:v>
      </x:c>
      <x:c r="G181" s="31" t="str">
        <x:v>Ozzie Albies</x:v>
      </x:c>
      <x:c r="H181" s="31" t="str">
        <x:v>1+ Hit</x:v>
      </x:c>
      <x:c r="I181" s="31" t="str">
        <x:v>1+ hit</x:v>
      </x:c>
      <x:c r="J181" s="31" t="n">
        <x:v>1</x:v>
      </x:c>
      <x:c r="K181" s="31"/>
      <x:c r="L181" s="31"/>
      <x:c r="M181" s="31" t="str">
        <x:v>RESEARCH_POOL</x:v>
      </x:c>
      <x:c r="N181" s="31" t="str">
        <x:v>N</x:v>
      </x:c>
      <x:c r="O181" s="31" t="str">
        <x:v>Pending</x:v>
      </x:c>
      <x:c r="P181" s="31"/>
      <x:c r="Q181" s="31"/>
      <x:c r="R181" s="31" t="n">
        <x:v>0</x:v>
      </x:c>
      <x:c r="S181" s="31"/>
      <x:c r="T181" s="31"/>
      <x:c r="U181" s="31" t="str">
        <x:v>Candidate only; pitching matchup may cap floor.</x:v>
      </x:c>
      <x:c r="V181" s="31" t="str">
        <x:v>Sheet: 80% L10, 67% season, .253 split.</x:v>
      </x:c>
      <x:c r="W181" s="31"/>
      <x:c r="X181" s="31"/>
      <x:c r="Y181" s="31"/>
      <x:c r="Z181" s="31"/>
    </x:row>
    <x:row r="182">
      <x:c r="A182" s="31" t="str">
        <x:v>2026-08-27</x:v>
      </x:c>
      <x:c r="B182" s="31" t="str">
        <x:v>A27-R29</x:v>
      </x:c>
      <x:c r="C182" s="31" t="str">
        <x:v>SOURCED</x:v>
      </x:c>
      <x:c r="D182" s="31" t="str">
        <x:v>MLB Hit Sheet</x:v>
      </x:c>
      <x:c r="E182" s="31" t="str">
        <x:v>MLB</x:v>
      </x:c>
      <x:c r="F182" s="31" t="str">
        <x:v>KC @ TOR</x:v>
      </x:c>
      <x:c r="G182" s="31" t="str">
        <x:v>Alejandro Kirk</x:v>
      </x:c>
      <x:c r="H182" s="31" t="str">
        <x:v>1+ Hit</x:v>
      </x:c>
      <x:c r="I182" s="31" t="str">
        <x:v>1+ hit</x:v>
      </x:c>
      <x:c r="J182" s="31" t="n">
        <x:v>1</x:v>
      </x:c>
      <x:c r="K182" s="31"/>
      <x:c r="L182" s="31"/>
      <x:c r="M182" s="31" t="str">
        <x:v>RESEARCH_POOL</x:v>
      </x:c>
      <x:c r="N182" s="31" t="str">
        <x:v>N</x:v>
      </x:c>
      <x:c r="O182" s="31" t="str">
        <x:v>Pending</x:v>
      </x:c>
      <x:c r="P182" s="31"/>
      <x:c r="Q182" s="31"/>
      <x:c r="R182" s="31" t="n">
        <x:v>0</x:v>
      </x:c>
      <x:c r="S182" s="31"/>
      <x:c r="T182" s="31"/>
      <x:c r="U182" s="31" t="str">
        <x:v>Candidate only; sheet split of .000 is a major warning / likely tiny sample.</x:v>
      </x:c>
      <x:c r="V182" s="31" t="str">
        <x:v>Sheet: 80% L10, 66% season, .000 split.</x:v>
      </x:c>
      <x:c r="W182" s="31"/>
      <x:c r="X182" s="31"/>
      <x:c r="Y182" s="31"/>
      <x:c r="Z182" s="31"/>
    </x:row>
    <x:row r="183">
      <x:c r="A183" s="31" t="str">
        <x:v>2026-08-27</x:v>
      </x:c>
      <x:c r="B183" s="31" t="str">
        <x:v>A27-R30</x:v>
      </x:c>
      <x:c r="C183" s="31" t="str">
        <x:v>SOURCED</x:v>
      </x:c>
      <x:c r="D183" s="31" t="str">
        <x:v>MLB K Hit-Rate Sheet</x:v>
      </x:c>
      <x:c r="E183" s="31" t="str">
        <x:v>MLB</x:v>
      </x:c>
      <x:c r="F183" s="31" t="str">
        <x:v>MIL @ NYM</x:v>
      </x:c>
      <x:c r="G183" s="31" t="str">
        <x:v>Jacob Misiorowski</x:v>
      </x:c>
      <x:c r="H183" s="31" t="str">
        <x:v>Pitcher K Over</x:v>
      </x:c>
      <x:c r="I183" s="31" t="str">
        <x:v>6+ Ks</x:v>
      </x:c>
      <x:c r="J183" s="31" t="n">
        <x:v>6</x:v>
      </x:c>
      <x:c r="K183" s="31"/>
      <x:c r="L183" s="31"/>
      <x:c r="M183" s="31" t="str">
        <x:v>RESEARCH_POOL</x:v>
      </x:c>
      <x:c r="N183" s="31" t="str">
        <x:v>N</x:v>
      </x:c>
      <x:c r="O183" s="31" t="str">
        <x:v>Pending</x:v>
      </x:c>
      <x:c r="P183" s="31"/>
      <x:c r="Q183" s="31"/>
      <x:c r="R183" s="31" t="n">
        <x:v>0</x:v>
      </x:c>
      <x:c r="S183" s="31"/>
      <x:c r="T183" s="31"/>
      <x:c r="U183" s="31" t="str">
        <x:v>10/10 floor signal; compare to aggressive O8.5 threshold.</x:v>
      </x:c>
      <x:c r="V183" s="31" t="str">
        <x:v>Sheet: 6+ Ks in 10/10.</x:v>
      </x:c>
      <x:c r="W183" s="31"/>
      <x:c r="X183" s="31"/>
      <x:c r="Y183" s="31"/>
      <x:c r="Z183" s="31"/>
    </x:row>
    <x:row r="184">
      <x:c r="A184" s="31" t="str">
        <x:v>2026-08-27</x:v>
      </x:c>
      <x:c r="B184" s="31" t="str">
        <x:v>A27-R31</x:v>
      </x:c>
      <x:c r="C184" s="31" t="str">
        <x:v>SOURCED</x:v>
      </x:c>
      <x:c r="D184" s="31" t="str">
        <x:v>MLB K Hit-Rate Sheet</x:v>
      </x:c>
      <x:c r="E184" s="31" t="str">
        <x:v>MLB</x:v>
      </x:c>
      <x:c r="F184" s="31" t="str">
        <x:v>HOU @ NYY</x:v>
      </x:c>
      <x:c r="G184" s="31" t="str">
        <x:v>Gerrit Cole</x:v>
      </x:c>
      <x:c r="H184" s="31" t="str">
        <x:v>Pitcher K Over</x:v>
      </x:c>
      <x:c r="I184" s="31" t="str">
        <x:v>5+ Ks</x:v>
      </x:c>
      <x:c r="J184" s="31" t="n">
        <x:v>5</x:v>
      </x:c>
      <x:c r="K184" s="31" t="n">
        <x:v>-295</x:v>
      </x:c>
      <x:c r="L184" s="31" t="n">
        <x:v>0.7468354430379747</x:v>
      </x:c>
      <x:c r="M184" s="31" t="str">
        <x:v>RESEARCH_POOL</x:v>
      </x:c>
      <x:c r="N184" s="31" t="str">
        <x:v>N</x:v>
      </x:c>
      <x:c r="O184" s="31" t="str">
        <x:v>Pending</x:v>
      </x:c>
      <x:c r="P184" s="31"/>
      <x:c r="Q184" s="31"/>
      <x:c r="R184" s="31" t="n">
        <x:v>0</x:v>
      </x:c>
      <x:c r="S184" s="31"/>
      <x:c r="T184" s="31"/>
      <x:c r="U184" s="31" t="str">
        <x:v>10/10 floor signal; current Action page shows 5+ around -295 and O5.5 around -121.</x:v>
      </x:c>
      <x:c r="V184" s="31" t="str">
        <x:v>Sheet: 5+ Ks in 10/10.</x:v>
      </x:c>
      <x:c r="W184" s="31"/>
      <x:c r="X184" s="31"/>
      <x:c r="Y184" s="31"/>
      <x:c r="Z184" s="31"/>
    </x:row>
    <x:row r="185">
      <x:c r="A185" s="31" t="str">
        <x:v>2026-08-27</x:v>
      </x:c>
      <x:c r="B185" s="31" t="str">
        <x:v>A27-R32</x:v>
      </x:c>
      <x:c r="C185" s="31" t="str">
        <x:v>SOURCED</x:v>
      </x:c>
      <x:c r="D185" s="31" t="str">
        <x:v>MLB K Hit-Rate Sheet</x:v>
      </x:c>
      <x:c r="E185" s="31" t="str">
        <x:v>MLB</x:v>
      </x:c>
      <x:c r="F185" s="31" t="str">
        <x:v>BAL @ STL</x:v>
      </x:c>
      <x:c r="G185" s="31" t="str">
        <x:v>Trevor Rogers</x:v>
      </x:c>
      <x:c r="H185" s="31" t="str">
        <x:v>Pitcher K Over</x:v>
      </x:c>
      <x:c r="I185" s="31" t="str">
        <x:v>4+ Ks</x:v>
      </x:c>
      <x:c r="J185" s="31" t="n">
        <x:v>4</x:v>
      </x:c>
      <x:c r="K185" s="31"/>
      <x:c r="L185" s="31"/>
      <x:c r="M185" s="31" t="str">
        <x:v>RESEARCH_POOL</x:v>
      </x:c>
      <x:c r="N185" s="31" t="str">
        <x:v>N</x:v>
      </x:c>
      <x:c r="O185" s="31" t="str">
        <x:v>Pending</x:v>
      </x:c>
      <x:c r="P185" s="31"/>
      <x:c r="Q185" s="31"/>
      <x:c r="R185" s="31" t="n">
        <x:v>0</x:v>
      </x:c>
      <x:c r="S185" s="31"/>
      <x:c r="T185" s="31"/>
      <x:c r="U185" s="31" t="str">
        <x:v>10/10 floor signal; matchup/weather need full evaluation.</x:v>
      </x:c>
      <x:c r="V185" s="31" t="str">
        <x:v>Sheet: 4+ Ks in 10/10.</x:v>
      </x:c>
      <x:c r="W185" s="31"/>
      <x:c r="X185" s="31"/>
      <x:c r="Y185" s="31"/>
      <x:c r="Z185" s="31"/>
    </x:row>
    <x:row r="186">
      <x:c r="A186" s="31" t="str">
        <x:v>2026-08-27</x:v>
      </x:c>
      <x:c r="B186" s="31" t="str">
        <x:v>A27-R33</x:v>
      </x:c>
      <x:c r="C186" s="31" t="str">
        <x:v>SOURCED</x:v>
      </x:c>
      <x:c r="D186" s="31" t="str">
        <x:v>MLB K Hit-Rate Sheet</x:v>
      </x:c>
      <x:c r="E186" s="31" t="str">
        <x:v>MLB</x:v>
      </x:c>
      <x:c r="F186" s="31" t="str">
        <x:v>LAD @ ATL</x:v>
      </x:c>
      <x:c r="G186" s="31" t="str">
        <x:v>Chris Sale</x:v>
      </x:c>
      <x:c r="H186" s="31" t="str">
        <x:v>Pitcher K Over</x:v>
      </x:c>
      <x:c r="I186" s="31" t="str">
        <x:v>6+ Ks</x:v>
      </x:c>
      <x:c r="J186" s="31" t="n">
        <x:v>6</x:v>
      </x:c>
      <x:c r="K186" s="31"/>
      <x:c r="L186" s="31"/>
      <x:c r="M186" s="31" t="str">
        <x:v>RESEARCH_POOL</x:v>
      </x:c>
      <x:c r="N186" s="31" t="str">
        <x:v>N</x:v>
      </x:c>
      <x:c r="O186" s="31" t="str">
        <x:v>Pending</x:v>
      </x:c>
      <x:c r="P186" s="31"/>
      <x:c r="Q186" s="31"/>
      <x:c r="R186" s="31" t="n">
        <x:v>0</x:v>
      </x:c>
      <x:c r="S186" s="31"/>
      <x:c r="T186" s="31"/>
      <x:c r="U186" s="31" t="str">
        <x:v>8/10 floor signal; elite pitcher but difficult Dodgers contact environment.</x:v>
      </x:c>
      <x:c r="V186" s="31" t="str">
        <x:v>Sheet: 6+ Ks in 8/10.</x:v>
      </x:c>
      <x:c r="W186" s="31"/>
      <x:c r="X186" s="31"/>
      <x:c r="Y186" s="31"/>
      <x:c r="Z186" s="31"/>
    </x:row>
    <x:row r="187">
      <x:c r="A187" s="31" t="str">
        <x:v>2026-08-27</x:v>
      </x:c>
      <x:c r="B187" s="31" t="str">
        <x:v>A27-R34</x:v>
      </x:c>
      <x:c r="C187" s="31" t="str">
        <x:v>SOURCED</x:v>
      </x:c>
      <x:c r="D187" s="31" t="str">
        <x:v>MLB K Hit-Rate Sheet</x:v>
      </x:c>
      <x:c r="E187" s="31" t="str">
        <x:v>MLB</x:v>
      </x:c>
      <x:c r="F187" s="31" t="str">
        <x:v>HOU @ NYY</x:v>
      </x:c>
      <x:c r="G187" s="31" t="str">
        <x:v>Hayden Wesneski</x:v>
      </x:c>
      <x:c r="H187" s="31" t="str">
        <x:v>Pitcher K Over</x:v>
      </x:c>
      <x:c r="I187" s="31" t="str">
        <x:v>4+ Ks</x:v>
      </x:c>
      <x:c r="J187" s="31" t="n">
        <x:v>4</x:v>
      </x:c>
      <x:c r="K187" s="31"/>
      <x:c r="L187" s="31"/>
      <x:c r="M187" s="31" t="str">
        <x:v>RESEARCH_POOL</x:v>
      </x:c>
      <x:c r="N187" s="31" t="str">
        <x:v>N</x:v>
      </x:c>
      <x:c r="O187" s="31" t="str">
        <x:v>Pending</x:v>
      </x:c>
      <x:c r="P187" s="31"/>
      <x:c r="Q187" s="31"/>
      <x:c r="R187" s="31" t="n">
        <x:v>0</x:v>
      </x:c>
      <x:c r="S187" s="31"/>
      <x:c r="T187" s="31"/>
      <x:c r="U187" s="31" t="str">
        <x:v>8/10 floor signal; compare to workload/outs due Houston bullpen fatigue context.</x:v>
      </x:c>
      <x:c r="V187" s="31" t="str">
        <x:v>Sheet: 4+ Ks in 8/10.</x:v>
      </x:c>
      <x:c r="W187" s="31"/>
      <x:c r="X187" s="31"/>
      <x:c r="Y187" s="31"/>
      <x:c r="Z187" s="31"/>
    </x:row>
    <x:row r="188">
      <x:c r="A188" s="31" t="str">
        <x:v>2026-08-27</x:v>
      </x:c>
      <x:c r="B188" s="31" t="str">
        <x:v>A27-R35</x:v>
      </x:c>
      <x:c r="C188" s="31" t="str">
        <x:v>SOURCED</x:v>
      </x:c>
      <x:c r="D188" s="31" t="str">
        <x:v>MLB K Hit-Rate Sheet</x:v>
      </x:c>
      <x:c r="E188" s="31" t="str">
        <x:v>MLB</x:v>
      </x:c>
      <x:c r="F188" s="31" t="str">
        <x:v>KC @ TOR</x:v>
      </x:c>
      <x:c r="G188" s="31" t="str">
        <x:v>Spencer Arrighetti</x:v>
      </x:c>
      <x:c r="H188" s="31" t="str">
        <x:v>Pitcher K Over</x:v>
      </x:c>
      <x:c r="I188" s="31" t="str">
        <x:v>3+ Ks</x:v>
      </x:c>
      <x:c r="J188" s="31" t="n">
        <x:v>3</x:v>
      </x:c>
      <x:c r="K188" s="31"/>
      <x:c r="L188" s="31"/>
      <x:c r="M188" s="31" t="str">
        <x:v>RESEARCH_POOL</x:v>
      </x:c>
      <x:c r="N188" s="31" t="str">
        <x:v>N</x:v>
      </x:c>
      <x:c r="O188" s="31" t="str">
        <x:v>Pending</x:v>
      </x:c>
      <x:c r="P188" s="31"/>
      <x:c r="Q188" s="31"/>
      <x:c r="R188" s="31" t="n">
        <x:v>0</x:v>
      </x:c>
      <x:c r="S188" s="31"/>
      <x:c r="T188" s="31"/>
      <x:c r="U188" s="31" t="str">
        <x:v>8/10 floor signal; low threshold but verify role/workload.</x:v>
      </x:c>
      <x:c r="V188" s="31" t="str">
        <x:v>Sheet: 3+ Ks in 8/10.</x:v>
      </x:c>
      <x:c r="W188" s="31"/>
      <x:c r="X188" s="31"/>
      <x:c r="Y188" s="31"/>
      <x:c r="Z188" s="31"/>
    </x:row>
    <x:row r="189">
      <x:c r="A189" s="31" t="str">
        <x:v>2026-08-27</x:v>
      </x:c>
      <x:c r="B189" s="31" t="str">
        <x:v>A27-R36</x:v>
      </x:c>
      <x:c r="C189" s="31" t="str">
        <x:v>SOURCED</x:v>
      </x:c>
      <x:c r="D189" s="31" t="str">
        <x:v>Source HRR SGP+</x:v>
      </x:c>
      <x:c r="E189" s="31" t="str">
        <x:v>MLB</x:v>
      </x:c>
      <x:c r="F189" s="31" t="str">
        <x:v>MIL @ NYM</x:v>
      </x:c>
      <x:c r="G189" s="31" t="str">
        <x:v>William Contreras</x:v>
      </x:c>
      <x:c r="H189" s="31" t="str">
        <x:v>H+R+RBI</x:v>
      </x:c>
      <x:c r="I189" s="31" t="str">
        <x:v>2+ H+R+RBI</x:v>
      </x:c>
      <x:c r="J189" s="31" t="n">
        <x:v>2</x:v>
      </x:c>
      <x:c r="K189" s="31"/>
      <x:c r="L189" s="31"/>
      <x:c r="M189" s="31" t="str">
        <x:v>RESEARCH_POOL</x:v>
      </x:c>
      <x:c r="N189" s="31" t="str">
        <x:v>N</x:v>
      </x:c>
      <x:c r="O189" s="31" t="str">
        <x:v>Pending</x:v>
      </x:c>
      <x:c r="P189" s="31"/>
      <x:c r="Q189" s="31"/>
      <x:c r="R189" s="31" t="n">
        <x:v>0</x:v>
      </x:c>
      <x:c r="S189" s="31"/>
      <x:c r="T189" s="31"/>
      <x:c r="U189" s="31" t="str">
        <x:v>HRR candidate extracted from 5-leg source ticket; evaluate individually.</x:v>
      </x:c>
      <x:c r="V189" s="31" t="str">
        <x:v>Part of MIL SGP with Vaughn.</x:v>
      </x:c>
      <x:c r="W189" s="31"/>
      <x:c r="X189" s="31"/>
      <x:c r="Y189" s="31"/>
      <x:c r="Z189" s="31"/>
    </x:row>
    <x:row r="190">
      <x:c r="A190" s="31" t="str">
        <x:v>2026-08-27</x:v>
      </x:c>
      <x:c r="B190" s="31" t="str">
        <x:v>A27-R37</x:v>
      </x:c>
      <x:c r="C190" s="31" t="str">
        <x:v>SOURCED</x:v>
      </x:c>
      <x:c r="D190" s="31" t="str">
        <x:v>Source HRR SGP+</x:v>
      </x:c>
      <x:c r="E190" s="31" t="str">
        <x:v>MLB</x:v>
      </x:c>
      <x:c r="F190" s="31" t="str">
        <x:v>MIL @ NYM</x:v>
      </x:c>
      <x:c r="G190" s="31" t="str">
        <x:v>Andrew Vaughn</x:v>
      </x:c>
      <x:c r="H190" s="31" t="str">
        <x:v>H+R+RBI</x:v>
      </x:c>
      <x:c r="I190" s="31" t="str">
        <x:v>2+ H+R+RBI</x:v>
      </x:c>
      <x:c r="J190" s="31" t="n">
        <x:v>2</x:v>
      </x:c>
      <x:c r="K190" s="31" t="n">
        <x:v>-108</x:v>
      </x:c>
      <x:c r="L190" s="31" t="n">
        <x:v>0.5192307692307693</x:v>
      </x:c>
      <x:c r="M190" s="31" t="str">
        <x:v>QUALIFIED_NOT_BET</x:v>
      </x:c>
      <x:c r="N190" s="31" t="str">
        <x:v>N</x:v>
      </x:c>
      <x:c r="O190" s="31" t="str">
        <x:v>Win</x:v>
      </x:c>
      <x:c r="P190" s="31" t="n">
        <x:v>1</x:v>
      </x:c>
      <x:c r="Q190" s="31" t="n">
        <x:v>3</x:v>
      </x:c>
      <x:c r="R190" s="31" t="n">
        <x:v>0</x:v>
      </x:c>
      <x:c r="S190" s="31"/>
      <x:c r="T190" s="31"/>
      <x:c r="U190" s="31" t="str">
        <x:v>Convergence with hit sheet; strong candidate for HRR-vs-hit paired test.</x:v>
      </x:c>
      <x:c r="V190" s="31" t="str">
        <x:v>Vaughn: 2 H + 0 R + 1 RBI = 3 HRR. Original control leg cleared.</x:v>
      </x:c>
      <x:c r="W190" s="31"/>
      <x:c r="X190" s="31"/>
      <x:c r="Y190" s="31"/>
      <x:c r="Z190" s="31"/>
    </x:row>
    <x:row r="191">
      <x:c r="A191" s="31" t="str">
        <x:v>2026-08-27</x:v>
      </x:c>
      <x:c r="B191" s="31" t="str">
        <x:v>A27-R38</x:v>
      </x:c>
      <x:c r="C191" s="31" t="str">
        <x:v>SOURCED</x:v>
      </x:c>
      <x:c r="D191" s="31" t="str">
        <x:v>Source HRR SGP+</x:v>
      </x:c>
      <x:c r="E191" s="31" t="str">
        <x:v>MLB</x:v>
      </x:c>
      <x:c r="F191" s="31" t="str">
        <x:v>COL @ WSH</x:v>
      </x:c>
      <x:c r="G191" s="31" t="str">
        <x:v>Jake McCarthy</x:v>
      </x:c>
      <x:c r="H191" s="31" t="str">
        <x:v>H+R+RBI</x:v>
      </x:c>
      <x:c r="I191" s="31" t="str">
        <x:v>2+ H+R+RBI</x:v>
      </x:c>
      <x:c r="J191" s="31" t="n">
        <x:v>2</x:v>
      </x:c>
      <x:c r="K191" s="31" t="n">
        <x:v>-134</x:v>
      </x:c>
      <x:c r="L191" s="31" t="n">
        <x:v>0.5726495726495726</x:v>
      </x:c>
      <x:c r="M191" s="31" t="str">
        <x:v>RESEARCH_POOL</x:v>
      </x:c>
      <x:c r="N191" s="31" t="str">
        <x:v>N</x:v>
      </x:c>
      <x:c r="O191" s="31" t="str">
        <x:v>Pending</x:v>
      </x:c>
      <x:c r="P191" s="31"/>
      <x:c r="Q191" s="31"/>
      <x:c r="R191" s="31" t="n">
        <x:v>0</x:v>
      </x:c>
      <x:c r="S191" s="31"/>
      <x:c r="T191" s="31"/>
      <x:c r="U191" s="31" t="str">
        <x:v>Good environment; compare to broad F5 environment bets.</x:v>
      </x:c>
      <x:c r="V191" s="31" t="str">
        <x:v>Source individual price -134.</x:v>
      </x:c>
      <x:c r="W191" s="31"/>
      <x:c r="X191" s="31"/>
      <x:c r="Y191" s="31"/>
      <x:c r="Z191" s="31"/>
    </x:row>
    <x:row r="192">
      <x:c r="A192" s="31" t="str">
        <x:v>2026-08-27</x:v>
      </x:c>
      <x:c r="B192" s="31" t="str">
        <x:v>A27-R39</x:v>
      </x:c>
      <x:c r="C192" s="31" t="str">
        <x:v>SOURCED</x:v>
      </x:c>
      <x:c r="D192" s="31" t="str">
        <x:v>Source HRR SGP+</x:v>
      </x:c>
      <x:c r="E192" s="31" t="str">
        <x:v>MLB</x:v>
      </x:c>
      <x:c r="F192" s="31" t="str">
        <x:v>BAL @ STL</x:v>
      </x:c>
      <x:c r="G192" s="31" t="str">
        <x:v>Pete Alonso</x:v>
      </x:c>
      <x:c r="H192" s="31" t="str">
        <x:v>H+R+RBI</x:v>
      </x:c>
      <x:c r="I192" s="31" t="str">
        <x:v>2+ H+R+RBI</x:v>
      </x:c>
      <x:c r="J192" s="31" t="n">
        <x:v>2</x:v>
      </x:c>
      <x:c r="K192" s="31" t="n">
        <x:v>-134</x:v>
      </x:c>
      <x:c r="L192" s="31" t="n">
        <x:v>0.5726495726495726</x:v>
      </x:c>
      <x:c r="M192" s="31" t="str">
        <x:v>RESEARCH_POOL</x:v>
      </x:c>
      <x:c r="N192" s="31" t="str">
        <x:v>N</x:v>
      </x:c>
      <x:c r="O192" s="31" t="str">
        <x:v>Pending</x:v>
      </x:c>
      <x:c r="P192" s="31"/>
      <x:c r="Q192" s="31"/>
      <x:c r="R192" s="31" t="n">
        <x:v>0</x:v>
      </x:c>
      <x:c r="S192" s="31"/>
      <x:c r="T192" s="31"/>
      <x:c r="U192" s="31" t="str">
        <x:v>Source HRR candidate; right-handed bat vs Trevor Rogers but strong pitcher quality.</x:v>
      </x:c>
      <x:c r="V192" s="31" t="str">
        <x:v>Source individual price -134.</x:v>
      </x:c>
      <x:c r="W192" s="31"/>
      <x:c r="X192" s="31"/>
      <x:c r="Y192" s="31"/>
      <x:c r="Z192" s="31"/>
    </x:row>
    <x:row r="193">
      <x:c r="A193" s="31" t="str">
        <x:v>2026-08-27</x:v>
      </x:c>
      <x:c r="B193" s="31" t="str">
        <x:v>A27-R40</x:v>
      </x:c>
      <x:c r="C193" s="31" t="str">
        <x:v>SOURCED</x:v>
      </x:c>
      <x:c r="D193" s="31" t="str">
        <x:v>Source HRR SGP+</x:v>
      </x:c>
      <x:c r="E193" s="31" t="str">
        <x:v>MLB</x:v>
      </x:c>
      <x:c r="F193" s="31" t="str">
        <x:v>ARI @ SF</x:v>
      </x:c>
      <x:c r="G193" s="31" t="str">
        <x:v>Rafael Devers</x:v>
      </x:c>
      <x:c r="H193" s="31" t="str">
        <x:v>H+R+RBI</x:v>
      </x:c>
      <x:c r="I193" s="31" t="str">
        <x:v>2+ H+R+RBI</x:v>
      </x:c>
      <x:c r="J193" s="31" t="n">
        <x:v>2</x:v>
      </x:c>
      <x:c r="K193" s="31" t="n">
        <x:v>-109</x:v>
      </x:c>
      <x:c r="L193" s="31" t="n">
        <x:v>0.5215311004784688</x:v>
      </x:c>
      <x:c r="M193" s="31" t="str">
        <x:v>RESEARCH_POOL</x:v>
      </x:c>
      <x:c r="N193" s="31" t="str">
        <x:v>N</x:v>
      </x:c>
      <x:c r="O193" s="31" t="str">
        <x:v>Pending</x:v>
      </x:c>
      <x:c r="P193" s="31"/>
      <x:c r="Q193" s="31"/>
      <x:c r="R193" s="31" t="n">
        <x:v>0</x:v>
      </x:c>
      <x:c r="S193" s="31"/>
      <x:c r="T193" s="31"/>
      <x:c r="U193" s="31" t="str">
        <x:v>Strong recent form but verify actual matchup/team listing; source graphic may contain stale/mismatched labels.</x:v>
      </x:c>
      <x:c r="V193" s="31" t="str">
        <x:v>Source individual price -109.</x:v>
      </x:c>
      <x:c r="W193" s="31"/>
      <x:c r="X193" s="31"/>
      <x:c r="Y193" s="31"/>
      <x:c r="Z193" s="31"/>
    </x:row>
    <x:row r="194">
      <x:c r="A194" s="31" t="str">
        <x:v>2026-08-27</x:v>
      </x:c>
      <x:c r="B194" s="31" t="str">
        <x:v>A27-R41</x:v>
      </x:c>
      <x:c r="C194" s="31" t="str">
        <x:v>SOURCED</x:v>
      </x:c>
      <x:c r="D194" s="31" t="str">
        <x:v>UDLR 3-Pack</x:v>
      </x:c>
      <x:c r="E194" s="31" t="str">
        <x:v>MLB</x:v>
      </x:c>
      <x:c r="F194" s="31" t="str">
        <x:v>LAD @ ATL</x:v>
      </x:c>
      <x:c r="G194" s="31" t="str">
        <x:v>Mookie Betts</x:v>
      </x:c>
      <x:c r="H194" s="31" t="str">
        <x:v>2+ Total Bases</x:v>
      </x:c>
      <x:c r="I194" s="31" t="str">
        <x:v>Over 1.5 TB</x:v>
      </x:c>
      <x:c r="J194" s="31" t="n">
        <x:v>1.5</x:v>
      </x:c>
      <x:c r="K194" s="31" t="n">
        <x:v>150</x:v>
      </x:c>
      <x:c r="L194" s="31" t="n">
        <x:v>0.4</x:v>
      </x:c>
      <x:c r="M194" s="31" t="str">
        <x:v>RESEARCH_POOL</x:v>
      </x:c>
      <x:c r="N194" s="31" t="str">
        <x:v>N</x:v>
      </x:c>
      <x:c r="O194" s="31" t="str">
        <x:v>Pending</x:v>
      </x:c>
      <x:c r="P194" s="31"/>
      <x:c r="Q194" s="31"/>
      <x:c r="R194" s="31" t="n">
        <x:v>0</x:v>
      </x:c>
      <x:c r="S194" s="31"/>
      <x:c r="T194" s="31"/>
      <x:c r="U194" s="31" t="str">
        <x:v>EXP-03/06: TB threshold candidate in elite-pitcher matchup.</x:v>
      </x:c>
      <x:c r="V194" s="31" t="str">
        <x:v>Source +150.</x:v>
      </x:c>
      <x:c r="W194" s="31"/>
      <x:c r="X194" s="31"/>
      <x:c r="Y194" s="31"/>
      <x:c r="Z194" s="31"/>
    </x:row>
    <x:row r="195">
      <x:c r="A195" s="31" t="str">
        <x:v>2026-08-27</x:v>
      </x:c>
      <x:c r="B195" s="31" t="str">
        <x:v>A27-R42</x:v>
      </x:c>
      <x:c r="C195" s="31" t="str">
        <x:v>SOURCED</x:v>
      </x:c>
      <x:c r="D195" s="31" t="str">
        <x:v>UDLR 3-Pack</x:v>
      </x:c>
      <x:c r="E195" s="31" t="str">
        <x:v>MLB</x:v>
      </x:c>
      <x:c r="F195" s="31" t="str">
        <x:v>ARI @ SF</x:v>
      </x:c>
      <x:c r="G195" s="31" t="str">
        <x:v>Corbin Carroll</x:v>
      </x:c>
      <x:c r="H195" s="31" t="str">
        <x:v>H+R+RBI</x:v>
      </x:c>
      <x:c r="I195" s="31" t="str">
        <x:v>Over 1.5 H+R+RBI</x:v>
      </x:c>
      <x:c r="J195" s="31" t="n">
        <x:v>1.5</x:v>
      </x:c>
      <x:c r="K195" s="31" t="n">
        <x:v>-125</x:v>
      </x:c>
      <x:c r="L195" s="31" t="n">
        <x:v>0.5555555555555556</x:v>
      </x:c>
      <x:c r="M195" s="31" t="str">
        <x:v>RESEARCH_POOL</x:v>
      </x:c>
      <x:c r="N195" s="31" t="str">
        <x:v>N</x:v>
      </x:c>
      <x:c r="O195" s="31" t="str">
        <x:v>Pending</x:v>
      </x:c>
      <x:c r="P195" s="31"/>
      <x:c r="Q195" s="31"/>
      <x:c r="R195" s="31" t="n">
        <x:v>0</x:v>
      </x:c>
      <x:c r="S195" s="31"/>
      <x:c r="T195" s="31"/>
      <x:c r="U195" s="31" t="str">
        <x:v>Composite hitter candidate; fits our HRR testing emphasis.</x:v>
      </x:c>
      <x:c r="V195" s="31" t="str">
        <x:v>Source -125.</x:v>
      </x:c>
      <x:c r="W195" s="31"/>
      <x:c r="X195" s="31"/>
      <x:c r="Y195" s="31"/>
      <x:c r="Z195" s="31"/>
    </x:row>
    <x:row r="196">
      <x:c r="A196" s="31" t="str">
        <x:v>2026-08-27</x:v>
      </x:c>
      <x:c r="B196" s="31" t="str">
        <x:v>A27-R43</x:v>
      </x:c>
      <x:c r="C196" s="31" t="str">
        <x:v>SOURCED</x:v>
      </x:c>
      <x:c r="D196" s="31" t="str">
        <x:v>UDLR 3-Pack</x:v>
      </x:c>
      <x:c r="E196" s="31" t="str">
        <x:v>MLB</x:v>
      </x:c>
      <x:c r="F196" s="31" t="str">
        <x:v>MIL @ NYM</x:v>
      </x:c>
      <x:c r="G196" s="31" t="str">
        <x:v>Jacob Misiorowski</x:v>
      </x:c>
      <x:c r="H196" s="31" t="str">
        <x:v>Pitcher K Over</x:v>
      </x:c>
      <x:c r="I196" s="31" t="str">
        <x:v>Over 8.5 Ks</x:v>
      </x:c>
      <x:c r="J196" s="31" t="n">
        <x:v>8.5</x:v>
      </x:c>
      <x:c r="K196" s="31" t="n">
        <x:v>-115</x:v>
      </x:c>
      <x:c r="L196" s="31" t="n">
        <x:v>0.5348837209302325</x:v>
      </x:c>
      <x:c r="M196" s="31" t="str">
        <x:v>PAPER</x:v>
      </x:c>
      <x:c r="N196" s="31" t="str">
        <x:v>N</x:v>
      </x:c>
      <x:c r="O196" s="31" t="str">
        <x:v>Loss</x:v>
      </x:c>
      <x:c r="P196" s="31" t="n">
        <x:v>0</x:v>
      </x:c>
      <x:c r="Q196" s="31" t="n">
        <x:v>6</x:v>
      </x:c>
      <x:c r="R196" s="31" t="n">
        <x:v>0</x:v>
      </x:c>
      <x:c r="S196" s="31"/>
      <x:c r="T196" s="31" t="str">
        <x:v>bad threshold</x:v>
      </x:c>
      <x:c r="U196" s="31" t="str">
        <x:v>High-priority threshold-inflation test: same pitcher has 6+ 10/10 but independent projection is 7.55 Ks.</x:v>
      </x:c>
      <x:c r="V196" s="31" t="str">
        <x:v>Misiorowski struck out 6 in 6 IP. 6+ floor cleared, but O8.5/9+ threshold failed.</x:v>
      </x:c>
      <x:c r="W196" s="31"/>
      <x:c r="X196" s="31"/>
      <x:c r="Y196" s="31"/>
      <x:c r="Z196" s="31"/>
    </x:row>
    <x:row r="197">
      <x:c r="A197" s="31" t="str">
        <x:v>2026-08-27</x:v>
      </x:c>
      <x:c r="B197" s="31" t="str">
        <x:v>A27-R44</x:v>
      </x:c>
      <x:c r="C197" s="31" t="str">
        <x:v>SOURCED</x:v>
      </x:c>
      <x:c r="D197" s="31" t="str">
        <x:v>Total Base POTD</x:v>
      </x:c>
      <x:c r="E197" s="31" t="str">
        <x:v>MLB</x:v>
      </x:c>
      <x:c r="F197" s="31" t="str">
        <x:v>ARI @ SF</x:v>
      </x:c>
      <x:c r="G197" s="31" t="str">
        <x:v>Rafael Devers</x:v>
      </x:c>
      <x:c r="H197" s="31" t="str">
        <x:v>2+ Total Bases</x:v>
      </x:c>
      <x:c r="I197" s="31" t="str">
        <x:v>Evaluate 2+ TB</x:v>
      </x:c>
      <x:c r="J197" s="31" t="n">
        <x:v>2</x:v>
      </x:c>
      <x:c r="K197" s="31"/>
      <x:c r="L197" s="31"/>
      <x:c r="M197" s="31" t="str">
        <x:v>RESEARCH_POOL</x:v>
      </x:c>
      <x:c r="N197" s="31" t="str">
        <x:v>N</x:v>
      </x:c>
      <x:c r="O197" s="31" t="str">
        <x:v>Pending</x:v>
      </x:c>
      <x:c r="P197" s="31"/>
      <x:c r="Q197" s="31"/>
      <x:c r="R197" s="31" t="n">
        <x:v>0</x:v>
      </x:c>
      <x:c r="S197" s="31"/>
      <x:c r="T197" s="31"/>
      <x:c r="U197" s="31" t="str">
        <x:v>Recent-form-heavy TB lead; do not over-weight three-game heater.</x:v>
      </x:c>
      <x:c r="V197" s="31" t="str">
        <x:v>Source: last 3 .455, 5 H, 3 HR, 3 XBH, 14 TB.</x:v>
      </x:c>
      <x:c r="W197" s="31"/>
      <x:c r="X197" s="31"/>
      <x:c r="Y197" s="31"/>
      <x:c r="Z197" s="31"/>
    </x:row>
    <x:row r="198">
      <x:c r="A198" s="31" t="str">
        <x:v>2026-08-27</x:v>
      </x:c>
      <x:c r="B198" s="31" t="str">
        <x:v>A27-R45</x:v>
      </x:c>
      <x:c r="C198" s="31" t="str">
        <x:v>SOURCED</x:v>
      </x:c>
      <x:c r="D198" s="31" t="str">
        <x:v>WNBA Pick</x:v>
      </x:c>
      <x:c r="E198" s="31" t="str">
        <x:v>WNBA</x:v>
      </x:c>
      <x:c r="F198" s="31" t="str">
        <x:v>WSH @ PHX</x:v>
      </x:c>
      <x:c r="G198" s="31" t="str">
        <x:v>Alyssa Thomas</x:v>
      </x:c>
      <x:c r="H198" s="31" t="str">
        <x:v>Assists</x:v>
      </x:c>
      <x:c r="I198" s="31" t="str">
        <x:v>Over 7.5 assists</x:v>
      </x:c>
      <x:c r="J198" s="31" t="n">
        <x:v>7.5</x:v>
      </x:c>
      <x:c r="K198" s="31" t="n">
        <x:v>-147</x:v>
      </x:c>
      <x:c r="L198" s="31" t="n">
        <x:v>0.5951417004048583</x:v>
      </x:c>
      <x:c r="M198" s="31" t="str">
        <x:v>BET</x:v>
      </x:c>
      <x:c r="N198" s="31" t="str">
        <x:v>Y</x:v>
      </x:c>
      <x:c r="O198" s="31" t="str">
        <x:v>Pending</x:v>
      </x:c>
      <x:c r="P198" s="31"/>
      <x:c r="Q198" s="31"/>
      <x:c r="R198" s="31" t="n">
        <x:v>1</x:v>
      </x:c>
      <x:c r="S198" s="31" t="str">
        <x:v>A27-T04</x:v>
      </x:c>
      <x:c r="T198" s="31"/>
      <x:c r="U198" s="31" t="str">
        <x:v>Assist market chosen over PRA and over the more aggressive 9+ threshold.</x:v>
      </x:c>
      <x:c r="V198" s="31" t="str">
        <x:v>Raw DK price -147; 30% boost produced final effective price -112.</x:v>
      </x:c>
      <x:c r="W198" s="31"/>
      <x:c r="X198" s="31"/>
      <x:c r="Y198" s="31"/>
      <x:c r="Z198" s="31"/>
    </x:row>
    <x:row r="199">
      <x:c r="A199" s="31" t="str">
        <x:v>2026-08-27</x:v>
      </x:c>
      <x:c r="B199" s="31" t="str">
        <x:v>A27-R46</x:v>
      </x:c>
      <x:c r="C199" s="31" t="str">
        <x:v>SOURCED</x:v>
      </x:c>
      <x:c r="D199" s="31" t="str">
        <x:v>MLB Best Bet</x:v>
      </x:c>
      <x:c r="E199" s="31" t="str">
        <x:v>MLB</x:v>
      </x:c>
      <x:c r="F199" s="31" t="str">
        <x:v>ARI @ SF</x:v>
      </x:c>
      <x:c r="G199" s="31" t="str">
        <x:v>Gabriel Moreno</x:v>
      </x:c>
      <x:c r="H199" s="31" t="str">
        <x:v>H+R+RBI</x:v>
      </x:c>
      <x:c r="I199" s="31" t="str">
        <x:v>2+ H+R+RBI</x:v>
      </x:c>
      <x:c r="J199" s="31" t="n">
        <x:v>2</x:v>
      </x:c>
      <x:c r="K199" s="31" t="n">
        <x:v>-150</x:v>
      </x:c>
      <x:c r="L199" s="31" t="n">
        <x:v>0.6</x:v>
      </x:c>
      <x:c r="M199" s="31" t="str">
        <x:v>QUALIFIED_NOT_BET</x:v>
      </x:c>
      <x:c r="N199" s="31" t="str">
        <x:v>N</x:v>
      </x:c>
      <x:c r="O199" s="31" t="str">
        <x:v>Win</x:v>
      </x:c>
      <x:c r="P199" s="31" t="n">
        <x:v>1</x:v>
      </x:c>
      <x:c r="Q199" s="31" t="n">
        <x:v>3</x:v>
      </x:c>
      <x:c r="R199" s="31" t="n">
        <x:v>0</x:v>
      </x:c>
      <x:c r="S199" s="31"/>
      <x:c r="T199" s="31"/>
      <x:c r="U199" s="31" t="str">
        <x:v>High-priority HRR candidate; strong L20 production and Roupp fade.</x:v>
      </x:c>
      <x:c r="V199" s="31" t="str">
        <x:v>Moreno: 1 H + 1 R + 1 RBI = 3 HRR; also homered. Original control leg cleared.</x:v>
      </x:c>
      <x:c r="W199" s="31"/>
      <x:c r="X199" s="31"/>
      <x:c r="Y199" s="31"/>
      <x:c r="Z199" s="31"/>
    </x:row>
    <x:row r="200">
      <x:c r="A200" s="31" t="str">
        <x:v>2026-08-27</x:v>
      </x:c>
      <x:c r="B200" s="31" t="str">
        <x:v>A27-R47</x:v>
      </x:c>
      <x:c r="C200" s="31" t="str">
        <x:v>SOURCED</x:v>
      </x:c>
      <x:c r="D200" s="31" t="str">
        <x:v>WNBA Hit-Rate Board</x:v>
      </x:c>
      <x:c r="E200" s="31" t="str">
        <x:v>WNBA</x:v>
      </x:c>
      <x:c r="F200" s="31" t="str">
        <x:v>GSV @ NYL</x:v>
      </x:c>
      <x:c r="G200" s="31" t="str">
        <x:v>Kiah Stokes</x:v>
      </x:c>
      <x:c r="H200" s="31" t="str">
        <x:v>Rebounds</x:v>
      </x:c>
      <x:c r="I200" s="31" t="str">
        <x:v>4+ rebounds</x:v>
      </x:c>
      <x:c r="J200" s="31" t="n">
        <x:v>4</x:v>
      </x:c>
      <x:c r="K200" s="31"/>
      <x:c r="L200" s="31"/>
      <x:c r="M200" s="31" t="str">
        <x:v>RESEARCH_POOL</x:v>
      </x:c>
      <x:c r="N200" s="31" t="str">
        <x:v>N</x:v>
      </x:c>
      <x:c r="O200" s="31" t="str">
        <x:v>Pending</x:v>
      </x:c>
      <x:c r="P200" s="31"/>
      <x:c r="Q200" s="31"/>
      <x:c r="R200" s="31" t="n">
        <x:v>0</x:v>
      </x:c>
      <x:c r="S200" s="31"/>
      <x:c r="T200" s="31"/>
      <x:c r="U200" s="31" t="str">
        <x:v>10/10 recent floor; role/minutes and matchup verification required.</x:v>
      </x:c>
      <x:c r="V200" s="31" t="str">
        <x:v>Potential low-variance floor candidate.</x:v>
      </x:c>
      <x:c r="W200" s="31"/>
      <x:c r="X200" s="31"/>
      <x:c r="Y200" s="31"/>
      <x:c r="Z200" s="31"/>
    </x:row>
    <x:row r="201">
      <x:c r="A201" s="31" t="str">
        <x:v>2026-08-27</x:v>
      </x:c>
      <x:c r="B201" s="31" t="str">
        <x:v>A27-R48</x:v>
      </x:c>
      <x:c r="C201" s="31" t="str">
        <x:v>SOURCED</x:v>
      </x:c>
      <x:c r="D201" s="31" t="str">
        <x:v>WNBA Hit-Rate Board</x:v>
      </x:c>
      <x:c r="E201" s="31" t="str">
        <x:v>WNBA</x:v>
      </x:c>
      <x:c r="F201" s="31" t="str">
        <x:v>GSV @ NYL</x:v>
      </x:c>
      <x:c r="G201" s="31" t="str">
        <x:v>Veronica Burton</x:v>
      </x:c>
      <x:c r="H201" s="31" t="str">
        <x:v>Points</x:v>
      </x:c>
      <x:c r="I201" s="31" t="str">
        <x:v>10+ points</x:v>
      </x:c>
      <x:c r="J201" s="31" t="n">
        <x:v>10</x:v>
      </x:c>
      <x:c r="K201" s="31"/>
      <x:c r="L201" s="31"/>
      <x:c r="M201" s="31" t="str">
        <x:v>RESEARCH_POOL</x:v>
      </x:c>
      <x:c r="N201" s="31" t="str">
        <x:v>N</x:v>
      </x:c>
      <x:c r="O201" s="31" t="str">
        <x:v>Pending</x:v>
      </x:c>
      <x:c r="P201" s="31"/>
      <x:c r="Q201" s="31"/>
      <x:c r="R201" s="31" t="n">
        <x:v>0</x:v>
      </x:c>
      <x:c r="S201" s="31"/>
      <x:c r="T201" s="31"/>
      <x:c r="U201" s="31" t="str">
        <x:v>9/10 recent; GSV offensive role but NYL matchup context matters.</x:v>
      </x:c>
      <x:c r="V201" s="31" t="str">
        <x:v>Compare points vs assists.</x:v>
      </x:c>
    </x:row>
    <x:row r="202">
      <x:c r="A202" s="31" t="str">
        <x:v>2026-08-27</x:v>
      </x:c>
      <x:c r="B202" s="31" t="str">
        <x:v>A27-R49</x:v>
      </x:c>
      <x:c r="C202" s="31" t="str">
        <x:v>SOURCED</x:v>
      </x:c>
      <x:c r="D202" s="31" t="str">
        <x:v>WNBA Hit-Rate Board</x:v>
      </x:c>
      <x:c r="E202" s="31" t="str">
        <x:v>WNBA</x:v>
      </x:c>
      <x:c r="F202" s="31" t="str">
        <x:v>GSV @ NYL</x:v>
      </x:c>
      <x:c r="G202" s="31" t="str">
        <x:v>Pauline Astier</x:v>
      </x:c>
      <x:c r="H202" s="31" t="str">
        <x:v>Points</x:v>
      </x:c>
      <x:c r="I202" s="31" t="str">
        <x:v>5+ points</x:v>
      </x:c>
      <x:c r="J202" s="31" t="n">
        <x:v>5</x:v>
      </x:c>
      <x:c r="K202" s="31"/>
      <x:c r="L202" s="31"/>
      <x:c r="M202" s="31" t="str">
        <x:v>RESEARCH_POOL</x:v>
      </x:c>
      <x:c r="N202" s="31" t="str">
        <x:v>N</x:v>
      </x:c>
      <x:c r="O202" s="31" t="str">
        <x:v>Pending</x:v>
      </x:c>
      <x:c r="P202" s="31"/>
      <x:c r="Q202" s="31"/>
      <x:c r="R202" s="31" t="n">
        <x:v>0</x:v>
      </x:c>
      <x:c r="S202" s="31"/>
      <x:c r="T202" s="31"/>
      <x:c r="U202" s="31" t="str">
        <x:v>9/10 recent low threshold; must verify minutes.</x:v>
      </x:c>
      <x:c r="V202" s="31" t="str">
        <x:v>Floor candidate only.</x:v>
      </x:c>
    </x:row>
    <x:row r="203">
      <x:c r="A203" s="31" t="str">
        <x:v>2026-08-27</x:v>
      </x:c>
      <x:c r="B203" s="31" t="str">
        <x:v>A27-R50</x:v>
      </x:c>
      <x:c r="C203" s="31" t="str">
        <x:v>SOURCED</x:v>
      </x:c>
      <x:c r="D203" s="31" t="str">
        <x:v>WNBA Hit-Rate Board</x:v>
      </x:c>
      <x:c r="E203" s="31" t="str">
        <x:v>WNBA</x:v>
      </x:c>
      <x:c r="F203" s="31" t="str">
        <x:v>GSV @ NYL</x:v>
      </x:c>
      <x:c r="G203" s="31" t="str">
        <x:v>Sabrina Ionescu</x:v>
      </x:c>
      <x:c r="H203" s="31" t="str">
        <x:v>Assists</x:v>
      </x:c>
      <x:c r="I203" s="31" t="str">
        <x:v>4+ assists</x:v>
      </x:c>
      <x:c r="J203" s="31" t="n">
        <x:v>4</x:v>
      </x:c>
      <x:c r="K203" s="31"/>
      <x:c r="L203" s="31"/>
      <x:c r="M203" s="31" t="str">
        <x:v>RESEARCH_POOL</x:v>
      </x:c>
      <x:c r="N203" s="31" t="str">
        <x:v>N</x:v>
      </x:c>
      <x:c r="O203" s="31" t="str">
        <x:v>Pending</x:v>
      </x:c>
      <x:c r="P203" s="31"/>
      <x:c r="Q203" s="31"/>
      <x:c r="R203" s="31" t="n">
        <x:v>0</x:v>
      </x:c>
      <x:c r="S203" s="31"/>
      <x:c r="T203" s="31"/>
      <x:c r="U203" s="31" t="str">
        <x:v>9/10 recent; healthy now and GSV defense pushes creation decisions.</x:v>
      </x:c>
      <x:c r="V203" s="31" t="str">
        <x:v>Potential floor candidate; compare alternate assists prices.</x:v>
      </x:c>
    </x:row>
    <x:row r="204">
      <x:c r="A204" s="31" t="str">
        <x:v>2026-08-27</x:v>
      </x:c>
      <x:c r="B204" s="31" t="str">
        <x:v>A27-R51</x:v>
      </x:c>
      <x:c r="C204" s="31" t="str">
        <x:v>SOURCED</x:v>
      </x:c>
      <x:c r="D204" s="31" t="str">
        <x:v>WNBA Hit-Rate Board</x:v>
      </x:c>
      <x:c r="E204" s="31" t="str">
        <x:v>WNBA</x:v>
      </x:c>
      <x:c r="F204" s="31" t="str">
        <x:v>GSV @ NYL</x:v>
      </x:c>
      <x:c r="G204" s="31" t="str">
        <x:v>Jonquel Jones</x:v>
      </x:c>
      <x:c r="H204" s="31" t="str">
        <x:v>Assists</x:v>
      </x:c>
      <x:c r="I204" s="31" t="str">
        <x:v>2+ assists</x:v>
      </x:c>
      <x:c r="J204" s="31" t="n">
        <x:v>2</x:v>
      </x:c>
      <x:c r="K204" s="31"/>
      <x:c r="L204" s="31"/>
      <x:c r="M204" s="31" t="str">
        <x:v>RESEARCH_POOL</x:v>
      </x:c>
      <x:c r="N204" s="31" t="str">
        <x:v>N</x:v>
      </x:c>
      <x:c r="O204" s="31" t="str">
        <x:v>Pending</x:v>
      </x:c>
      <x:c r="P204" s="31"/>
      <x:c r="Q204" s="31"/>
      <x:c r="R204" s="31" t="n">
        <x:v>0</x:v>
      </x:c>
      <x:c r="S204" s="31"/>
      <x:c r="T204" s="31"/>
      <x:c r="U204" s="31" t="str">
        <x:v>9/10 recent low threshold.</x:v>
      </x:c>
      <x:c r="V204" s="31" t="str">
        <x:v>Needs price to avoid overpaying for floor.</x:v>
      </x:c>
    </x:row>
    <x:row r="205">
      <x:c r="A205" s="31" t="str">
        <x:v>2026-08-27</x:v>
      </x:c>
      <x:c r="B205" s="31" t="str">
        <x:v>A27-R52</x:v>
      </x:c>
      <x:c r="C205" s="31" t="str">
        <x:v>SOURCED</x:v>
      </x:c>
      <x:c r="D205" s="31" t="str">
        <x:v>WNBA Hit-Rate Board</x:v>
      </x:c>
      <x:c r="E205" s="31" t="str">
        <x:v>WNBA</x:v>
      </x:c>
      <x:c r="F205" s="31" t="str">
        <x:v>GSV @ NYL</x:v>
      </x:c>
      <x:c r="G205" s="31" t="str">
        <x:v>Veronica Burton</x:v>
      </x:c>
      <x:c r="H205" s="31" t="str">
        <x:v>Threes</x:v>
      </x:c>
      <x:c r="I205" s="31" t="str">
        <x:v>1+ three</x:v>
      </x:c>
      <x:c r="J205" s="31" t="n">
        <x:v>1</x:v>
      </x:c>
      <x:c r="K205" s="31"/>
      <x:c r="L205" s="31"/>
      <x:c r="M205" s="31" t="str">
        <x:v>RESEARCH_POOL</x:v>
      </x:c>
      <x:c r="N205" s="31" t="str">
        <x:v>N</x:v>
      </x:c>
      <x:c r="O205" s="31" t="str">
        <x:v>Pending</x:v>
      </x:c>
      <x:c r="P205" s="31"/>
      <x:c r="Q205" s="31"/>
      <x:c r="R205" s="31" t="n">
        <x:v>0</x:v>
      </x:c>
      <x:c r="S205" s="31"/>
      <x:c r="T205" s="31"/>
      <x:c r="U205" s="31" t="str">
        <x:v>9/10 recent; current 2+ line around +108 elsewhere, so 1+ may be heavily juiced.</x:v>
      </x:c>
      <x:c r="V205" s="31" t="str">
        <x:v>Check exact DK price.</x:v>
      </x:c>
    </x:row>
    <x:row r="206">
      <x:c r="A206" s="31" t="str">
        <x:v>2026-08-27</x:v>
      </x:c>
      <x:c r="B206" s="31" t="str">
        <x:v>A27-R53</x:v>
      </x:c>
      <x:c r="C206" s="31" t="str">
        <x:v>SOURCED</x:v>
      </x:c>
      <x:c r="D206" s="31" t="str">
        <x:v>WNBA Hit-Rate Board</x:v>
      </x:c>
      <x:c r="E206" s="31" t="str">
        <x:v>WNBA</x:v>
      </x:c>
      <x:c r="F206" s="31" t="str">
        <x:v>GSV @ NYL</x:v>
      </x:c>
      <x:c r="G206" s="31" t="str">
        <x:v>Sabrina Ionescu</x:v>
      </x:c>
      <x:c r="H206" s="31" t="str">
        <x:v>Points</x:v>
      </x:c>
      <x:c r="I206" s="31" t="str">
        <x:v>15+ points</x:v>
      </x:c>
      <x:c r="J206" s="31" t="n">
        <x:v>15</x:v>
      </x:c>
      <x:c r="K206" s="31" t="n">
        <x:v>-209</x:v>
      </x:c>
      <x:c r="L206" s="31" t="n">
        <x:v>0.6763754045307443</x:v>
      </x:c>
      <x:c r="M206" s="31" t="str">
        <x:v>RESEARCH_POOL</x:v>
      </x:c>
      <x:c r="N206" s="31" t="str">
        <x:v>N</x:v>
      </x:c>
      <x:c r="O206" s="31" t="str">
        <x:v>Pending</x:v>
      </x:c>
      <x:c r="P206" s="31"/>
      <x:c r="Q206" s="31"/>
      <x:c r="R206" s="31" t="n">
        <x:v>0</x:v>
      </x:c>
      <x:c r="S206" s="31"/>
      <x:c r="T206" s="31"/>
      <x:c r="U206" s="31" t="str">
        <x:v>8/10 recent; market shows high price and GSV has held NYL to season-low outputs twice.</x:v>
      </x:c>
      <x:c r="V206" s="31" t="str">
        <x:v>Not preferred for boost vs Thomas assists.</x:v>
      </x:c>
    </x:row>
    <x:row r="207">
      <x:c r="A207" s="31" t="str">
        <x:v>2026-08-27</x:v>
      </x:c>
      <x:c r="B207" s="31" t="str">
        <x:v>A27-R54</x:v>
      </x:c>
      <x:c r="C207" s="31" t="str">
        <x:v>SOURCED</x:v>
      </x:c>
      <x:c r="D207" s="31" t="str">
        <x:v>WNBA Hit-Rate Board</x:v>
      </x:c>
      <x:c r="E207" s="31" t="str">
        <x:v>WNBA</x:v>
      </x:c>
      <x:c r="F207" s="31" t="str">
        <x:v>GSV @ NYL</x:v>
      </x:c>
      <x:c r="G207" s="31" t="str">
        <x:v>Janelle Salaun</x:v>
      </x:c>
      <x:c r="H207" s="31" t="str">
        <x:v>Points</x:v>
      </x:c>
      <x:c r="I207" s="31" t="str">
        <x:v>10+ points</x:v>
      </x:c>
      <x:c r="J207" s="31" t="n">
        <x:v>10</x:v>
      </x:c>
      <x:c r="K207" s="31"/>
      <x:c r="L207" s="31"/>
      <x:c r="M207" s="31" t="str">
        <x:v>RESEARCH_POOL</x:v>
      </x:c>
      <x:c r="N207" s="31" t="str">
        <x:v>N</x:v>
      </x:c>
      <x:c r="O207" s="31" t="str">
        <x:v>Pending</x:v>
      </x:c>
      <x:c r="P207" s="31"/>
      <x:c r="Q207" s="31"/>
      <x:c r="R207" s="31" t="n">
        <x:v>0</x:v>
      </x:c>
      <x:c r="S207" s="31"/>
      <x:c r="T207" s="31"/>
      <x:c r="U207" s="31" t="str">
        <x:v>8/10 recent; current O12.5 has under lean elsewhere.</x:v>
      </x:c>
      <x:c r="V207" s="31" t="str">
        <x:v>10+ floor may still be viable if price modest.</x:v>
      </x:c>
    </x:row>
    <x:row r="208">
      <x:c r="A208" s="31" t="str">
        <x:v>2026-08-27</x:v>
      </x:c>
      <x:c r="B208" s="31" t="str">
        <x:v>A27-R55</x:v>
      </x:c>
      <x:c r="C208" s="31" t="str">
        <x:v>SOURCED</x:v>
      </x:c>
      <x:c r="D208" s="31" t="str">
        <x:v>WNBA Hit-Rate Board</x:v>
      </x:c>
      <x:c r="E208" s="31" t="str">
        <x:v>WNBA</x:v>
      </x:c>
      <x:c r="F208" s="31" t="str">
        <x:v>GSV @ NYL</x:v>
      </x:c>
      <x:c r="G208" s="31" t="str">
        <x:v>Gabby Williams</x:v>
      </x:c>
      <x:c r="H208" s="31" t="str">
        <x:v>Points</x:v>
      </x:c>
      <x:c r="I208" s="31" t="str">
        <x:v>10+ points</x:v>
      </x:c>
      <x:c r="J208" s="31" t="n">
        <x:v>10</x:v>
      </x:c>
      <x:c r="K208" s="31"/>
      <x:c r="L208" s="31"/>
      <x:c r="M208" s="31" t="str">
        <x:v>RESEARCH_POOL</x:v>
      </x:c>
      <x:c r="N208" s="31" t="str">
        <x:v>N</x:v>
      </x:c>
      <x:c r="O208" s="31" t="str">
        <x:v>Pending</x:v>
      </x:c>
      <x:c r="P208" s="31"/>
      <x:c r="Q208" s="31"/>
      <x:c r="R208" s="31" t="n">
        <x:v>0</x:v>
      </x:c>
      <x:c r="S208" s="31"/>
      <x:c r="T208" s="31"/>
      <x:c r="U208" s="31" t="str">
        <x:v>8/10 recent.</x:v>
      </x:c>
      <x:c r="V208" s="31" t="str">
        <x:v>Compare to O13.5 -114 market before deciding.</x:v>
      </x:c>
    </x:row>
    <x:row r="209">
      <x:c r="A209" s="31" t="str">
        <x:v>2026-08-27</x:v>
      </x:c>
      <x:c r="B209" s="31" t="str">
        <x:v>A27-R56</x:v>
      </x:c>
      <x:c r="C209" s="31" t="str">
        <x:v>SOURCED</x:v>
      </x:c>
      <x:c r="D209" s="31" t="str">
        <x:v>WNBA Hit-Rate Board</x:v>
      </x:c>
      <x:c r="E209" s="31" t="str">
        <x:v>WNBA</x:v>
      </x:c>
      <x:c r="F209" s="31" t="str">
        <x:v>GSV @ NYL</x:v>
      </x:c>
      <x:c r="G209" s="31" t="str">
        <x:v>Jonquel Jones</x:v>
      </x:c>
      <x:c r="H209" s="31" t="str">
        <x:v>Points</x:v>
      </x:c>
      <x:c r="I209" s="31" t="str">
        <x:v>10+ points</x:v>
      </x:c>
      <x:c r="J209" s="31" t="n">
        <x:v>10</x:v>
      </x:c>
      <x:c r="K209" s="31"/>
      <x:c r="L209" s="31"/>
      <x:c r="M209" s="31" t="str">
        <x:v>RESEARCH_POOL</x:v>
      </x:c>
      <x:c r="N209" s="31" t="str">
        <x:v>N</x:v>
      </x:c>
      <x:c r="O209" s="31" t="str">
        <x:v>Pending</x:v>
      </x:c>
      <x:c r="P209" s="31"/>
      <x:c r="Q209" s="31"/>
      <x:c r="R209" s="31" t="n">
        <x:v>0</x:v>
      </x:c>
      <x:c r="S209" s="31"/>
      <x:c r="T209" s="31"/>
      <x:c r="U209" s="31" t="str">
        <x:v>8/10 recent; 12+ around -217 to -243 elsewhere.</x:v>
      </x:c>
      <x:c r="V209" s="31" t="str">
        <x:v>Likely expensive floor.</x:v>
      </x:c>
    </x:row>
    <x:row r="210">
      <x:c r="A210" s="31" t="str">
        <x:v>2026-08-27</x:v>
      </x:c>
      <x:c r="B210" s="31" t="str">
        <x:v>A27-R57</x:v>
      </x:c>
      <x:c r="C210" s="31" t="str">
        <x:v>SOURCED</x:v>
      </x:c>
      <x:c r="D210" s="31" t="str">
        <x:v>WNBA Hit-Rate Board</x:v>
      </x:c>
      <x:c r="E210" s="31" t="str">
        <x:v>WNBA</x:v>
      </x:c>
      <x:c r="F210" s="31" t="str">
        <x:v>GSV @ NYL</x:v>
      </x:c>
      <x:c r="G210" s="31" t="str">
        <x:v>Janelle Salaun</x:v>
      </x:c>
      <x:c r="H210" s="31" t="str">
        <x:v>Threes</x:v>
      </x:c>
      <x:c r="I210" s="31" t="str">
        <x:v>2+ threes</x:v>
      </x:c>
      <x:c r="J210" s="31" t="n">
        <x:v>2</x:v>
      </x:c>
      <x:c r="K210" s="31"/>
      <x:c r="L210" s="31"/>
      <x:c r="M210" s="31" t="str">
        <x:v>RESEARCH_POOL</x:v>
      </x:c>
      <x:c r="N210" s="31" t="str">
        <x:v>N</x:v>
      </x:c>
      <x:c r="O210" s="31" t="str">
        <x:v>Pending</x:v>
      </x:c>
      <x:c r="P210" s="31"/>
      <x:c r="Q210" s="31"/>
      <x:c r="R210" s="31" t="n">
        <x:v>0</x:v>
      </x:c>
      <x:c r="S210" s="31"/>
      <x:c r="T210" s="31"/>
      <x:c r="U210" s="31" t="str">
        <x:v>8/10 recent.</x:v>
      </x:c>
      <x:c r="V210" s="31" t="str">
        <x:v>Higher-variance than points floor.</x:v>
      </x:c>
    </x:row>
    <x:row r="211">
      <x:c r="A211" s="31" t="str">
        <x:v>2026-08-27</x:v>
      </x:c>
      <x:c r="B211" s="31" t="str">
        <x:v>A27-R58</x:v>
      </x:c>
      <x:c r="C211" s="31" t="str">
        <x:v>SOURCED</x:v>
      </x:c>
      <x:c r="D211" s="31" t="str">
        <x:v>WNBA Hit-Rate Board</x:v>
      </x:c>
      <x:c r="E211" s="31" t="str">
        <x:v>WNBA</x:v>
      </x:c>
      <x:c r="F211" s="31" t="str">
        <x:v>GSV @ NYL</x:v>
      </x:c>
      <x:c r="G211" s="31" t="str">
        <x:v>Marine Johannes</x:v>
      </x:c>
      <x:c r="H211" s="31" t="str">
        <x:v>Threes</x:v>
      </x:c>
      <x:c r="I211" s="31" t="str">
        <x:v>1+ three</x:v>
      </x:c>
      <x:c r="J211" s="31" t="n">
        <x:v>1</x:v>
      </x:c>
      <x:c r="K211" s="31"/>
      <x:c r="L211" s="31"/>
      <x:c r="M211" s="31" t="str">
        <x:v>RESEARCH_POOL</x:v>
      </x:c>
      <x:c r="N211" s="31" t="str">
        <x:v>N</x:v>
      </x:c>
      <x:c r="O211" s="31" t="str">
        <x:v>Pending</x:v>
      </x:c>
      <x:c r="P211" s="31"/>
      <x:c r="Q211" s="31"/>
      <x:c r="R211" s="31" t="n">
        <x:v>0</x:v>
      </x:c>
      <x:c r="S211" s="31"/>
      <x:c r="T211" s="31"/>
      <x:c r="U211" s="31" t="str">
        <x:v>8/10 recent.</x:v>
      </x:c>
      <x:c r="V211" s="31" t="str">
        <x:v>Role/minutes check required.</x:v>
      </x:c>
    </x:row>
    <x:row r="212">
      <x:c r="A212" s="31" t="str">
        <x:v>2026-08-27</x:v>
      </x:c>
      <x:c r="B212" s="31" t="str">
        <x:v>A27-R59</x:v>
      </x:c>
      <x:c r="C212" s="31" t="str">
        <x:v>SOURCED</x:v>
      </x:c>
      <x:c r="D212" s="31" t="str">
        <x:v>WNBA Hit-Rate Board</x:v>
      </x:c>
      <x:c r="E212" s="31" t="str">
        <x:v>WNBA</x:v>
      </x:c>
      <x:c r="F212" s="31" t="str">
        <x:v>GSV @ NYL</x:v>
      </x:c>
      <x:c r="G212" s="31" t="str">
        <x:v>Leonie Fiebich</x:v>
      </x:c>
      <x:c r="H212" s="31" t="str">
        <x:v>Threes</x:v>
      </x:c>
      <x:c r="I212" s="31" t="str">
        <x:v>1+ three</x:v>
      </x:c>
      <x:c r="J212" s="31" t="n">
        <x:v>1</x:v>
      </x:c>
      <x:c r="K212" s="31"/>
      <x:c r="L212" s="31"/>
      <x:c r="M212" s="31" t="str">
        <x:v>RESEARCH_POOL</x:v>
      </x:c>
      <x:c r="N212" s="31" t="str">
        <x:v>N</x:v>
      </x:c>
      <x:c r="O212" s="31" t="str">
        <x:v>Pending</x:v>
      </x:c>
      <x:c r="P212" s="31"/>
      <x:c r="Q212" s="31"/>
      <x:c r="R212" s="31" t="n">
        <x:v>0</x:v>
      </x:c>
      <x:c r="S212" s="31"/>
      <x:c r="T212" s="31"/>
      <x:c r="U212" s="31" t="str">
        <x:v>8/10 recent.</x:v>
      </x:c>
      <x:c r="V212" s="31" t="str">
        <x:v>Role/minutes check required.</x:v>
      </x:c>
    </x:row>
    <x:row r="213">
      <x:c r="A213" s="31" t="str">
        <x:v>2026-08-27</x:v>
      </x:c>
      <x:c r="B213" s="31" t="str">
        <x:v>A27-R60</x:v>
      </x:c>
      <x:c r="C213" s="31" t="str">
        <x:v>SOURCED</x:v>
      </x:c>
      <x:c r="D213" s="31" t="str">
        <x:v>WNBA Hit-Rate Board</x:v>
      </x:c>
      <x:c r="E213" s="31" t="str">
        <x:v>WNBA</x:v>
      </x:c>
      <x:c r="F213" s="31" t="str">
        <x:v>WSH @ PHX</x:v>
      </x:c>
      <x:c r="G213" s="31" t="str">
        <x:v>Shakira Austin</x:v>
      </x:c>
      <x:c r="H213" s="31" t="str">
        <x:v>Points</x:v>
      </x:c>
      <x:c r="I213" s="31" t="str">
        <x:v>15+ points</x:v>
      </x:c>
      <x:c r="J213" s="31" t="n">
        <x:v>15</x:v>
      </x:c>
      <x:c r="K213" s="31"/>
      <x:c r="L213" s="31"/>
      <x:c r="M213" s="31" t="str">
        <x:v>RESEARCH_POOL</x:v>
      </x:c>
      <x:c r="N213" s="31" t="str">
        <x:v>N</x:v>
      </x:c>
      <x:c r="O213" s="31" t="str">
        <x:v>Pending</x:v>
      </x:c>
      <x:c r="P213" s="31"/>
      <x:c r="Q213" s="31"/>
      <x:c r="R213" s="31" t="n">
        <x:v>0</x:v>
      </x:c>
      <x:c r="S213" s="31"/>
      <x:c r="T213" s="31"/>
      <x:c r="U213" s="31" t="str">
        <x:v>9/10 recent; current O17.5 around -110 elsewhere.</x:v>
      </x:c>
      <x:c r="V213" s="31" t="str">
        <x:v>15+ is a safer threshold; compare price.</x:v>
      </x:c>
    </x:row>
    <x:row r="214">
      <x:c r="A214" s="31" t="str">
        <x:v>2026-08-27</x:v>
      </x:c>
      <x:c r="B214" s="31" t="str">
        <x:v>A27-R61</x:v>
      </x:c>
      <x:c r="C214" s="31" t="str">
        <x:v>SOURCED</x:v>
      </x:c>
      <x:c r="D214" s="31" t="str">
        <x:v>WNBA Hit-Rate Board</x:v>
      </x:c>
      <x:c r="E214" s="31" t="str">
        <x:v>WNBA</x:v>
      </x:c>
      <x:c r="F214" s="31" t="str">
        <x:v>WSH @ PHX</x:v>
      </x:c>
      <x:c r="G214" s="31" t="str">
        <x:v>Kahleah Copper</x:v>
      </x:c>
      <x:c r="H214" s="31" t="str">
        <x:v>Points</x:v>
      </x:c>
      <x:c r="I214" s="31" t="str">
        <x:v>15+ points</x:v>
      </x:c>
      <x:c r="J214" s="31" t="n">
        <x:v>15</x:v>
      </x:c>
      <x:c r="K214" s="31"/>
      <x:c r="L214" s="31"/>
      <x:c r="M214" s="31" t="str">
        <x:v>RESEARCH_POOL</x:v>
      </x:c>
      <x:c r="N214" s="31" t="str">
        <x:v>N</x:v>
      </x:c>
      <x:c r="O214" s="31" t="str">
        <x:v>Pending</x:v>
      </x:c>
      <x:c r="P214" s="31"/>
      <x:c r="Q214" s="31"/>
      <x:c r="R214" s="31" t="n">
        <x:v>0</x:v>
      </x:c>
      <x:c r="S214" s="31"/>
      <x:c r="T214" s="31"/>
      <x:c r="U214" s="31" t="str">
        <x:v>9/10 recent; scored 19 in prior matchup.</x:v>
      </x:c>
      <x:c r="V214" s="31" t="str">
        <x:v>Compare to O19.5 market.</x:v>
      </x:c>
    </x:row>
    <x:row r="215">
      <x:c r="A215" s="31" t="str">
        <x:v>2026-08-27</x:v>
      </x:c>
      <x:c r="B215" s="31" t="str">
        <x:v>A27-R62</x:v>
      </x:c>
      <x:c r="C215" s="31" t="str">
        <x:v>SOURCED</x:v>
      </x:c>
      <x:c r="D215" s="31" t="str">
        <x:v>WNBA Hit-Rate Board</x:v>
      </x:c>
      <x:c r="E215" s="31" t="str">
        <x:v>WNBA</x:v>
      </x:c>
      <x:c r="F215" s="31" t="str">
        <x:v>WSH @ PHX</x:v>
      </x:c>
      <x:c r="G215" s="31" t="str">
        <x:v>Shakira Austin</x:v>
      </x:c>
      <x:c r="H215" s="31" t="str">
        <x:v>Rebounds</x:v>
      </x:c>
      <x:c r="I215" s="31" t="str">
        <x:v>8+ rebounds</x:v>
      </x:c>
      <x:c r="J215" s="31" t="n">
        <x:v>8</x:v>
      </x:c>
      <x:c r="K215" s="31"/>
      <x:c r="L215" s="31"/>
      <x:c r="M215" s="31" t="str">
        <x:v>RESEARCH_POOL</x:v>
      </x:c>
      <x:c r="N215" s="31" t="str">
        <x:v>N</x:v>
      </x:c>
      <x:c r="O215" s="31" t="str">
        <x:v>Pending</x:v>
      </x:c>
      <x:c r="P215" s="31"/>
      <x:c r="Q215" s="31"/>
      <x:c r="R215" s="31" t="n">
        <x:v>0</x:v>
      </x:c>
      <x:c r="S215" s="31"/>
      <x:c r="T215" s="31"/>
      <x:c r="U215" s="31" t="str">
        <x:v>9/10 recent; O9.5 around -130 elsewhere.</x:v>
      </x:c>
      <x:c r="V215" s="31" t="str">
        <x:v>Potential floor, but Thomas AST still preferred for boost.</x:v>
      </x:c>
    </x:row>
    <x:row r="216">
      <x:c r="A216" s="31" t="str">
        <x:v>2026-08-27</x:v>
      </x:c>
      <x:c r="B216" s="31" t="str">
        <x:v>A27-R63</x:v>
      </x:c>
      <x:c r="C216" s="31" t="str">
        <x:v>SOURCED</x:v>
      </x:c>
      <x:c r="D216" s="31" t="str">
        <x:v>WNBA Hit-Rate Board</x:v>
      </x:c>
      <x:c r="E216" s="31" t="str">
        <x:v>WNBA</x:v>
      </x:c>
      <x:c r="F216" s="31" t="str">
        <x:v>WSH @ PHX</x:v>
      </x:c>
      <x:c r="G216" s="31" t="str">
        <x:v>Sonia Citron</x:v>
      </x:c>
      <x:c r="H216" s="31" t="str">
        <x:v>Threes</x:v>
      </x:c>
      <x:c r="I216" s="31" t="str">
        <x:v>1+ three</x:v>
      </x:c>
      <x:c r="J216" s="31" t="n">
        <x:v>1</x:v>
      </x:c>
      <x:c r="K216" s="31"/>
      <x:c r="L216" s="31"/>
      <x:c r="M216" s="31" t="str">
        <x:v>RESEARCH_POOL</x:v>
      </x:c>
      <x:c r="N216" s="31" t="str">
        <x:v>N</x:v>
      </x:c>
      <x:c r="O216" s="31" t="str">
        <x:v>Pending</x:v>
      </x:c>
      <x:c r="P216" s="31"/>
      <x:c r="Q216" s="31"/>
      <x:c r="R216" s="31" t="n">
        <x:v>0</x:v>
      </x:c>
      <x:c r="S216" s="31"/>
      <x:c r="T216" s="31"/>
      <x:c r="U216" s="31" t="str">
        <x:v>9/10 recent; Phoenix allows high home 3P% per current props article.</x:v>
      </x:c>
      <x:c r="V216" s="31" t="str">
        <x:v>Potential low-threshold single candidate if price not prohibitive.</x:v>
      </x:c>
    </x:row>
    <x:row r="217">
      <x:c r="A217" s="31" t="str">
        <x:v>2026-08-27</x:v>
      </x:c>
      <x:c r="B217" s="31" t="str">
        <x:v>A27-R64</x:v>
      </x:c>
      <x:c r="C217" s="31" t="str">
        <x:v>SOURCED</x:v>
      </x:c>
      <x:c r="D217" s="31" t="str">
        <x:v>WNBA Hit-Rate Board</x:v>
      </x:c>
      <x:c r="E217" s="31" t="str">
        <x:v>WNBA</x:v>
      </x:c>
      <x:c r="F217" s="31" t="str">
        <x:v>WSH @ PHX</x:v>
      </x:c>
      <x:c r="G217" s="31" t="str">
        <x:v>Lauren Betts</x:v>
      </x:c>
      <x:c r="H217" s="31" t="str">
        <x:v>Rebounds</x:v>
      </x:c>
      <x:c r="I217" s="31" t="str">
        <x:v>4+ rebounds</x:v>
      </x:c>
      <x:c r="J217" s="31" t="n">
        <x:v>4</x:v>
      </x:c>
      <x:c r="K217" s="31"/>
      <x:c r="L217" s="31"/>
      <x:c r="M217" s="31" t="str">
        <x:v>RESEARCH_POOL</x:v>
      </x:c>
      <x:c r="N217" s="31" t="str">
        <x:v>N</x:v>
      </x:c>
      <x:c r="O217" s="31" t="str">
        <x:v>Pending</x:v>
      </x:c>
      <x:c r="P217" s="31"/>
      <x:c r="Q217" s="31"/>
      <x:c r="R217" s="31" t="n">
        <x:v>0</x:v>
      </x:c>
      <x:c r="S217" s="31"/>
      <x:c r="T217" s="31"/>
      <x:c r="U217" s="31" t="str">
        <x:v>8/10 recent.</x:v>
      </x:c>
      <x:c r="V217" s="31" t="str">
        <x:v>Verify minutes/role before use.</x:v>
      </x:c>
    </x:row>
    <x:row r="218">
      <x:c r="A218" s="31" t="str">
        <x:v>2026-08-27</x:v>
      </x:c>
      <x:c r="B218" s="31" t="str">
        <x:v>A27-R65</x:v>
      </x:c>
      <x:c r="C218" s="31" t="str">
        <x:v>SOURCED</x:v>
      </x:c>
      <x:c r="D218" s="31" t="str">
        <x:v>WNBA Hit-Rate Board</x:v>
      </x:c>
      <x:c r="E218" s="31" t="str">
        <x:v>WNBA</x:v>
      </x:c>
      <x:c r="F218" s="31" t="str">
        <x:v>WSH @ PHX</x:v>
      </x:c>
      <x:c r="G218" s="31" t="str">
        <x:v>Shakira Austin</x:v>
      </x:c>
      <x:c r="H218" s="31" t="str">
        <x:v>Assists</x:v>
      </x:c>
      <x:c r="I218" s="31" t="str">
        <x:v>2+ assists</x:v>
      </x:c>
      <x:c r="J218" s="31" t="n">
        <x:v>2</x:v>
      </x:c>
      <x:c r="K218" s="31"/>
      <x:c r="L218" s="31"/>
      <x:c r="M218" s="31" t="str">
        <x:v>RESEARCH_POOL</x:v>
      </x:c>
      <x:c r="N218" s="31" t="str">
        <x:v>N</x:v>
      </x:c>
      <x:c r="O218" s="31" t="str">
        <x:v>Pending</x:v>
      </x:c>
      <x:c r="P218" s="31"/>
      <x:c r="Q218" s="31"/>
      <x:c r="R218" s="31" t="n">
        <x:v>0</x:v>
      </x:c>
      <x:c r="S218" s="31"/>
      <x:c r="T218" s="31"/>
      <x:c r="U218" s="31" t="str">
        <x:v>8/10 recent; current O2.5 around -119.</x:v>
      </x:c>
      <x:c r="V218" s="31" t="str">
        <x:v>2+ could be safer but price likely steep.</x:v>
      </x:c>
    </x:row>
    <x:row r="219">
      <x:c r="A219" t="str">
        <x:v>2026-08-27</x:v>
      </x:c>
      <x:c r="B219" t="str">
        <x:v>A27-D04</x:v>
      </x:c>
      <x:c r="C219" t="str">
        <x:v>HYBRID</x:v>
      </x:c>
      <x:c r="D219" t="str">
        <x:v>Hit Sheet + Independent Platoon Conversion</x:v>
      </x:c>
      <x:c r="E219" t="str">
        <x:v>MLB</x:v>
      </x:c>
      <x:c r="F219" t="str">
        <x:v>BAL @ STL</x:v>
      </x:c>
      <x:c r="G219" t="str">
        <x:v>Jordan Walker</x:v>
      </x:c>
      <x:c r="H219" t="str">
        <x:v>H+R+RBI</x:v>
      </x:c>
      <x:c r="I219" t="str">
        <x:v>2+ H+R+RBI</x:v>
      </x:c>
      <x:c r="J219" t="n">
        <x:v>2</x:v>
      </x:c>
      <x:c r="K219" t="n">
        <x:v>-117</x:v>
      </x:c>
      <x:c r="L219" t="n">
        <x:v>0.5391705069124424</x:v>
      </x:c>
      <x:c r="M219" t="str">
        <x:v>BET</x:v>
      </x:c>
      <x:c r="N219" t="str">
        <x:v>Y</x:v>
      </x:c>
      <x:c r="O219" t="str">
        <x:v>Win</x:v>
      </x:c>
      <x:c r="P219" t="n">
        <x:v>1</x:v>
      </x:c>
      <x:c r="Q219" t="n">
        <x:v>2</x:v>
      </x:c>
      <x:c r="R219" t="n">
        <x:v>0.3333333333333333</x:v>
      </x:c>
      <x:c r="S219" t="str">
        <x:v>A27-T03</x:v>
      </x:c>
      <x:c r="T219"/>
      <x:c r="U219" t="str">
        <x:v>Converted from sourced hit-sheet signal to 2+ HRR; used as outside SGPx leg.</x:v>
      </x:c>
      <x:c r="V219" t="str">
        <x:v>Walker went 2-for-4 with 0 R/0 RBI = exactly 2 HRR. Market conversion beat paying -230 for 1+ hit on price, not on outcome.</x:v>
      </x:c>
    </x:row>
    <x:row r="220">
      <x:c r="A220" t="str">
        <x:v>2026-08-27</x:v>
      </x:c>
      <x:c r="B220" t="str">
        <x:v>A27-D05</x:v>
      </x:c>
      <x:c r="C220" t="str">
        <x:v>DISCOVERED</x:v>
      </x:c>
      <x:c r="D220" t="str">
        <x:v>DK K Ladder</x:v>
      </x:c>
      <x:c r="E220" t="str">
        <x:v>MLB</x:v>
      </x:c>
      <x:c r="F220" t="str">
        <x:v>MIL @ NYM</x:v>
      </x:c>
      <x:c r="G220" t="str">
        <x:v>Jacob Misiorowski</x:v>
      </x:c>
      <x:c r="H220" t="str">
        <x:v>Pitcher K Over</x:v>
      </x:c>
      <x:c r="I220" t="str">
        <x:v>6+ Ks</x:v>
      </x:c>
      <x:c r="J220" t="n">
        <x:v>6</x:v>
      </x:c>
      <x:c r="K220" t="n">
        <x:v>-1260</x:v>
      </x:c>
      <x:c r="L220" t="n">
        <x:v>0.9264705882352942</x:v>
      </x:c>
      <x:c r="M220" t="str">
        <x:v>REJECTED</x:v>
      </x:c>
      <x:c r="N220" t="str">
        <x:v>N</x:v>
      </x:c>
      <x:c r="O220" t="str">
        <x:v>Pending</x:v>
      </x:c>
      <x:c r="P220"/>
      <x:c r="Q220"/>
      <x:c r="R220" t="n">
        <x:v>0</x:v>
      </x:c>
      <x:c r="S220"/>
      <x:c r="T220"/>
      <x:c r="U220" t="str">
        <x:v>Excellent floor but unusable promo price.</x:v>
      </x:c>
      <x:c r="V220" t="str">
        <x:v>Adds leg risk with almost no payout contribution.</x:v>
      </x:c>
    </x:row>
    <x:row r="221">
      <x:c r="A221" t="str">
        <x:v>2026-08-27</x:v>
      </x:c>
      <x:c r="B221" t="str">
        <x:v>A27-D06</x:v>
      </x:c>
      <x:c r="C221" t="str">
        <x:v>DISCOVERED</x:v>
      </x:c>
      <x:c r="D221" t="str">
        <x:v>DK K Ladder</x:v>
      </x:c>
      <x:c r="E221" t="str">
        <x:v>MLB</x:v>
      </x:c>
      <x:c r="F221" t="str">
        <x:v>MIL @ NYM</x:v>
      </x:c>
      <x:c r="G221" t="str">
        <x:v>Jacob Misiorowski</x:v>
      </x:c>
      <x:c r="H221" t="str">
        <x:v>Pitcher K Over</x:v>
      </x:c>
      <x:c r="I221" t="str">
        <x:v>7+ Ks</x:v>
      </x:c>
      <x:c r="J221" t="n">
        <x:v>7</x:v>
      </x:c>
      <x:c r="K221" t="n">
        <x:v>-510</x:v>
      </x:c>
      <x:c r="L221" t="n">
        <x:v>0.8360655737704918</x:v>
      </x:c>
      <x:c r="M221" t="str">
        <x:v>REJECTED</x:v>
      </x:c>
      <x:c r="N221" t="str">
        <x:v>N</x:v>
      </x:c>
      <x:c r="O221" t="str">
        <x:v>Pending</x:v>
      </x:c>
      <x:c r="P221"/>
      <x:c r="Q221"/>
      <x:c r="R221" t="n">
        <x:v>0</x:v>
      </x:c>
      <x:c r="S221"/>
      <x:c r="T221"/>
      <x:c r="U221" t="str">
        <x:v>Still too expensive relative to independent projection.</x:v>
      </x:c>
      <x:c r="V221" t="str">
        <x:v>No promo utility.</x:v>
      </x:c>
    </x:row>
    <x:row r="222">
      <x:c r="A222" t="str">
        <x:v>2026-08-27</x:v>
      </x:c>
      <x:c r="B222" t="str">
        <x:v>A27-D07</x:v>
      </x:c>
      <x:c r="C222" t="str">
        <x:v>DISCOVERED</x:v>
      </x:c>
      <x:c r="D222" t="str">
        <x:v>DK K Ladder</x:v>
      </x:c>
      <x:c r="E222" t="str">
        <x:v>MLB</x:v>
      </x:c>
      <x:c r="F222" t="str">
        <x:v>MIL @ NYM</x:v>
      </x:c>
      <x:c r="G222" t="str">
        <x:v>Jacob Misiorowski</x:v>
      </x:c>
      <x:c r="H222" t="str">
        <x:v>Pitcher K Over</x:v>
      </x:c>
      <x:c r="I222" t="str">
        <x:v>8+ Ks</x:v>
      </x:c>
      <x:c r="J222" t="n">
        <x:v>8</x:v>
      </x:c>
      <x:c r="K222" t="n">
        <x:v>-236</x:v>
      </x:c>
      <x:c r="L222" t="n">
        <x:v>0.7023809523809523</x:v>
      </x:c>
      <x:c r="M222" t="str">
        <x:v>REJECTED</x:v>
      </x:c>
      <x:c r="N222" t="str">
        <x:v>N</x:v>
      </x:c>
      <x:c r="O222" t="str">
        <x:v>Pending</x:v>
      </x:c>
      <x:c r="P222"/>
      <x:c r="Q222"/>
      <x:c r="R222" t="n">
        <x:v>0</x:v>
      </x:c>
      <x:c r="S222"/>
      <x:c r="T222"/>
      <x:c r="U222" t="str">
        <x:v>Price implies ~70%; independent projection around 7.55 Ks does not support that confidence.</x:v>
      </x:c>
      <x:c r="V222" t="str">
        <x:v>Do not use as glue.</x:v>
      </x:c>
    </x:row>
    <x:row r="223">
      <x:c r="A223" t="str">
        <x:v>2026-08-27</x:v>
      </x:c>
      <x:c r="B223" t="str">
        <x:v>A27-D08</x:v>
      </x:c>
      <x:c r="C223" t="str">
        <x:v>DISCOVERED</x:v>
      </x:c>
      <x:c r="D223" t="str">
        <x:v>DK K Ladder</x:v>
      </x:c>
      <x:c r="E223" t="str">
        <x:v>MLB</x:v>
      </x:c>
      <x:c r="F223" t="str">
        <x:v>MIL @ NYM</x:v>
      </x:c>
      <x:c r="G223" t="str">
        <x:v>Jacob Misiorowski</x:v>
      </x:c>
      <x:c r="H223" t="str">
        <x:v>Pitcher K Over</x:v>
      </x:c>
      <x:c r="I223" t="str">
        <x:v>9+ Ks</x:v>
      </x:c>
      <x:c r="J223" t="n">
        <x:v>9</x:v>
      </x:c>
      <x:c r="K223" t="n">
        <x:v>-119</x:v>
      </x:c>
      <x:c r="L223" t="n">
        <x:v>0.54337899543379</x:v>
      </x:c>
      <x:c r="M223" t="str">
        <x:v>PAPER</x:v>
      </x:c>
      <x:c r="N223" t="str">
        <x:v>N</x:v>
      </x:c>
      <x:c r="O223" t="str">
        <x:v>Pending</x:v>
      </x:c>
      <x:c r="P223"/>
      <x:c r="Q223"/>
      <x:c r="R223" t="n">
        <x:v>0</x:v>
      </x:c>
      <x:c r="S223"/>
      <x:c r="T223"/>
      <x:c r="U223" t="str">
        <x:v>Aggressive threshold equivalent to O8.5; keep as source-vs-independent paper test.</x:v>
      </x:c>
      <x:c r="V223" t="str">
        <x:v>Real-money pass.</x:v>
      </x:c>
    </x:row>
    <x:row r="224">
      <x:c r="A224" t="str">
        <x:v>2026-08-27</x:v>
      </x:c>
      <x:c r="B224" t="str">
        <x:v>A27-D09</x:v>
      </x:c>
      <x:c r="C224" t="str">
        <x:v>HYBRID</x:v>
      </x:c>
      <x:c r="D224" t="str">
        <x:v>HR Model + Independent Market Conversion</x:v>
      </x:c>
      <x:c r="E224" t="str">
        <x:v>MLB</x:v>
      </x:c>
      <x:c r="F224" t="str">
        <x:v>KC @ TOR</x:v>
      </x:c>
      <x:c r="G224" t="str">
        <x:v>Jac Caglianone</x:v>
      </x:c>
      <x:c r="H224" t="str">
        <x:v>H+R+RBI</x:v>
      </x:c>
      <x:c r="I224" t="str">
        <x:v>2+ H+R+RBI</x:v>
      </x:c>
      <x:c r="J224" t="n">
        <x:v>2</x:v>
      </x:c>
      <x:c r="K224" t="n">
        <x:v>-120</x:v>
      </x:c>
      <x:c r="L224" t="n">
        <x:v>0.5454545454545454</x:v>
      </x:c>
      <x:c r="M224" t="str">
        <x:v>BET</x:v>
      </x:c>
      <x:c r="N224" t="str">
        <x:v>Y</x:v>
      </x:c>
      <x:c r="O224" t="str">
        <x:v>Win</x:v>
      </x:c>
      <x:c r="P224" t="n">
        <x:v>1</x:v>
      </x:c>
      <x:c r="Q224" t="n">
        <x:v>14</x:v>
      </x:c>
      <x:c r="R224" t="n">
        <x:v>0.3333333333333333</x:v>
      </x:c>
      <x:c r="S224" t="str">
        <x:v>A27-T03</x:v>
      </x:c>
      <x:c r="T224"/>
      <x:c r="U224" t="str">
        <x:v>Converted sourced HR signal into lower-variance HRR exposure.</x:v>
      </x:c>
      <x:c r="V224" t="str">
        <x:v>Caglianone: 5 H + 3 R + 6 RBI = 14 HRR, plus a HR. Massive clearance.</x:v>
      </x:c>
    </x:row>
    <x:row r="225">
      <x:c r="A225" t="str">
        <x:v>2026-08-27</x:v>
      </x:c>
      <x:c r="B225" t="str">
        <x:v>A27-D10</x:v>
      </x:c>
      <x:c r="C225" t="str">
        <x:v>DISCOVERED</x:v>
      </x:c>
      <x:c r="D225" t="str">
        <x:v>Independent SGP Core Scan</x:v>
      </x:c>
      <x:c r="E225" t="str">
        <x:v>MLB</x:v>
      </x:c>
      <x:c r="F225" t="str">
        <x:v>KC @ TOR</x:v>
      </x:c>
      <x:c r="G225" t="str">
        <x:v>Bobby Witt Jr.</x:v>
      </x:c>
      <x:c r="H225" t="str">
        <x:v>H+R+RBI</x:v>
      </x:c>
      <x:c r="I225" t="str">
        <x:v>2+ H+R+RBI</x:v>
      </x:c>
      <x:c r="J225" t="n">
        <x:v>2</x:v>
      </x:c>
      <x:c r="K225" t="n">
        <x:v>-151</x:v>
      </x:c>
      <x:c r="L225" t="n">
        <x:v>0.601593625498008</x:v>
      </x:c>
      <x:c r="M225" t="str">
        <x:v>BET</x:v>
      </x:c>
      <x:c r="N225" t="str">
        <x:v>Y</x:v>
      </x:c>
      <x:c r="O225" t="str">
        <x:v>Win</x:v>
      </x:c>
      <x:c r="P225" t="n">
        <x:v>1</x:v>
      </x:c>
      <x:c r="Q225" t="n">
        <x:v>6</x:v>
      </x:c>
      <x:c r="R225" t="n">
        <x:v>0.3333333333333333</x:v>
      </x:c>
      <x:c r="S225" t="str">
        <x:v>A27-T03</x:v>
      </x:c>
      <x:c r="T225"/>
      <x:c r="U225" t="str">
        <x:v>Preferred 2+ HRR to expensive 1+ hit glue; forms same-game core with Caglianone.</x:v>
      </x:c>
      <x:c r="V225" t="str">
        <x:v>Witt: 2 H + 3 R + 1 RBI = 6 HRR. Same-game core cleared comfortably.</x:v>
      </x:c>
    </x:row>
    <x:row r="226">
      <x:c r="A226" t="str">
        <x:v>2026-08-27</x:v>
      </x:c>
      <x:c r="B226" t="str">
        <x:v>A27-D11</x:v>
      </x:c>
      <x:c r="C226" t="str">
        <x:v>DISCOVERED</x:v>
      </x:c>
      <x:c r="D226" t="str">
        <x:v>Independent Workload / Market Scan</x:v>
      </x:c>
      <x:c r="E226" t="str">
        <x:v>MLB</x:v>
      </x:c>
      <x:c r="F226" t="str">
        <x:v>KC @ TOR</x:v>
      </x:c>
      <x:c r="G226" t="str">
        <x:v>Spencer Arrighetti</x:v>
      </x:c>
      <x:c r="H226" t="str">
        <x:v>Pitcher Outs</x:v>
      </x:c>
      <x:c r="I226" t="str">
        <x:v>Under 13.5 outs</x:v>
      </x:c>
      <x:c r="J226" t="n">
        <x:v>13.5</x:v>
      </x:c>
      <x:c r="K226" t="n">
        <x:v>-102</x:v>
      </x:c>
      <x:c r="L226" t="n">
        <x:v>0.504950495049505</x:v>
      </x:c>
      <x:c r="M226" t="str">
        <x:v>PAPER</x:v>
      </x:c>
      <x:c r="N226" t="str">
        <x:v>N</x:v>
      </x:c>
      <x:c r="O226" t="str">
        <x:v>Win</x:v>
      </x:c>
      <x:c r="P226" t="n">
        <x:v>1</x:v>
      </x:c>
      <x:c r="Q226" t="n">
        <x:v>12</x:v>
      </x:c>
      <x:c r="R226" t="n">
        <x:v>0</x:v>
      </x:c>
      <x:c r="S226"/>
      <x:c r="T226"/>
      <x:c r="U226" t="str">
        <x:v>Medium/soft workload signal; paper rather than real money after hard-vs-soft audit.</x:v>
      </x:c>
      <x:c r="V226" t="str">
        <x:v>Arrighetti: 4.0 IP = 12 outs on 79 pitches; 4 R (3 ER). Soft-workload/performance under won, but no hard-cap inference.</x:v>
      </x:c>
    </x:row>
    <x:row r="227">
      <x:c r="A227" t="str">
        <x:v>2026-08-27</x:v>
      </x:c>
      <x:c r="B227" t="str">
        <x:v>A27-D12</x:v>
      </x:c>
      <x:c r="C227" t="str">
        <x:v>DISCOVERED</x:v>
      </x:c>
      <x:c r="D227" t="str">
        <x:v>WNBA Threshold Scan</x:v>
      </x:c>
      <x:c r="E227" t="str">
        <x:v>WNBA</x:v>
      </x:c>
      <x:c r="F227" t="str">
        <x:v>WSH @ PHX</x:v>
      </x:c>
      <x:c r="G227" t="str">
        <x:v>Alyssa Thomas</x:v>
      </x:c>
      <x:c r="H227" t="str">
        <x:v>Assists</x:v>
      </x:c>
      <x:c r="I227" t="str">
        <x:v>9+ assists</x:v>
      </x:c>
      <x:c r="J227" t="n">
        <x:v>9</x:v>
      </x:c>
      <x:c r="K227" t="n">
        <x:v>112</x:v>
      </x:c>
      <x:c r="L227" t="n">
        <x:v>0.4716981132075472</x:v>
      </x:c>
      <x:c r="M227" t="str">
        <x:v>PAPER</x:v>
      </x:c>
      <x:c r="N227" t="str">
        <x:v>N</x:v>
      </x:c>
      <x:c r="O227" t="str">
        <x:v>Loss</x:v>
      </x:c>
      <x:c r="P227" t="n">
        <x:v>0</x:v>
      </x:c>
      <x:c r="Q227" t="n">
        <x:v>8</x:v>
      </x:c>
      <x:c r="R227" t="n">
        <x:v>0</x:v>
      </x:c>
      <x:c r="S227"/>
      <x:c r="T227" t="str">
        <x:v>bad threshold</x:v>
      </x:c>
      <x:c r="U227" t="str">
        <x:v>Aggressive threshold arm against the real 8+ assists bet.</x:v>
      </x:c>
      <x:c r="V227" t="str">
        <x:v>Thomas finished exactly 8 assists. Real 8+ won; paper 9+ lost by one. Strong EXP-06 threshold evidence.</x:v>
      </x:c>
    </x:row>
    <x:row r="228">
      <x:c r="A228" t="str">
        <x:v>2026-08-27</x:v>
      </x:c>
      <x:c r="B228" t="str">
        <x:v>A27-D13</x:v>
      </x:c>
      <x:c r="C228" t="str">
        <x:v>DISCOVERED</x:v>
      </x:c>
      <x:c r="D228" t="str">
        <x:v>Independent Pitcher K Scan</x:v>
      </x:c>
      <x:c r="E228" t="str">
        <x:v>MLB</x:v>
      </x:c>
      <x:c r="F228" t="str">
        <x:v>ARI @ SF</x:v>
      </x:c>
      <x:c r="G228" t="str">
        <x:v>Landen Roupp</x:v>
      </x:c>
      <x:c r="H228" t="str">
        <x:v>Pitcher K Over</x:v>
      </x:c>
      <x:c r="I228" t="str">
        <x:v>Over 4.5 Ks</x:v>
      </x:c>
      <x:c r="J228" t="n">
        <x:v>4.5</x:v>
      </x:c>
      <x:c r="K228" t="n">
        <x:v>116</x:v>
      </x:c>
      <x:c r="L228" t="n">
        <x:v>0.46296296296296297</x:v>
      </x:c>
      <x:c r="M228" t="str">
        <x:v>PAPER</x:v>
      </x:c>
      <x:c r="N228" t="str">
        <x:v>N</x:v>
      </x:c>
      <x:c r="O228" t="str">
        <x:v>Loss</x:v>
      </x:c>
      <x:c r="P228" t="n">
        <x:v>0</x:v>
      </x:c>
      <x:c r="Q228" t="n">
        <x:v>3</x:v>
      </x:c>
      <x:c r="R228" t="n">
        <x:v>0</x:v>
      </x:c>
      <x:c r="S228"/>
      <x:c r="T228" t="str">
        <x:v>bad handicap</x:v>
      </x:c>
      <x:c r="U228" t="str">
        <x:v>Plus-money K-over test against Arizona's low-strikeout profile.</x:v>
      </x:c>
      <x:c r="V228" t="str">
        <x:v>Roupp struck out 3 in 5 IP. Arizona's low-K/contact profile won the opposing-thesis test.</x:v>
      </x:c>
    </x:row>
    <x:row r="229">
      <x:c r="A229" t="str">
        <x:v>2026-08-27</x:v>
      </x:c>
      <x:c r="B229" t="str">
        <x:v>A27-D14</x:v>
      </x:c>
      <x:c r="C229" t="str">
        <x:v>HYBRID</x:v>
      </x:c>
      <x:c r="D229" t="str">
        <x:v>Barcelona Promo Construction</x:v>
      </x:c>
      <x:c r="E229" t="str">
        <x:v>Soccer</x:v>
      </x:c>
      <x:c r="F229" t="str">
        <x:v>BAR vs ATH</x:v>
      </x:c>
      <x:c r="G229" t="str">
        <x:v>Barcelona</x:v>
      </x:c>
      <x:c r="H229" t="str">
        <x:v>Spread</x:v>
      </x:c>
      <x:c r="I229" t="str">
        <x:v>Barcelona -1.5</x:v>
      </x:c>
      <x:c r="J229" t="n">
        <x:v>-1.5</x:v>
      </x:c>
      <x:c r="K229"/>
      <x:c r="L229"/>
      <x:c r="M229" t="str">
        <x:v>BET</x:v>
      </x:c>
      <x:c r="N229" t="str">
        <x:v>Y</x:v>
      </x:c>
      <x:c r="O229" t="str">
        <x:v>Win</x:v>
      </x:c>
      <x:c r="P229" t="n">
        <x:v>1</x:v>
      </x:c>
      <x:c r="Q229" t="n">
        <x:v>2</x:v>
      </x:c>
      <x:c r="R229" t="n">
        <x:v>0.3333333333333333</x:v>
      </x:c>
      <x:c r="S229" t="str">
        <x:v>A27-T02</x:v>
      </x:c>
      <x:c r="T229"/>
      <x:c r="U229" t="str">
        <x:v>Core favorite-strength leg in coherent Barcelona win script.</x:v>
      </x:c>
      <x:c r="V229" t="str">
        <x:v>Barcelona won 2-0; -1.5 cleared exactly by two goals.</x:v>
      </x:c>
    </x:row>
    <x:row r="230">
      <x:c r="A230" t="str">
        <x:v>2026-08-27</x:v>
      </x:c>
      <x:c r="B230" t="str">
        <x:v>A27-D15</x:v>
      </x:c>
      <x:c r="C230" t="str">
        <x:v>HYBRID</x:v>
      </x:c>
      <x:c r="D230" t="str">
        <x:v>Barcelona Promo Construction</x:v>
      </x:c>
      <x:c r="E230" t="str">
        <x:v>Soccer</x:v>
      </x:c>
      <x:c r="F230" t="str">
        <x:v>BAR vs ATH</x:v>
      </x:c>
      <x:c r="G230" t="str">
        <x:v>BAR vs ATH</x:v>
      </x:c>
      <x:c r="H230" t="str">
        <x:v>BTTS</x:v>
      </x:c>
      <x:c r="I230" t="str">
        <x:v>Both Teams to Score — No</x:v>
      </x:c>
      <x:c r="J230"/>
      <x:c r="K230"/>
      <x:c r="L230"/>
      <x:c r="M230" t="str">
        <x:v>BET</x:v>
      </x:c>
      <x:c r="N230" t="str">
        <x:v>Y</x:v>
      </x:c>
      <x:c r="O230" t="str">
        <x:v>Win</x:v>
      </x:c>
      <x:c r="P230" t="n">
        <x:v>1</x:v>
      </x:c>
      <x:c r="Q230" t="n">
        <x:v>0</x:v>
      </x:c>
      <x:c r="R230" t="n">
        <x:v>0.3333333333333333</x:v>
      </x:c>
      <x:c r="S230" t="str">
        <x:v>A27-T02</x:v>
      </x:c>
      <x:c r="T230"/>
      <x:c r="U230" t="str">
        <x:v>Clean-sheet game-script leg paired with Barcelona -1.5.</x:v>
      </x:c>
      <x:c r="V230" t="str">
        <x:v>Athletic Bilbao scored 0; BTTS No cleared.</x:v>
      </x:c>
    </x:row>
    <x:row r="231">
      <x:c r="A231" t="str">
        <x:v>2026-08-27</x:v>
      </x:c>
      <x:c r="B231" t="str">
        <x:v>A27-D16</x:v>
      </x:c>
      <x:c r="C231" t="str">
        <x:v>HYBRID</x:v>
      </x:c>
      <x:c r="D231" t="str">
        <x:v>Barcelona Promo Construction</x:v>
      </x:c>
      <x:c r="E231" t="str">
        <x:v>Soccer</x:v>
      </x:c>
      <x:c r="F231" t="str">
        <x:v>BAR vs ATH</x:v>
      </x:c>
      <x:c r="G231" t="str">
        <x:v>BAR vs ATH</x:v>
      </x:c>
      <x:c r="H231" t="str">
        <x:v>Total Corners</x:v>
      </x:c>
      <x:c r="I231" t="str">
        <x:v>Over 9.5 total corners</x:v>
      </x:c>
      <x:c r="J231" t="n">
        <x:v>9.5</x:v>
      </x:c>
      <x:c r="K231"/>
      <x:c r="L231"/>
      <x:c r="M231" t="str">
        <x:v>BET</x:v>
      </x:c>
      <x:c r="N231" t="str">
        <x:v>Y</x:v>
      </x:c>
      <x:c r="O231" t="str">
        <x:v>Win</x:v>
      </x:c>
      <x:c r="P231" t="n">
        <x:v>1</x:v>
      </x:c>
      <x:c r="Q231" t="n">
        <x:v>17</x:v>
      </x:c>
      <x:c r="R231" t="n">
        <x:v>0.3333333333333333</x:v>
      </x:c>
      <x:c r="S231" t="str">
        <x:v>A27-T02</x:v>
      </x:c>
      <x:c r="T231"/>
      <x:c r="U231" t="str">
        <x:v>Total-corners expression chosen over favorite-team corners.</x:v>
      </x:c>
      <x:c r="V231" t="str">
        <x:v>Barcelona/Athletic produced 17 total corners (12-5), clearing O9.5 by 7.5.</x:v>
      </x:c>
    </x:row>
    <x:row r="232">
      <x:c r="A232" t="str">
        <x:v>2026-08-27</x:v>
      </x:c>
      <x:c r="B232" t="str">
        <x:v>A27-D17</x:v>
      </x:c>
      <x:c r="C232" t="str">
        <x:v>DISCOVERED</x:v>
      </x:c>
      <x:c r="D232" t="str">
        <x:v>Independent F5 Market Conversion</x:v>
      </x:c>
      <x:c r="E232" t="str">
        <x:v>MLB</x:v>
      </x:c>
      <x:c r="F232" t="str">
        <x:v>COL @ WSH</x:v>
      </x:c>
      <x:c r="G232" t="str">
        <x:v>COL/WSH</x:v>
      </x:c>
      <x:c r="H232" t="str">
        <x:v>F5 Game Total</x:v>
      </x:c>
      <x:c r="I232" t="str">
        <x:v>F5 Over 4.5 runs</x:v>
      </x:c>
      <x:c r="J232" t="n">
        <x:v>4.5</x:v>
      </x:c>
      <x:c r="K232"/>
      <x:c r="L232"/>
      <x:c r="M232" t="str">
        <x:v>PAPER</x:v>
      </x:c>
      <x:c r="N232" t="str">
        <x:v>N</x:v>
      </x:c>
      <x:c r="O232" t="str">
        <x:v>Win</x:v>
      </x:c>
      <x:c r="P232" t="n">
        <x:v>1</x:v>
      </x:c>
      <x:c r="Q232" t="n">
        <x:v>5</x:v>
      </x:c>
      <x:c r="R232" t="n">
        <x:v>0</x:v>
      </x:c>
      <x:c r="S232"/>
      <x:c r="T232"/>
      <x:c r="U232" t="str">
        <x:v>Broader environment expression beat restrictive both-teams-2+ condition.</x:v>
      </x:c>
      <x:c r="V232" t="str">
        <x:v>F5 score finished WSH 4, COL 1 = 5 total runs. EXP-15 F5-over arm won exactly.</x:v>
      </x:c>
    </x:row>
    <x:row r="233">
      <x:c r="A233" t="str">
        <x:v>2026-08-28</x:v>
      </x:c>
      <x:c r="B233" t="str">
        <x:v>A28-R01</x:v>
      </x:c>
      <x:c r="C233" t="str">
        <x:v>SOURCED</x:v>
      </x:c>
      <x:c r="D233" t="str">
        <x:v>Penguin WNBA POTD</x:v>
      </x:c>
      <x:c r="E233" t="str">
        <x:v>WNBA</x:v>
      </x:c>
      <x:c r="F233" t="str">
        <x:v>WAS @ LA</x:v>
      </x:c>
      <x:c r="G233" t="str">
        <x:v>Dearica Hamby</x:v>
      </x:c>
      <x:c r="H233" t="str">
        <x:v>PRA</x:v>
      </x:c>
      <x:c r="I233" t="str">
        <x:v>Over 21.5 PRA</x:v>
      </x:c>
      <x:c r="J233" t="n">
        <x:v>21.5</x:v>
      </x:c>
      <x:c r="K233" t="n">
        <x:v>-115</x:v>
      </x:c>
      <x:c r="L233" t="n">
        <x:v>0.5348837209302325</x:v>
      </x:c>
      <x:c r="M233" t="str">
        <x:v>RESEARCH_POOL</x:v>
      </x:c>
      <x:c r="N233" t="str">
        <x:v>N</x:v>
      </x:c>
      <x:c r="O233" t="str">
        <x:v>Pending</x:v>
      </x:c>
      <x:c r="P233"/>
      <x:c r="Q233"/>
      <x:c r="R233" t="n">
        <x:v>0</x:v>
      </x:c>
      <x:c r="S233"/>
      <x:c r="T233"/>
      <x:c r="U233" t="str">
        <x:v>Source likes PRA; explicitly compare to P+R 19.5/15+ alternatives.</x:v>
      </x:c>
      <x:c r="V233" t="str">
        <x:v>Prospective EXP-14 market-expression lead.</x:v>
      </x:c>
    </x:row>
    <x:row r="234">
      <x:c r="A234" t="str">
        <x:v>2026-08-28</x:v>
      </x:c>
      <x:c r="B234" t="str">
        <x:v>A28-R02</x:v>
      </x:c>
      <x:c r="C234" t="str">
        <x:v>SOURCED</x:v>
      </x:c>
      <x:c r="D234" t="str">
        <x:v>Prop Menu 08/28</x:v>
      </x:c>
      <x:c r="E234" t="str">
        <x:v>WNBA</x:v>
      </x:c>
      <x:c r="F234" t="str">
        <x:v>POR @ ATL</x:v>
      </x:c>
      <x:c r="G234" t="str">
        <x:v>Naz Hillmon</x:v>
      </x:c>
      <x:c r="H234" t="str">
        <x:v>Points + Rebounds</x:v>
      </x:c>
      <x:c r="I234" t="str">
        <x:v>Over 13.5 P+R</x:v>
      </x:c>
      <x:c r="J234" t="n">
        <x:v>13.5</x:v>
      </x:c>
      <x:c r="K234"/>
      <x:c r="L234"/>
      <x:c r="M234" t="str">
        <x:v>RESEARCH_POOL</x:v>
      </x:c>
      <x:c r="N234" t="str">
        <x:v>N</x:v>
      </x:c>
      <x:c r="O234" t="str">
        <x:v>Pending</x:v>
      </x:c>
      <x:c r="P234"/>
      <x:c r="Q234"/>
      <x:c r="R234" t="n">
        <x:v>0</x:v>
      </x:c>
      <x:c r="S234"/>
      <x:c r="T234"/>
      <x:c r="U234" t="str">
        <x:v>Source menu lead; role/injury audit required.</x:v>
      </x:c>
      <x:c r="V234" t="str"/>
    </x:row>
    <x:row r="235">
      <x:c r="A235" t="str">
        <x:v>2026-08-28</x:v>
      </x:c>
      <x:c r="B235" t="str">
        <x:v>A28-R03</x:v>
      </x:c>
      <x:c r="C235" t="str">
        <x:v>SOURCED</x:v>
      </x:c>
      <x:c r="D235" t="str">
        <x:v>Prop Menu 08/28</x:v>
      </x:c>
      <x:c r="E235" t="str">
        <x:v>WNBA</x:v>
      </x:c>
      <x:c r="F235" t="str">
        <x:v>WAS @ LA</x:v>
      </x:c>
      <x:c r="G235" t="str">
        <x:v>Shakira Austin</x:v>
      </x:c>
      <x:c r="H235" t="str">
        <x:v>Rebounds</x:v>
      </x:c>
      <x:c r="I235" t="str">
        <x:v>Over 9.5 rebounds</x:v>
      </x:c>
      <x:c r="J235" t="n">
        <x:v>9.5</x:v>
      </x:c>
      <x:c r="K235"/>
      <x:c r="L235"/>
      <x:c r="M235" t="str">
        <x:v>RESEARCH_POOL</x:v>
      </x:c>
      <x:c r="N235" t="str">
        <x:v>N</x:v>
      </x:c>
      <x:c r="O235" t="str">
        <x:v>Pending</x:v>
      </x:c>
      <x:c r="P235"/>
      <x:c r="Q235"/>
      <x:c r="R235" t="n">
        <x:v>0</x:v>
      </x:c>
      <x:c r="S235"/>
      <x:c r="T235"/>
      <x:c r="U235" t="str">
        <x:v>Source menu lead; compare 8+ alternate.</x:v>
      </x:c>
      <x:c r="V235" t="str"/>
    </x:row>
    <x:row r="236">
      <x:c r="A236" t="str">
        <x:v>2026-08-28</x:v>
      </x:c>
      <x:c r="B236" t="str">
        <x:v>A28-R04</x:v>
      </x:c>
      <x:c r="C236" t="str">
        <x:v>SOURCED</x:v>
      </x:c>
      <x:c r="D236" t="str">
        <x:v>Cody Brown WNBA Board</x:v>
      </x:c>
      <x:c r="E236" t="str">
        <x:v>WNBA</x:v>
      </x:c>
      <x:c r="F236" t="str">
        <x:v>POR @ ATL</x:v>
      </x:c>
      <x:c r="G236" t="str">
        <x:v>Rhyne Howard</x:v>
      </x:c>
      <x:c r="H236" t="str">
        <x:v>Points</x:v>
      </x:c>
      <x:c r="I236" t="str">
        <x:v>15+ points</x:v>
      </x:c>
      <x:c r="J236" t="n">
        <x:v>15</x:v>
      </x:c>
      <x:c r="K236"/>
      <x:c r="L236"/>
      <x:c r="M236" t="str">
        <x:v>RESEARCH_POOL</x:v>
      </x:c>
      <x:c r="N236" t="str">
        <x:v>N</x:v>
      </x:c>
      <x:c r="O236" t="str">
        <x:v>Pending</x:v>
      </x:c>
      <x:c r="P236"/>
      <x:c r="Q236"/>
      <x:c r="R236" t="n">
        <x:v>0</x:v>
      </x:c>
      <x:c r="S236"/>
      <x:c r="T236"/>
      <x:c r="U236" t="str"/>
      <x:c r="V236" t="str"/>
    </x:row>
    <x:row r="237">
      <x:c r="A237" t="str">
        <x:v>2026-08-28</x:v>
      </x:c>
      <x:c r="B237" t="str">
        <x:v>A28-R05</x:v>
      </x:c>
      <x:c r="C237" t="str">
        <x:v>SOURCED</x:v>
      </x:c>
      <x:c r="D237" t="str">
        <x:v>Cody Brown WNBA Board</x:v>
      </x:c>
      <x:c r="E237" t="str">
        <x:v>WNBA</x:v>
      </x:c>
      <x:c r="F237" t="str">
        <x:v>POR @ ATL</x:v>
      </x:c>
      <x:c r="G237" t="str">
        <x:v>Allisha Gray</x:v>
      </x:c>
      <x:c r="H237" t="str">
        <x:v>Assists</x:v>
      </x:c>
      <x:c r="I237" t="str">
        <x:v>2+ assists</x:v>
      </x:c>
      <x:c r="J237" t="n">
        <x:v>2</x:v>
      </x:c>
      <x:c r="K237"/>
      <x:c r="L237"/>
      <x:c r="M237" t="str">
        <x:v>RESEARCH_POOL</x:v>
      </x:c>
      <x:c r="N237" t="str">
        <x:v>N</x:v>
      </x:c>
      <x:c r="O237" t="str">
        <x:v>Pending</x:v>
      </x:c>
      <x:c r="P237"/>
      <x:c r="Q237"/>
      <x:c r="R237" t="n">
        <x:v>0</x:v>
      </x:c>
      <x:c r="S237"/>
      <x:c r="T237"/>
      <x:c r="U237" t="str"/>
      <x:c r="V237" t="str"/>
    </x:row>
    <x:row r="238">
      <x:c r="A238" t="str">
        <x:v>2026-08-28</x:v>
      </x:c>
      <x:c r="B238" t="str">
        <x:v>A28-R06</x:v>
      </x:c>
      <x:c r="C238" t="str">
        <x:v>SOURCED</x:v>
      </x:c>
      <x:c r="D238" t="str">
        <x:v>Cody Brown WNBA Board</x:v>
      </x:c>
      <x:c r="E238" t="str">
        <x:v>WNBA</x:v>
      </x:c>
      <x:c r="F238" t="str">
        <x:v>POR @ ATL</x:v>
      </x:c>
      <x:c r="G238" t="str">
        <x:v>Megan DiLeo</x:v>
      </x:c>
      <x:c r="H238" t="str">
        <x:v>Points</x:v>
      </x:c>
      <x:c r="I238" t="str">
        <x:v>10+ points</x:v>
      </x:c>
      <x:c r="J238" t="n">
        <x:v>10</x:v>
      </x:c>
      <x:c r="K238"/>
      <x:c r="L238"/>
      <x:c r="M238" t="str">
        <x:v>RESEARCH_POOL</x:v>
      </x:c>
      <x:c r="N238" t="str">
        <x:v>N</x:v>
      </x:c>
      <x:c r="O238" t="str">
        <x:v>Pending</x:v>
      </x:c>
      <x:c r="P238"/>
      <x:c r="Q238"/>
      <x:c r="R238" t="n">
        <x:v>0</x:v>
      </x:c>
      <x:c r="S238"/>
      <x:c r="T238"/>
      <x:c r="U238" t="str"/>
      <x:c r="V238" t="str"/>
    </x:row>
    <x:row r="239">
      <x:c r="A239" t="str">
        <x:v>2026-08-28</x:v>
      </x:c>
      <x:c r="B239" t="str">
        <x:v>A28-R07</x:v>
      </x:c>
      <x:c r="C239" t="str">
        <x:v>SOURCED</x:v>
      </x:c>
      <x:c r="D239" t="str">
        <x:v>Cody Brown WNBA Board</x:v>
      </x:c>
      <x:c r="E239" t="str">
        <x:v>WNBA</x:v>
      </x:c>
      <x:c r="F239" t="str">
        <x:v>POR @ ATL</x:v>
      </x:c>
      <x:c r="G239" t="str">
        <x:v>Naz Hillmon</x:v>
      </x:c>
      <x:c r="H239" t="str">
        <x:v>Rebounds</x:v>
      </x:c>
      <x:c r="I239" t="str">
        <x:v>4+ rebounds</x:v>
      </x:c>
      <x:c r="J239" t="n">
        <x:v>4</x:v>
      </x:c>
      <x:c r="K239"/>
      <x:c r="L239"/>
      <x:c r="M239" t="str">
        <x:v>RESEARCH_POOL</x:v>
      </x:c>
      <x:c r="N239" t="str">
        <x:v>N</x:v>
      </x:c>
      <x:c r="O239" t="str">
        <x:v>Pending</x:v>
      </x:c>
      <x:c r="P239"/>
      <x:c r="Q239"/>
      <x:c r="R239" t="n">
        <x:v>0</x:v>
      </x:c>
      <x:c r="S239"/>
      <x:c r="T239"/>
      <x:c r="U239" t="str"/>
      <x:c r="V239" t="str"/>
    </x:row>
    <x:row r="240">
      <x:c r="A240" t="str">
        <x:v>2026-08-28</x:v>
      </x:c>
      <x:c r="B240" t="str">
        <x:v>A28-R08</x:v>
      </x:c>
      <x:c r="C240" t="str">
        <x:v>SOURCED</x:v>
      </x:c>
      <x:c r="D240" t="str">
        <x:v>Cody Brown WNBA Board</x:v>
      </x:c>
      <x:c r="E240" t="str">
        <x:v>WNBA</x:v>
      </x:c>
      <x:c r="F240" t="str">
        <x:v>POR @ ATL</x:v>
      </x:c>
      <x:c r="G240" t="str">
        <x:v>Emily Engstler</x:v>
      </x:c>
      <x:c r="H240" t="str">
        <x:v>Assists</x:v>
      </x:c>
      <x:c r="I240" t="str">
        <x:v>2+ assists</x:v>
      </x:c>
      <x:c r="J240" t="n">
        <x:v>2</x:v>
      </x:c>
      <x:c r="K240"/>
      <x:c r="L240"/>
      <x:c r="M240" t="str">
        <x:v>RESEARCH_POOL</x:v>
      </x:c>
      <x:c r="N240" t="str">
        <x:v>N</x:v>
      </x:c>
      <x:c r="O240" t="str">
        <x:v>Pending</x:v>
      </x:c>
      <x:c r="P240"/>
      <x:c r="Q240"/>
      <x:c r="R240" t="n">
        <x:v>0</x:v>
      </x:c>
      <x:c r="S240"/>
      <x:c r="T240"/>
      <x:c r="U240" t="str"/>
      <x:c r="V240" t="str"/>
    </x:row>
    <x:row r="241">
      <x:c r="A241" t="str">
        <x:v>2026-08-28</x:v>
      </x:c>
      <x:c r="B241" t="str">
        <x:v>A28-R09</x:v>
      </x:c>
      <x:c r="C241" t="str">
        <x:v>SOURCED</x:v>
      </x:c>
      <x:c r="D241" t="str">
        <x:v>Cody Brown WNBA Board</x:v>
      </x:c>
      <x:c r="E241" t="str">
        <x:v>WNBA</x:v>
      </x:c>
      <x:c r="F241" t="str">
        <x:v>POR @ ATL</x:v>
      </x:c>
      <x:c r="G241" t="str">
        <x:v>Emily Engstler</x:v>
      </x:c>
      <x:c r="H241" t="str">
        <x:v>Threes</x:v>
      </x:c>
      <x:c r="I241" t="str">
        <x:v>1+ three</x:v>
      </x:c>
      <x:c r="J241" t="n">
        <x:v>1</x:v>
      </x:c>
      <x:c r="K241"/>
      <x:c r="L241"/>
      <x:c r="M241" t="str">
        <x:v>RESEARCH_POOL</x:v>
      </x:c>
      <x:c r="N241" t="str">
        <x:v>N</x:v>
      </x:c>
      <x:c r="O241" t="str">
        <x:v>Pending</x:v>
      </x:c>
      <x:c r="P241"/>
      <x:c r="Q241"/>
      <x:c r="R241" t="n">
        <x:v>0</x:v>
      </x:c>
      <x:c r="S241"/>
      <x:c r="T241"/>
      <x:c r="U241" t="str"/>
      <x:c r="V241" t="str"/>
    </x:row>
    <x:row r="242">
      <x:c r="A242" t="str">
        <x:v>2026-08-28</x:v>
      </x:c>
      <x:c r="B242" t="str">
        <x:v>A28-R10</x:v>
      </x:c>
      <x:c r="C242" t="str">
        <x:v>SOURCED</x:v>
      </x:c>
      <x:c r="D242" t="str">
        <x:v>Cody Brown WNBA Board</x:v>
      </x:c>
      <x:c r="E242" t="str">
        <x:v>WNBA</x:v>
      </x:c>
      <x:c r="F242" t="str">
        <x:v>POR @ ATL</x:v>
      </x:c>
      <x:c r="G242" t="str">
        <x:v>Allisha Gray</x:v>
      </x:c>
      <x:c r="H242" t="str">
        <x:v>Points</x:v>
      </x:c>
      <x:c r="I242" t="str">
        <x:v>15+ points</x:v>
      </x:c>
      <x:c r="J242" t="n">
        <x:v>15</x:v>
      </x:c>
      <x:c r="K242"/>
      <x:c r="L242"/>
      <x:c r="M242" t="str">
        <x:v>RESEARCH_POOL</x:v>
      </x:c>
      <x:c r="N242" t="str">
        <x:v>N</x:v>
      </x:c>
      <x:c r="O242" t="str">
        <x:v>Pending</x:v>
      </x:c>
      <x:c r="P242"/>
      <x:c r="Q242"/>
      <x:c r="R242" t="n">
        <x:v>0</x:v>
      </x:c>
      <x:c r="S242"/>
      <x:c r="T242"/>
      <x:c r="U242" t="str"/>
      <x:c r="V242" t="str"/>
    </x:row>
    <x:row r="243">
      <x:c r="A243" t="str">
        <x:v>2026-08-28</x:v>
      </x:c>
      <x:c r="B243" t="str">
        <x:v>A28-R11</x:v>
      </x:c>
      <x:c r="C243" t="str">
        <x:v>SOURCED</x:v>
      </x:c>
      <x:c r="D243" t="str">
        <x:v>Cody Brown WNBA Board</x:v>
      </x:c>
      <x:c r="E243" t="str">
        <x:v>WNBA</x:v>
      </x:c>
      <x:c r="F243" t="str">
        <x:v>POR @ ATL</x:v>
      </x:c>
      <x:c r="G243" t="str">
        <x:v>Bridget Carleton</x:v>
      </x:c>
      <x:c r="H243" t="str">
        <x:v>Rebounds</x:v>
      </x:c>
      <x:c r="I243" t="str">
        <x:v>4+ rebounds</x:v>
      </x:c>
      <x:c r="J243" t="n">
        <x:v>4</x:v>
      </x:c>
      <x:c r="K243"/>
      <x:c r="L243"/>
      <x:c r="M243" t="str">
        <x:v>RESEARCH_POOL</x:v>
      </x:c>
      <x:c r="N243" t="str">
        <x:v>N</x:v>
      </x:c>
      <x:c r="O243" t="str">
        <x:v>Pending</x:v>
      </x:c>
      <x:c r="P243"/>
      <x:c r="Q243"/>
      <x:c r="R243" t="n">
        <x:v>0</x:v>
      </x:c>
      <x:c r="S243"/>
      <x:c r="T243"/>
      <x:c r="U243" t="str"/>
      <x:c r="V243" t="str"/>
    </x:row>
    <x:row r="244">
      <x:c r="A244" t="str">
        <x:v>2026-08-28</x:v>
      </x:c>
      <x:c r="B244" t="str">
        <x:v>A28-R12</x:v>
      </x:c>
      <x:c r="C244" t="str">
        <x:v>SOURCED</x:v>
      </x:c>
      <x:c r="D244" t="str">
        <x:v>Cody Brown WNBA Board</x:v>
      </x:c>
      <x:c r="E244" t="str">
        <x:v>WNBA</x:v>
      </x:c>
      <x:c r="F244" t="str">
        <x:v>POR @ ATL</x:v>
      </x:c>
      <x:c r="G244" t="str">
        <x:v>Bridget Carleton</x:v>
      </x:c>
      <x:c r="H244" t="str">
        <x:v>Threes</x:v>
      </x:c>
      <x:c r="I244" t="str">
        <x:v>2+ threes</x:v>
      </x:c>
      <x:c r="J244" t="n">
        <x:v>2</x:v>
      </x:c>
      <x:c r="K244"/>
      <x:c r="L244"/>
      <x:c r="M244" t="str">
        <x:v>RESEARCH_POOL</x:v>
      </x:c>
      <x:c r="N244" t="str">
        <x:v>N</x:v>
      </x:c>
      <x:c r="O244" t="str">
        <x:v>Pending</x:v>
      </x:c>
      <x:c r="P244"/>
      <x:c r="Q244"/>
      <x:c r="R244" t="n">
        <x:v>0</x:v>
      </x:c>
      <x:c r="S244"/>
      <x:c r="T244"/>
      <x:c r="U244" t="str"/>
      <x:c r="V244" t="str"/>
    </x:row>
    <x:row r="245">
      <x:c r="A245" t="str">
        <x:v>2026-08-28</x:v>
      </x:c>
      <x:c r="B245" t="str">
        <x:v>A28-R13</x:v>
      </x:c>
      <x:c r="C245" t="str">
        <x:v>SOURCED</x:v>
      </x:c>
      <x:c r="D245" t="str">
        <x:v>Cody Brown WNBA Board</x:v>
      </x:c>
      <x:c r="E245" t="str">
        <x:v>WNBA</x:v>
      </x:c>
      <x:c r="F245" t="str">
        <x:v>POR @ ATL</x:v>
      </x:c>
      <x:c r="G245" t="str">
        <x:v>Naz Hillmon</x:v>
      </x:c>
      <x:c r="H245" t="str">
        <x:v>Threes</x:v>
      </x:c>
      <x:c r="I245" t="str">
        <x:v>1+ three</x:v>
      </x:c>
      <x:c r="J245" t="n">
        <x:v>1</x:v>
      </x:c>
      <x:c r="K245"/>
      <x:c r="L245"/>
      <x:c r="M245" t="str">
        <x:v>RESEARCH_POOL</x:v>
      </x:c>
      <x:c r="N245" t="str">
        <x:v>N</x:v>
      </x:c>
      <x:c r="O245" t="str">
        <x:v>Pending</x:v>
      </x:c>
      <x:c r="P245"/>
      <x:c r="Q245"/>
      <x:c r="R245" t="n">
        <x:v>0</x:v>
      </x:c>
      <x:c r="S245"/>
      <x:c r="T245"/>
      <x:c r="U245" t="str"/>
      <x:c r="V245" t="str"/>
    </x:row>
    <x:row r="246">
      <x:c r="A246" t="str">
        <x:v>2026-08-28</x:v>
      </x:c>
      <x:c r="B246" t="str">
        <x:v>A28-R14</x:v>
      </x:c>
      <x:c r="C246" t="str">
        <x:v>SOURCED</x:v>
      </x:c>
      <x:c r="D246" t="str">
        <x:v>Cody Brown WNBA Board</x:v>
      </x:c>
      <x:c r="E246" t="str">
        <x:v>WNBA</x:v>
      </x:c>
      <x:c r="F246" t="str">
        <x:v>CON @ IND</x:v>
      </x:c>
      <x:c r="G246" t="str">
        <x:v>Saniya Rivers</x:v>
      </x:c>
      <x:c r="H246" t="str">
        <x:v>Assists</x:v>
      </x:c>
      <x:c r="I246" t="str">
        <x:v>2+ assists</x:v>
      </x:c>
      <x:c r="J246" t="n">
        <x:v>2</x:v>
      </x:c>
      <x:c r="K246"/>
      <x:c r="L246"/>
      <x:c r="M246" t="str">
        <x:v>REJECTED</x:v>
      </x:c>
      <x:c r="N246" t="str">
        <x:v>N</x:v>
      </x:c>
      <x:c r="O246" t="str">
        <x:v>Pending</x:v>
      </x:c>
      <x:c r="P246"/>
      <x:c r="Q246"/>
      <x:c r="R246" t="n">
        <x:v>0</x:v>
      </x:c>
      <x:c r="S246"/>
      <x:c r="T246"/>
      <x:c r="U246" t="str">
        <x:v>Game unavailable on user's DraftKings slate.</x:v>
      </x:c>
      <x:c r="V246" t="str"/>
    </x:row>
    <x:row r="247">
      <x:c r="A247" t="str">
        <x:v>2026-08-28</x:v>
      </x:c>
      <x:c r="B247" t="str">
        <x:v>A28-R15</x:v>
      </x:c>
      <x:c r="C247" t="str">
        <x:v>SOURCED</x:v>
      </x:c>
      <x:c r="D247" t="str">
        <x:v>Cody Brown WNBA Board</x:v>
      </x:c>
      <x:c r="E247" t="str">
        <x:v>WNBA</x:v>
      </x:c>
      <x:c r="F247" t="str">
        <x:v>CON @ IND</x:v>
      </x:c>
      <x:c r="G247" t="str">
        <x:v>Kelsey Mitchell</x:v>
      </x:c>
      <x:c r="H247" t="str">
        <x:v>Assists</x:v>
      </x:c>
      <x:c r="I247" t="str">
        <x:v>2+ assists</x:v>
      </x:c>
      <x:c r="J247" t="n">
        <x:v>2</x:v>
      </x:c>
      <x:c r="K247"/>
      <x:c r="L247"/>
      <x:c r="M247" t="str">
        <x:v>REJECTED</x:v>
      </x:c>
      <x:c r="N247" t="str">
        <x:v>N</x:v>
      </x:c>
      <x:c r="O247" t="str">
        <x:v>Pending</x:v>
      </x:c>
      <x:c r="P247"/>
      <x:c r="Q247"/>
      <x:c r="R247" t="n">
        <x:v>0</x:v>
      </x:c>
      <x:c r="S247"/>
      <x:c r="T247"/>
      <x:c r="U247" t="str">
        <x:v>Game unavailable on user's DraftKings slate.</x:v>
      </x:c>
      <x:c r="V247" t="str"/>
    </x:row>
    <x:row r="248">
      <x:c r="A248" t="str">
        <x:v>2026-08-28</x:v>
      </x:c>
      <x:c r="B248" t="str">
        <x:v>A28-R16</x:v>
      </x:c>
      <x:c r="C248" t="str">
        <x:v>SOURCED</x:v>
      </x:c>
      <x:c r="D248" t="str">
        <x:v>Cody Brown WNBA Board / Penguin</x:v>
      </x:c>
      <x:c r="E248" t="str">
        <x:v>WNBA</x:v>
      </x:c>
      <x:c r="F248" t="str">
        <x:v>CON @ IND</x:v>
      </x:c>
      <x:c r="G248" t="str">
        <x:v>Kelsey Mitchell</x:v>
      </x:c>
      <x:c r="H248" t="str">
        <x:v>Points</x:v>
      </x:c>
      <x:c r="I248" t="str">
        <x:v>25+ points</x:v>
      </x:c>
      <x:c r="J248" t="n">
        <x:v>25</x:v>
      </x:c>
      <x:c r="K248"/>
      <x:c r="L248"/>
      <x:c r="M248" t="str">
        <x:v>REJECTED</x:v>
      </x:c>
      <x:c r="N248" t="str">
        <x:v>N</x:v>
      </x:c>
      <x:c r="O248" t="str">
        <x:v>Pending</x:v>
      </x:c>
      <x:c r="P248"/>
      <x:c r="Q248"/>
      <x:c r="R248" t="n">
        <x:v>0</x:v>
      </x:c>
      <x:c r="S248"/>
      <x:c r="T248"/>
      <x:c r="U248" t="str">
        <x:v>Strong sourced candidate but game unavailable on DK; retain as source-validation control.</x:v>
      </x:c>
      <x:c r="V248" t="str"/>
    </x:row>
    <x:row r="249">
      <x:c r="A249" t="str">
        <x:v>2026-08-28</x:v>
      </x:c>
      <x:c r="B249" t="str">
        <x:v>A28-R17</x:v>
      </x:c>
      <x:c r="C249" t="str">
        <x:v>SOURCED</x:v>
      </x:c>
      <x:c r="D249" t="str">
        <x:v>Cody Brown WNBA Board</x:v>
      </x:c>
      <x:c r="E249" t="str">
        <x:v>WNBA</x:v>
      </x:c>
      <x:c r="F249" t="str">
        <x:v>CON @ IND</x:v>
      </x:c>
      <x:c r="G249" t="str">
        <x:v>Caitlin Clark</x:v>
      </x:c>
      <x:c r="H249" t="str">
        <x:v>Points</x:v>
      </x:c>
      <x:c r="I249" t="str">
        <x:v>20+ points</x:v>
      </x:c>
      <x:c r="J249" t="n">
        <x:v>20</x:v>
      </x:c>
      <x:c r="K249"/>
      <x:c r="L249"/>
      <x:c r="M249" t="str">
        <x:v>REJECTED</x:v>
      </x:c>
      <x:c r="N249" t="str">
        <x:v>N</x:v>
      </x:c>
      <x:c r="O249" t="str">
        <x:v>Pending</x:v>
      </x:c>
      <x:c r="P249"/>
      <x:c r="Q249"/>
      <x:c r="R249" t="n">
        <x:v>0</x:v>
      </x:c>
      <x:c r="S249"/>
      <x:c r="T249"/>
      <x:c r="U249" t="str">
        <x:v>Game unavailable on user's DraftKings slate.</x:v>
      </x:c>
      <x:c r="V249" t="str"/>
    </x:row>
    <x:row r="250">
      <x:c r="A250" t="str">
        <x:v>2026-08-28</x:v>
      </x:c>
      <x:c r="B250" t="str">
        <x:v>A28-R18</x:v>
      </x:c>
      <x:c r="C250" t="str">
        <x:v>SOURCED</x:v>
      </x:c>
      <x:c r="D250" t="str">
        <x:v>Cody Brown WNBA Board</x:v>
      </x:c>
      <x:c r="E250" t="str">
        <x:v>WNBA</x:v>
      </x:c>
      <x:c r="F250" t="str">
        <x:v>CON @ IND</x:v>
      </x:c>
      <x:c r="G250" t="str">
        <x:v>Caitlin Clark</x:v>
      </x:c>
      <x:c r="H250" t="str">
        <x:v>Assists</x:v>
      </x:c>
      <x:c r="I250" t="str">
        <x:v>8+ assists</x:v>
      </x:c>
      <x:c r="J250" t="n">
        <x:v>8</x:v>
      </x:c>
      <x:c r="K250"/>
      <x:c r="L250"/>
      <x:c r="M250" t="str">
        <x:v>REJECTED</x:v>
      </x:c>
      <x:c r="N250" t="str">
        <x:v>N</x:v>
      </x:c>
      <x:c r="O250" t="str">
        <x:v>Pending</x:v>
      </x:c>
      <x:c r="P250"/>
      <x:c r="Q250"/>
      <x:c r="R250" t="n">
        <x:v>0</x:v>
      </x:c>
      <x:c r="S250"/>
      <x:c r="T250"/>
      <x:c r="U250" t="str">
        <x:v>Game unavailable on user's DraftKings slate.</x:v>
      </x:c>
      <x:c r="V250" t="str"/>
    </x:row>
    <x:row r="251">
      <x:c r="A251" t="str">
        <x:v>2026-08-28</x:v>
      </x:c>
      <x:c r="B251" t="str">
        <x:v>A28-R19</x:v>
      </x:c>
      <x:c r="C251" t="str">
        <x:v>SOURCED</x:v>
      </x:c>
      <x:c r="D251" t="str">
        <x:v>Cody Brown WNBA Board</x:v>
      </x:c>
      <x:c r="E251" t="str">
        <x:v>WNBA</x:v>
      </x:c>
      <x:c r="F251" t="str">
        <x:v>TOR @ LV</x:v>
      </x:c>
      <x:c r="G251" t="str">
        <x:v>Jackie Young</x:v>
      </x:c>
      <x:c r="H251" t="str">
        <x:v>Threes</x:v>
      </x:c>
      <x:c r="I251" t="str">
        <x:v>2+ threes</x:v>
      </x:c>
      <x:c r="J251" t="n">
        <x:v>2</x:v>
      </x:c>
      <x:c r="K251"/>
      <x:c r="L251"/>
      <x:c r="M251" t="str">
        <x:v>RESEARCH_POOL</x:v>
      </x:c>
      <x:c r="N251" t="str">
        <x:v>N</x:v>
      </x:c>
      <x:c r="O251" t="str">
        <x:v>Pending</x:v>
      </x:c>
      <x:c r="P251"/>
      <x:c r="Q251"/>
      <x:c r="R251" t="n">
        <x:v>0</x:v>
      </x:c>
      <x:c r="S251"/>
      <x:c r="T251"/>
      <x:c r="U251" t="str"/>
      <x:c r="V251" t="str"/>
    </x:row>
    <x:row r="252">
      <x:c r="A252" t="str">
        <x:v>2026-08-28</x:v>
      </x:c>
      <x:c r="B252" t="str">
        <x:v>A28-R20</x:v>
      </x:c>
      <x:c r="C252" t="str">
        <x:v>SOURCED</x:v>
      </x:c>
      <x:c r="D252" t="str">
        <x:v>Cody Brown WNBA Board</x:v>
      </x:c>
      <x:c r="E252" t="str">
        <x:v>WNBA</x:v>
      </x:c>
      <x:c r="F252" t="str">
        <x:v>TOR @ LV</x:v>
      </x:c>
      <x:c r="G252" t="str">
        <x:v>A'ja Wilson</x:v>
      </x:c>
      <x:c r="H252" t="str">
        <x:v>Points</x:v>
      </x:c>
      <x:c r="I252" t="str">
        <x:v>20+ points</x:v>
      </x:c>
      <x:c r="J252" t="n">
        <x:v>20</x:v>
      </x:c>
      <x:c r="K252"/>
      <x:c r="L252"/>
      <x:c r="M252" t="str">
        <x:v>RESEARCH_POOL</x:v>
      </x:c>
      <x:c r="N252" t="str">
        <x:v>N</x:v>
      </x:c>
      <x:c r="O252" t="str">
        <x:v>Pending</x:v>
      </x:c>
      <x:c r="P252"/>
      <x:c r="Q252"/>
      <x:c r="R252" t="n">
        <x:v>0</x:v>
      </x:c>
      <x:c r="S252"/>
      <x:c r="T252"/>
      <x:c r="U252" t="str">
        <x:v>Availability/status must be confirmed.</x:v>
      </x:c>
      <x:c r="V252" t="str"/>
    </x:row>
    <x:row r="253">
      <x:c r="A253" t="str">
        <x:v>2026-08-28</x:v>
      </x:c>
      <x:c r="B253" t="str">
        <x:v>A28-R21</x:v>
      </x:c>
      <x:c r="C253" t="str">
        <x:v>SOURCED</x:v>
      </x:c>
      <x:c r="D253" t="str">
        <x:v>Cody Brown WNBA Board</x:v>
      </x:c>
      <x:c r="E253" t="str">
        <x:v>WNBA</x:v>
      </x:c>
      <x:c r="F253" t="str">
        <x:v>TOR @ LV</x:v>
      </x:c>
      <x:c r="G253" t="str">
        <x:v>Jackie Young</x:v>
      </x:c>
      <x:c r="H253" t="str">
        <x:v>Points</x:v>
      </x:c>
      <x:c r="I253" t="str">
        <x:v>20+ points</x:v>
      </x:c>
      <x:c r="J253" t="n">
        <x:v>20</x:v>
      </x:c>
      <x:c r="K253"/>
      <x:c r="L253"/>
      <x:c r="M253" t="str">
        <x:v>RESEARCH_POOL</x:v>
      </x:c>
      <x:c r="N253" t="str">
        <x:v>N</x:v>
      </x:c>
      <x:c r="O253" t="str">
        <x:v>Pending</x:v>
      </x:c>
      <x:c r="P253"/>
      <x:c r="Q253"/>
      <x:c r="R253" t="n">
        <x:v>0</x:v>
      </x:c>
      <x:c r="S253"/>
      <x:c r="T253"/>
      <x:c r="U253" t="str"/>
      <x:c r="V253" t="str"/>
    </x:row>
    <x:row r="254">
      <x:c r="A254" t="str">
        <x:v>2026-08-28</x:v>
      </x:c>
      <x:c r="B254" t="str">
        <x:v>A28-R22</x:v>
      </x:c>
      <x:c r="C254" t="str">
        <x:v>SOURCED</x:v>
      </x:c>
      <x:c r="D254" t="str">
        <x:v>Cody Brown WNBA Board</x:v>
      </x:c>
      <x:c r="E254" t="str">
        <x:v>WNBA</x:v>
      </x:c>
      <x:c r="F254" t="str">
        <x:v>TOR @ LV</x:v>
      </x:c>
      <x:c r="G254" t="str">
        <x:v>Laura Juskaite</x:v>
      </x:c>
      <x:c r="H254" t="str">
        <x:v>Points</x:v>
      </x:c>
      <x:c r="I254" t="str">
        <x:v>10+ points</x:v>
      </x:c>
      <x:c r="J254" t="n">
        <x:v>10</x:v>
      </x:c>
      <x:c r="K254"/>
      <x:c r="L254"/>
      <x:c r="M254" t="str">
        <x:v>RESEARCH_POOL</x:v>
      </x:c>
      <x:c r="N254" t="str">
        <x:v>N</x:v>
      </x:c>
      <x:c r="O254" t="str">
        <x:v>Pending</x:v>
      </x:c>
      <x:c r="P254"/>
      <x:c r="Q254"/>
      <x:c r="R254" t="n">
        <x:v>0</x:v>
      </x:c>
      <x:c r="S254"/>
      <x:c r="T254"/>
      <x:c r="U254" t="str"/>
      <x:c r="V254" t="str"/>
    </x:row>
    <x:row r="255">
      <x:c r="A255" t="str">
        <x:v>2026-08-28</x:v>
      </x:c>
      <x:c r="B255" t="str">
        <x:v>A28-R23</x:v>
      </x:c>
      <x:c r="C255" t="str">
        <x:v>SOURCED</x:v>
      </x:c>
      <x:c r="D255" t="str">
        <x:v>Cody Brown WNBA Board</x:v>
      </x:c>
      <x:c r="E255" t="str">
        <x:v>WNBA</x:v>
      </x:c>
      <x:c r="F255" t="str">
        <x:v>TOR @ LV</x:v>
      </x:c>
      <x:c r="G255" t="str">
        <x:v>A'ja Wilson</x:v>
      </x:c>
      <x:c r="H255" t="str">
        <x:v>Assists</x:v>
      </x:c>
      <x:c r="I255" t="str">
        <x:v>2+ assists</x:v>
      </x:c>
      <x:c r="J255" t="n">
        <x:v>2</x:v>
      </x:c>
      <x:c r="K255"/>
      <x:c r="L255"/>
      <x:c r="M255" t="str">
        <x:v>RESEARCH_POOL</x:v>
      </x:c>
      <x:c r="N255" t="str">
        <x:v>N</x:v>
      </x:c>
      <x:c r="O255" t="str">
        <x:v>Pending</x:v>
      </x:c>
      <x:c r="P255"/>
      <x:c r="Q255"/>
      <x:c r="R255" t="n">
        <x:v>0</x:v>
      </x:c>
      <x:c r="S255"/>
      <x:c r="T255"/>
      <x:c r="U255" t="str">
        <x:v>Availability/status must be confirmed.</x:v>
      </x:c>
      <x:c r="V255" t="str"/>
    </x:row>
    <x:row r="256">
      <x:c r="A256" t="str">
        <x:v>2026-08-28</x:v>
      </x:c>
      <x:c r="B256" t="str">
        <x:v>A28-R24</x:v>
      </x:c>
      <x:c r="C256" t="str">
        <x:v>SOURCED</x:v>
      </x:c>
      <x:c r="D256" t="str">
        <x:v>Cody Brown WNBA Board</x:v>
      </x:c>
      <x:c r="E256" t="str">
        <x:v>WNBA</x:v>
      </x:c>
      <x:c r="F256" t="str">
        <x:v>TOR @ LV</x:v>
      </x:c>
      <x:c r="G256" t="str">
        <x:v>Kia Nurse</x:v>
      </x:c>
      <x:c r="H256" t="str">
        <x:v>Threes</x:v>
      </x:c>
      <x:c r="I256" t="str">
        <x:v>1+ three</x:v>
      </x:c>
      <x:c r="J256" t="n">
        <x:v>1</x:v>
      </x:c>
      <x:c r="K256"/>
      <x:c r="L256"/>
      <x:c r="M256" t="str">
        <x:v>RESEARCH_POOL</x:v>
      </x:c>
      <x:c r="N256" t="str">
        <x:v>N</x:v>
      </x:c>
      <x:c r="O256" t="str">
        <x:v>Pending</x:v>
      </x:c>
      <x:c r="P256"/>
      <x:c r="Q256"/>
      <x:c r="R256" t="n">
        <x:v>0</x:v>
      </x:c>
      <x:c r="S256"/>
      <x:c r="T256"/>
      <x:c r="U256" t="str"/>
      <x:c r="V256" t="str"/>
    </x:row>
    <x:row r="257">
      <x:c r="A257" t="str">
        <x:v>2026-08-28</x:v>
      </x:c>
      <x:c r="B257" t="str">
        <x:v>A28-R25</x:v>
      </x:c>
      <x:c r="C257" t="str">
        <x:v>SOURCED</x:v>
      </x:c>
      <x:c r="D257" t="str">
        <x:v>Cody Brown WNBA Board</x:v>
      </x:c>
      <x:c r="E257" t="str">
        <x:v>WNBA</x:v>
      </x:c>
      <x:c r="F257" t="str">
        <x:v>TOR @ LV</x:v>
      </x:c>
      <x:c r="G257" t="str">
        <x:v>A'ja Wilson</x:v>
      </x:c>
      <x:c r="H257" t="str">
        <x:v>Threes</x:v>
      </x:c>
      <x:c r="I257" t="str">
        <x:v>1+ three</x:v>
      </x:c>
      <x:c r="J257" t="n">
        <x:v>1</x:v>
      </x:c>
      <x:c r="K257"/>
      <x:c r="L257"/>
      <x:c r="M257" t="str">
        <x:v>RESEARCH_POOL</x:v>
      </x:c>
      <x:c r="N257" t="str">
        <x:v>N</x:v>
      </x:c>
      <x:c r="O257" t="str">
        <x:v>Pending</x:v>
      </x:c>
      <x:c r="P257"/>
      <x:c r="Q257"/>
      <x:c r="R257" t="n">
        <x:v>0</x:v>
      </x:c>
      <x:c r="S257"/>
      <x:c r="T257"/>
      <x:c r="U257" t="str">
        <x:v>Availability/status must be confirmed.</x:v>
      </x:c>
      <x:c r="V257" t="str"/>
    </x:row>
    <x:row r="258">
      <x:c r="A258" t="str">
        <x:v>2026-08-28</x:v>
      </x:c>
      <x:c r="B258" t="str">
        <x:v>A28-R26</x:v>
      </x:c>
      <x:c r="C258" t="str">
        <x:v>SOURCED</x:v>
      </x:c>
      <x:c r="D258" t="str">
        <x:v>Cody Brown WNBA Board</x:v>
      </x:c>
      <x:c r="E258" t="str">
        <x:v>WNBA</x:v>
      </x:c>
      <x:c r="F258" t="str">
        <x:v>WAS @ LA</x:v>
      </x:c>
      <x:c r="G258" t="str">
        <x:v>Nneka Ogwumike</x:v>
      </x:c>
      <x:c r="H258" t="str">
        <x:v>Rebounds</x:v>
      </x:c>
      <x:c r="I258" t="str">
        <x:v>6+ rebounds</x:v>
      </x:c>
      <x:c r="J258" t="n">
        <x:v>6</x:v>
      </x:c>
      <x:c r="K258"/>
      <x:c r="L258"/>
      <x:c r="M258" t="str">
        <x:v>RESEARCH_POOL</x:v>
      </x:c>
      <x:c r="N258" t="str">
        <x:v>N</x:v>
      </x:c>
      <x:c r="O258" t="str">
        <x:v>Pending</x:v>
      </x:c>
      <x:c r="P258"/>
      <x:c r="Q258"/>
      <x:c r="R258" t="n">
        <x:v>0</x:v>
      </x:c>
      <x:c r="S258"/>
      <x:c r="T258"/>
      <x:c r="U258" t="str"/>
      <x:c r="V258" t="str"/>
    </x:row>
    <x:row r="259">
      <x:c r="A259" t="str">
        <x:v>2026-08-28</x:v>
      </x:c>
      <x:c r="B259" t="str">
        <x:v>A28-R27</x:v>
      </x:c>
      <x:c r="C259" t="str">
        <x:v>SOURCED</x:v>
      </x:c>
      <x:c r="D259" t="str">
        <x:v>Cody Brown WNBA Board</x:v>
      </x:c>
      <x:c r="E259" t="str">
        <x:v>WNBA</x:v>
      </x:c>
      <x:c r="F259" t="str">
        <x:v>WAS @ LA</x:v>
      </x:c>
      <x:c r="G259" t="str">
        <x:v>Dearica Hamby</x:v>
      </x:c>
      <x:c r="H259" t="str">
        <x:v>Points</x:v>
      </x:c>
      <x:c r="I259" t="str">
        <x:v>10+ points</x:v>
      </x:c>
      <x:c r="J259" t="n">
        <x:v>10</x:v>
      </x:c>
      <x:c r="K259"/>
      <x:c r="L259"/>
      <x:c r="M259" t="str">
        <x:v>RESEARCH_POOL</x:v>
      </x:c>
      <x:c r="N259" t="str">
        <x:v>N</x:v>
      </x:c>
      <x:c r="O259" t="str">
        <x:v>Pending</x:v>
      </x:c>
      <x:c r="P259"/>
      <x:c r="Q259"/>
      <x:c r="R259" t="n">
        <x:v>0</x:v>
      </x:c>
      <x:c r="S259"/>
      <x:c r="T259"/>
      <x:c r="U259" t="str"/>
      <x:c r="V259" t="str"/>
    </x:row>
    <x:row r="260">
      <x:c r="A260" t="str">
        <x:v>2026-08-28</x:v>
      </x:c>
      <x:c r="B260" t="str">
        <x:v>A28-R28</x:v>
      </x:c>
      <x:c r="C260" t="str">
        <x:v>SOURCED</x:v>
      </x:c>
      <x:c r="D260" t="str">
        <x:v>Cody Brown WNBA Board</x:v>
      </x:c>
      <x:c r="E260" t="str">
        <x:v>WNBA</x:v>
      </x:c>
      <x:c r="F260" t="str">
        <x:v>WAS @ LA</x:v>
      </x:c>
      <x:c r="G260" t="str">
        <x:v>Erica Wheeler</x:v>
      </x:c>
      <x:c r="H260" t="str">
        <x:v>Points</x:v>
      </x:c>
      <x:c r="I260" t="str">
        <x:v>5+ points</x:v>
      </x:c>
      <x:c r="J260" t="n">
        <x:v>5</x:v>
      </x:c>
      <x:c r="K260"/>
      <x:c r="L260"/>
      <x:c r="M260" t="str">
        <x:v>RESEARCH_POOL</x:v>
      </x:c>
      <x:c r="N260" t="str">
        <x:v>N</x:v>
      </x:c>
      <x:c r="O260" t="str">
        <x:v>Pending</x:v>
      </x:c>
      <x:c r="P260"/>
      <x:c r="Q260"/>
      <x:c r="R260" t="n">
        <x:v>0</x:v>
      </x:c>
      <x:c r="S260"/>
      <x:c r="T260"/>
      <x:c r="U260" t="str"/>
      <x:c r="V260" t="str"/>
    </x:row>
    <x:row r="261">
      <x:c r="A261" t="str">
        <x:v>2026-08-28</x:v>
      </x:c>
      <x:c r="B261" t="str">
        <x:v>A28-R29</x:v>
      </x:c>
      <x:c r="C261" t="str">
        <x:v>SOURCED</x:v>
      </x:c>
      <x:c r="D261" t="str">
        <x:v>Cody Brown WNBA Board</x:v>
      </x:c>
      <x:c r="E261" t="str">
        <x:v>WNBA</x:v>
      </x:c>
      <x:c r="F261" t="str">
        <x:v>WAS @ LA</x:v>
      </x:c>
      <x:c r="G261" t="str">
        <x:v>Cameron Brink</x:v>
      </x:c>
      <x:c r="H261" t="str">
        <x:v>Rebounds</x:v>
      </x:c>
      <x:c r="I261" t="str">
        <x:v>4+ rebounds</x:v>
      </x:c>
      <x:c r="J261" t="n">
        <x:v>4</x:v>
      </x:c>
      <x:c r="K261"/>
      <x:c r="L261"/>
      <x:c r="M261" t="str">
        <x:v>RESEARCH_POOL</x:v>
      </x:c>
      <x:c r="N261" t="str">
        <x:v>N</x:v>
      </x:c>
      <x:c r="O261" t="str">
        <x:v>Pending</x:v>
      </x:c>
      <x:c r="P261"/>
      <x:c r="Q261"/>
      <x:c r="R261" t="n">
        <x:v>0</x:v>
      </x:c>
      <x:c r="S261"/>
      <x:c r="T261"/>
      <x:c r="U261" t="str"/>
      <x:c r="V261" t="str"/>
    </x:row>
    <x:row r="262">
      <x:c r="A262" t="str">
        <x:v>2026-08-28</x:v>
      </x:c>
      <x:c r="B262" t="str">
        <x:v>A28-R30</x:v>
      </x:c>
      <x:c r="C262" t="str">
        <x:v>SOURCED</x:v>
      </x:c>
      <x:c r="D262" t="str">
        <x:v>Cody Brown WNBA Board</x:v>
      </x:c>
      <x:c r="E262" t="str">
        <x:v>WNBA</x:v>
      </x:c>
      <x:c r="F262" t="str">
        <x:v>WAS @ LA</x:v>
      </x:c>
      <x:c r="G262" t="str">
        <x:v>Ariel Atkins</x:v>
      </x:c>
      <x:c r="H262" t="str">
        <x:v>Assists</x:v>
      </x:c>
      <x:c r="I262" t="str">
        <x:v>2+ assists</x:v>
      </x:c>
      <x:c r="J262" t="n">
        <x:v>2</x:v>
      </x:c>
      <x:c r="K262"/>
      <x:c r="L262"/>
      <x:c r="M262" t="str">
        <x:v>RESEARCH_POOL</x:v>
      </x:c>
      <x:c r="N262" t="str">
        <x:v>N</x:v>
      </x:c>
      <x:c r="O262" t="str">
        <x:v>Pending</x:v>
      </x:c>
      <x:c r="P262"/>
      <x:c r="Q262"/>
      <x:c r="R262" t="n">
        <x:v>0</x:v>
      </x:c>
      <x:c r="S262"/>
      <x:c r="T262"/>
      <x:c r="U262" t="str"/>
      <x:c r="V262" t="str"/>
    </x:row>
    <x:row r="263">
      <x:c r="A263" t="str">
        <x:v>2026-08-28</x:v>
      </x:c>
      <x:c r="B263" t="str">
        <x:v>A28-R31</x:v>
      </x:c>
      <x:c r="C263" t="str">
        <x:v>SOURCED</x:v>
      </x:c>
      <x:c r="D263" t="str">
        <x:v>Cody Brown WNBA Board</x:v>
      </x:c>
      <x:c r="E263" t="str">
        <x:v>WNBA</x:v>
      </x:c>
      <x:c r="F263" t="str">
        <x:v>WAS @ LA</x:v>
      </x:c>
      <x:c r="G263" t="str">
        <x:v>Rae Burrell</x:v>
      </x:c>
      <x:c r="H263" t="str">
        <x:v>Assists</x:v>
      </x:c>
      <x:c r="I263" t="str">
        <x:v>2+ assists</x:v>
      </x:c>
      <x:c r="J263" t="n">
        <x:v>2</x:v>
      </x:c>
      <x:c r="K263"/>
      <x:c r="L263"/>
      <x:c r="M263" t="str">
        <x:v>RESEARCH_POOL</x:v>
      </x:c>
      <x:c r="N263" t="str">
        <x:v>N</x:v>
      </x:c>
      <x:c r="O263" t="str">
        <x:v>Pending</x:v>
      </x:c>
      <x:c r="P263"/>
      <x:c r="Q263"/>
      <x:c r="R263" t="n">
        <x:v>0</x:v>
      </x:c>
      <x:c r="S263"/>
      <x:c r="T263"/>
      <x:c r="U263" t="str"/>
      <x:c r="V263" t="str"/>
    </x:row>
    <x:row r="264">
      <x:c r="A264" t="str">
        <x:v>2026-08-28</x:v>
      </x:c>
      <x:c r="B264" t="str">
        <x:v>A28-R32</x:v>
      </x:c>
      <x:c r="C264" t="str">
        <x:v>SOURCED</x:v>
      </x:c>
      <x:c r="D264" t="str">
        <x:v>Cody Brown WNBA Board</x:v>
      </x:c>
      <x:c r="E264" t="str">
        <x:v>WNBA</x:v>
      </x:c>
      <x:c r="F264" t="str">
        <x:v>WAS @ LA</x:v>
      </x:c>
      <x:c r="G264" t="str">
        <x:v>Dearica Hamby</x:v>
      </x:c>
      <x:c r="H264" t="str">
        <x:v>Assists</x:v>
      </x:c>
      <x:c r="I264" t="str">
        <x:v>2+ assists</x:v>
      </x:c>
      <x:c r="J264" t="n">
        <x:v>2</x:v>
      </x:c>
      <x:c r="K264"/>
      <x:c r="L264"/>
      <x:c r="M264" t="str">
        <x:v>RESEARCH_POOL</x:v>
      </x:c>
      <x:c r="N264" t="str">
        <x:v>N</x:v>
      </x:c>
      <x:c r="O264" t="str">
        <x:v>Pending</x:v>
      </x:c>
      <x:c r="P264"/>
      <x:c r="Q264"/>
      <x:c r="R264" t="n">
        <x:v>0</x:v>
      </x:c>
      <x:c r="S264"/>
      <x:c r="T264"/>
      <x:c r="U264" t="str"/>
      <x:c r="V264" t="str"/>
    </x:row>
    <x:row r="265">
      <x:c r="A265" t="str">
        <x:v>2026-08-28</x:v>
      </x:c>
      <x:c r="B265" t="str">
        <x:v>A28-R33</x:v>
      </x:c>
      <x:c r="C265" t="str">
        <x:v>SOURCED</x:v>
      </x:c>
      <x:c r="D265" t="str">
        <x:v>Cody Brown WNBA Board</x:v>
      </x:c>
      <x:c r="E265" t="str">
        <x:v>WNBA</x:v>
      </x:c>
      <x:c r="F265" t="str">
        <x:v>WAS @ LA</x:v>
      </x:c>
      <x:c r="G265" t="str">
        <x:v>Shakira Austin</x:v>
      </x:c>
      <x:c r="H265" t="str">
        <x:v>Points</x:v>
      </x:c>
      <x:c r="I265" t="str">
        <x:v>15+ points</x:v>
      </x:c>
      <x:c r="J265" t="n">
        <x:v>15</x:v>
      </x:c>
      <x:c r="K265"/>
      <x:c r="L265"/>
      <x:c r="M265" t="str">
        <x:v>RESEARCH_POOL</x:v>
      </x:c>
      <x:c r="N265" t="str">
        <x:v>N</x:v>
      </x:c>
      <x:c r="O265" t="str">
        <x:v>Pending</x:v>
      </x:c>
      <x:c r="P265"/>
      <x:c r="Q265"/>
      <x:c r="R265" t="n">
        <x:v>0</x:v>
      </x:c>
      <x:c r="S265"/>
      <x:c r="T265"/>
      <x:c r="U265" t="str"/>
      <x:c r="V265" t="str"/>
    </x:row>
    <x:row r="266">
      <x:c r="A266" t="str">
        <x:v>2026-08-28</x:v>
      </x:c>
      <x:c r="B266" t="str">
        <x:v>A28-R34</x:v>
      </x:c>
      <x:c r="C266" t="str">
        <x:v>SOURCED</x:v>
      </x:c>
      <x:c r="D266" t="str">
        <x:v>Cody Brown WNBA Board</x:v>
      </x:c>
      <x:c r="E266" t="str">
        <x:v>WNBA</x:v>
      </x:c>
      <x:c r="F266" t="str">
        <x:v>WAS @ LA</x:v>
      </x:c>
      <x:c r="G266" t="str">
        <x:v>Ariel Atkins</x:v>
      </x:c>
      <x:c r="H266" t="str">
        <x:v>Points</x:v>
      </x:c>
      <x:c r="I266" t="str">
        <x:v>5+ points</x:v>
      </x:c>
      <x:c r="J266" t="n">
        <x:v>5</x:v>
      </x:c>
      <x:c r="K266"/>
      <x:c r="L266"/>
      <x:c r="M266" t="str">
        <x:v>RESEARCH_POOL</x:v>
      </x:c>
      <x:c r="N266" t="str">
        <x:v>N</x:v>
      </x:c>
      <x:c r="O266" t="str">
        <x:v>Pending</x:v>
      </x:c>
      <x:c r="P266"/>
      <x:c r="Q266"/>
      <x:c r="R266" t="n">
        <x:v>0</x:v>
      </x:c>
      <x:c r="S266"/>
      <x:c r="T266"/>
      <x:c r="U266" t="str"/>
      <x:c r="V266" t="str"/>
    </x:row>
    <x:row r="267">
      <x:c r="A267" t="str">
        <x:v>2026-08-28</x:v>
      </x:c>
      <x:c r="B267" t="str">
        <x:v>A28-R35</x:v>
      </x:c>
      <x:c r="C267" t="str">
        <x:v>SOURCED</x:v>
      </x:c>
      <x:c r="D267" t="str">
        <x:v>Cody Brown WNBA Board</x:v>
      </x:c>
      <x:c r="E267" t="str">
        <x:v>WNBA</x:v>
      </x:c>
      <x:c r="F267" t="str">
        <x:v>WAS @ LA</x:v>
      </x:c>
      <x:c r="G267" t="str">
        <x:v>Kiki Iriafen</x:v>
      </x:c>
      <x:c r="H267" t="str">
        <x:v>Rebounds</x:v>
      </x:c>
      <x:c r="I267" t="str">
        <x:v>8+ rebounds</x:v>
      </x:c>
      <x:c r="J267" t="n">
        <x:v>8</x:v>
      </x:c>
      <x:c r="K267"/>
      <x:c r="L267"/>
      <x:c r="M267" t="str">
        <x:v>RESEARCH_POOL</x:v>
      </x:c>
      <x:c r="N267" t="str">
        <x:v>N</x:v>
      </x:c>
      <x:c r="O267" t="str">
        <x:v>Pending</x:v>
      </x:c>
      <x:c r="P267"/>
      <x:c r="Q267"/>
      <x:c r="R267" t="n">
        <x:v>0</x:v>
      </x:c>
      <x:c r="S267"/>
      <x:c r="T267"/>
      <x:c r="U267" t="str"/>
      <x:c r="V267" t="str"/>
    </x:row>
    <x:row r="268">
      <x:c r="A268" t="str">
        <x:v>2026-08-28</x:v>
      </x:c>
      <x:c r="B268" t="str">
        <x:v>A28-R36</x:v>
      </x:c>
      <x:c r="C268" t="str">
        <x:v>SOURCED</x:v>
      </x:c>
      <x:c r="D268" t="str">
        <x:v>Cody Brown WNBA Board</x:v>
      </x:c>
      <x:c r="E268" t="str">
        <x:v>WNBA</x:v>
      </x:c>
      <x:c r="F268" t="str">
        <x:v>WAS @ LA</x:v>
      </x:c>
      <x:c r="G268" t="str">
        <x:v>Shakira Austin</x:v>
      </x:c>
      <x:c r="H268" t="str">
        <x:v>Rebounds</x:v>
      </x:c>
      <x:c r="I268" t="str">
        <x:v>8+ rebounds</x:v>
      </x:c>
      <x:c r="J268" t="n">
        <x:v>8</x:v>
      </x:c>
      <x:c r="K268"/>
      <x:c r="L268"/>
      <x:c r="M268" t="str">
        <x:v>RESEARCH_POOL</x:v>
      </x:c>
      <x:c r="N268" t="str">
        <x:v>N</x:v>
      </x:c>
      <x:c r="O268" t="str">
        <x:v>Pending</x:v>
      </x:c>
      <x:c r="P268"/>
      <x:c r="Q268"/>
      <x:c r="R268" t="n">
        <x:v>0</x:v>
      </x:c>
      <x:c r="S268"/>
      <x:c r="T268"/>
      <x:c r="U268" t="str"/>
      <x:c r="V268" t="str"/>
    </x:row>
    <x:row r="269">
      <x:c r="A269" t="str">
        <x:v>2026-08-28</x:v>
      </x:c>
      <x:c r="B269" t="str">
        <x:v>A28-R37</x:v>
      </x:c>
      <x:c r="C269" t="str">
        <x:v>SOURCED</x:v>
      </x:c>
      <x:c r="D269" t="str">
        <x:v>Cody Brown WNBA Board</x:v>
      </x:c>
      <x:c r="E269" t="str">
        <x:v>WNBA</x:v>
      </x:c>
      <x:c r="F269" t="str">
        <x:v>WAS @ LA</x:v>
      </x:c>
      <x:c r="G269" t="str">
        <x:v>Lauren Betts</x:v>
      </x:c>
      <x:c r="H269" t="str">
        <x:v>Rebounds</x:v>
      </x:c>
      <x:c r="I269" t="str">
        <x:v>4+ rebounds</x:v>
      </x:c>
      <x:c r="J269" t="n">
        <x:v>4</x:v>
      </x:c>
      <x:c r="K269"/>
      <x:c r="L269"/>
      <x:c r="M269" t="str">
        <x:v>RESEARCH_POOL</x:v>
      </x:c>
      <x:c r="N269" t="str">
        <x:v>N</x:v>
      </x:c>
      <x:c r="O269" t="str">
        <x:v>Pending</x:v>
      </x:c>
      <x:c r="P269"/>
      <x:c r="Q269"/>
      <x:c r="R269" t="n">
        <x:v>0</x:v>
      </x:c>
      <x:c r="S269"/>
      <x:c r="T269"/>
      <x:c r="U269" t="str"/>
      <x:c r="V269" t="str"/>
    </x:row>
    <x:row r="270">
      <x:c r="A270" t="str">
        <x:v>2026-08-28</x:v>
      </x:c>
      <x:c r="B270" t="str">
        <x:v>A28-R38</x:v>
      </x:c>
      <x:c r="C270" t="str">
        <x:v>SOURCED</x:v>
      </x:c>
      <x:c r="D270" t="str">
        <x:v>FanDuel NRFI 3-leg</x:v>
      </x:c>
      <x:c r="E270" t="str">
        <x:v>MLB</x:v>
      </x:c>
      <x:c r="F270" t="str">
        <x:v>LAD @ DET</x:v>
      </x:c>
      <x:c r="G270" t="str">
        <x:v>LAD/DET</x:v>
      </x:c>
      <x:c r="H270" t="str">
        <x:v>NRFI</x:v>
      </x:c>
      <x:c r="I270" t="str">
        <x:v>Under 0.5 first-inning runs</x:v>
      </x:c>
      <x:c r="J270" t="n">
        <x:v>0.5</x:v>
      </x:c>
      <x:c r="K270" t="n">
        <x:v>-150</x:v>
      </x:c>
      <x:c r="L270" t="n">
        <x:v>0.6</x:v>
      </x:c>
      <x:c r="M270" t="str">
        <x:v>PAPER</x:v>
      </x:c>
      <x:c r="N270" t="str">
        <x:v>N</x:v>
      </x:c>
      <x:c r="O270" t="str">
        <x:v>Pending</x:v>
      </x:c>
      <x:c r="P270"/>
      <x:c r="Q270"/>
      <x:c r="R270" t="n">
        <x:v>0</x:v>
      </x:c>
      <x:c r="S270"/>
      <x:c r="T270"/>
      <x:c r="U270" t="str">
        <x:v>Source 3-leg NRFI component; evaluate independently.</x:v>
      </x:c>
      <x:c r="V270" t="str"/>
    </x:row>
    <x:row r="271">
      <x:c r="A271" t="str">
        <x:v>2026-08-28</x:v>
      </x:c>
      <x:c r="B271" t="str">
        <x:v>A28-R39</x:v>
      </x:c>
      <x:c r="C271" t="str">
        <x:v>SOURCED</x:v>
      </x:c>
      <x:c r="D271" t="str">
        <x:v>FanDuel NRFI 3-leg</x:v>
      </x:c>
      <x:c r="E271" t="str">
        <x:v>MLB</x:v>
      </x:c>
      <x:c r="F271" t="str">
        <x:v>HOU @ NYM</x:v>
      </x:c>
      <x:c r="G271" t="str">
        <x:v>HOU/NYM</x:v>
      </x:c>
      <x:c r="H271" t="str">
        <x:v>NRFI</x:v>
      </x:c>
      <x:c r="I271" t="str">
        <x:v>Under 0.5 first-inning runs</x:v>
      </x:c>
      <x:c r="J271" t="n">
        <x:v>0.5</x:v>
      </x:c>
      <x:c r="K271" t="n">
        <x:v>-132</x:v>
      </x:c>
      <x:c r="L271" t="n">
        <x:v>0.5689655172413793</x:v>
      </x:c>
      <x:c r="M271" t="str">
        <x:v>PAPER</x:v>
      </x:c>
      <x:c r="N271" t="str">
        <x:v>N</x:v>
      </x:c>
      <x:c r="O271" t="str">
        <x:v>Pending</x:v>
      </x:c>
      <x:c r="P271"/>
      <x:c r="Q271"/>
      <x:c r="R271" t="n">
        <x:v>0</x:v>
      </x:c>
      <x:c r="S271"/>
      <x:c r="T271"/>
      <x:c r="U271" t="str"/>
      <x:c r="V271" t="str"/>
    </x:row>
    <x:row r="272">
      <x:c r="A272" t="str">
        <x:v>2026-08-28</x:v>
      </x:c>
      <x:c r="B272" t="str">
        <x:v>A28-R40</x:v>
      </x:c>
      <x:c r="C272" t="str">
        <x:v>SOURCED</x:v>
      </x:c>
      <x:c r="D272" t="str">
        <x:v>FanDuel NRFI 3-leg</x:v>
      </x:c>
      <x:c r="E272" t="str">
        <x:v>MLB</x:v>
      </x:c>
      <x:c r="F272" t="str">
        <x:v>SEA @ TOR</x:v>
      </x:c>
      <x:c r="G272" t="str">
        <x:v>SEA/TOR</x:v>
      </x:c>
      <x:c r="H272" t="str">
        <x:v>NRFI</x:v>
      </x:c>
      <x:c r="I272" t="str">
        <x:v>Under 0.5 first-inning runs</x:v>
      </x:c>
      <x:c r="J272" t="n">
        <x:v>0.5</x:v>
      </x:c>
      <x:c r="K272" t="n">
        <x:v>-170</x:v>
      </x:c>
      <x:c r="L272" t="n">
        <x:v>0.6296296296296297</x:v>
      </x:c>
      <x:c r="M272" t="str">
        <x:v>PAPER</x:v>
      </x:c>
      <x:c r="N272" t="str">
        <x:v>N</x:v>
      </x:c>
      <x:c r="O272" t="str">
        <x:v>Pending</x:v>
      </x:c>
      <x:c r="P272"/>
      <x:c r="Q272"/>
      <x:c r="R272" t="n">
        <x:v>0</x:v>
      </x:c>
      <x:c r="S272"/>
      <x:c r="T272"/>
      <x:c r="U272" t="str"/>
      <x:c r="V272" t="str"/>
    </x:row>
    <x:row r="273">
      <x:c r="A273" t="str">
        <x:v>2026-08-28</x:v>
      </x:c>
      <x:c r="B273" t="str">
        <x:v>A28-R41</x:v>
      </x:c>
      <x:c r="C273" t="str">
        <x:v>SOURCED</x:v>
      </x:c>
      <x:c r="D273" t="str">
        <x:v>FanDuel Hit Parlay</x:v>
      </x:c>
      <x:c r="E273" t="str">
        <x:v>MLB</x:v>
      </x:c>
      <x:c r="F273" t="str">
        <x:v>SD @ TB</x:v>
      </x:c>
      <x:c r="G273" t="str">
        <x:v>Junior Caminero</x:v>
      </x:c>
      <x:c r="H273" t="str">
        <x:v>1+ Hit</x:v>
      </x:c>
      <x:c r="I273" t="str">
        <x:v>1+ hit</x:v>
      </x:c>
      <x:c r="J273" t="n">
        <x:v>1</x:v>
      </x:c>
      <x:c r="K273" t="n">
        <x:v>-240</x:v>
      </x:c>
      <x:c r="L273" t="n">
        <x:v>0.7058823529411765</x:v>
      </x:c>
      <x:c r="M273" t="str">
        <x:v>RESEARCH_POOL</x:v>
      </x:c>
      <x:c r="N273" t="str">
        <x:v>N</x:v>
      </x:c>
      <x:c r="O273" t="str">
        <x:v>Pending</x:v>
      </x:c>
      <x:c r="P273"/>
      <x:c r="Q273"/>
      <x:c r="R273" t="n">
        <x:v>0</x:v>
      </x:c>
      <x:c r="S273"/>
      <x:c r="T273"/>
      <x:c r="U273" t="str">
        <x:v>Expensive hit-glue candidate; compare HRR/TB.</x:v>
      </x:c>
      <x:c r="V273" t="str"/>
    </x:row>
    <x:row r="274">
      <x:c r="A274" t="str">
        <x:v>2026-08-28</x:v>
      </x:c>
      <x:c r="B274" t="str">
        <x:v>A28-R42</x:v>
      </x:c>
      <x:c r="C274" t="str">
        <x:v>SOURCED</x:v>
      </x:c>
      <x:c r="D274" t="str">
        <x:v>FanDuel Hit Parlay</x:v>
      </x:c>
      <x:c r="E274" t="str">
        <x:v>MLB</x:v>
      </x:c>
      <x:c r="F274" t="str">
        <x:v>TEX @ MIL</x:v>
      </x:c>
      <x:c r="G274" t="str">
        <x:v>Andrew Vaughn</x:v>
      </x:c>
      <x:c r="H274" t="str">
        <x:v>1+ Hit</x:v>
      </x:c>
      <x:c r="I274" t="str">
        <x:v>1+ hit</x:v>
      </x:c>
      <x:c r="J274" t="n">
        <x:v>1</x:v>
      </x:c>
      <x:c r="K274" t="n">
        <x:v>-210</x:v>
      </x:c>
      <x:c r="L274" t="n">
        <x:v>0.6774193548387096</x:v>
      </x:c>
      <x:c r="M274" t="str">
        <x:v>RESEARCH_POOL</x:v>
      </x:c>
      <x:c r="N274" t="str">
        <x:v>N</x:v>
      </x:c>
      <x:c r="O274" t="str">
        <x:v>Pending</x:v>
      </x:c>
      <x:c r="P274"/>
      <x:c r="Q274"/>
      <x:c r="R274" t="n">
        <x:v>0</x:v>
      </x:c>
      <x:c r="S274"/>
      <x:c r="T274"/>
      <x:c r="U274" t="str">
        <x:v>Expensive hit-glue candidate; compare HRR.</x:v>
      </x:c>
      <x:c r="V274" t="str"/>
    </x:row>
    <x:row r="275">
      <x:c r="A275" t="str">
        <x:v>2026-08-28</x:v>
      </x:c>
      <x:c r="B275" t="str">
        <x:v>A28-R43</x:v>
      </x:c>
      <x:c r="C275" t="str">
        <x:v>SOURCED</x:v>
      </x:c>
      <x:c r="D275" t="str">
        <x:v>FanDuel Hit Parlay</x:v>
      </x:c>
      <x:c r="E275" t="str">
        <x:v>MLB</x:v>
      </x:c>
      <x:c r="F275" t="str">
        <x:v>CWS @ MIN</x:v>
      </x:c>
      <x:c r="G275" t="str">
        <x:v>Miguel Vargas</x:v>
      </x:c>
      <x:c r="H275" t="str">
        <x:v>1+ Hit</x:v>
      </x:c>
      <x:c r="I275" t="str">
        <x:v>1+ hit</x:v>
      </x:c>
      <x:c r="J275" t="n">
        <x:v>1</x:v>
      </x:c>
      <x:c r="K275" t="n">
        <x:v>-220</x:v>
      </x:c>
      <x:c r="L275" t="n">
        <x:v>0.6875</x:v>
      </x:c>
      <x:c r="M275" t="str">
        <x:v>RESEARCH_POOL</x:v>
      </x:c>
      <x:c r="N275" t="str">
        <x:v>N</x:v>
      </x:c>
      <x:c r="O275" t="str">
        <x:v>Pending</x:v>
      </x:c>
      <x:c r="P275"/>
      <x:c r="Q275"/>
      <x:c r="R275" t="n">
        <x:v>0</x:v>
      </x:c>
      <x:c r="S275"/>
      <x:c r="T275"/>
      <x:c r="U275" t="str">
        <x:v>Expensive hit-glue candidate; compare HRR/TB.</x:v>
      </x:c>
      <x:c r="V275" t="str"/>
    </x:row>
    <x:row r="276">
      <x:c r="A276" t="str">
        <x:v>2026-08-28</x:v>
      </x:c>
      <x:c r="B276" t="str">
        <x:v>A28-R44</x:v>
      </x:c>
      <x:c r="C276" t="str">
        <x:v>SOURCED</x:v>
      </x:c>
      <x:c r="D276" t="str">
        <x:v>Prop Menu 08/28</x:v>
      </x:c>
      <x:c r="E276" t="str">
        <x:v>MLB</x:v>
      </x:c>
      <x:c r="F276" t="str">
        <x:v>SEA @ TOR</x:v>
      </x:c>
      <x:c r="G276" t="str">
        <x:v>Dylan Cease</x:v>
      </x:c>
      <x:c r="H276" t="str">
        <x:v>Pitcher K Over</x:v>
      </x:c>
      <x:c r="I276" t="str">
        <x:v>Over 7.5 Ks</x:v>
      </x:c>
      <x:c r="J276" t="n">
        <x:v>7.5</x:v>
      </x:c>
      <x:c r="K276"/>
      <x:c r="L276"/>
      <x:c r="M276" t="str">
        <x:v>RESEARCH_POOL</x:v>
      </x:c>
      <x:c r="N276" t="str">
        <x:v>N</x:v>
      </x:c>
      <x:c r="O276" t="str">
        <x:v>Pending</x:v>
      </x:c>
      <x:c r="P276"/>
      <x:c r="Q276"/>
      <x:c r="R276" t="n">
        <x:v>0</x:v>
      </x:c>
      <x:c r="S276"/>
      <x:c r="T276"/>
      <x:c r="U276" t="str">
        <x:v>Strong K-over lead; independent audit found supporting whiff/opponent-K context.</x:v>
      </x:c>
      <x:c r="V276" t="str"/>
    </x:row>
    <x:row r="277">
      <x:c r="A277" t="str">
        <x:v>2026-08-28</x:v>
      </x:c>
      <x:c r="B277" t="str">
        <x:v>A28-R45</x:v>
      </x:c>
      <x:c r="C277" t="str">
        <x:v>SOURCED</x:v>
      </x:c>
      <x:c r="D277" t="str">
        <x:v>Prop Menu / Bases Loaded</x:v>
      </x:c>
      <x:c r="E277" t="str">
        <x:v>MLB</x:v>
      </x:c>
      <x:c r="F277" t="str">
        <x:v>COL @ ATL</x:v>
      </x:c>
      <x:c r="G277" t="str">
        <x:v>Matt Olson</x:v>
      </x:c>
      <x:c r="H277" t="str">
        <x:v>Total Bases</x:v>
      </x:c>
      <x:c r="I277" t="str">
        <x:v>Over 1.5 TB</x:v>
      </x:c>
      <x:c r="J277" t="n">
        <x:v>1.5</x:v>
      </x:c>
      <x:c r="K277"/>
      <x:c r="L277"/>
      <x:c r="M277" t="str">
        <x:v>RESEARCH_POOL</x:v>
      </x:c>
      <x:c r="N277" t="str">
        <x:v>N</x:v>
      </x:c>
      <x:c r="O277" t="str">
        <x:v>Pending</x:v>
      </x:c>
      <x:c r="P277"/>
      <x:c r="Q277"/>
      <x:c r="R277" t="n">
        <x:v>0</x:v>
      </x:c>
      <x:c r="S277"/>
      <x:c r="T277"/>
      <x:c r="U277" t="str">
        <x:v>Multiple-source convergence against Sugano.</x:v>
      </x:c>
      <x:c r="V277" t="str"/>
    </x:row>
    <x:row r="278">
      <x:c r="A278" t="str">
        <x:v>2026-08-28</x:v>
      </x:c>
      <x:c r="B278" t="str">
        <x:v>A28-R46</x:v>
      </x:c>
      <x:c r="C278" t="str">
        <x:v>SOURCED</x:v>
      </x:c>
      <x:c r="D278" t="str">
        <x:v>User Research</x:v>
      </x:c>
      <x:c r="E278" t="str">
        <x:v>MLB</x:v>
      </x:c>
      <x:c r="F278" t="str">
        <x:v>COL @ ATL</x:v>
      </x:c>
      <x:c r="G278" t="str">
        <x:v>Tomoyuki Sugano</x:v>
      </x:c>
      <x:c r="H278" t="str">
        <x:v>Hits Allowed</x:v>
      </x:c>
      <x:c r="I278" t="str">
        <x:v>Over 5.5 hits allowed</x:v>
      </x:c>
      <x:c r="J278" t="n">
        <x:v>5.5</x:v>
      </x:c>
      <x:c r="K278"/>
      <x:c r="L278"/>
      <x:c r="M278" t="str">
        <x:v>RESEARCH_POOL</x:v>
      </x:c>
      <x:c r="N278" t="str">
        <x:v>N</x:v>
      </x:c>
      <x:c r="O278" t="str">
        <x:v>Pending</x:v>
      </x:c>
      <x:c r="P278"/>
      <x:c r="Q278"/>
      <x:c r="R278" t="n">
        <x:v>0</x:v>
      </x:c>
      <x:c r="S278"/>
      <x:c r="T278"/>
      <x:c r="U278" t="str">
        <x:v>Atlanta-contact thesis; pairs with hitter-market core.</x:v>
      </x:c>
      <x:c r="V278" t="str"/>
    </x:row>
    <x:row r="279">
      <x:c r="A279" t="str">
        <x:v>2026-08-28</x:v>
      </x:c>
      <x:c r="B279" t="str">
        <x:v>A28-R47</x:v>
      </x:c>
      <x:c r="C279" t="str">
        <x:v>SOURCED</x:v>
      </x:c>
      <x:c r="D279" t="str">
        <x:v>User Research</x:v>
      </x:c>
      <x:c r="E279" t="str">
        <x:v>MLB</x:v>
      </x:c>
      <x:c r="F279" t="str">
        <x:v>ARI @ SF</x:v>
      </x:c>
      <x:c r="G279" t="str">
        <x:v>Blade Tidwell</x:v>
      </x:c>
      <x:c r="H279" t="str">
        <x:v>Pitcher Outs</x:v>
      </x:c>
      <x:c r="I279" t="str">
        <x:v>Over 15.5 outs</x:v>
      </x:c>
      <x:c r="J279" t="n">
        <x:v>15.5</x:v>
      </x:c>
      <x:c r="K279"/>
      <x:c r="L279"/>
      <x:c r="M279" t="str">
        <x:v>PAPER</x:v>
      </x:c>
      <x:c r="N279" t="str">
        <x:v>N</x:v>
      </x:c>
      <x:c r="O279" t="str">
        <x:v>Pending</x:v>
      </x:c>
      <x:c r="P279"/>
      <x:c r="Q279"/>
      <x:c r="R279" t="n">
        <x:v>0</x:v>
      </x:c>
      <x:c r="S279"/>
      <x:c r="T279"/>
      <x:c r="U279" t="str">
        <x:v>Soft workload/length test; no hard-cap thesis.</x:v>
      </x:c>
      <x:c r="V279" t="str"/>
    </x:row>
    <x:row r="280">
      <x:c r="A280" t="str">
        <x:v>2026-08-28</x:v>
      </x:c>
      <x:c r="B280" t="str">
        <x:v>A28-R48</x:v>
      </x:c>
      <x:c r="C280" t="str">
        <x:v>SOURCED</x:v>
      </x:c>
      <x:c r="D280" t="str">
        <x:v>Cody Brown MLB Best Bet</x:v>
      </x:c>
      <x:c r="E280" t="str">
        <x:v>MLB</x:v>
      </x:c>
      <x:c r="F280" t="str">
        <x:v>BAL @ ATH</x:v>
      </x:c>
      <x:c r="G280" t="str">
        <x:v>Lawrence Butler</x:v>
      </x:c>
      <x:c r="H280" t="str">
        <x:v>H+R+RBI</x:v>
      </x:c>
      <x:c r="I280" t="str">
        <x:v>2+ H+R+RBI</x:v>
      </x:c>
      <x:c r="J280" t="n">
        <x:v>2</x:v>
      </x:c>
      <x:c r="K280"/>
      <x:c r="L280"/>
      <x:c r="M280" t="str">
        <x:v>PAPER</x:v>
      </x:c>
      <x:c r="N280" t="str">
        <x:v>N</x:v>
      </x:c>
      <x:c r="O280" t="str">
        <x:v>Pending</x:v>
      </x:c>
      <x:c r="P280"/>
      <x:c r="Q280"/>
      <x:c r="R280" t="n">
        <x:v>0</x:v>
      </x:c>
      <x:c r="S280"/>
      <x:c r="T280"/>
      <x:c r="U280" t="str">
        <x:v>A-tier unbet HRR control; 75% L16 source hit rate + broader matchup thesis.</x:v>
      </x:c>
      <x:c r="V280" t="str"/>
    </x:row>
    <x:row r="281">
      <x:c r="A281" t="str">
        <x:v>2026-08-28</x:v>
      </x:c>
      <x:c r="B281" t="str">
        <x:v>A28-R49</x:v>
      </x:c>
      <x:c r="C281" t="str">
        <x:v>SOURCED</x:v>
      </x:c>
      <x:c r="D281" t="str">
        <x:v>Total Base POD</x:v>
      </x:c>
      <x:c r="E281" t="str">
        <x:v>MLB</x:v>
      </x:c>
      <x:c r="F281" t="str">
        <x:v>CWS @ MIN</x:v>
      </x:c>
      <x:c r="G281" t="str">
        <x:v>Tristan Peters</x:v>
      </x:c>
      <x:c r="H281" t="str">
        <x:v>Total Bases</x:v>
      </x:c>
      <x:c r="I281" t="str">
        <x:v>2+ total bases</x:v>
      </x:c>
      <x:c r="J281" t="n">
        <x:v>2</x:v>
      </x:c>
      <x:c r="K281"/>
      <x:c r="L281"/>
      <x:c r="M281" t="str">
        <x:v>PAPER</x:v>
      </x:c>
      <x:c r="N281" t="str">
        <x:v>N</x:v>
      </x:c>
      <x:c r="O281" t="str">
        <x:v>Pending</x:v>
      </x:c>
      <x:c r="P281"/>
      <x:c r="Q281"/>
      <x:c r="R281" t="n">
        <x:v>0</x:v>
      </x:c>
      <x:c r="S281"/>
      <x:c r="T281"/>
      <x:c r="U281" t="str">
        <x:v>Extreme recent-form heater; EXP-04 raw-form stress test.</x:v>
      </x:c>
      <x:c r="V281" t="str"/>
    </x:row>
    <x:row r="282">
      <x:c r="A282" t="str">
        <x:v>2026-08-28</x:v>
      </x:c>
      <x:c r="B282" t="str">
        <x:v>A28-R50</x:v>
      </x:c>
      <x:c r="C282" t="str">
        <x:v>SOURCED</x:v>
      </x:c>
      <x:c r="D282" t="str">
        <x:v>Toad HR Projections</x:v>
      </x:c>
      <x:c r="E282" t="str">
        <x:v>MLB</x:v>
      </x:c>
      <x:c r="F282" t="str">
        <x:v>COL @ ATL</x:v>
      </x:c>
      <x:c r="G282" t="str">
        <x:v>Hunter Goodman</x:v>
      </x:c>
      <x:c r="H282" t="str">
        <x:v>HR</x:v>
      </x:c>
      <x:c r="I282" t="str">
        <x:v>Home Run</x:v>
      </x:c>
      <x:c r="J282" t="n">
        <x:v>1</x:v>
      </x:c>
      <x:c r="K282" t="n">
        <x:v>320</x:v>
      </x:c>
      <x:c r="L282" t="n">
        <x:v>0.23809523809523808</x:v>
      </x:c>
      <x:c r="M282" t="str">
        <x:v>PAPER</x:v>
      </x:c>
      <x:c r="N282" t="str">
        <x:v>N</x:v>
      </x:c>
      <x:c r="O282" t="str">
        <x:v>Pending</x:v>
      </x:c>
      <x:c r="P282"/>
      <x:c r="Q282"/>
      <x:c r="R282" t="n">
        <x:v>0</x:v>
      </x:c>
      <x:c r="S282"/>
      <x:c r="T282"/>
      <x:c r="U282" t="str">
        <x:v>Source HR model candidate; matchup/lineup/price adjustment required.</x:v>
      </x:c>
      <x:c r="V282" t="str"/>
    </x:row>
    <x:row r="283">
      <x:c r="A283" t="str">
        <x:v>2026-08-28</x:v>
      </x:c>
      <x:c r="B283" t="str">
        <x:v>A28-R51</x:v>
      </x:c>
      <x:c r="C283" t="str">
        <x:v>SOURCED</x:v>
      </x:c>
      <x:c r="D283" t="str">
        <x:v>Toad HR Projections</x:v>
      </x:c>
      <x:c r="E283" t="str">
        <x:v>MLB</x:v>
      </x:c>
      <x:c r="F283" t="str">
        <x:v>CHC @ CIN</x:v>
      </x:c>
      <x:c r="G283" t="str">
        <x:v>Pete Crow-Armstrong</x:v>
      </x:c>
      <x:c r="H283" t="str">
        <x:v>HR</x:v>
      </x:c>
      <x:c r="I283" t="str">
        <x:v>Home Run</x:v>
      </x:c>
      <x:c r="J283" t="n">
        <x:v>1</x:v>
      </x:c>
      <x:c r="K283" t="n">
        <x:v>316</x:v>
      </x:c>
      <x:c r="L283" t="n">
        <x:v>0.2403846153846154</x:v>
      </x:c>
      <x:c r="M283" t="str">
        <x:v>PAPER</x:v>
      </x:c>
      <x:c r="N283" t="str">
        <x:v>N</x:v>
      </x:c>
      <x:c r="O283" t="str">
        <x:v>Pending</x:v>
      </x:c>
      <x:c r="P283"/>
      <x:c r="Q283"/>
      <x:c r="R283" t="n">
        <x:v>0</x:v>
      </x:c>
      <x:c r="S283"/>
      <x:c r="T283"/>
      <x:c r="U283" t="str">
        <x:v>Source HR model candidate; matchup/lineup/price adjustment required.</x:v>
      </x:c>
      <x:c r="V283" t="str"/>
    </x:row>
    <x:row r="284">
      <x:c r="A284" t="str">
        <x:v>2026-08-28</x:v>
      </x:c>
      <x:c r="B284" t="str">
        <x:v>A28-R52</x:v>
      </x:c>
      <x:c r="C284" t="str">
        <x:v>SOURCED</x:v>
      </x:c>
      <x:c r="D284" t="str">
        <x:v>Toad HR Projections</x:v>
      </x:c>
      <x:c r="E284" t="str">
        <x:v>MLB</x:v>
      </x:c>
      <x:c r="F284" t="str">
        <x:v>MIA @ WSH</x:v>
      </x:c>
      <x:c r="G284" t="str">
        <x:v>Heriberto Hernandez</x:v>
      </x:c>
      <x:c r="H284" t="str">
        <x:v>HR</x:v>
      </x:c>
      <x:c r="I284" t="str">
        <x:v>Home Run</x:v>
      </x:c>
      <x:c r="J284" t="n">
        <x:v>1</x:v>
      </x:c>
      <x:c r="K284" t="n">
        <x:v>384</x:v>
      </x:c>
      <x:c r="L284" t="n">
        <x:v>0.2066115702479339</x:v>
      </x:c>
      <x:c r="M284" t="str">
        <x:v>RESEARCH_POOL</x:v>
      </x:c>
      <x:c r="N284" t="str">
        <x:v>N</x:v>
      </x:c>
      <x:c r="O284" t="str">
        <x:v>Pending</x:v>
      </x:c>
      <x:c r="P284"/>
      <x:c r="Q284"/>
      <x:c r="R284" t="n">
        <x:v>0</x:v>
      </x:c>
      <x:c r="S284"/>
      <x:c r="T284"/>
      <x:c r="U284" t="str">
        <x:v>Source HR model candidate; matchup/lineup/price adjustment required.</x:v>
      </x:c>
      <x:c r="V284" t="str"/>
    </x:row>
    <x:row r="285">
      <x:c r="A285" t="str">
        <x:v>2026-08-28</x:v>
      </x:c>
      <x:c r="B285" t="str">
        <x:v>A28-R53</x:v>
      </x:c>
      <x:c r="C285" t="str">
        <x:v>SOURCED</x:v>
      </x:c>
      <x:c r="D285" t="str">
        <x:v>Toad HR Projections</x:v>
      </x:c>
      <x:c r="E285" t="str">
        <x:v>MLB</x:v>
      </x:c>
      <x:c r="F285" t="str">
        <x:v>PIT @ STL</x:v>
      </x:c>
      <x:c r="G285" t="str">
        <x:v>Esmerlyn Valdez</x:v>
      </x:c>
      <x:c r="H285" t="str">
        <x:v>HR</x:v>
      </x:c>
      <x:c r="I285" t="str">
        <x:v>Home Run</x:v>
      </x:c>
      <x:c r="J285" t="n">
        <x:v>1</x:v>
      </x:c>
      <x:c r="K285" t="n">
        <x:v>600</x:v>
      </x:c>
      <x:c r="L285" t="n">
        <x:v>0.14285714285714285</x:v>
      </x:c>
      <x:c r="M285" t="str">
        <x:v>RESEARCH_POOL</x:v>
      </x:c>
      <x:c r="N285" t="str">
        <x:v>N</x:v>
      </x:c>
      <x:c r="O285" t="str">
        <x:v>Pending</x:v>
      </x:c>
      <x:c r="P285"/>
      <x:c r="Q285"/>
      <x:c r="R285" t="n">
        <x:v>0</x:v>
      </x:c>
      <x:c r="S285"/>
      <x:c r="T285"/>
      <x:c r="U285" t="str">
        <x:v>Source HR model candidate; matchup/lineup/price adjustment required.</x:v>
      </x:c>
      <x:c r="V285" t="str"/>
    </x:row>
    <x:row r="286">
      <x:c r="A286" t="str">
        <x:v>2026-08-28</x:v>
      </x:c>
      <x:c r="B286" t="str">
        <x:v>A28-R54</x:v>
      </x:c>
      <x:c r="C286" t="str">
        <x:v>SOURCED</x:v>
      </x:c>
      <x:c r="D286" t="str">
        <x:v>Toad HR Projections</x:v>
      </x:c>
      <x:c r="E286" t="str">
        <x:v>MLB</x:v>
      </x:c>
      <x:c r="F286" t="str">
        <x:v>BAL @ ATH</x:v>
      </x:c>
      <x:c r="G286" t="str">
        <x:v>Samuel Basallo</x:v>
      </x:c>
      <x:c r="H286" t="str">
        <x:v>HR</x:v>
      </x:c>
      <x:c r="I286" t="str">
        <x:v>Home Run</x:v>
      </x:c>
      <x:c r="J286" t="n">
        <x:v>1</x:v>
      </x:c>
      <x:c r="K286" t="n">
        <x:v>400</x:v>
      </x:c>
      <x:c r="L286" t="n">
        <x:v>0.2</x:v>
      </x:c>
      <x:c r="M286" t="str">
        <x:v>RESEARCH_POOL</x:v>
      </x:c>
      <x:c r="N286" t="str">
        <x:v>N</x:v>
      </x:c>
      <x:c r="O286" t="str">
        <x:v>Pending</x:v>
      </x:c>
      <x:c r="P286"/>
      <x:c r="Q286"/>
      <x:c r="R286" t="n">
        <x:v>0</x:v>
      </x:c>
      <x:c r="S286"/>
      <x:c r="T286"/>
      <x:c r="U286" t="str">
        <x:v>Source HR model candidate; matchup/lineup/price adjustment required.</x:v>
      </x:c>
      <x:c r="V286" t="str"/>
    </x:row>
    <x:row r="287">
      <x:c r="A287" t="str">
        <x:v>2026-08-28</x:v>
      </x:c>
      <x:c r="B287" t="str">
        <x:v>A28-R55</x:v>
      </x:c>
      <x:c r="C287" t="str">
        <x:v>SOURCED</x:v>
      </x:c>
      <x:c r="D287" t="str">
        <x:v>Toad HR Projections</x:v>
      </x:c>
      <x:c r="E287" t="str">
        <x:v>MLB</x:v>
      </x:c>
      <x:c r="F287" t="str">
        <x:v>BOS @ NYY</x:v>
      </x:c>
      <x:c r="G287" t="str">
        <x:v>Ben Rice</x:v>
      </x:c>
      <x:c r="H287" t="str">
        <x:v>HR</x:v>
      </x:c>
      <x:c r="I287" t="str">
        <x:v>Home Run</x:v>
      </x:c>
      <x:c r="J287" t="n">
        <x:v>1</x:v>
      </x:c>
      <x:c r="K287" t="n">
        <x:v>454</x:v>
      </x:c>
      <x:c r="L287" t="n">
        <x:v>0.18050541516245489</x:v>
      </x:c>
      <x:c r="M287" t="str">
        <x:v>RESEARCH_POOL</x:v>
      </x:c>
      <x:c r="N287" t="str">
        <x:v>N</x:v>
      </x:c>
      <x:c r="O287" t="str">
        <x:v>Pending</x:v>
      </x:c>
      <x:c r="P287"/>
      <x:c r="Q287"/>
      <x:c r="R287" t="n">
        <x:v>0</x:v>
      </x:c>
      <x:c r="S287"/>
      <x:c r="T287"/>
      <x:c r="U287" t="str">
        <x:v>Source HR model candidate; matchup/lineup/price adjustment required.</x:v>
      </x:c>
      <x:c r="V287" t="str"/>
    </x:row>
    <x:row r="288">
      <x:c r="A288" t="str">
        <x:v>2026-08-28</x:v>
      </x:c>
      <x:c r="B288" t="str">
        <x:v>A28-R56</x:v>
      </x:c>
      <x:c r="C288" t="str">
        <x:v>SOURCED</x:v>
      </x:c>
      <x:c r="D288" t="str">
        <x:v>Toad HR Projections</x:v>
      </x:c>
      <x:c r="E288" t="str">
        <x:v>MLB</x:v>
      </x:c>
      <x:c r="F288" t="str">
        <x:v>KC @ CLE</x:v>
      </x:c>
      <x:c r="G288" t="str">
        <x:v>Jac Caglianone</x:v>
      </x:c>
      <x:c r="H288" t="str">
        <x:v>HR</x:v>
      </x:c>
      <x:c r="I288" t="str">
        <x:v>Home Run</x:v>
      </x:c>
      <x:c r="J288" t="n">
        <x:v>1</x:v>
      </x:c>
      <x:c r="K288" t="n">
        <x:v>390</x:v>
      </x:c>
      <x:c r="L288" t="n">
        <x:v>0.20408163265306123</x:v>
      </x:c>
      <x:c r="M288" t="str">
        <x:v>PAPER</x:v>
      </x:c>
      <x:c r="N288" t="str">
        <x:v>N</x:v>
      </x:c>
      <x:c r="O288" t="str">
        <x:v>Pending</x:v>
      </x:c>
      <x:c r="P288"/>
      <x:c r="Q288"/>
      <x:c r="R288" t="n">
        <x:v>0</x:v>
      </x:c>
      <x:c r="S288"/>
      <x:c r="T288"/>
      <x:c r="U288" t="str">
        <x:v>Source HR model candidate; matchup/lineup/price adjustment required.</x:v>
      </x:c>
      <x:c r="V288" t="str"/>
    </x:row>
    <x:row r="289">
      <x:c r="A289" t="str">
        <x:v>2026-08-28</x:v>
      </x:c>
      <x:c r="B289" t="str">
        <x:v>A28-R57</x:v>
      </x:c>
      <x:c r="C289" t="str">
        <x:v>SOURCED</x:v>
      </x:c>
      <x:c r="D289" t="str">
        <x:v>Toad HR Projections</x:v>
      </x:c>
      <x:c r="E289" t="str">
        <x:v>MLB</x:v>
      </x:c>
      <x:c r="F289" t="str">
        <x:v>HOU @ NYM</x:v>
      </x:c>
      <x:c r="G289" t="str">
        <x:v>Jeremy Peña</x:v>
      </x:c>
      <x:c r="H289" t="str">
        <x:v>HR</x:v>
      </x:c>
      <x:c r="I289" t="str">
        <x:v>Home Run</x:v>
      </x:c>
      <x:c r="J289" t="n">
        <x:v>1</x:v>
      </x:c>
      <x:c r="K289" t="n">
        <x:v>540</x:v>
      </x:c>
      <x:c r="L289" t="n">
        <x:v>0.15625</x:v>
      </x:c>
      <x:c r="M289" t="str">
        <x:v>RESEARCH_POOL</x:v>
      </x:c>
      <x:c r="N289" t="str">
        <x:v>N</x:v>
      </x:c>
      <x:c r="O289" t="str">
        <x:v>Pending</x:v>
      </x:c>
      <x:c r="P289"/>
      <x:c r="Q289"/>
      <x:c r="R289" t="n">
        <x:v>0</x:v>
      </x:c>
      <x:c r="S289"/>
      <x:c r="T289"/>
      <x:c r="U289" t="str">
        <x:v>Source HR model candidate; matchup/lineup/price adjustment required.</x:v>
      </x:c>
      <x:c r="V289" t="str"/>
    </x:row>
    <x:row r="290">
      <x:c r="A290" t="str">
        <x:v>2026-08-28</x:v>
      </x:c>
      <x:c r="B290" t="str">
        <x:v>A28-R58</x:v>
      </x:c>
      <x:c r="C290" t="str">
        <x:v>SOURCED</x:v>
      </x:c>
      <x:c r="D290" t="str">
        <x:v>Toad HR Projections</x:v>
      </x:c>
      <x:c r="E290" t="str">
        <x:v>MLB</x:v>
      </x:c>
      <x:c r="F290" t="str">
        <x:v>MIA @ WSH</x:v>
      </x:c>
      <x:c r="G290" t="str">
        <x:v>CJ Abrams</x:v>
      </x:c>
      <x:c r="H290" t="str">
        <x:v>HR</x:v>
      </x:c>
      <x:c r="I290" t="str">
        <x:v>Home Run</x:v>
      </x:c>
      <x:c r="J290" t="n">
        <x:v>1</x:v>
      </x:c>
      <x:c r="K290" t="n">
        <x:v>470</x:v>
      </x:c>
      <x:c r="L290" t="n">
        <x:v>0.17543859649122806</x:v>
      </x:c>
      <x:c r="M290" t="str">
        <x:v>RESEARCH_POOL</x:v>
      </x:c>
      <x:c r="N290" t="str">
        <x:v>N</x:v>
      </x:c>
      <x:c r="O290" t="str">
        <x:v>Pending</x:v>
      </x:c>
      <x:c r="P290"/>
      <x:c r="Q290"/>
      <x:c r="R290" t="n">
        <x:v>0</x:v>
      </x:c>
      <x:c r="S290"/>
      <x:c r="T290"/>
      <x:c r="U290" t="str">
        <x:v>Source HR model candidate; matchup/lineup/price adjustment required.</x:v>
      </x:c>
      <x:c r="V290" t="str"/>
    </x:row>
    <x:row r="291">
      <x:c r="A291" t="str">
        <x:v>2026-08-28</x:v>
      </x:c>
      <x:c r="B291" t="str">
        <x:v>A28-R59</x:v>
      </x:c>
      <x:c r="C291" t="str">
        <x:v>SOURCED</x:v>
      </x:c>
      <x:c r="D291" t="str">
        <x:v>Toad HR Projections</x:v>
      </x:c>
      <x:c r="E291" t="str">
        <x:v>MLB</x:v>
      </x:c>
      <x:c r="F291" t="str">
        <x:v>CHC @ CIN</x:v>
      </x:c>
      <x:c r="G291" t="str">
        <x:v>Sal Stewart</x:v>
      </x:c>
      <x:c r="H291" t="str">
        <x:v>HR</x:v>
      </x:c>
      <x:c r="I291" t="str">
        <x:v>Home Run</x:v>
      </x:c>
      <x:c r="J291" t="n">
        <x:v>1</x:v>
      </x:c>
      <x:c r="K291" t="n">
        <x:v>570</x:v>
      </x:c>
      <x:c r="L291" t="n">
        <x:v>0.14925373134328357</x:v>
      </x:c>
      <x:c r="M291" t="str">
        <x:v>RESEARCH_POOL</x:v>
      </x:c>
      <x:c r="N291" t="str">
        <x:v>N</x:v>
      </x:c>
      <x:c r="O291" t="str">
        <x:v>Pending</x:v>
      </x:c>
      <x:c r="P291"/>
      <x:c r="Q291"/>
      <x:c r="R291" t="n">
        <x:v>0</x:v>
      </x:c>
      <x:c r="S291"/>
      <x:c r="T291"/>
      <x:c r="U291" t="str">
        <x:v>Source HR model candidate; matchup/lineup/price adjustment required.</x:v>
      </x:c>
      <x:c r="V291" t="str"/>
    </x:row>
    <x:row r="292">
      <x:c r="A292" t="str">
        <x:v>2026-08-28</x:v>
      </x:c>
      <x:c r="B292" t="str">
        <x:v>A28-R60</x:v>
      </x:c>
      <x:c r="C292" t="str">
        <x:v>SOURCED</x:v>
      </x:c>
      <x:c r="D292" t="str">
        <x:v>UDLR MLB 3-Pack</x:v>
      </x:c>
      <x:c r="E292" t="str">
        <x:v>MLB</x:v>
      </x:c>
      <x:c r="F292" t="str">
        <x:v>BOS @ NYY</x:v>
      </x:c>
      <x:c r="G292" t="str">
        <x:v>Rafael Devers</x:v>
      </x:c>
      <x:c r="H292" t="str">
        <x:v>Total Bases</x:v>
      </x:c>
      <x:c r="I292" t="str">
        <x:v>Over 1.5 TB</x:v>
      </x:c>
      <x:c r="J292" t="n">
        <x:v>1.5</x:v>
      </x:c>
      <x:c r="K292" t="n">
        <x:v>152</x:v>
      </x:c>
      <x:c r="L292" t="n">
        <x:v>0.3968253968253968</x:v>
      </x:c>
      <x:c r="M292" t="str">
        <x:v>PAPER</x:v>
      </x:c>
      <x:c r="N292" t="str">
        <x:v>N</x:v>
      </x:c>
      <x:c r="O292" t="str">
        <x:v>Pending</x:v>
      </x:c>
      <x:c r="P292"/>
      <x:c r="Q292"/>
      <x:c r="R292" t="n">
        <x:v>0</x:v>
      </x:c>
      <x:c r="S292"/>
      <x:c r="T292"/>
      <x:c r="U292" t="str"/>
      <x:c r="V292" t="str"/>
    </x:row>
    <x:row r="293">
      <x:c r="A293" t="str">
        <x:v>2026-08-28</x:v>
      </x:c>
      <x:c r="B293" t="str">
        <x:v>A28-R61</x:v>
      </x:c>
      <x:c r="C293" t="str">
        <x:v>SOURCED</x:v>
      </x:c>
      <x:c r="D293" t="str">
        <x:v>UDLR MLB 3-Pack</x:v>
      </x:c>
      <x:c r="E293" t="str">
        <x:v>MLB</x:v>
      </x:c>
      <x:c r="F293" t="str">
        <x:v>KC @ CLE</x:v>
      </x:c>
      <x:c r="G293" t="str">
        <x:v>Bobby Witt Jr.</x:v>
      </x:c>
      <x:c r="H293" t="str">
        <x:v>H+R+RBI</x:v>
      </x:c>
      <x:c r="I293" t="str">
        <x:v>Over 1.5 HRR</x:v>
      </x:c>
      <x:c r="J293" t="n">
        <x:v>1.5</x:v>
      </x:c>
      <x:c r="K293" t="n">
        <x:v>-120</x:v>
      </x:c>
      <x:c r="L293" t="n">
        <x:v>0.5454545454545454</x:v>
      </x:c>
      <x:c r="M293" t="str">
        <x:v>PAPER</x:v>
      </x:c>
      <x:c r="N293" t="str">
        <x:v>N</x:v>
      </x:c>
      <x:c r="O293" t="str">
        <x:v>Pending</x:v>
      </x:c>
      <x:c r="P293"/>
      <x:c r="Q293"/>
      <x:c r="R293" t="n">
        <x:v>0</x:v>
      </x:c>
      <x:c r="S293"/>
      <x:c r="T293"/>
      <x:c r="U293" t="str"/>
      <x:c r="V293" t="str"/>
    </x:row>
    <x:row r="294">
      <x:c r="A294" t="str">
        <x:v>2026-08-28</x:v>
      </x:c>
      <x:c r="B294" t="str">
        <x:v>A28-R62</x:v>
      </x:c>
      <x:c r="C294" t="str">
        <x:v>SOURCED</x:v>
      </x:c>
      <x:c r="D294" t="str">
        <x:v>UDLR MLB 3-Pack</x:v>
      </x:c>
      <x:c r="E294" t="str">
        <x:v>MLB</x:v>
      </x:c>
      <x:c r="F294" t="str">
        <x:v>SEA @ TOR</x:v>
      </x:c>
      <x:c r="G294" t="str">
        <x:v>Emerson Hancock</x:v>
      </x:c>
      <x:c r="H294" t="str">
        <x:v>Pitcher K Over</x:v>
      </x:c>
      <x:c r="I294" t="str">
        <x:v>Over 3.5 Ks</x:v>
      </x:c>
      <x:c r="J294" t="n">
        <x:v>3.5</x:v>
      </x:c>
      <x:c r="K294" t="n">
        <x:v>-140</x:v>
      </x:c>
      <x:c r="L294" t="n">
        <x:v>0.5833333333333334</x:v>
      </x:c>
      <x:c r="M294" t="str">
        <x:v>PAPER</x:v>
      </x:c>
      <x:c r="N294" t="str">
        <x:v>N</x:v>
      </x:c>
      <x:c r="O294" t="str">
        <x:v>Pending</x:v>
      </x:c>
      <x:c r="P294"/>
      <x:c r="Q294"/>
      <x:c r="R294" t="n">
        <x:v>0</x:v>
      </x:c>
      <x:c r="S294"/>
      <x:c r="T294"/>
      <x:c r="U294" t="str"/>
      <x:c r="V294" t="str"/>
    </x:row>
    <x:row r="295">
      <x:c r="A295" t="str">
        <x:v>2026-08-28</x:v>
      </x:c>
      <x:c r="B295" t="str">
        <x:v>A28-R63</x:v>
      </x:c>
      <x:c r="C295" t="str">
        <x:v>SOURCED</x:v>
      </x:c>
      <x:c r="D295" t="str">
        <x:v>MJC Teams To Target</x:v>
      </x:c>
      <x:c r="E295" t="str">
        <x:v>MLB</x:v>
      </x:c>
      <x:c r="F295" t="str">
        <x:v>Atlanta Braves matchup</x:v>
      </x:c>
      <x:c r="G295" t="str">
        <x:v>Atlanta Braves</x:v>
      </x:c>
      <x:c r="H295" t="str">
        <x:v>Team Hitter Target</x:v>
      </x:c>
      <x:c r="I295" t="str">
        <x:v>Full hitter-market scan</x:v>
      </x:c>
      <x:c r="J295"/>
      <x:c r="K295"/>
      <x:c r="L295"/>
      <x:c r="M295" t="str">
        <x:v>RESEARCH_POOL</x:v>
      </x:c>
      <x:c r="N295" t="str">
        <x:v>N</x:v>
      </x:c>
      <x:c r="O295" t="str">
        <x:v>Pending</x:v>
      </x:c>
      <x:c r="P295"/>
      <x:c r="Q295"/>
      <x:c r="R295" t="n">
        <x:v>0</x:v>
      </x:c>
      <x:c r="S295"/>
      <x:c r="T295"/>
      <x:c r="U295" t="str">
        <x:v>Team-level target vs Tomoyuki Sugano; use only to expand candidate universe.</x:v>
      </x:c>
      <x:c r="V295" t="str"/>
    </x:row>
    <x:row r="296">
      <x:c r="A296" t="str">
        <x:v>2026-08-28</x:v>
      </x:c>
      <x:c r="B296" t="str">
        <x:v>A28-R64</x:v>
      </x:c>
      <x:c r="C296" t="str">
        <x:v>SOURCED</x:v>
      </x:c>
      <x:c r="D296" t="str">
        <x:v>MJC Teams To Target</x:v>
      </x:c>
      <x:c r="E296" t="str">
        <x:v>MLB</x:v>
      </x:c>
      <x:c r="F296" t="str">
        <x:v>Baltimore Orioles matchup</x:v>
      </x:c>
      <x:c r="G296" t="str">
        <x:v>Baltimore Orioles</x:v>
      </x:c>
      <x:c r="H296" t="str">
        <x:v>Team Hitter Target</x:v>
      </x:c>
      <x:c r="I296" t="str">
        <x:v>Full hitter-market scan</x:v>
      </x:c>
      <x:c r="J296"/>
      <x:c r="K296"/>
      <x:c r="L296"/>
      <x:c r="M296" t="str">
        <x:v>RESEARCH_POOL</x:v>
      </x:c>
      <x:c r="N296" t="str">
        <x:v>N</x:v>
      </x:c>
      <x:c r="O296" t="str">
        <x:v>Pending</x:v>
      </x:c>
      <x:c r="P296"/>
      <x:c r="Q296"/>
      <x:c r="R296" t="n">
        <x:v>0</x:v>
      </x:c>
      <x:c r="S296"/>
      <x:c r="T296"/>
      <x:c r="U296" t="str">
        <x:v>Team-level target vs Jacob Lopez; use only to expand candidate universe.</x:v>
      </x:c>
      <x:c r="V296" t="str"/>
    </x:row>
    <x:row r="297">
      <x:c r="A297" t="str">
        <x:v>2026-08-28</x:v>
      </x:c>
      <x:c r="B297" t="str">
        <x:v>A28-R65</x:v>
      </x:c>
      <x:c r="C297" t="str">
        <x:v>SOURCED</x:v>
      </x:c>
      <x:c r="D297" t="str">
        <x:v>MJC Teams To Target</x:v>
      </x:c>
      <x:c r="E297" t="str">
        <x:v>MLB</x:v>
      </x:c>
      <x:c r="F297" t="str">
        <x:v>Chicago Cubs matchup</x:v>
      </x:c>
      <x:c r="G297" t="str">
        <x:v>Chicago Cubs</x:v>
      </x:c>
      <x:c r="H297" t="str">
        <x:v>Team Hitter Target</x:v>
      </x:c>
      <x:c r="I297" t="str">
        <x:v>Full hitter-market scan</x:v>
      </x:c>
      <x:c r="J297"/>
      <x:c r="K297"/>
      <x:c r="L297"/>
      <x:c r="M297" t="str">
        <x:v>RESEARCH_POOL</x:v>
      </x:c>
      <x:c r="N297" t="str">
        <x:v>N</x:v>
      </x:c>
      <x:c r="O297" t="str">
        <x:v>Pending</x:v>
      </x:c>
      <x:c r="P297"/>
      <x:c r="Q297"/>
      <x:c r="R297" t="n">
        <x:v>0</x:v>
      </x:c>
      <x:c r="S297"/>
      <x:c r="T297"/>
      <x:c r="U297" t="str">
        <x:v>Team-level target vs Rhett Lowder; use only to expand candidate universe.</x:v>
      </x:c>
      <x:c r="V297" t="str"/>
    </x:row>
    <x:row r="298">
      <x:c r="A298" t="str">
        <x:v>2026-08-28</x:v>
      </x:c>
      <x:c r="B298" t="str">
        <x:v>A28-R66</x:v>
      </x:c>
      <x:c r="C298" t="str">
        <x:v>SOURCED</x:v>
      </x:c>
      <x:c r="D298" t="str">
        <x:v>MJC Teams To Target</x:v>
      </x:c>
      <x:c r="E298" t="str">
        <x:v>MLB</x:v>
      </x:c>
      <x:c r="F298" t="str">
        <x:v>Minnesota Twins matchup</x:v>
      </x:c>
      <x:c r="G298" t="str">
        <x:v>Minnesota Twins</x:v>
      </x:c>
      <x:c r="H298" t="str">
        <x:v>Team Hitter Target</x:v>
      </x:c>
      <x:c r="I298" t="str">
        <x:v>Full hitter-market scan</x:v>
      </x:c>
      <x:c r="J298"/>
      <x:c r="K298"/>
      <x:c r="L298"/>
      <x:c r="M298" t="str">
        <x:v>RESEARCH_POOL</x:v>
      </x:c>
      <x:c r="N298" t="str">
        <x:v>N</x:v>
      </x:c>
      <x:c r="O298" t="str">
        <x:v>Pending</x:v>
      </x:c>
      <x:c r="P298"/>
      <x:c r="Q298"/>
      <x:c r="R298" t="n">
        <x:v>0</x:v>
      </x:c>
      <x:c r="S298"/>
      <x:c r="T298"/>
      <x:c r="U298" t="str">
        <x:v>Team-level target vs Luis Castillo; use only to expand candidate universe.</x:v>
      </x:c>
      <x:c r="V298" t="str"/>
    </x:row>
    <x:row r="299">
      <x:c r="A299" t="str">
        <x:v>2026-08-28</x:v>
      </x:c>
      <x:c r="B299" t="str">
        <x:v>A28-R67</x:v>
      </x:c>
      <x:c r="C299" t="str">
        <x:v>SOURCED</x:v>
      </x:c>
      <x:c r="D299" t="str">
        <x:v>MJC Teams To Target</x:v>
      </x:c>
      <x:c r="E299" t="str">
        <x:v>MLB</x:v>
      </x:c>
      <x:c r="F299" t="str">
        <x:v>Athletics matchup</x:v>
      </x:c>
      <x:c r="G299" t="str">
        <x:v>Athletics</x:v>
      </x:c>
      <x:c r="H299" t="str">
        <x:v>Team Hitter Target</x:v>
      </x:c>
      <x:c r="I299" t="str">
        <x:v>Full hitter-market scan</x:v>
      </x:c>
      <x:c r="J299"/>
      <x:c r="K299"/>
      <x:c r="L299"/>
      <x:c r="M299" t="str">
        <x:v>RESEARCH_POOL</x:v>
      </x:c>
      <x:c r="N299" t="str">
        <x:v>N</x:v>
      </x:c>
      <x:c r="O299" t="str">
        <x:v>Pending</x:v>
      </x:c>
      <x:c r="P299"/>
      <x:c r="Q299"/>
      <x:c r="R299" t="n">
        <x:v>0</x:v>
      </x:c>
      <x:c r="S299"/>
      <x:c r="T299"/>
      <x:c r="U299" t="str">
        <x:v>Team-level target vs Brandon Young; use only to expand candidate universe.</x:v>
      </x:c>
      <x:c r="V299" t="str"/>
    </x:row>
    <x:row r="300">
      <x:c r="A300" t="str">
        <x:v>2026-08-28</x:v>
      </x:c>
      <x:c r="B300" t="str">
        <x:v>A28-R68</x:v>
      </x:c>
      <x:c r="C300" t="str">
        <x:v>SOURCED</x:v>
      </x:c>
      <x:c r="D300" t="str">
        <x:v>Fade Sheet L10 Unders</x:v>
      </x:c>
      <x:c r="E300" t="str">
        <x:v>MLB</x:v>
      </x:c>
      <x:c r="F300" t="str">
        <x:v>BOS @ NYY</x:v>
      </x:c>
      <x:c r="G300" t="str">
        <x:v>Amed Rosario</x:v>
      </x:c>
      <x:c r="H300" t="str">
        <x:v>Total Bases Under</x:v>
      </x:c>
      <x:c r="I300" t="str">
        <x:v>Under 1.5 TB</x:v>
      </x:c>
      <x:c r="J300" t="n">
        <x:v>1.5</x:v>
      </x:c>
      <x:c r="K300"/>
      <x:c r="L300"/>
      <x:c r="M300" t="str">
        <x:v>PAPER</x:v>
      </x:c>
      <x:c r="N300" t="str">
        <x:v>N</x:v>
      </x:c>
      <x:c r="O300" t="str">
        <x:v>Pending</x:v>
      </x:c>
      <x:c r="P300"/>
      <x:c r="Q300"/>
      <x:c r="R300" t="n">
        <x:v>0</x:v>
      </x:c>
      <x:c r="S300"/>
      <x:c r="T300"/>
      <x:c r="U300" t="str">
        <x:v>Raw recent under trend 10/10; EXP-04 recent-result stress test.</x:v>
      </x:c>
      <x:c r="V300" t="str"/>
    </x:row>
    <x:row r="301">
      <x:c r="A301" t="str">
        <x:v>2026-08-28</x:v>
      </x:c>
      <x:c r="B301" t="str">
        <x:v>A28-R69</x:v>
      </x:c>
      <x:c r="C301" t="str">
        <x:v>SOURCED</x:v>
      </x:c>
      <x:c r="D301" t="str">
        <x:v>Fade Sheet L10 Unders</x:v>
      </x:c>
      <x:c r="E301" t="str">
        <x:v>MLB</x:v>
      </x:c>
      <x:c r="F301" t="str">
        <x:v>CWS @ MIN</x:v>
      </x:c>
      <x:c r="G301" t="str">
        <x:v>Royce Lewis</x:v>
      </x:c>
      <x:c r="H301" t="str">
        <x:v>Total Bases Under</x:v>
      </x:c>
      <x:c r="I301" t="str">
        <x:v>Under 1.5 TB</x:v>
      </x:c>
      <x:c r="J301" t="n">
        <x:v>1.5</x:v>
      </x:c>
      <x:c r="K301"/>
      <x:c r="L301"/>
      <x:c r="M301" t="str">
        <x:v>PAPER</x:v>
      </x:c>
      <x:c r="N301" t="str">
        <x:v>N</x:v>
      </x:c>
      <x:c r="O301" t="str">
        <x:v>Pending</x:v>
      </x:c>
      <x:c r="P301"/>
      <x:c r="Q301"/>
      <x:c r="R301" t="n">
        <x:v>0</x:v>
      </x:c>
      <x:c r="S301"/>
      <x:c r="T301"/>
      <x:c r="U301" t="str">
        <x:v>Raw recent under trend 9/10; EXP-04 recent-result stress test.</x:v>
      </x:c>
      <x:c r="V301" t="str"/>
    </x:row>
    <x:row r="302">
      <x:c r="A302" t="str">
        <x:v>2026-08-28</x:v>
      </x:c>
      <x:c r="B302" t="str">
        <x:v>A28-R70</x:v>
      </x:c>
      <x:c r="C302" t="str">
        <x:v>SOURCED</x:v>
      </x:c>
      <x:c r="D302" t="str">
        <x:v>Fade Sheet L10 Unders</x:v>
      </x:c>
      <x:c r="E302" t="str">
        <x:v>MLB</x:v>
      </x:c>
      <x:c r="F302" t="str">
        <x:v>CHC @ CIN</x:v>
      </x:c>
      <x:c r="G302" t="str">
        <x:v>Nico Hoerner</x:v>
      </x:c>
      <x:c r="H302" t="str">
        <x:v>Total Bases Under</x:v>
      </x:c>
      <x:c r="I302" t="str">
        <x:v>Under 1.5 TB</x:v>
      </x:c>
      <x:c r="J302" t="n">
        <x:v>1.5</x:v>
      </x:c>
      <x:c r="K302"/>
      <x:c r="L302"/>
      <x:c r="M302" t="str">
        <x:v>PAPER</x:v>
      </x:c>
      <x:c r="N302" t="str">
        <x:v>N</x:v>
      </x:c>
      <x:c r="O302" t="str">
        <x:v>Pending</x:v>
      </x:c>
      <x:c r="P302"/>
      <x:c r="Q302"/>
      <x:c r="R302" t="n">
        <x:v>0</x:v>
      </x:c>
      <x:c r="S302"/>
      <x:c r="T302"/>
      <x:c r="U302" t="str">
        <x:v>Raw recent under trend 8/10; EXP-04 recent-result stress test.</x:v>
      </x:c>
      <x:c r="V302" t="str"/>
    </x:row>
    <x:row r="303">
      <x:c r="A303" t="str">
        <x:v>2026-08-28</x:v>
      </x:c>
      <x:c r="B303" t="str">
        <x:v>A28-R71</x:v>
      </x:c>
      <x:c r="C303" t="str">
        <x:v>SOURCED</x:v>
      </x:c>
      <x:c r="D303" t="str">
        <x:v>Fade Sheet L10 Unders</x:v>
      </x:c>
      <x:c r="E303" t="str">
        <x:v>MLB</x:v>
      </x:c>
      <x:c r="F303" t="str">
        <x:v>CHC @ CIN</x:v>
      </x:c>
      <x:c r="G303" t="str">
        <x:v>Pedro Ramirez</x:v>
      </x:c>
      <x:c r="H303" t="str">
        <x:v>Total Bases Under</x:v>
      </x:c>
      <x:c r="I303" t="str">
        <x:v>Under 1.5 TB</x:v>
      </x:c>
      <x:c r="J303" t="n">
        <x:v>1.5</x:v>
      </x:c>
      <x:c r="K303"/>
      <x:c r="L303"/>
      <x:c r="M303" t="str">
        <x:v>PAPER</x:v>
      </x:c>
      <x:c r="N303" t="str">
        <x:v>N</x:v>
      </x:c>
      <x:c r="O303" t="str">
        <x:v>Pending</x:v>
      </x:c>
      <x:c r="P303"/>
      <x:c r="Q303"/>
      <x:c r="R303" t="n">
        <x:v>0</x:v>
      </x:c>
      <x:c r="S303"/>
      <x:c r="T303"/>
      <x:c r="U303" t="str">
        <x:v>Raw recent under trend 8/10; EXP-04 recent-result stress test.</x:v>
      </x:c>
      <x:c r="V303" t="str"/>
    </x:row>
    <x:row r="304">
      <x:c r="A304" t="str">
        <x:v>2026-08-28</x:v>
      </x:c>
      <x:c r="B304" t="str">
        <x:v>A28-R72</x:v>
      </x:c>
      <x:c r="C304" t="str">
        <x:v>SOURCED</x:v>
      </x:c>
      <x:c r="D304" t="str">
        <x:v>Fade Sheet L10 Unders</x:v>
      </x:c>
      <x:c r="E304" t="str">
        <x:v>MLB</x:v>
      </x:c>
      <x:c r="F304" t="str">
        <x:v>SD @ TB</x:v>
      </x:c>
      <x:c r="G304" t="str">
        <x:v>Manny Machado</x:v>
      </x:c>
      <x:c r="H304" t="str">
        <x:v>Total Bases Under</x:v>
      </x:c>
      <x:c r="I304" t="str">
        <x:v>Under 1.5 TB</x:v>
      </x:c>
      <x:c r="J304" t="n">
        <x:v>1.5</x:v>
      </x:c>
      <x:c r="K304"/>
      <x:c r="L304"/>
      <x:c r="M304" t="str">
        <x:v>PAPER</x:v>
      </x:c>
      <x:c r="N304" t="str">
        <x:v>N</x:v>
      </x:c>
      <x:c r="O304" t="str">
        <x:v>Pending</x:v>
      </x:c>
      <x:c r="P304"/>
      <x:c r="Q304"/>
      <x:c r="R304" t="n">
        <x:v>0</x:v>
      </x:c>
      <x:c r="S304"/>
      <x:c r="T304"/>
      <x:c r="U304" t="str">
        <x:v>Raw recent under trend 8/10; EXP-04 recent-result stress test.</x:v>
      </x:c>
      <x:c r="V304" t="str"/>
    </x:row>
    <x:row r="305">
      <x:c r="A305" t="str">
        <x:v>2026-08-28</x:v>
      </x:c>
      <x:c r="B305" t="str">
        <x:v>A28-R73</x:v>
      </x:c>
      <x:c r="C305" t="str">
        <x:v>SOURCED</x:v>
      </x:c>
      <x:c r="D305" t="str">
        <x:v>Fade Sheet L10 Unders</x:v>
      </x:c>
      <x:c r="E305" t="str">
        <x:v>MLB</x:v>
      </x:c>
      <x:c r="F305" t="str">
        <x:v>SD @ TB</x:v>
      </x:c>
      <x:c r="G305" t="str">
        <x:v>Ty France</x:v>
      </x:c>
      <x:c r="H305" t="str">
        <x:v>Total Bases Under</x:v>
      </x:c>
      <x:c r="I305" t="str">
        <x:v>Under 1.5 TB</x:v>
      </x:c>
      <x:c r="J305" t="n">
        <x:v>1.5</x:v>
      </x:c>
      <x:c r="K305"/>
      <x:c r="L305"/>
      <x:c r="M305" t="str">
        <x:v>PAPER</x:v>
      </x:c>
      <x:c r="N305" t="str">
        <x:v>N</x:v>
      </x:c>
      <x:c r="O305" t="str">
        <x:v>Pending</x:v>
      </x:c>
      <x:c r="P305"/>
      <x:c r="Q305"/>
      <x:c r="R305" t="n">
        <x:v>0</x:v>
      </x:c>
      <x:c r="S305"/>
      <x:c r="T305"/>
      <x:c r="U305" t="str">
        <x:v>Raw recent under trend 8/10; EXP-04 recent-result stress test.</x:v>
      </x:c>
      <x:c r="V305" t="str"/>
    </x:row>
    <x:row r="306">
      <x:c r="A306" t="str">
        <x:v>2026-08-28</x:v>
      </x:c>
      <x:c r="B306" t="str">
        <x:v>A28-R74</x:v>
      </x:c>
      <x:c r="C306" t="str">
        <x:v>SOURCED</x:v>
      </x:c>
      <x:c r="D306" t="str">
        <x:v>Fade Sheet L10 Unders</x:v>
      </x:c>
      <x:c r="E306" t="str">
        <x:v>MLB</x:v>
      </x:c>
      <x:c r="F306" t="str">
        <x:v>HOU @ NYM</x:v>
      </x:c>
      <x:c r="G306" t="str">
        <x:v>Yainer Diaz</x:v>
      </x:c>
      <x:c r="H306" t="str">
        <x:v>Total Bases Under</x:v>
      </x:c>
      <x:c r="I306" t="str">
        <x:v>Under 1.5 TB</x:v>
      </x:c>
      <x:c r="J306" t="n">
        <x:v>1.5</x:v>
      </x:c>
      <x:c r="K306"/>
      <x:c r="L306"/>
      <x:c r="M306" t="str">
        <x:v>PAPER</x:v>
      </x:c>
      <x:c r="N306" t="str">
        <x:v>N</x:v>
      </x:c>
      <x:c r="O306" t="str">
        <x:v>Pending</x:v>
      </x:c>
      <x:c r="P306"/>
      <x:c r="Q306"/>
      <x:c r="R306" t="n">
        <x:v>0</x:v>
      </x:c>
      <x:c r="S306"/>
      <x:c r="T306"/>
      <x:c r="U306" t="str">
        <x:v>Raw recent under trend 8/10; EXP-04 recent-result stress test.</x:v>
      </x:c>
      <x:c r="V306" t="str"/>
    </x:row>
    <x:row r="307">
      <x:c r="A307" t="str">
        <x:v>2026-08-28</x:v>
      </x:c>
      <x:c r="B307" t="str">
        <x:v>A28-R75</x:v>
      </x:c>
      <x:c r="C307" t="str">
        <x:v>SOURCED</x:v>
      </x:c>
      <x:c r="D307" t="str">
        <x:v>Fade Sheet L10 Unders</x:v>
      </x:c>
      <x:c r="E307" t="str">
        <x:v>MLB</x:v>
      </x:c>
      <x:c r="F307" t="str">
        <x:v>SEA @ TOR</x:v>
      </x:c>
      <x:c r="G307" t="str">
        <x:v>Alejandro Kirk</x:v>
      </x:c>
      <x:c r="H307" t="str">
        <x:v>Total Bases Under</x:v>
      </x:c>
      <x:c r="I307" t="str">
        <x:v>Under 1.5 TB</x:v>
      </x:c>
      <x:c r="J307" t="n">
        <x:v>1.5</x:v>
      </x:c>
      <x:c r="K307"/>
      <x:c r="L307"/>
      <x:c r="M307" t="str">
        <x:v>PAPER</x:v>
      </x:c>
      <x:c r="N307" t="str">
        <x:v>N</x:v>
      </x:c>
      <x:c r="O307" t="str">
        <x:v>Pending</x:v>
      </x:c>
      <x:c r="P307"/>
      <x:c r="Q307"/>
      <x:c r="R307" t="n">
        <x:v>0</x:v>
      </x:c>
      <x:c r="S307"/>
      <x:c r="T307"/>
      <x:c r="U307" t="str">
        <x:v>Raw recent under trend 8/10; EXP-04 recent-result stress test.</x:v>
      </x:c>
      <x:c r="V307" t="str"/>
    </x:row>
    <x:row r="308">
      <x:c r="A308" t="str">
        <x:v>2026-08-28</x:v>
      </x:c>
      <x:c r="B308" t="str">
        <x:v>A28-R76</x:v>
      </x:c>
      <x:c r="C308" t="str">
        <x:v>SOURCED</x:v>
      </x:c>
      <x:c r="D308" t="str">
        <x:v>MJC Bases Loaded</x:v>
      </x:c>
      <x:c r="E308" t="str">
        <x:v>MLB</x:v>
      </x:c>
      <x:c r="F308" t="str">
        <x:v>COL @ ATL</x:v>
      </x:c>
      <x:c r="G308" t="str">
        <x:v>Hunter Goodman</x:v>
      </x:c>
      <x:c r="H308" t="str">
        <x:v>Hitter Market Scan</x:v>
      </x:c>
      <x:c r="I308" t="str">
        <x:v>2+ TB / HRR / HR comparison</x:v>
      </x:c>
      <x:c r="J308"/>
      <x:c r="K308"/>
      <x:c r="L308"/>
      <x:c r="M308" t="str">
        <x:v>RESEARCH_POOL</x:v>
      </x:c>
      <x:c r="N308" t="str">
        <x:v>N</x:v>
      </x:c>
      <x:c r="O308" t="str">
        <x:v>Pending</x:v>
      </x:c>
      <x:c r="P308"/>
      <x:c r="Q308"/>
      <x:c r="R308" t="n">
        <x:v>0</x:v>
      </x:c>
      <x:c r="S308"/>
      <x:c r="T308"/>
      <x:c r="U308" t="str">
        <x:v>Underlying batted-ball/contact lead; select market after price audit.</x:v>
      </x:c>
      <x:c r="V308" t="str"/>
    </x:row>
    <x:row r="309">
      <x:c r="A309" t="str">
        <x:v>2026-08-28</x:v>
      </x:c>
      <x:c r="B309" t="str">
        <x:v>A28-R77</x:v>
      </x:c>
      <x:c r="C309" t="str">
        <x:v>SOURCED</x:v>
      </x:c>
      <x:c r="D309" t="str">
        <x:v>MJC Bases Loaded</x:v>
      </x:c>
      <x:c r="E309" t="str">
        <x:v>MLB</x:v>
      </x:c>
      <x:c r="F309" t="str">
        <x:v>HOU @ NYM</x:v>
      </x:c>
      <x:c r="G309" t="str">
        <x:v>Yordan Alvarez</x:v>
      </x:c>
      <x:c r="H309" t="str">
        <x:v>Hitter Market Scan</x:v>
      </x:c>
      <x:c r="I309" t="str">
        <x:v>2+ TB / HRR / HR comparison</x:v>
      </x:c>
      <x:c r="J309"/>
      <x:c r="K309"/>
      <x:c r="L309"/>
      <x:c r="M309" t="str">
        <x:v>RESEARCH_POOL</x:v>
      </x:c>
      <x:c r="N309" t="str">
        <x:v>N</x:v>
      </x:c>
      <x:c r="O309" t="str">
        <x:v>Pending</x:v>
      </x:c>
      <x:c r="P309"/>
      <x:c r="Q309"/>
      <x:c r="R309" t="n">
        <x:v>0</x:v>
      </x:c>
      <x:c r="S309"/>
      <x:c r="T309"/>
      <x:c r="U309" t="str">
        <x:v>Underlying batted-ball/contact lead; select market after price audit.</x:v>
      </x:c>
      <x:c r="V309" t="str"/>
    </x:row>
    <x:row r="310">
      <x:c r="A310" t="str">
        <x:v>2026-08-28</x:v>
      </x:c>
      <x:c r="B310" t="str">
        <x:v>A28-R78</x:v>
      </x:c>
      <x:c r="C310" t="str">
        <x:v>SOURCED</x:v>
      </x:c>
      <x:c r="D310" t="str">
        <x:v>MJC Bases Loaded</x:v>
      </x:c>
      <x:c r="E310" t="str">
        <x:v>MLB</x:v>
      </x:c>
      <x:c r="F310" t="str">
        <x:v>SOURCE GRAPHIC — VERIFY</x:v>
      </x:c>
      <x:c r="G310" t="str">
        <x:v>Pete Alonso</x:v>
      </x:c>
      <x:c r="H310" t="str">
        <x:v>Hitter Market Scan</x:v>
      </x:c>
      <x:c r="I310" t="str">
        <x:v>2+ TB / HRR / HR comparison</x:v>
      </x:c>
      <x:c r="J310"/>
      <x:c r="K310"/>
      <x:c r="L310"/>
      <x:c r="M310" t="str">
        <x:v>RESEARCH_POOL</x:v>
      </x:c>
      <x:c r="N310" t="str">
        <x:v>N</x:v>
      </x:c>
      <x:c r="O310" t="str">
        <x:v>Pending</x:v>
      </x:c>
      <x:c r="P310"/>
      <x:c r="Q310"/>
      <x:c r="R310" t="n">
        <x:v>0</x:v>
      </x:c>
      <x:c r="S310"/>
      <x:c r="T310"/>
      <x:c r="U310" t="str">
        <x:v>Source graphic contains matchup/team inconsistency; do not use until actual slate/lineup is verified.</x:v>
      </x:c>
      <x:c r="V310" t="str">
        <x:v>Preserved as source intake only. This is exactly why research graphics are leads, not ground truth.</x:v>
      </x:c>
    </x:row>
    <x:row r="311">
      <x:c r="A311" t="str">
        <x:v>2026-08-28</x:v>
      </x:c>
      <x:c r="B311" t="str">
        <x:v>A28-R79</x:v>
      </x:c>
      <x:c r="C311" t="str">
        <x:v>SOURCED</x:v>
      </x:c>
      <x:c r="D311" t="str">
        <x:v>MJC Bases Loaded</x:v>
      </x:c>
      <x:c r="E311" t="str">
        <x:v>MLB</x:v>
      </x:c>
      <x:c r="F311" t="str">
        <x:v>COL @ ATL</x:v>
      </x:c>
      <x:c r="G311" t="str">
        <x:v>Matt Olson</x:v>
      </x:c>
      <x:c r="H311" t="str">
        <x:v>Hitter Market Scan</x:v>
      </x:c>
      <x:c r="I311" t="str">
        <x:v>2+ TB / HRR / HR comparison</x:v>
      </x:c>
      <x:c r="J311"/>
      <x:c r="K311"/>
      <x:c r="L311"/>
      <x:c r="M311" t="str">
        <x:v>RESEARCH_POOL</x:v>
      </x:c>
      <x:c r="N311" t="str">
        <x:v>N</x:v>
      </x:c>
      <x:c r="O311" t="str">
        <x:v>Pending</x:v>
      </x:c>
      <x:c r="P311"/>
      <x:c r="Q311"/>
      <x:c r="R311" t="n">
        <x:v>0</x:v>
      </x:c>
      <x:c r="S311"/>
      <x:c r="T311"/>
      <x:c r="U311" t="str">
        <x:v>Underlying batted-ball/contact lead; select market after price audit.</x:v>
      </x:c>
      <x:c r="V311" t="str"/>
    </x:row>
    <x:row r="312">
      <x:c r="A312" t="str">
        <x:v>2026-08-28</x:v>
      </x:c>
      <x:c r="B312" t="str">
        <x:v>A28-R80</x:v>
      </x:c>
      <x:c r="C312" t="str">
        <x:v>SOURCED</x:v>
      </x:c>
      <x:c r="D312" t="str">
        <x:v>Harry Lock Picks</x:v>
      </x:c>
      <x:c r="E312" t="str">
        <x:v>Soccer</x:v>
      </x:c>
      <x:c r="F312" t="str">
        <x:v>Bayern vs Stuttgart</x:v>
      </x:c>
      <x:c r="G312" t="str">
        <x:v>Bayern/Stuttgart</x:v>
      </x:c>
      <x:c r="H312" t="str">
        <x:v>BTTS</x:v>
      </x:c>
      <x:c r="I312" t="str">
        <x:v>BTTS Yes</x:v>
      </x:c>
      <x:c r="J312"/>
      <x:c r="K312"/>
      <x:c r="L312"/>
      <x:c r="M312" t="str">
        <x:v>RESEARCH_POOL</x:v>
      </x:c>
      <x:c r="N312" t="str">
        <x:v>N</x:v>
      </x:c>
      <x:c r="O312" t="str">
        <x:v>Pending</x:v>
      </x:c>
      <x:c r="P312"/>
      <x:c r="Q312"/>
      <x:c r="R312" t="n">
        <x:v>0</x:v>
      </x:c>
      <x:c r="S312"/>
      <x:c r="T312"/>
      <x:c r="U312" t="str">
        <x:v>Source favorite/game-script leg.</x:v>
      </x:c>
      <x:c r="V312" t="str"/>
    </x:row>
    <x:row r="313">
      <x:c r="A313" t="str">
        <x:v>2026-08-28</x:v>
      </x:c>
      <x:c r="B313" t="str">
        <x:v>A28-R81</x:v>
      </x:c>
      <x:c r="C313" t="str">
        <x:v>SOURCED</x:v>
      </x:c>
      <x:c r="D313" t="str">
        <x:v>Harry Lock Picks</x:v>
      </x:c>
      <x:c r="E313" t="str">
        <x:v>Soccer</x:v>
      </x:c>
      <x:c r="F313" t="str">
        <x:v>Lille vs PSG</x:v>
      </x:c>
      <x:c r="G313" t="str">
        <x:v>Lille/PSG</x:v>
      </x:c>
      <x:c r="H313" t="str">
        <x:v>BTTS</x:v>
      </x:c>
      <x:c r="I313" t="str">
        <x:v>BTTS Yes</x:v>
      </x:c>
      <x:c r="J313"/>
      <x:c r="K313" t="n">
        <x:v>-145</x:v>
      </x:c>
      <x:c r="L313" t="n">
        <x:v>0.5918367346938775</x:v>
      </x:c>
      <x:c r="M313" t="str">
        <x:v>RESEARCH_POOL</x:v>
      </x:c>
      <x:c r="N313" t="str">
        <x:v>N</x:v>
      </x:c>
      <x:c r="O313" t="str">
        <x:v>Pending</x:v>
      </x:c>
      <x:c r="P313"/>
      <x:c r="Q313"/>
      <x:c r="R313" t="n">
        <x:v>0</x:v>
      </x:c>
      <x:c r="S313"/>
      <x:c r="T313"/>
      <x:c r="U313" t="str">
        <x:v>Audited upgrade over PSG ML for primary soccer ticket.</x:v>
      </x:c>
      <x:c r="V313" t="str"/>
    </x:row>
    <x:row r="314">
      <x:c r="A314" t="str">
        <x:v>2026-08-28</x:v>
      </x:c>
      <x:c r="B314" t="str">
        <x:v>A28-R82</x:v>
      </x:c>
      <x:c r="C314" t="str">
        <x:v>SOURCED</x:v>
      </x:c>
      <x:c r="D314" t="str">
        <x:v>Harry Lock Picks</x:v>
      </x:c>
      <x:c r="E314" t="str">
        <x:v>Soccer</x:v>
      </x:c>
      <x:c r="F314" t="str">
        <x:v>Crystal Palace vs Man City</x:v>
      </x:c>
      <x:c r="G314" t="str">
        <x:v>Manchester City</x:v>
      </x:c>
      <x:c r="H314" t="str">
        <x:v>Moneyline</x:v>
      </x:c>
      <x:c r="I314" t="str">
        <x:v>Man City ML</x:v>
      </x:c>
      <x:c r="J314"/>
      <x:c r="K314" t="n">
        <x:v>-155</x:v>
      </x:c>
      <x:c r="L314" t="n">
        <x:v>0.6078431372549019</x:v>
      </x:c>
      <x:c r="M314" t="str">
        <x:v>RESEARCH_POOL</x:v>
      </x:c>
      <x:c r="N314" t="str">
        <x:v>N</x:v>
      </x:c>
      <x:c r="O314" t="str">
        <x:v>Pending</x:v>
      </x:c>
      <x:c r="P314"/>
      <x:c r="Q314"/>
      <x:c r="R314" t="n">
        <x:v>0</x:v>
      </x:c>
      <x:c r="S314"/>
      <x:c r="T314"/>
      <x:c r="U314" t="str"/>
      <x:c r="V314" t="str"/>
    </x:row>
    <x:row r="315">
      <x:c r="A315" t="str">
        <x:v>2026-08-28</x:v>
      </x:c>
      <x:c r="B315" t="str">
        <x:v>A28-R83</x:v>
      </x:c>
      <x:c r="C315" t="str">
        <x:v>SOURCED</x:v>
      </x:c>
      <x:c r="D315" t="str">
        <x:v>Penguin Bundesliga</x:v>
      </x:c>
      <x:c r="E315" t="str">
        <x:v>Soccer</x:v>
      </x:c>
      <x:c r="F315" t="str">
        <x:v>Bayern vs Stuttgart</x:v>
      </x:c>
      <x:c r="G315" t="str">
        <x:v>Bayern/Stuttgart</x:v>
      </x:c>
      <x:c r="H315" t="str">
        <x:v>Total Corners</x:v>
      </x:c>
      <x:c r="I315" t="str">
        <x:v>10+ total corners</x:v>
      </x:c>
      <x:c r="J315" t="n">
        <x:v>10</x:v>
      </x:c>
      <x:c r="K315" t="n">
        <x:v>-113</x:v>
      </x:c>
      <x:c r="L315" t="n">
        <x:v>0.5305164319248826</x:v>
      </x:c>
      <x:c r="M315" t="str">
        <x:v>PAPER</x:v>
      </x:c>
      <x:c r="N315" t="str">
        <x:v>N</x:v>
      </x:c>
      <x:c r="O315" t="str">
        <x:v>Pending</x:v>
      </x:c>
      <x:c r="P315"/>
      <x:c r="Q315"/>
      <x:c r="R315" t="n">
        <x:v>0</x:v>
      </x:c>
      <x:c r="S315"/>
      <x:c r="T315"/>
      <x:c r="U315" t="str">
        <x:v>Secondary soccer market; EXP-13 extension.</x:v>
      </x:c>
      <x:c r="V315" t="str"/>
    </x:row>
    <x:row r="316">
      <x:c r="A316" t="str">
        <x:v>2026-08-28</x:v>
      </x:c>
      <x:c r="B316" t="str">
        <x:v>A28-R84</x:v>
      </x:c>
      <x:c r="C316" t="str">
        <x:v>SOURCED</x:v>
      </x:c>
      <x:c r="D316" t="str">
        <x:v>Harry Lock Picks</x:v>
      </x:c>
      <x:c r="E316" t="str">
        <x:v>Soccer</x:v>
      </x:c>
      <x:c r="F316" t="str">
        <x:v>Crystal Palace vs Man City</x:v>
      </x:c>
      <x:c r="G316" t="str">
        <x:v>Erling Haaland</x:v>
      </x:c>
      <x:c r="H316" t="str">
        <x:v>Anytime Goalscorer</x:v>
      </x:c>
      <x:c r="I316" t="str">
        <x:v>Anytime scorer</x:v>
      </x:c>
      <x:c r="J316" t="n">
        <x:v>1</x:v>
      </x:c>
      <x:c r="K316" t="n">
        <x:v>-105</x:v>
      </x:c>
      <x:c r="L316" t="n">
        <x:v>0.5121951219512195</x:v>
      </x:c>
      <x:c r="M316" t="str">
        <x:v>PAPER</x:v>
      </x:c>
      <x:c r="N316" t="str">
        <x:v>N</x:v>
      </x:c>
      <x:c r="O316" t="str">
        <x:v>Pending</x:v>
      </x:c>
      <x:c r="P316"/>
      <x:c r="Q316"/>
      <x:c r="R316" t="n">
        <x:v>0</x:v>
      </x:c>
      <x:c r="S316"/>
      <x:c r="T316"/>
      <x:c r="U316" t="str">
        <x:v>Secondary ticket candidate; avoid duplicating City ML exposure automatically.</x:v>
      </x:c>
      <x:c r="V316" t="str"/>
    </x:row>
    <x:row r="317">
      <x:c r="A317" t="str">
        <x:v>2026-08-28</x:v>
      </x:c>
      <x:c r="B317" t="str">
        <x:v>A28-R85</x:v>
      </x:c>
      <x:c r="C317" t="str">
        <x:v>SOURCED</x:v>
      </x:c>
      <x:c r="D317" t="str">
        <x:v>Harry Lock Picks</x:v>
      </x:c>
      <x:c r="E317" t="str">
        <x:v>Soccer</x:v>
      </x:c>
      <x:c r="F317" t="str">
        <x:v>Bayern vs Stuttgart</x:v>
      </x:c>
      <x:c r="G317" t="str">
        <x:v>Bayern Munich</x:v>
      </x:c>
      <x:c r="H317" t="str">
        <x:v>Moneyline</x:v>
      </x:c>
      <x:c r="I317" t="str">
        <x:v>Bayern ML</x:v>
      </x:c>
      <x:c r="J317"/>
      <x:c r="K317" t="n">
        <x:v>-475</x:v>
      </x:c>
      <x:c r="L317" t="n">
        <x:v>0.8260869565217391</x:v>
      </x:c>
      <x:c r="M317" t="str">
        <x:v>RESEARCH_POOL</x:v>
      </x:c>
      <x:c r="N317" t="str">
        <x:v>N</x:v>
      </x:c>
      <x:c r="O317" t="str">
        <x:v>Pending</x:v>
      </x:c>
      <x:c r="P317"/>
      <x:c r="Q317"/>
      <x:c r="R317" t="n">
        <x:v>0</x:v>
      </x:c>
      <x:c r="S317"/>
      <x:c r="T317"/>
      <x:c r="U317" t="str"/>
      <x:c r="V317" t="str"/>
    </x:row>
    <x:row r="318">
      <x:c r="A318" t="str">
        <x:v>2026-08-28</x:v>
      </x:c>
      <x:c r="B318" t="str">
        <x:v>A28-R86</x:v>
      </x:c>
      <x:c r="C318" t="str">
        <x:v>SOURCED</x:v>
      </x:c>
      <x:c r="D318" t="str">
        <x:v>Initial Favorite Thesis</x:v>
      </x:c>
      <x:c r="E318" t="str">
        <x:v>Soccer</x:v>
      </x:c>
      <x:c r="F318" t="str">
        <x:v>Lille vs PSG</x:v>
      </x:c>
      <x:c r="G318" t="str">
        <x:v>PSG</x:v>
      </x:c>
      <x:c r="H318" t="str">
        <x:v>Moneyline</x:v>
      </x:c>
      <x:c r="I318" t="str">
        <x:v>PSG ML</x:v>
      </x:c>
      <x:c r="J318"/>
      <x:c r="K318"/>
      <x:c r="L318"/>
      <x:c r="M318" t="str">
        <x:v>PAPER</x:v>
      </x:c>
      <x:c r="N318" t="str">
        <x:v>N</x:v>
      </x:c>
      <x:c r="O318" t="str">
        <x:v>Pending</x:v>
      </x:c>
      <x:c r="P318"/>
      <x:c r="Q318"/>
      <x:c r="R318" t="n">
        <x:v>0</x:v>
      </x:c>
      <x:c r="S318"/>
      <x:c r="T318"/>
      <x:c r="U318" t="str">
        <x:v>Original favorite expression; paper control versus actual BTTS market.</x:v>
      </x:c>
      <x:c r="V318" t="str"/>
    </x:row>
    <x:row r="319">
      <x:c r="A319" t="str">
        <x:v>2026-08-28</x:v>
      </x:c>
      <x:c r="B319" t="str">
        <x:v>A28-R87</x:v>
      </x:c>
      <x:c r="C319" t="str">
        <x:v>DISCOVERED</x:v>
      </x:c>
      <x:c r="D319" t="str">
        <x:v>Independent WNBA Rebound Audit</x:v>
      </x:c>
      <x:c r="E319" t="str">
        <x:v>WNBA</x:v>
      </x:c>
      <x:c r="F319" t="str">
        <x:v>TOR @ LV</x:v>
      </x:c>
      <x:c r="G319" t="str">
        <x:v>Jackie Young</x:v>
      </x:c>
      <x:c r="H319" t="str">
        <x:v>Rebounds</x:v>
      </x:c>
      <x:c r="I319" t="str">
        <x:v>5+ rebounds</x:v>
      </x:c>
      <x:c r="J319" t="n">
        <x:v>5</x:v>
      </x:c>
      <x:c r="K319" t="n">
        <x:v>-107</x:v>
      </x:c>
      <x:c r="L319" t="n">
        <x:v>0.5169082125603864</x:v>
      </x:c>
      <x:c r="M319" t="str">
        <x:v>BET</x:v>
      </x:c>
      <x:c r="N319" t="str">
        <x:v>Y</x:v>
      </x:c>
      <x:c r="O319" t="str">
        <x:v>Loss</x:v>
      </x:c>
      <x:c r="P319" t="n">
        <x:v>0</x:v>
      </x:c>
      <x:c r="Q319" t="n">
        <x:v>4</x:v>
      </x:c>
      <x:c r="R319" t="n">
        <x:v>0.3333333333333333</x:v>
      </x:c>
      <x:c r="S319" t="str">
        <x:v>A28-T01</x:v>
      </x:c>
      <x:c r="T319" t="str">
        <x:v>availability / role miss</x:v>
      </x:c>
      <x:c r="U319" t="str">
        <x:v>Young finished with 4 rebounds, one short of 5+. A'ja Wilson being active weakened the rebound-vacancy thesis.</x:v>
      </x:c>
      <x:c r="V319" t="str">
        <x:v>Hard rule: re-grade WNBA props after final status when the thesis materially depends on another player's absence.</x:v>
      </x:c>
    </x:row>
    <x:row r="320">
      <x:c r="A320" t="str">
        <x:v>2026-08-28</x:v>
      </x:c>
      <x:c r="B320" t="str">
        <x:v>A28-R88</x:v>
      </x:c>
      <x:c r="C320" t="str">
        <x:v>HYBRID</x:v>
      </x:c>
      <x:c r="D320" t="str">
        <x:v>Source + Role/Availability Audit</x:v>
      </x:c>
      <x:c r="E320" t="str">
        <x:v>WNBA</x:v>
      </x:c>
      <x:c r="F320" t="str">
        <x:v>POR @ ATL</x:v>
      </x:c>
      <x:c r="G320" t="str">
        <x:v>Naz Hillmon</x:v>
      </x:c>
      <x:c r="H320" t="str">
        <x:v>Points + Rebounds</x:v>
      </x:c>
      <x:c r="I320" t="str">
        <x:v>Over 14.5 P+R</x:v>
      </x:c>
      <x:c r="J320" t="n">
        <x:v>14.5</x:v>
      </x:c>
      <x:c r="K320" t="n">
        <x:v>-104</x:v>
      </x:c>
      <x:c r="L320" t="n">
        <x:v>0.5098039215686274</x:v>
      </x:c>
      <x:c r="M320" t="str">
        <x:v>BET</x:v>
      </x:c>
      <x:c r="N320" t="str">
        <x:v>Y</x:v>
      </x:c>
      <x:c r="O320" t="str">
        <x:v>Win</x:v>
      </x:c>
      <x:c r="P320" t="n">
        <x:v>1</x:v>
      </x:c>
      <x:c r="Q320" t="n">
        <x:v>19</x:v>
      </x:c>
      <x:c r="R320" t="n">
        <x:v>0.3333333333333333</x:v>
      </x:c>
      <x:c r="S320" t="str">
        <x:v>A28-T01</x:v>
      </x:c>
      <x:c r="T320"/>
      <x:c r="U320" t="str">
        <x:v>Hillmon finished 10 PTS + 9 REB = 19 P+R and cleared O14.5.</x:v>
      </x:c>
      <x:c r="V320" t="str">
        <x:v>Role/injury thesis held; strongest WNBA process leg.</x:v>
      </x:c>
    </x:row>
    <x:row r="321">
      <x:c r="A321" t="str">
        <x:v>2026-08-28</x:v>
      </x:c>
      <x:c r="B321" t="str">
        <x:v>A28-R89</x:v>
      </x:c>
      <x:c r="C321" t="str">
        <x:v>HYBRID</x:v>
      </x:c>
      <x:c r="D321" t="str">
        <x:v>Source + Market Conversion</x:v>
      </x:c>
      <x:c r="E321" t="str">
        <x:v>WNBA</x:v>
      </x:c>
      <x:c r="F321" t="str">
        <x:v>WAS @ LA</x:v>
      </x:c>
      <x:c r="G321" t="str">
        <x:v>Dearica Hamby</x:v>
      </x:c>
      <x:c r="H321" t="str">
        <x:v>Points + Rebounds</x:v>
      </x:c>
      <x:c r="I321" t="str">
        <x:v>15+ P+R</x:v>
      </x:c>
      <x:c r="J321" t="n">
        <x:v>15</x:v>
      </x:c>
      <x:c r="K321" t="n">
        <x:v>-498</x:v>
      </x:c>
      <x:c r="L321" t="n">
        <x:v>0.8327759197324415</x:v>
      </x:c>
      <x:c r="M321" t="str">
        <x:v>BET</x:v>
      </x:c>
      <x:c r="N321" t="str">
        <x:v>Y</x:v>
      </x:c>
      <x:c r="O321" t="str">
        <x:v>Loss</x:v>
      </x:c>
      <x:c r="P321" t="n">
        <x:v>0</x:v>
      </x:c>
      <x:c r="Q321" t="n">
        <x:v>13</x:v>
      </x:c>
      <x:c r="R321" t="n">
        <x:v>0.3333333333333333</x:v>
      </x:c>
      <x:c r="S321" t="str">
        <x:v>A28-T01</x:v>
      </x:c>
      <x:c r="T321" t="str">
        <x:v>bad floor / role assumption</x:v>
      </x:c>
      <x:c r="U321" t="str">
        <x:v>Hamby finished with 13 P+R and missed the lowered 15+ threshold.</x:v>
      </x:c>
      <x:c r="V321" t="str">
        <x:v>Short 'safe glue' is not automatic protection; floor legs still require a matchup/role edge.</x:v>
      </x:c>
    </x:row>
    <x:row r="322">
      <x:c r="A322" t="str">
        <x:v>2026-08-28</x:v>
      </x:c>
      <x:c r="B322" t="str">
        <x:v>A28-R90</x:v>
      </x:c>
      <x:c r="C322" t="str">
        <x:v>HYBRID</x:v>
      </x:c>
      <x:c r="D322" t="str">
        <x:v>Source + Independent Favorite Audit</x:v>
      </x:c>
      <x:c r="E322" t="str">
        <x:v>Soccer</x:v>
      </x:c>
      <x:c r="F322" t="str">
        <x:v>Crystal Palace vs Man City</x:v>
      </x:c>
      <x:c r="G322" t="str">
        <x:v>Manchester City</x:v>
      </x:c>
      <x:c r="H322" t="str">
        <x:v>Moneyline</x:v>
      </x:c>
      <x:c r="I322" t="str">
        <x:v>Man City ML</x:v>
      </x:c>
      <x:c r="J322"/>
      <x:c r="K322" t="n">
        <x:v>-155</x:v>
      </x:c>
      <x:c r="L322" t="n">
        <x:v>0.6078431372549019</x:v>
      </x:c>
      <x:c r="M322" t="str">
        <x:v>BET</x:v>
      </x:c>
      <x:c r="N322" t="str">
        <x:v>Y</x:v>
      </x:c>
      <x:c r="O322" t="str">
        <x:v>Win</x:v>
      </x:c>
      <x:c r="P322" t="n">
        <x:v>1</x:v>
      </x:c>
      <x:c r="Q322" t="n">
        <x:v>1</x:v>
      </x:c>
      <x:c r="R322" t="n">
        <x:v>0.3333333333333333</x:v>
      </x:c>
      <x:c r="S322" t="str">
        <x:v>A28-T02</x:v>
      </x:c>
      <x:c r="T322"/>
      <x:c r="U322" t="str">
        <x:v>Manchester City won 4-1.</x:v>
      </x:c>
      <x:c r="V322" t="str">
        <x:v>Favorite-strength leg cleared.</x:v>
      </x:c>
    </x:row>
    <x:row r="323">
      <x:c r="A323" t="str">
        <x:v>2026-08-28</x:v>
      </x:c>
      <x:c r="B323" t="str">
        <x:v>A28-R91</x:v>
      </x:c>
      <x:c r="C323" t="str">
        <x:v>HYBRID</x:v>
      </x:c>
      <x:c r="D323" t="str">
        <x:v>Independent Favorite Audit</x:v>
      </x:c>
      <x:c r="E323" t="str">
        <x:v>Soccer</x:v>
      </x:c>
      <x:c r="F323" t="str">
        <x:v>Bayern vs Stuttgart</x:v>
      </x:c>
      <x:c r="G323" t="str">
        <x:v>Bayern Munich</x:v>
      </x:c>
      <x:c r="H323" t="str">
        <x:v>Moneyline</x:v>
      </x:c>
      <x:c r="I323" t="str">
        <x:v>Bayern ML</x:v>
      </x:c>
      <x:c r="J323"/>
      <x:c r="K323" t="n">
        <x:v>-475</x:v>
      </x:c>
      <x:c r="L323" t="n">
        <x:v>0.8260869565217391</x:v>
      </x:c>
      <x:c r="M323" t="str">
        <x:v>BET</x:v>
      </x:c>
      <x:c r="N323" t="str">
        <x:v>Y</x:v>
      </x:c>
      <x:c r="O323" t="str">
        <x:v>Win</x:v>
      </x:c>
      <x:c r="P323" t="n">
        <x:v>1</x:v>
      </x:c>
      <x:c r="Q323" t="n">
        <x:v>1</x:v>
      </x:c>
      <x:c r="R323" t="n">
        <x:v>0.3333333333333333</x:v>
      </x:c>
      <x:c r="S323" t="str">
        <x:v>A28-T02</x:v>
      </x:c>
      <x:c r="T323"/>
      <x:c r="U323" t="str">
        <x:v>Bayern won 5-1.</x:v>
      </x:c>
      <x:c r="V323" t="str">
        <x:v>Heavy-favorite leg cleared; standalone price efficiency remains a separate question.</x:v>
      </x:c>
    </x:row>
    <x:row r="324">
      <x:c r="A324" t="str">
        <x:v>2026-08-28</x:v>
      </x:c>
      <x:c r="B324" t="str">
        <x:v>A28-R92</x:v>
      </x:c>
      <x:c r="C324" t="str">
        <x:v>HYBRID</x:v>
      </x:c>
      <x:c r="D324" t="str">
        <x:v>Source + Independent Market Conversion</x:v>
      </x:c>
      <x:c r="E324" t="str">
        <x:v>Soccer</x:v>
      </x:c>
      <x:c r="F324" t="str">
        <x:v>Lille vs PSG</x:v>
      </x:c>
      <x:c r="G324" t="str">
        <x:v>Lille/PSG</x:v>
      </x:c>
      <x:c r="H324" t="str">
        <x:v>BTTS</x:v>
      </x:c>
      <x:c r="I324" t="str">
        <x:v>BTTS Yes</x:v>
      </x:c>
      <x:c r="J324"/>
      <x:c r="K324" t="n">
        <x:v>-145</x:v>
      </x:c>
      <x:c r="L324" t="n">
        <x:v>0.5918367346938775</x:v>
      </x:c>
      <x:c r="M324" t="str">
        <x:v>BET</x:v>
      </x:c>
      <x:c r="N324" t="str">
        <x:v>Y</x:v>
      </x:c>
      <x:c r="O324" t="str">
        <x:v>Win</x:v>
      </x:c>
      <x:c r="P324" t="n">
        <x:v>1</x:v>
      </x:c>
      <x:c r="Q324" t="n">
        <x:v>1</x:v>
      </x:c>
      <x:c r="R324" t="n">
        <x:v>0.3333333333333333</x:v>
      </x:c>
      <x:c r="S324" t="str">
        <x:v>A28-T02</x:v>
      </x:c>
      <x:c r="T324"/>
      <x:c r="U324" t="str">
        <x:v>Lille-PSG finished 2-2; BTTS Yes won.</x:v>
      </x:c>
      <x:c r="V324" t="str">
        <x:v>Excellent market conversion: BTTS won while original PSG ML control lost.</x:v>
      </x:c>
    </x:row>
    <x:row r="325">
      <x:c r="A325" t="str">
        <x:v>2026-08-28</x:v>
      </x:c>
      <x:c r="B325" t="str">
        <x:v>A28-R93</x:v>
      </x:c>
      <x:c r="C325" t="str">
        <x:v>HYBRID</x:v>
      </x:c>
      <x:c r="D325" t="str">
        <x:v>Source + Independent K Audit</x:v>
      </x:c>
      <x:c r="E325" t="str">
        <x:v>MLB</x:v>
      </x:c>
      <x:c r="F325" t="str">
        <x:v>SEA @ TOR</x:v>
      </x:c>
      <x:c r="G325" t="str">
        <x:v>Dylan Cease</x:v>
      </x:c>
      <x:c r="H325" t="str">
        <x:v>Pitcher K Over</x:v>
      </x:c>
      <x:c r="I325" t="str">
        <x:v>Over 7.5 Ks</x:v>
      </x:c>
      <x:c r="J325" t="n">
        <x:v>7.5</x:v>
      </x:c>
      <x:c r="K325" t="n">
        <x:v>-145</x:v>
      </x:c>
      <x:c r="L325" t="n">
        <x:v>0.5918367346938775</x:v>
      </x:c>
      <x:c r="M325" t="str">
        <x:v>BET</x:v>
      </x:c>
      <x:c r="N325" t="str">
        <x:v>Y</x:v>
      </x:c>
      <x:c r="O325" t="str">
        <x:v>Win</x:v>
      </x:c>
      <x:c r="P325" t="n">
        <x:v>1</x:v>
      </x:c>
      <x:c r="Q325" t="n">
        <x:v>8</x:v>
      </x:c>
      <x:c r="R325" t="n">
        <x:v>0.3333333333333333</x:v>
      </x:c>
      <x:c r="S325" t="str">
        <x:v>A28-T03</x:v>
      </x:c>
      <x:c r="T325"/>
      <x:c r="U325" t="str">
        <x:v>Cease recorded exactly 8 strikeouts.</x:v>
      </x:c>
      <x:c r="V325" t="str">
        <x:v>Strong K-over read; shadow single isolates good leg quality from losing parlay construction.</x:v>
      </x:c>
    </x:row>
    <x:row r="326">
      <x:c r="A326" t="str">
        <x:v>2026-08-28</x:v>
      </x:c>
      <x:c r="B326" t="str">
        <x:v>A28-R94</x:v>
      </x:c>
      <x:c r="C326" t="str">
        <x:v>HYBRID</x:v>
      </x:c>
      <x:c r="D326" t="str">
        <x:v>Multi-source + Independent Matchup Audit</x:v>
      </x:c>
      <x:c r="E326" t="str">
        <x:v>MLB</x:v>
      </x:c>
      <x:c r="F326" t="str">
        <x:v>COL @ ATL</x:v>
      </x:c>
      <x:c r="G326" t="str">
        <x:v>Matt Olson</x:v>
      </x:c>
      <x:c r="H326" t="str">
        <x:v>Total Bases</x:v>
      </x:c>
      <x:c r="I326" t="str">
        <x:v>2+ total bases</x:v>
      </x:c>
      <x:c r="J326" t="n">
        <x:v>2</x:v>
      </x:c>
      <x:c r="K326"/>
      <x:c r="L326"/>
      <x:c r="M326" t="str">
        <x:v>BET</x:v>
      </x:c>
      <x:c r="N326" t="str">
        <x:v>Y</x:v>
      </x:c>
      <x:c r="O326" t="str">
        <x:v>Loss</x:v>
      </x:c>
      <x:c r="P326" t="n">
        <x:v>0</x:v>
      </x:c>
      <x:c r="Q326" t="n">
        <x:v>1</x:v>
      </x:c>
      <x:c r="R326" t="n">
        <x:v>0.3333333333333333</x:v>
      </x:c>
      <x:c r="S326" t="str">
        <x:v>A28-T03</x:v>
      </x:c>
      <x:c r="T326" t="str">
        <x:v>bad threshold / player-specific expression</x:v>
      </x:c>
      <x:c r="U326" t="str">
        <x:v>Olson went 1-for-5 with one single = 1 TB.</x:v>
      </x:c>
      <x:c r="V326" t="str">
        <x:v>Atlanta contact thesis succeeded broadly, but Olson-specific 2+ TB failed.</x:v>
      </x:c>
    </x:row>
    <x:row r="327">
      <x:c r="A327" t="str">
        <x:v>2026-08-28</x:v>
      </x:c>
      <x:c r="B327" t="str">
        <x:v>A28-R95</x:v>
      </x:c>
      <x:c r="C327" t="str">
        <x:v>HYBRID</x:v>
      </x:c>
      <x:c r="D327" t="str">
        <x:v>Source + Independent Contact Audit</x:v>
      </x:c>
      <x:c r="E327" t="str">
        <x:v>MLB</x:v>
      </x:c>
      <x:c r="F327" t="str">
        <x:v>COL @ ATL</x:v>
      </x:c>
      <x:c r="G327" t="str">
        <x:v>Tomoyuki Sugano</x:v>
      </x:c>
      <x:c r="H327" t="str">
        <x:v>Hits Allowed</x:v>
      </x:c>
      <x:c r="I327" t="str">
        <x:v>Over 5.5 hits allowed</x:v>
      </x:c>
      <x:c r="J327" t="n">
        <x:v>5.5</x:v>
      </x:c>
      <x:c r="K327"/>
      <x:c r="L327"/>
      <x:c r="M327" t="str">
        <x:v>BET</x:v>
      </x:c>
      <x:c r="N327" t="str">
        <x:v>Y</x:v>
      </x:c>
      <x:c r="O327" t="str">
        <x:v>Win</x:v>
      </x:c>
      <x:c r="P327" t="n">
        <x:v>1</x:v>
      </x:c>
      <x:c r="Q327" t="n">
        <x:v>10</x:v>
      </x:c>
      <x:c r="R327" t="n">
        <x:v>0.3333333333333333</x:v>
      </x:c>
      <x:c r="S327" t="str">
        <x:v>A28-T03</x:v>
      </x:c>
      <x:c r="T327"/>
      <x:c r="U327" t="str">
        <x:v>Sugano allowed 10 hits in 4.0 IP.</x:v>
      </x:c>
      <x:c r="V327" t="str">
        <x:v>Cleanest expression of the broad Braves-contact / Sugano-fade thesis.</x:v>
      </x:c>
    </x:row>
    <x:row r="328">
      <x:c r="A328" t="str">
        <x:v>2026-08-28</x:v>
      </x:c>
      <x:c r="B328" t="str">
        <x:v>A28-R96</x:v>
      </x:c>
      <x:c r="C328" t="str">
        <x:v>HYBRID</x:v>
      </x:c>
      <x:c r="D328" t="str">
        <x:v>Multi-source + Independent HR Audit</x:v>
      </x:c>
      <x:c r="E328" t="str">
        <x:v>MLB</x:v>
      </x:c>
      <x:c r="F328" t="str">
        <x:v>COL @ ATL</x:v>
      </x:c>
      <x:c r="G328" t="str">
        <x:v>Matt Olson</x:v>
      </x:c>
      <x:c r="H328" t="str">
        <x:v>HR</x:v>
      </x:c>
      <x:c r="I328" t="str">
        <x:v>Home Run</x:v>
      </x:c>
      <x:c r="J328" t="n">
        <x:v>1</x:v>
      </x:c>
      <x:c r="K328" t="n">
        <x:v>237</x:v>
      </x:c>
      <x:c r="L328" t="n">
        <x:v>0.29673590504451036</x:v>
      </x:c>
      <x:c r="M328" t="str">
        <x:v>BET</x:v>
      </x:c>
      <x:c r="N328" t="str">
        <x:v>Y</x:v>
      </x:c>
      <x:c r="O328" t="str">
        <x:v>Loss</x:v>
      </x:c>
      <x:c r="P328" t="n">
        <x:v>0</x:v>
      </x:c>
      <x:c r="Q328" t="n">
        <x:v>0</x:v>
      </x:c>
      <x:c r="R328" t="n">
        <x:v>1</x:v>
      </x:c>
      <x:c r="S328" t="str">
        <x:v>A28-T04</x:v>
      </x:c>
      <x:c r="T328" t="str">
        <x:v>normal HR variance / duplicated-exposure damage</x:v>
      </x:c>
      <x:c r="U328" t="str">
        <x:v>Olson went 1-for-5 with no home run.</x:v>
      </x:c>
      <x:c r="V328" t="str">
        <x:v>One Olson-specific miss damaged two real tickets; cap repeated player exposure unless individual edge clearly exceeds team thesis.</x:v>
      </x:c>
    </x:row>
    <x:row r="329">
      <x:c r="A329" t="str">
        <x:v>2026-08-29</x:v>
      </x:c>
      <x:c r="B329" t="str">
        <x:v>A29-R01</x:v>
      </x:c>
      <x:c r="C329" t="str">
        <x:v>SOURCED</x:v>
      </x:c>
      <x:c r="D329" t="str">
        <x:v>PK Prop Menu 08/29</x:v>
      </x:c>
      <x:c r="E329" t="str">
        <x:v>CFB</x:v>
      </x:c>
      <x:c r="F329" t="str">
        <x:v>SJSU @ USC</x:v>
      </x:c>
      <x:c r="G329" t="str">
        <x:v>King Miller</x:v>
      </x:c>
      <x:c r="H329" t="str">
        <x:v>Rushing Yards</x:v>
      </x:c>
      <x:c r="I329" t="str">
        <x:v>Over 65.5 rushing yards</x:v>
      </x:c>
      <x:c r="J329" t="n">
        <x:v>65.5</x:v>
      </x:c>
      <x:c r="K329"/>
      <x:c r="L329"/>
      <x:c r="M329" t="str">
        <x:v>PAPER</x:v>
      </x:c>
      <x:c r="N329" t="str">
        <x:v>N</x:v>
      </x:c>
      <x:c r="O329" t="str">
        <x:v>Pending</x:v>
      </x:c>
      <x:c r="P329"/>
      <x:c r="Q329"/>
      <x:c r="R329" t="n">
        <x:v>0</x:v>
      </x:c>
      <x:c r="S329"/>
      <x:c r="T329"/>
      <x:c r="U329" t="str">
        <x:v>User source prop. Independent Pickswise also lists O65.5 (-114), playable to 68.5.</x:v>
      </x:c>
      <x:c r="V329" t="str">
        <x:v>USC huge favorite; Waymond Jordan cleared from ankle injury but expected to have limited reps. Miller explosive-efficiency thesis.</x:v>
      </x:c>
    </x:row>
    <x:row r="330">
      <x:c r="A330" t="str">
        <x:v>2026-08-29</x:v>
      </x:c>
      <x:c r="B330" t="str">
        <x:v>A29-R02</x:v>
      </x:c>
      <x:c r="C330" t="str">
        <x:v>SOURCED</x:v>
      </x:c>
      <x:c r="D330" t="str">
        <x:v>PK Prop Menu 08/29</x:v>
      </x:c>
      <x:c r="E330" t="str">
        <x:v>MLB</x:v>
      </x:c>
      <x:c r="F330" t="str">
        <x:v>BOS @ NYY G1</x:v>
      </x:c>
      <x:c r="G330" t="str">
        <x:v>Jake Bennett</x:v>
      </x:c>
      <x:c r="H330" t="str">
        <x:v>Pitcher Outs</x:v>
      </x:c>
      <x:c r="I330" t="str">
        <x:v>Over 16.5 outs</x:v>
      </x:c>
      <x:c r="J330" t="n">
        <x:v>16.5</x:v>
      </x:c>
      <x:c r="K330"/>
      <x:c r="L330"/>
      <x:c r="M330" t="str">
        <x:v>PAPER</x:v>
      </x:c>
      <x:c r="N330" t="str">
        <x:v>N</x:v>
      </x:c>
      <x:c r="O330" t="str">
        <x:v>Pending</x:v>
      </x:c>
      <x:c r="P330"/>
      <x:c r="Q330"/>
      <x:c r="R330" t="n">
        <x:v>0</x:v>
      </x:c>
      <x:c r="S330"/>
      <x:c r="T330"/>
      <x:c r="U330" t="str">
        <x:v>User source prop. Bennett enters at 8-6, 3.49 ERA, 87.2 IP in 14 starts (~6.26 IP/start).</x:v>
      </x:c>
      <x:c r="V330" t="str">
        <x:v>Game 1 of doubleheader; Yankees reported without Judge/Stanton. Strong length candidate, but exact DK price still needed.</x:v>
      </x:c>
    </x:row>
    <x:row r="331">
      <x:c r="A331" t="str">
        <x:v>2026-08-29</x:v>
      </x:c>
      <x:c r="B331" t="str">
        <x:v>A29-R03</x:v>
      </x:c>
      <x:c r="C331" t="str">
        <x:v>SOURCED</x:v>
      </x:c>
      <x:c r="D331" t="str">
        <x:v>PK Prop Menu 08/29</x:v>
      </x:c>
      <x:c r="E331" t="str">
        <x:v>MLB</x:v>
      </x:c>
      <x:c r="F331" t="str">
        <x:v>SD @ TB</x:v>
      </x:c>
      <x:c r="G331" t="str">
        <x:v>Junior Caminero</x:v>
      </x:c>
      <x:c r="H331" t="str">
        <x:v>H+R+RBI</x:v>
      </x:c>
      <x:c r="I331" t="str">
        <x:v>Over 1.5 H+R+RBI</x:v>
      </x:c>
      <x:c r="J331" t="n">
        <x:v>1.5</x:v>
      </x:c>
      <x:c r="K331"/>
      <x:c r="L331"/>
      <x:c r="M331" t="str">
        <x:v>PAPER</x:v>
      </x:c>
      <x:c r="N331" t="str">
        <x:v>N</x:v>
      </x:c>
      <x:c r="O331" t="str">
        <x:v>Pending</x:v>
      </x:c>
      <x:c r="P331"/>
      <x:c r="Q331"/>
      <x:c r="R331" t="n">
        <x:v>0</x:v>
      </x:c>
      <x:c r="S331"/>
      <x:c r="T331"/>
      <x:c r="U331" t="str">
        <x:v>User source prop. Rays face Walker Buehler (8-6, 4.63 ERA); Caminero has 35 HR/84 RBI entering the matchup.</x:v>
      </x:c>
      <x:c r="V331" t="str">
        <x:v>Direct EXP-03 broad-offense composite candidate; compare with TB/hit before any real-money decision.</x:v>
      </x:c>
    </x:row>
    <x:row r="332">
      <x:c r="A332" t="str">
        <x:v>2026-08-29</x:v>
      </x:c>
      <x:c r="B332" t="str">
        <x:v>A29-R04</x:v>
      </x:c>
      <x:c r="C332" t="str">
        <x:v>SOURCED</x:v>
      </x:c>
      <x:c r="D332" t="str">
        <x:v>PK Prop Menu 08/29</x:v>
      </x:c>
      <x:c r="E332" t="str">
        <x:v>WNBA</x:v>
      </x:c>
      <x:c r="F332" t="str">
        <x:v>TOR @ PHX</x:v>
      </x:c>
      <x:c r="G332" t="str">
        <x:v>Alyssa Thomas</x:v>
      </x:c>
      <x:c r="H332" t="str">
        <x:v>Points + Rebounds</x:v>
      </x:c>
      <x:c r="I332" t="str">
        <x:v>Over 22.5 P+R</x:v>
      </x:c>
      <x:c r="J332" t="n">
        <x:v>22.5</x:v>
      </x:c>
      <x:c r="K332"/>
      <x:c r="L332"/>
      <x:c r="M332" t="str">
        <x:v>PAPER</x:v>
      </x:c>
      <x:c r="N332" t="str">
        <x:v>N</x:v>
      </x:c>
      <x:c r="O332" t="str">
        <x:v>Pending</x:v>
      </x:c>
      <x:c r="P332"/>
      <x:c r="Q332"/>
      <x:c r="R332" t="n">
        <x:v>0</x:v>
      </x:c>
      <x:c r="S332"/>
      <x:c r="T332"/>
      <x:c r="U332" t="str">
        <x:v>User source prop. Thomas season averages roughly 14.5 PTS + 7.7 REB = 22.2 P+R.</x:v>
      </x:c>
      <x:c r="V332" t="str">
        <x:v>Line sits almost exactly on average. Toronto depleted, but assists remain Thomas' most stable role component; downgrade vs source.</x:v>
      </x:c>
    </x:row>
    <x:row r="333">
      <x:c r="A333" t="str">
        <x:v>2026-08-29</x:v>
      </x:c>
      <x:c r="B333" t="str">
        <x:v>A29-R05</x:v>
      </x:c>
      <x:c r="C333" t="str">
        <x:v>SOURCED</x:v>
      </x:c>
      <x:c r="D333" t="str">
        <x:v>Harry Lock Picks</x:v>
      </x:c>
      <x:c r="E333" t="str">
        <x:v>Soccer</x:v>
      </x:c>
      <x:c r="F333" t="str">
        <x:v>Multi-match</x:v>
      </x:c>
      <x:c r="G333" t="str">
        <x:v>Dortmund/Juventus/EVE-Bournemouth/TOT-Newcastle</x:v>
      </x:c>
      <x:c r="H333" t="str">
        <x:v>5-leg soccer parlay</x:v>
      </x:c>
      <x:c r="I333" t="str">
        <x:v>Dortmund 2+ team goals + Juventus 2+ team goals + EVE/BOU O1.5 goals + TOT/NEW O2.5 + BTTS Yes</x:v>
      </x:c>
      <x:c r="J333"/>
      <x:c r="K333" t="n">
        <x:v>397</x:v>
      </x:c>
      <x:c r="L333" t="n">
        <x:v>0.2012072434607646</x:v>
      </x:c>
      <x:c r="M333" t="str">
        <x:v>PAPER</x:v>
      </x:c>
      <x:c r="N333" t="str">
        <x:v>N</x:v>
      </x:c>
      <x:c r="O333" t="str">
        <x:v>Pending</x:v>
      </x:c>
      <x:c r="P333"/>
      <x:c r="Q333"/>
      <x:c r="R333" t="n">
        <x:v>0</x:v>
      </x:c>
      <x:c r="S333"/>
      <x:c r="T333"/>
      <x:c r="U333" t="str">
        <x:v>Source 5-leg parlay shown at +397. Preserve intact before filtering.</x:v>
      </x:c>
      <x:c r="V333" t="str">
        <x:v>No soccer promo today; use as source-construction control rather than real-money default.</x:v>
      </x:c>
    </x:row>
    <x:row r="334">
      <x:c r="A334" t="str">
        <x:v>2026-08-29</x:v>
      </x:c>
      <x:c r="B334" t="str">
        <x:v>A29-R06</x:v>
      </x:c>
      <x:c r="C334" t="str">
        <x:v>SOURCED</x:v>
      </x:c>
      <x:c r="D334" t="str">
        <x:v>Harry Lock Picks</x:v>
      </x:c>
      <x:c r="E334" t="str">
        <x:v>Soccer</x:v>
      </x:c>
      <x:c r="F334" t="str">
        <x:v>Dortmund vs Hamburg</x:v>
      </x:c>
      <x:c r="G334" t="str">
        <x:v>Borussia Dortmund</x:v>
      </x:c>
      <x:c r="H334" t="str">
        <x:v>Team Total Goals</x:v>
      </x:c>
      <x:c r="I334" t="str">
        <x:v>Over 1.5 team goals</x:v>
      </x:c>
      <x:c r="J334" t="n">
        <x:v>1.5</x:v>
      </x:c>
      <x:c r="K334"/>
      <x:c r="L334"/>
      <x:c r="M334" t="str">
        <x:v>PAPER</x:v>
      </x:c>
      <x:c r="N334" t="str">
        <x:v>N</x:v>
      </x:c>
      <x:c r="O334" t="str">
        <x:v>Pending</x:v>
      </x:c>
      <x:c r="P334"/>
      <x:c r="Q334"/>
      <x:c r="R334" t="n">
        <x:v>0</x:v>
      </x:c>
      <x:c r="S334"/>
      <x:c r="T334"/>
      <x:c r="U334" t="str">
        <x:v>Best individual leg from source soccer card after initial audit.</x:v>
      </x:c>
      <x:c r="V334" t="str">
        <x:v>Dortmund strongly favored at home; keep lineup confirmation gate.</x:v>
      </x:c>
    </x:row>
    <x:row r="335">
      <x:c r="A335" t="str">
        <x:v>2026-08-29</x:v>
      </x:c>
      <x:c r="B335" t="str">
        <x:v>A29-R07</x:v>
      </x:c>
      <x:c r="C335" t="str">
        <x:v>SOURCED</x:v>
      </x:c>
      <x:c r="D335" t="str">
        <x:v>Harry Lock Picks</x:v>
      </x:c>
      <x:c r="E335" t="str">
        <x:v>Soccer</x:v>
      </x:c>
      <x:c r="F335" t="str">
        <x:v>Juventus vs Parma</x:v>
      </x:c>
      <x:c r="G335" t="str">
        <x:v>Juventus</x:v>
      </x:c>
      <x:c r="H335" t="str">
        <x:v>Team Total Goals</x:v>
      </x:c>
      <x:c r="I335" t="str">
        <x:v>Over 1.5 team goals</x:v>
      </x:c>
      <x:c r="J335" t="n">
        <x:v>1.5</x:v>
      </x:c>
      <x:c r="K335"/>
      <x:c r="L335"/>
      <x:c r="M335" t="str">
        <x:v>PAPER</x:v>
      </x:c>
      <x:c r="N335" t="str">
        <x:v>N</x:v>
      </x:c>
      <x:c r="O335" t="str">
        <x:v>Pending</x:v>
      </x:c>
      <x:c r="P335"/>
      <x:c r="Q335"/>
      <x:c r="R335" t="n">
        <x:v>0</x:v>
      </x:c>
      <x:c r="S335"/>
      <x:c r="T335"/>
      <x:c r="U335" t="str">
        <x:v>Source leg. Current previews favor Juventus, but exact team-goal price/lineup needed.</x:v>
      </x:c>
      <x:c r="V335" t="str">
        <x:v>B-tier until confirmed XI/price.</x:v>
      </x:c>
    </x:row>
    <x:row r="336">
      <x:c r="A336" t="str">
        <x:v>2026-08-29</x:v>
      </x:c>
      <x:c r="B336" t="str">
        <x:v>A29-R08</x:v>
      </x:c>
      <x:c r="C336" t="str">
        <x:v>SOURCED</x:v>
      </x:c>
      <x:c r="D336" t="str">
        <x:v>Harry Lock Picks</x:v>
      </x:c>
      <x:c r="E336" t="str">
        <x:v>Soccer</x:v>
      </x:c>
      <x:c r="F336" t="str">
        <x:v>Bournemouth vs Everton</x:v>
      </x:c>
      <x:c r="G336" t="str">
        <x:v>Bournemouth/Everton</x:v>
      </x:c>
      <x:c r="H336" t="str">
        <x:v>Game Total Goals</x:v>
      </x:c>
      <x:c r="I336" t="str">
        <x:v>Over 1.5 total goals</x:v>
      </x:c>
      <x:c r="J336" t="n">
        <x:v>1.5</x:v>
      </x:c>
      <x:c r="K336" t="n">
        <x:v>-380</x:v>
      </x:c>
      <x:c r="L336" t="n">
        <x:v>0.7916666666666666</x:v>
      </x:c>
      <x:c r="M336" t="str">
        <x:v>BET</x:v>
      </x:c>
      <x:c r="N336" t="str">
        <x:v>Y</x:v>
      </x:c>
      <x:c r="O336" t="str">
        <x:v>Pending</x:v>
      </x:c>
      <x:c r="P336"/>
      <x:c r="Q336"/>
      <x:c r="R336" t="n">
        <x:v>0.3333333333333333</x:v>
      </x:c>
      <x:c r="S336" t="str">
        <x:v>A29-T01</x:v>
      </x:c>
      <x:c r="T336"/>
      <x:c r="U336" t="str">
        <x:v>Actual soccer-ticket stabilizer at DK -380.</x:v>
      </x:c>
      <x:c r="V336" t="str">
        <x:v>Very short floor leg; track standalone shadow value and whether low threshold truly improves construction.</x:v>
      </x:c>
    </x:row>
    <x:row r="337">
      <x:c r="A337" t="str">
        <x:v>2026-08-29</x:v>
      </x:c>
      <x:c r="B337" t="str">
        <x:v>A29-R09</x:v>
      </x:c>
      <x:c r="C337" t="str">
        <x:v>SOURCED</x:v>
      </x:c>
      <x:c r="D337" t="str">
        <x:v>Harry Lock Picks</x:v>
      </x:c>
      <x:c r="E337" t="str">
        <x:v>Soccer</x:v>
      </x:c>
      <x:c r="F337" t="str">
        <x:v>Tottenham vs Newcastle</x:v>
      </x:c>
      <x:c r="G337" t="str">
        <x:v>Tottenham/Newcastle</x:v>
      </x:c>
      <x:c r="H337" t="str">
        <x:v>Game Total Goals</x:v>
      </x:c>
      <x:c r="I337" t="str">
        <x:v>Over 2.5 total goals</x:v>
      </x:c>
      <x:c r="J337" t="n">
        <x:v>2.5</x:v>
      </x:c>
      <x:c r="K337" t="n">
        <x:v>-165</x:v>
      </x:c>
      <x:c r="L337" t="n">
        <x:v>0.6226415094339622</x:v>
      </x:c>
      <x:c r="M337" t="str">
        <x:v>BET</x:v>
      </x:c>
      <x:c r="N337" t="str">
        <x:v>Y</x:v>
      </x:c>
      <x:c r="O337" t="str">
        <x:v>Pending</x:v>
      </x:c>
      <x:c r="P337"/>
      <x:c r="Q337"/>
      <x:c r="R337" t="n">
        <x:v>0.3333333333333333</x:v>
      </x:c>
      <x:c r="S337" t="str">
        <x:v>A29-T01</x:v>
      </x:c>
      <x:c r="T337"/>
      <x:c r="U337" t="str">
        <x:v>Actual soccer-ticket game-script leg at DK -165.</x:v>
      </x:c>
      <x:c r="V337" t="str">
        <x:v>Paired prospectively against TOT/NEW BTTS source leg.</x:v>
      </x:c>
    </x:row>
    <x:row r="338">
      <x:c r="A338" t="str">
        <x:v>2026-08-29</x:v>
      </x:c>
      <x:c r="B338" t="str">
        <x:v>A29-R10</x:v>
      </x:c>
      <x:c r="C338" t="str">
        <x:v>SOURCED</x:v>
      </x:c>
      <x:c r="D338" t="str">
        <x:v>Harry Lock Picks</x:v>
      </x:c>
      <x:c r="E338" t="str">
        <x:v>Soccer</x:v>
      </x:c>
      <x:c r="F338" t="str">
        <x:v>Tottenham vs Newcastle</x:v>
      </x:c>
      <x:c r="G338" t="str">
        <x:v>Tottenham/Newcastle</x:v>
      </x:c>
      <x:c r="H338" t="str">
        <x:v>BTTS</x:v>
      </x:c>
      <x:c r="I338" t="str">
        <x:v>Both Teams to Score — Yes</x:v>
      </x:c>
      <x:c r="J338"/>
      <x:c r="K338"/>
      <x:c r="L338"/>
      <x:c r="M338" t="str">
        <x:v>PAPER</x:v>
      </x:c>
      <x:c r="N338" t="str">
        <x:v>N</x:v>
      </x:c>
      <x:c r="O338" t="str">
        <x:v>Pending</x:v>
      </x:c>
      <x:c r="P338"/>
      <x:c r="Q338"/>
      <x:c r="R338" t="n">
        <x:v>0</x:v>
      </x:c>
      <x:c r="S338"/>
      <x:c r="T338"/>
      <x:c r="U338" t="str">
        <x:v>Source correlated SGP leg with O2.5.</x:v>
      </x:c>
      <x:c r="V338" t="str">
        <x:v>Track separately so correlation does not inflate independent sample count.</x:v>
      </x:c>
    </x:row>
    <x:row r="339">
      <x:c r="A339" t="str">
        <x:v>2026-08-29</x:v>
      </x:c>
      <x:c r="B339" t="str">
        <x:v>A29-R11</x:v>
      </x:c>
      <x:c r="C339" t="str">
        <x:v>SOURCED</x:v>
      </x:c>
      <x:c r="D339" t="str">
        <x:v>Source 3-Hit Parlay</x:v>
      </x:c>
      <x:c r="E339" t="str">
        <x:v>MLB</x:v>
      </x:c>
      <x:c r="F339" t="str">
        <x:v>Cross-game</x:v>
      </x:c>
      <x:c r="G339" t="str">
        <x:v>Elly + Albies + Vargas</x:v>
      </x:c>
      <x:c r="H339" t="str">
        <x:v>1+ Hit Parlay</x:v>
      </x:c>
      <x:c r="I339" t="str">
        <x:v>Elly De La Cruz 1+ H + Ozzie Albies 1+ H + Miguel Vargas 1+ H</x:v>
      </x:c>
      <x:c r="J339"/>
      <x:c r="K339" t="n">
        <x:v>206</x:v>
      </x:c>
      <x:c r="L339" t="n">
        <x:v>0.32679738562091504</x:v>
      </x:c>
      <x:c r="M339" t="str">
        <x:v>PAPER</x:v>
      </x:c>
      <x:c r="N339" t="str">
        <x:v>N</x:v>
      </x:c>
      <x:c r="O339" t="str">
        <x:v>Pending</x:v>
      </x:c>
      <x:c r="P339"/>
      <x:c r="Q339"/>
      <x:c r="R339" t="n">
        <x:v>0</x:v>
      </x:c>
      <x:c r="S339"/>
      <x:c r="T339"/>
      <x:c r="U339" t="str">
        <x:v>Source screenshot raw +206, boosted +311 elsewhere. Preserve raw construction.</x:v>
      </x:c>
      <x:c r="V339" t="str">
        <x:v>EXP-08 expensive-hit-glue control; yesterday's similar source parlay went 2/3 and lost.</x:v>
      </x:c>
    </x:row>
    <x:row r="340">
      <x:c r="A340" t="str">
        <x:v>2026-08-29</x:v>
      </x:c>
      <x:c r="B340" t="str">
        <x:v>A29-R12</x:v>
      </x:c>
      <x:c r="C340" t="str">
        <x:v>SOURCED</x:v>
      </x:c>
      <x:c r="D340" t="str">
        <x:v>Source 3-Hit Parlay</x:v>
      </x:c>
      <x:c r="E340" t="str">
        <x:v>MLB</x:v>
      </x:c>
      <x:c r="F340" t="str">
        <x:v>CIN @ CHC</x:v>
      </x:c>
      <x:c r="G340" t="str">
        <x:v>Elly De La Cruz</x:v>
      </x:c>
      <x:c r="H340" t="str">
        <x:v>1+ Hit</x:v>
      </x:c>
      <x:c r="I340" t="str">
        <x:v>1+ hit</x:v>
      </x:c>
      <x:c r="J340" t="n">
        <x:v>1</x:v>
      </x:c>
      <x:c r="K340" t="n">
        <x:v>-195</x:v>
      </x:c>
      <x:c r="L340" t="n">
        <x:v>0.6610169491525424</x:v>
      </x:c>
      <x:c r="M340" t="str">
        <x:v>PAPER</x:v>
      </x:c>
      <x:c r="N340" t="str">
        <x:v>N</x:v>
      </x:c>
      <x:c r="O340" t="str">
        <x:v>Pending</x:v>
      </x:c>
      <x:c r="P340"/>
      <x:c r="Q340"/>
      <x:c r="R340" t="n">
        <x:v>0</x:v>
      </x:c>
      <x:c r="S340"/>
      <x:c r="T340"/>
      <x:c r="U340" t="str">
        <x:v>Faces LHP Shota Imanaga; Elly had 3 hits yesterday.</x:v>
      </x:c>
      <x:c r="V340" t="str">
        <x:v>Do not treat yesterday result as automatic repeat signal.</x:v>
      </x:c>
    </x:row>
    <x:row r="341">
      <x:c r="A341" t="str">
        <x:v>2026-08-29</x:v>
      </x:c>
      <x:c r="B341" t="str">
        <x:v>A29-R13</x:v>
      </x:c>
      <x:c r="C341" t="str">
        <x:v>SOURCED</x:v>
      </x:c>
      <x:c r="D341" t="str">
        <x:v>Source 3-Hit Parlay</x:v>
      </x:c>
      <x:c r="E341" t="str">
        <x:v>MLB</x:v>
      </x:c>
      <x:c r="F341" t="str">
        <x:v>COL @ ATL</x:v>
      </x:c>
      <x:c r="G341" t="str">
        <x:v>Ozzie Albies</x:v>
      </x:c>
      <x:c r="H341" t="str">
        <x:v>1+ Hit</x:v>
      </x:c>
      <x:c r="I341" t="str">
        <x:v>1+ hit</x:v>
      </x:c>
      <x:c r="J341" t="n">
        <x:v>1</x:v>
      </x:c>
      <x:c r="K341" t="n">
        <x:v>-250</x:v>
      </x:c>
      <x:c r="L341" t="n">
        <x:v>0.7142857142857143</x:v>
      </x:c>
      <x:c r="M341" t="str">
        <x:v>PAPER</x:v>
      </x:c>
      <x:c r="N341" t="str">
        <x:v>N</x:v>
      </x:c>
      <x:c r="O341" t="str">
        <x:v>Pending</x:v>
      </x:c>
      <x:c r="P341"/>
      <x:c r="Q341"/>
      <x:c r="R341" t="n">
        <x:v>0</x:v>
      </x:c>
      <x:c r="S341"/>
      <x:c r="T341"/>
      <x:c r="U341" t="str">
        <x:v>High-juice source glue leg.</x:v>
      </x:c>
      <x:c r="V341" t="str">
        <x:v>Track outcome and standalone ROI; do not auto-promote because of price.</x:v>
      </x:c>
    </x:row>
    <x:row r="342">
      <x:c r="A342" t="str">
        <x:v>2026-08-29</x:v>
      </x:c>
      <x:c r="B342" t="str">
        <x:v>A29-R14</x:v>
      </x:c>
      <x:c r="C342" t="str">
        <x:v>SOURCED</x:v>
      </x:c>
      <x:c r="D342" t="str">
        <x:v>Source 3-Hit Parlay</x:v>
      </x:c>
      <x:c r="E342" t="str">
        <x:v>MLB</x:v>
      </x:c>
      <x:c r="F342" t="str">
        <x:v>CWS @ MIN</x:v>
      </x:c>
      <x:c r="G342" t="str">
        <x:v>Miguel Vargas</x:v>
      </x:c>
      <x:c r="H342" t="str">
        <x:v>1+ Hit</x:v>
      </x:c>
      <x:c r="I342" t="str">
        <x:v>1+ hit</x:v>
      </x:c>
      <x:c r="J342" t="n">
        <x:v>1</x:v>
      </x:c>
      <x:c r="K342" t="n">
        <x:v>-223</x:v>
      </x:c>
      <x:c r="L342" t="n">
        <x:v>0.6904024767801857</x:v>
      </x:c>
      <x:c r="M342" t="str">
        <x:v>PAPER</x:v>
      </x:c>
      <x:c r="N342" t="str">
        <x:v>N</x:v>
      </x:c>
      <x:c r="O342" t="str">
        <x:v>Pending</x:v>
      </x:c>
      <x:c r="P342"/>
      <x:c r="Q342"/>
      <x:c r="R342" t="n">
        <x:v>0</x:v>
      </x:c>
      <x:c r="S342"/>
      <x:c r="T342"/>
      <x:c r="U342" t="str">
        <x:v>Leadoff-type role; Statcast matchup vs Bailey Ober is roughly neutral overall with Vargas season xwOBA around .390.</x:v>
      </x:c>
      <x:c r="V342" t="str">
        <x:v>Good research control, not automatic real-money glue.</x:v>
      </x:c>
    </x:row>
    <x:row r="343">
      <x:c r="A343" t="str">
        <x:v>2026-08-29</x:v>
      </x:c>
      <x:c r="B343" t="str">
        <x:v>A29-D01</x:v>
      </x:c>
      <x:c r="C343" t="str">
        <x:v>DISCOVERED</x:v>
      </x:c>
      <x:c r="D343" t="str">
        <x:v>Pickswise CFB Week 0 Props</x:v>
      </x:c>
      <x:c r="E343" t="str">
        <x:v>CFB</x:v>
      </x:c>
      <x:c r="F343" t="str">
        <x:v>UNC vs TCU</x:v>
      </x:c>
      <x:c r="G343" t="str">
        <x:v>Jordan Shipp</x:v>
      </x:c>
      <x:c r="H343" t="str">
        <x:v>Receiving Yards</x:v>
      </x:c>
      <x:c r="I343" t="str">
        <x:v>60+ receiving yards</x:v>
      </x:c>
      <x:c r="J343" t="n">
        <x:v>60</x:v>
      </x:c>
      <x:c r="K343" t="n">
        <x:v>120</x:v>
      </x:c>
      <x:c r="L343" t="n">
        <x:v>0.45454545454545453</x:v>
      </x:c>
      <x:c r="M343" t="str">
        <x:v>PAPER</x:v>
      </x:c>
      <x:c r="N343" t="str">
        <x:v>N</x:v>
      </x:c>
      <x:c r="O343" t="str">
        <x:v>Pending</x:v>
      </x:c>
      <x:c r="P343"/>
      <x:c r="Q343"/>
      <x:c r="R343" t="n">
        <x:v>0</x:v>
      </x:c>
      <x:c r="S343"/>
      <x:c r="T343"/>
      <x:c r="U343" t="str">
        <x:v>Independent Week 0 prop: +120, playable to +100.</x:v>
      </x:c>
      <x:c r="V343" t="str">
        <x:v>Tests role/OC continuity vs prior-year receiving baseline.</x:v>
      </x:c>
    </x:row>
    <x:row r="344">
      <x:c r="A344" t="str">
        <x:v>2026-08-29</x:v>
      </x:c>
      <x:c r="B344" t="str">
        <x:v>A29-D02</x:v>
      </x:c>
      <x:c r="C344" t="str">
        <x:v>HYBRID</x:v>
      </x:c>
      <x:c r="D344" t="str">
        <x:v>User Source + Pickswise</x:v>
      </x:c>
      <x:c r="E344" t="str">
        <x:v>CFB</x:v>
      </x:c>
      <x:c r="F344" t="str">
        <x:v>SJSU @ USC</x:v>
      </x:c>
      <x:c r="G344" t="str">
        <x:v>King Miller</x:v>
      </x:c>
      <x:c r="H344" t="str">
        <x:v>Rushing Yards</x:v>
      </x:c>
      <x:c r="I344" t="str">
        <x:v>60+ rushing yards</x:v>
      </x:c>
      <x:c r="J344" t="n">
        <x:v>60</x:v>
      </x:c>
      <x:c r="K344" t="n">
        <x:v>-114</x:v>
      </x:c>
      <x:c r="L344" t="n">
        <x:v>0.5327102803738317</x:v>
      </x:c>
      <x:c r="M344" t="str">
        <x:v>BET</x:v>
      </x:c>
      <x:c r="N344" t="str">
        <x:v>Y</x:v>
      </x:c>
      <x:c r="O344" t="str">
        <x:v>Pending</x:v>
      </x:c>
      <x:c r="P344"/>
      <x:c r="Q344"/>
      <x:c r="R344" t="n">
        <x:v>0.3333333333333333</x:v>
      </x:c>
      <x:c r="S344" t="str">
        <x:v>A29-T03</x:v>
      </x:c>
      <x:c r="T344"/>
      <x:c r="U344" t="str">
        <x:v>REAL BET: King Miller 60+ rushing yards used instead of O65.5 source line.</x:v>
      </x:c>
      <x:c r="V344" t="str">
        <x:v>Threshold improved by ~6 yards vs sourced/independent O65.5 while retaining same role/efficiency thesis.</x:v>
      </x:c>
    </x:row>
    <x:row r="345">
      <x:c r="A345" t="str">
        <x:v>2026-08-29</x:v>
      </x:c>
      <x:c r="B345" t="str">
        <x:v>A29-D03</x:v>
      </x:c>
      <x:c r="C345" t="str">
        <x:v>DISCOVERED</x:v>
      </x:c>
      <x:c r="D345" t="str">
        <x:v>Pickswise CFB Week 0 Props</x:v>
      </x:c>
      <x:c r="E345" t="str">
        <x:v>CFB</x:v>
      </x:c>
      <x:c r="F345" t="str">
        <x:v>Hawaii @ Stanford</x:v>
      </x:c>
      <x:c r="G345" t="str">
        <x:v>Micah Ford</x:v>
      </x:c>
      <x:c r="H345" t="str">
        <x:v>Rushing Yards</x:v>
      </x:c>
      <x:c r="I345" t="str">
        <x:v>100+ rushing yards</x:v>
      </x:c>
      <x:c r="J345" t="n">
        <x:v>100</x:v>
      </x:c>
      <x:c r="K345" t="n">
        <x:v>158</x:v>
      </x:c>
      <x:c r="L345" t="n">
        <x:v>0.3875968992248062</x:v>
      </x:c>
      <x:c r="M345" t="str">
        <x:v>PAPER</x:v>
      </x:c>
      <x:c r="N345" t="str">
        <x:v>N</x:v>
      </x:c>
      <x:c r="O345" t="str">
        <x:v>Pending</x:v>
      </x:c>
      <x:c r="P345"/>
      <x:c r="Q345"/>
      <x:c r="R345" t="n">
        <x:v>0</x:v>
      </x:c>
      <x:c r="S345"/>
      <x:c r="T345"/>
      <x:c r="U345" t="str">
        <x:v>Independent Week 0 prop: +158, playable to +125.</x:v>
      </x:c>
      <x:c r="V345" t="str">
        <x:v>Prior 113-yard game vs Hawaii; Hawaii lost top run defenders. High-variance alt-threshold test.</x:v>
      </x:c>
    </x:row>
    <x:row r="346">
      <x:c r="A346" t="str">
        <x:v>2026-08-29</x:v>
      </x:c>
      <x:c r="B346" t="str">
        <x:v>A29-D04</x:v>
      </x:c>
      <x:c r="C346" t="str">
        <x:v>HYBRID</x:v>
      </x:c>
      <x:c r="D346" t="str">
        <x:v>Source Dortmund Attack Thesis + Independent Corner Audit</x:v>
      </x:c>
      <x:c r="E346" t="str">
        <x:v>Soccer</x:v>
      </x:c>
      <x:c r="F346" t="str">
        <x:v>Dortmund vs Hamburg</x:v>
      </x:c>
      <x:c r="G346" t="str">
        <x:v>Borussia Dortmund</x:v>
      </x:c>
      <x:c r="H346" t="str">
        <x:v>Team Corners</x:v>
      </x:c>
      <x:c r="I346" t="str">
        <x:v>Over 6.5 team corners</x:v>
      </x:c>
      <x:c r="J346" t="n">
        <x:v>6.5</x:v>
      </x:c>
      <x:c r="K346" t="n">
        <x:v>-145</x:v>
      </x:c>
      <x:c r="L346" t="n">
        <x:v>0.5918367346938775</x:v>
      </x:c>
      <x:c r="M346" t="str">
        <x:v>BET</x:v>
      </x:c>
      <x:c r="N346" t="str">
        <x:v>Y</x:v>
      </x:c>
      <x:c r="O346" t="str">
        <x:v>Pending</x:v>
      </x:c>
      <x:c r="P346"/>
      <x:c r="Q346"/>
      <x:c r="R346" t="n">
        <x:v>0.3333333333333333</x:v>
      </x:c>
      <x:c r="S346" t="str">
        <x:v>A29-T01</x:v>
      </x:c>
      <x:c r="T346"/>
      <x:c r="U346" t="str">
        <x:v>Actual market conversion from sourced Dortmund 2+ team goals to O6.5 team corners.</x:v>
      </x:c>
      <x:c r="V346" t="str">
        <x:v>Exact DK -145. Real ticket leg; paired prospectively against sourced Dortmund 2+ goals.</x:v>
      </x:c>
    </x:row>
    <x:row r="347">
      <x:c r="A347" t="str">
        <x:v>2026-08-29</x:v>
      </x:c>
      <x:c r="B347" t="str">
        <x:v>A29-R15</x:v>
      </x:c>
      <x:c r="C347" t="str">
        <x:v>SOURCED</x:v>
      </x:c>
      <x:c r="D347" t="str">
        <x:v>Cody Brown Week 0 Parlay</x:v>
      </x:c>
      <x:c r="E347" t="str">
        <x:v>CFB</x:v>
      </x:c>
      <x:c r="F347" t="str">
        <x:v>Multi-game</x:v>
      </x:c>
      <x:c r="G347" t="str">
        <x:v>TCU + JAX ST + EMU + UNLV</x:v>
      </x:c>
      <x:c r="H347" t="str">
        <x:v>4-leg parlay</x:v>
      </x:c>
      <x:c r="I347" t="str">
        <x:v>TCU ML + Jacksonville State +10.5 + Eastern Michigan -6.5 + UNLV ML</x:v>
      </x:c>
      <x:c r="J347"/>
      <x:c r="K347" t="n">
        <x:v>382</x:v>
      </x:c>
      <x:c r="L347" t="n">
        <x:v>0.2074688796680498</x:v>
      </x:c>
      <x:c r="M347" t="str">
        <x:v>PAPER</x:v>
      </x:c>
      <x:c r="N347" t="str">
        <x:v>N</x:v>
      </x:c>
      <x:c r="O347" t="str">
        <x:v>Pending</x:v>
      </x:c>
      <x:c r="P347"/>
      <x:c r="Q347"/>
      <x:c r="R347" t="n">
        <x:v>0</x:v>
      </x:c>
      <x:c r="S347"/>
      <x:c r="T347"/>
      <x:c r="U347" t="str">
        <x:v>User-provided source ticket; raw +382, source graphic showed 50% boost to +573.</x:v>
      </x:c>
      <x:c r="V347" t="str">
        <x:v>Preserve intact. Components also tracked separately.</x:v>
      </x:c>
    </x:row>
    <x:row r="348">
      <x:c r="A348" t="str">
        <x:v>2026-08-29</x:v>
      </x:c>
      <x:c r="B348" t="str">
        <x:v>A29-R16</x:v>
      </x:c>
      <x:c r="C348" t="str">
        <x:v>SOURCED</x:v>
      </x:c>
      <x:c r="D348" t="str">
        <x:v>Cody Brown Week 0 Parlay</x:v>
      </x:c>
      <x:c r="E348" t="str">
        <x:v>CFB</x:v>
      </x:c>
      <x:c r="F348" t="str">
        <x:v>UNC vs TCU</x:v>
      </x:c>
      <x:c r="G348" t="str">
        <x:v>TCU</x:v>
      </x:c>
      <x:c r="H348" t="str">
        <x:v>Moneyline</x:v>
      </x:c>
      <x:c r="I348" t="str">
        <x:v>TCU ML</x:v>
      </x:c>
      <x:c r="J348"/>
      <x:c r="K348" t="n">
        <x:v>-246</x:v>
      </x:c>
      <x:c r="L348" t="n">
        <x:v>0.7109826589595376</x:v>
      </x:c>
      <x:c r="M348" t="str">
        <x:v>PAPER</x:v>
      </x:c>
      <x:c r="N348" t="str">
        <x:v>N</x:v>
      </x:c>
      <x:c r="O348" t="str">
        <x:v>Pending</x:v>
      </x:c>
      <x:c r="P348"/>
      <x:c r="Q348"/>
      <x:c r="R348" t="n">
        <x:v>0</x:v>
      </x:c>
      <x:c r="S348"/>
      <x:c r="T348"/>
      <x:c r="U348" t="str">
        <x:v>Source leg. Current market has moved toward roughly TCU -7.5/-8.5.</x:v>
      </x:c>
      <x:c r="V348" t="str">
        <x:v>Independent Action pick supports TCU spread; ML is safer but expensive glue. https://www.actionnetwork.com/ncaaf/unc-tar-heels-vs-tcu-horned-frogs-prediction-pick-odds-college-football-saturday-august-29</x:v>
      </x:c>
    </x:row>
    <x:row r="349">
      <x:c r="A349" t="str">
        <x:v>2026-08-29</x:v>
      </x:c>
      <x:c r="B349" t="str">
        <x:v>A29-R17</x:v>
      </x:c>
      <x:c r="C349" t="str">
        <x:v>SOURCED</x:v>
      </x:c>
      <x:c r="D349" t="str">
        <x:v>Cody Brown Week 0 Parlay</x:v>
      </x:c>
      <x:c r="E349" t="str">
        <x:v>CFB</x:v>
      </x:c>
      <x:c r="F349" t="str">
        <x:v>Jacksonville State @ NDSU</x:v>
      </x:c>
      <x:c r="G349" t="str">
        <x:v>Jacksonville State</x:v>
      </x:c>
      <x:c r="H349" t="str">
        <x:v>Spread</x:v>
      </x:c>
      <x:c r="I349" t="str">
        <x:v>Jacksonville State +10.5</x:v>
      </x:c>
      <x:c r="J349" t="n">
        <x:v>10.5</x:v>
      </x:c>
      <x:c r="K349" t="n">
        <x:v>-149</x:v>
      </x:c>
      <x:c r="L349" t="n">
        <x:v>0.5983935742971888</x:v>
      </x:c>
      <x:c r="M349" t="str">
        <x:v>BET</x:v>
      </x:c>
      <x:c r="N349" t="str">
        <x:v>Y</x:v>
      </x:c>
      <x:c r="O349" t="str">
        <x:v>Pending</x:v>
      </x:c>
      <x:c r="P349"/>
      <x:c r="Q349"/>
      <x:c r="R349" t="n">
        <x:v>0.3333333333333333</x:v>
      </x:c>
      <x:c r="S349" t="str">
        <x:v>A29-T02</x:v>
      </x:c>
      <x:c r="T349"/>
      <x:c r="U349" t="str">
        <x:v>Source leg emphasizes Jax State FBS experience and NDSU skill-position turnover.</x:v>
      </x:c>
      <x:c r="V349" t="str">
        <x:v>Directly conflicts with NDSU -6.5 source/independent lean; both can win if NDSU wins by 7-10.</x:v>
      </x:c>
    </x:row>
    <x:row r="350">
      <x:c r="A350" t="str">
        <x:v>2026-08-29</x:v>
      </x:c>
      <x:c r="B350" t="str">
        <x:v>A29-R18</x:v>
      </x:c>
      <x:c r="C350" t="str">
        <x:v>HYBRID</x:v>
      </x:c>
      <x:c r="D350" t="str">
        <x:v>Cody Brown + Harry Lock Picks + Independent</x:v>
      </x:c>
      <x:c r="E350" t="str">
        <x:v>CFB</x:v>
      </x:c>
      <x:c r="F350" t="str">
        <x:v>Sacramento State @ Eastern Michigan</x:v>
      </x:c>
      <x:c r="G350" t="str">
        <x:v>Eastern Michigan</x:v>
      </x:c>
      <x:c r="H350" t="str">
        <x:v>Spread</x:v>
      </x:c>
      <x:c r="I350" t="str">
        <x:v>Eastern Michigan -6.5</x:v>
      </x:c>
      <x:c r="J350" t="n">
        <x:v>-6.5</x:v>
      </x:c>
      <x:c r="K350" t="n">
        <x:v>-140</x:v>
      </x:c>
      <x:c r="L350" t="n">
        <x:v>0.5833333333333334</x:v>
      </x:c>
      <x:c r="M350" t="str">
        <x:v>BET</x:v>
      </x:c>
      <x:c r="N350" t="str">
        <x:v>Y</x:v>
      </x:c>
      <x:c r="O350" t="str">
        <x:v>Pending</x:v>
      </x:c>
      <x:c r="P350"/>
      <x:c r="Q350"/>
      <x:c r="R350" t="n">
        <x:v>0.3333333333333333</x:v>
      </x:c>
      <x:c r="S350" t="str">
        <x:v>A29-T02</x:v>
      </x:c>
      <x:c r="T350"/>
      <x:c r="U350" t="str">
        <x:v>Strong source convergence: both user CFB sheets use EMU -6.5.</x:v>
      </x:c>
      <x:c r="V350" t="str">
        <x:v>Market ~EMU -9.5; FanDuel likes -9.5 and Action likes EMU 1H -6.5. Safer alt retains cushion. https://www.fanduel.com/research/college-football-predictions-for-week-0-picks-and-best-bets-for-saturday-aug-29</x:v>
      </x:c>
    </x:row>
    <x:row r="351">
      <x:c r="A351" t="str">
        <x:v>2026-08-29</x:v>
      </x:c>
      <x:c r="B351" t="str">
        <x:v>A29-R19</x:v>
      </x:c>
      <x:c r="C351" t="str">
        <x:v>SOURCED</x:v>
      </x:c>
      <x:c r="D351" t="str">
        <x:v>Cody Brown Week 0 Parlay</x:v>
      </x:c>
      <x:c r="E351" t="str">
        <x:v>CFB</x:v>
      </x:c>
      <x:c r="F351" t="str">
        <x:v>Memphis @ UNLV</x:v>
      </x:c>
      <x:c r="G351" t="str">
        <x:v>UNLV</x:v>
      </x:c>
      <x:c r="H351" t="str">
        <x:v>Moneyline</x:v>
      </x:c>
      <x:c r="I351" t="str">
        <x:v>UNLV ML</x:v>
      </x:c>
      <x:c r="J351"/>
      <x:c r="K351" t="n">
        <x:v>-151</x:v>
      </x:c>
      <x:c r="L351" t="n">
        <x:v>0.601593625498008</x:v>
      </x:c>
      <x:c r="M351" t="str">
        <x:v>PAPER</x:v>
      </x:c>
      <x:c r="N351" t="str">
        <x:v>N</x:v>
      </x:c>
      <x:c r="O351" t="str">
        <x:v>Pending</x:v>
      </x:c>
      <x:c r="P351"/>
      <x:c r="Q351"/>
      <x:c r="R351" t="n">
        <x:v>0</x:v>
      </x:c>
      <x:c r="S351"/>
      <x:c r="T351"/>
      <x:c r="U351" t="str">
        <x:v>Source leg emphasizes roster continuity/home field.</x:v>
      </x:c>
      <x:c r="V351" t="str">
        <x:v>Independent disagreement is substantial: Action likes Memphis +4.5, while FanDuel likes UNLV -4.5 and CBS projects UNLV 31-30. ML is safer than spread. https://www.actionnetwork.com/ncaaf/memphis-tigers-vs-unlv-rebels-prediction-pick-odds-college-football-saturday-august-29</x:v>
      </x:c>
    </x:row>
    <x:row r="352">
      <x:c r="A352" t="str">
        <x:v>2026-08-29</x:v>
      </x:c>
      <x:c r="B352" t="str">
        <x:v>A29-R20</x:v>
      </x:c>
      <x:c r="C352" t="str">
        <x:v>SOURCED</x:v>
      </x:c>
      <x:c r="D352" t="str">
        <x:v>Harry Lock Picks Week 0</x:v>
      </x:c>
      <x:c r="E352" t="str">
        <x:v>CFB</x:v>
      </x:c>
      <x:c r="F352" t="str">
        <x:v>Multi-game</x:v>
      </x:c>
      <x:c r="G352" t="str">
        <x:v>TCU + NDSU + EMU + Hawaii + UNLV</x:v>
      </x:c>
      <x:c r="H352" t="str">
        <x:v>5-leg alt-spread parlay</x:v>
      </x:c>
      <x:c r="I352" t="str">
        <x:v>TCU -6.5 + NDSU -6.5 + EMU -6.5 + Hawaii -6.5 + UNLV -6.5</x:v>
      </x:c>
      <x:c r="J352"/>
      <x:c r="K352" t="n">
        <x:v>4122</x:v>
      </x:c>
      <x:c r="L352" t="n">
        <x:v>0.023685457129322594</x:v>
      </x:c>
      <x:c r="M352" t="str">
        <x:v>PAPER</x:v>
      </x:c>
      <x:c r="N352" t="str">
        <x:v>N</x:v>
      </x:c>
      <x:c r="O352" t="str">
        <x:v>Pending</x:v>
      </x:c>
      <x:c r="P352"/>
      <x:c r="Q352"/>
      <x:c r="R352" t="n">
        <x:v>0</x:v>
      </x:c>
      <x:c r="S352"/>
      <x:c r="T352"/>
      <x:c r="U352" t="str">
        <x:v>User-provided source ticket; raw +4122 and source screenshot showed boosted +6184.</x:v>
      </x:c>
      <x:c r="V352" t="str">
        <x:v>Aggressive construction. Hawaii -6.5 is particularly high variance because current market has Stanford favored ~3.5-4.5.</x:v>
      </x:c>
    </x:row>
    <x:row r="353">
      <x:c r="A353" t="str">
        <x:v>2026-08-29</x:v>
      </x:c>
      <x:c r="B353" t="str">
        <x:v>A29-R21</x:v>
      </x:c>
      <x:c r="C353" t="str">
        <x:v>SOURCED</x:v>
      </x:c>
      <x:c r="D353" t="str">
        <x:v>Harry Lock Picks Week 0</x:v>
      </x:c>
      <x:c r="E353" t="str">
        <x:v>CFB</x:v>
      </x:c>
      <x:c r="F353" t="str">
        <x:v>UNC vs TCU</x:v>
      </x:c>
      <x:c r="G353" t="str">
        <x:v>TCU</x:v>
      </x:c>
      <x:c r="H353" t="str">
        <x:v>Spread</x:v>
      </x:c>
      <x:c r="I353" t="str">
        <x:v>TCU -6.5</x:v>
      </x:c>
      <x:c r="J353" t="n">
        <x:v>-6.5</x:v>
      </x:c>
      <x:c r="K353"/>
      <x:c r="L353"/>
      <x:c r="M353" t="str">
        <x:v>PAPER</x:v>
      </x:c>
      <x:c r="N353" t="str">
        <x:v>N</x:v>
      </x:c>
      <x:c r="O353" t="str">
        <x:v>Pending</x:v>
      </x:c>
      <x:c r="P353"/>
      <x:c r="Q353"/>
      <x:c r="R353" t="n">
        <x:v>0</x:v>
      </x:c>
      <x:c r="S353"/>
      <x:c r="T353"/>
      <x:c r="U353" t="str">
        <x:v>Source alt spread; better number than current -7.5/-8.5 market.</x:v>
      </x:c>
      <x:c r="V353" t="str">
        <x:v>Independent Action pick TCU -7.5; this is meaningful threshold value if DK still offers -6.5 at acceptable price.</x:v>
      </x:c>
    </x:row>
    <x:row r="354">
      <x:c r="A354" t="str">
        <x:v>2026-08-29</x:v>
      </x:c>
      <x:c r="B354" t="str">
        <x:v>A29-R22</x:v>
      </x:c>
      <x:c r="C354" t="str">
        <x:v>HYBRID</x:v>
      </x:c>
      <x:c r="D354" t="str">
        <x:v>Harry Lock Picks + Independent</x:v>
      </x:c>
      <x:c r="E354" t="str">
        <x:v>CFB</x:v>
      </x:c>
      <x:c r="F354" t="str">
        <x:v>Jacksonville State @ NDSU</x:v>
      </x:c>
      <x:c r="G354" t="str">
        <x:v>North Dakota State</x:v>
      </x:c>
      <x:c r="H354" t="str">
        <x:v>Spread</x:v>
      </x:c>
      <x:c r="I354" t="str">
        <x:v>NDSU -6.5</x:v>
      </x:c>
      <x:c r="J354" t="n">
        <x:v>-6.5</x:v>
      </x:c>
      <x:c r="K354"/>
      <x:c r="L354"/>
      <x:c r="M354" t="str">
        <x:v>PAPER</x:v>
      </x:c>
      <x:c r="N354" t="str">
        <x:v>N</x:v>
      </x:c>
      <x:c r="O354" t="str">
        <x:v>Pending</x:v>
      </x:c>
      <x:c r="P354"/>
      <x:c r="Q354"/>
      <x:c r="R354" t="n">
        <x:v>0</x:v>
      </x:c>
      <x:c r="S354"/>
      <x:c r="T354"/>
      <x:c r="U354" t="str">
        <x:v>Source side independently supported by Covers; TSI projects NDSU -9.</x:v>
      </x:c>
      <x:c r="V354" t="str">
        <x:v>NDSU lost QB/WR production, so keep JAX +10.5 opposing arm too. https://www.covers.com/ncaaf/jacksonville-state-vs-north-dakota-state-prediction-picks-odds-august-29-2026</x:v>
      </x:c>
    </x:row>
    <x:row r="355">
      <x:c r="A355" t="str">
        <x:v>2026-08-29</x:v>
      </x:c>
      <x:c r="B355" t="str">
        <x:v>A29-R23</x:v>
      </x:c>
      <x:c r="C355" t="str">
        <x:v>SOURCED</x:v>
      </x:c>
      <x:c r="D355" t="str">
        <x:v>Harry Lock Picks Week 0</x:v>
      </x:c>
      <x:c r="E355" t="str">
        <x:v>CFB</x:v>
      </x:c>
      <x:c r="F355" t="str">
        <x:v>Hawaii @ Stanford</x:v>
      </x:c>
      <x:c r="G355" t="str">
        <x:v>Hawaii</x:v>
      </x:c>
      <x:c r="H355" t="str">
        <x:v>Spread</x:v>
      </x:c>
      <x:c r="I355" t="str">
        <x:v>Hawaii -6.5</x:v>
      </x:c>
      <x:c r="J355" t="n">
        <x:v>-6.5</x:v>
      </x:c>
      <x:c r="K355"/>
      <x:c r="L355"/>
      <x:c r="M355" t="str">
        <x:v>PAPER</x:v>
      </x:c>
      <x:c r="N355" t="str">
        <x:v>N</x:v>
      </x:c>
      <x:c r="O355" t="str">
        <x:v>Pending</x:v>
      </x:c>
      <x:c r="P355"/>
      <x:c r="Q355"/>
      <x:c r="R355" t="n">
        <x:v>0</x:v>
      </x:c>
      <x:c r="S355"/>
      <x:c r="T355"/>
      <x:c r="U355" t="str">
        <x:v>Very aggressive source alternate; current market is Stanford roughly -3.5 to -4.5.</x:v>
      </x:c>
      <x:c r="V355" t="str">
        <x:v>Paper-only unless a major market/injury change occurs. This requires Hawaii not merely to upset Stanford, but win by 7+.</x:v>
      </x:c>
    </x:row>
    <x:row r="356">
      <x:c r="A356" t="str">
        <x:v>2026-08-29</x:v>
      </x:c>
      <x:c r="B356" t="str">
        <x:v>A29-R24</x:v>
      </x:c>
      <x:c r="C356" t="str">
        <x:v>SOURCED</x:v>
      </x:c>
      <x:c r="D356" t="str">
        <x:v>Harry Lock Picks Week 0</x:v>
      </x:c>
      <x:c r="E356" t="str">
        <x:v>CFB</x:v>
      </x:c>
      <x:c r="F356" t="str">
        <x:v>Memphis @ UNLV</x:v>
      </x:c>
      <x:c r="G356" t="str">
        <x:v>UNLV</x:v>
      </x:c>
      <x:c r="H356" t="str">
        <x:v>Spread</x:v>
      </x:c>
      <x:c r="I356" t="str">
        <x:v>UNLV -6.5</x:v>
      </x:c>
      <x:c r="J356" t="n">
        <x:v>-6.5</x:v>
      </x:c>
      <x:c r="K356"/>
      <x:c r="L356"/>
      <x:c r="M356" t="str">
        <x:v>PAPER</x:v>
      </x:c>
      <x:c r="N356" t="str">
        <x:v>N</x:v>
      </x:c>
      <x:c r="O356" t="str">
        <x:v>Pending</x:v>
      </x:c>
      <x:c r="P356"/>
      <x:c r="Q356"/>
      <x:c r="R356" t="n">
        <x:v>0</x:v>
      </x:c>
      <x:c r="S356"/>
      <x:c r="T356"/>
      <x:c r="U356" t="str">
        <x:v>Aggressive source spread versus market ~UNLV -4 to -5.5.</x:v>
      </x:c>
      <x:c r="V356" t="str">
        <x:v>Independent Action and CBS prefer Memphis with points; downgrade sharply vs UNLV ML.</x:v>
      </x:c>
    </x:row>
    <x:row r="357">
      <x:c r="A357" t="str">
        <x:v>2026-08-29</x:v>
      </x:c>
      <x:c r="B357" t="str">
        <x:v>A29-D05</x:v>
      </x:c>
      <x:c r="C357" t="str">
        <x:v>DISCOVERED</x:v>
      </x:c>
      <x:c r="D357" t="str">
        <x:v>Action Network / CBS</x:v>
      </x:c>
      <x:c r="E357" t="str">
        <x:v>CFB</x:v>
      </x:c>
      <x:c r="F357" t="str">
        <x:v>Memphis @ UNLV</x:v>
      </x:c>
      <x:c r="G357" t="str">
        <x:v>Memphis</x:v>
      </x:c>
      <x:c r="H357" t="str">
        <x:v>Spread</x:v>
      </x:c>
      <x:c r="I357" t="str">
        <x:v>Memphis +4.5</x:v>
      </x:c>
      <x:c r="J357" t="n">
        <x:v>4.5</x:v>
      </x:c>
      <x:c r="K357"/>
      <x:c r="L357"/>
      <x:c r="M357" t="str">
        <x:v>PAPER</x:v>
      </x:c>
      <x:c r="N357" t="str">
        <x:v>N</x:v>
      </x:c>
      <x:c r="O357" t="str">
        <x:v>Pending</x:v>
      </x:c>
      <x:c r="P357"/>
      <x:c r="Q357"/>
      <x:c r="R357" t="n">
        <x:v>0</x:v>
      </x:c>
      <x:c r="S357"/>
      <x:c r="T357"/>
      <x:c r="U357" t="str">
        <x:v>Action best bet Memphis +4.5, playable to +3; CBS model projects UNLV 31-30 and prefers Memphis +4.</x:v>
      </x:c>
      <x:c r="V357" t="str">
        <x:v>Direct opposing control to UNLV spread/ML source arms. https://www.actionnetwork.com/ncaaf/memphis-tigers-vs-unlv-rebels-prediction-pick-odds-college-football-saturday-august-29</x:v>
      </x:c>
    </x:row>
    <x:row r="358">
      <x:c r="A358" t="str">
        <x:v>2026-08-29</x:v>
      </x:c>
      <x:c r="B358" t="str">
        <x:v>A29-D06</x:v>
      </x:c>
      <x:c r="C358" t="str">
        <x:v>DISCOVERED</x:v>
      </x:c>
      <x:c r="D358" t="str">
        <x:v>FanDuel Research</x:v>
      </x:c>
      <x:c r="E358" t="str">
        <x:v>CFB</x:v>
      </x:c>
      <x:c r="F358" t="str">
        <x:v>Hawaii @ Stanford</x:v>
      </x:c>
      <x:c r="G358" t="str">
        <x:v>Hawaii</x:v>
      </x:c>
      <x:c r="H358" t="str">
        <x:v>Spread</x:v>
      </x:c>
      <x:c r="I358" t="str">
        <x:v>Hawaii +4.5</x:v>
      </x:c>
      <x:c r="J358" t="n">
        <x:v>4.5</x:v>
      </x:c>
      <x:c r="K358" t="n">
        <x:v>-105</x:v>
      </x:c>
      <x:c r="L358" t="n">
        <x:v>0.5121951219512195</x:v>
      </x:c>
      <x:c r="M358" t="str">
        <x:v>BET</x:v>
      </x:c>
      <x:c r="N358" t="str">
        <x:v>Y</x:v>
      </x:c>
      <x:c r="O358" t="str">
        <x:v>Pending</x:v>
      </x:c>
      <x:c r="P358"/>
      <x:c r="Q358"/>
      <x:c r="R358" t="n">
        <x:v>0.3333333333333333</x:v>
      </x:c>
      <x:c r="S358" t="str">
        <x:v>A29-T03</x:v>
      </x:c>
      <x:c r="T358"/>
      <x:c r="U358" t="str">
        <x:v>REAL BET: Hawaii +4.5.</x:v>
      </x:c>
      <x:c r="V358" t="str">
        <x:v>Used positive market cushion rather than aggressive source Hawaii -6.5; direct EXP-23 threshold-expression test.</x:v>
      </x:c>
    </x:row>
    <x:row r="359">
      <x:c r="A359" t="str">
        <x:v>2026-08-29</x:v>
      </x:c>
      <x:c r="B359" t="str">
        <x:v>A29-D07</x:v>
      </x:c>
      <x:c r="C359" t="str">
        <x:v>DISCOVERED</x:v>
      </x:c>
      <x:c r="D359" t="str">
        <x:v>FanDuel Research</x:v>
      </x:c>
      <x:c r="E359" t="str">
        <x:v>CFB</x:v>
      </x:c>
      <x:c r="F359" t="str">
        <x:v>Sacramento State @ Eastern Michigan</x:v>
      </x:c>
      <x:c r="G359" t="str">
        <x:v>Eastern Michigan</x:v>
      </x:c>
      <x:c r="H359" t="str">
        <x:v>Spread</x:v>
      </x:c>
      <x:c r="I359" t="str">
        <x:v>Eastern Michigan -9.5</x:v>
      </x:c>
      <x:c r="J359" t="n">
        <x:v>-9.5</x:v>
      </x:c>
      <x:c r="K359" t="n">
        <x:v>-118</x:v>
      </x:c>
      <x:c r="L359" t="n">
        <x:v>0.5412844036697247</x:v>
      </x:c>
      <x:c r="M359" t="str">
        <x:v>PAPER</x:v>
      </x:c>
      <x:c r="N359" t="str">
        <x:v>N</x:v>
      </x:c>
      <x:c r="O359" t="str">
        <x:v>Pending</x:v>
      </x:c>
      <x:c r="P359"/>
      <x:c r="Q359"/>
      <x:c r="R359" t="n">
        <x:v>0</x:v>
      </x:c>
      <x:c r="S359"/>
      <x:c r="T359"/>
      <x:c r="U359" t="str">
        <x:v>FanDuel favorite pick at market spread.</x:v>
      </x:c>
      <x:c r="V359" t="str">
        <x:v>Paired threshold arm vs source safer EMU -6.5. https://www.fanduel.com/research/college-football-predictions-for-week-0-picks-and-best-bets-for-saturday-aug-29</x:v>
      </x:c>
    </x:row>
    <x:row r="360">
      <x:c r="A360" t="str">
        <x:v>2026-08-29</x:v>
      </x:c>
      <x:c r="B360" t="str">
        <x:v>A29-D08</x:v>
      </x:c>
      <x:c r="C360" t="str">
        <x:v>DISCOVERED</x:v>
      </x:c>
      <x:c r="D360" t="str">
        <x:v>Action Network</x:v>
      </x:c>
      <x:c r="E360" t="str">
        <x:v>CFB</x:v>
      </x:c>
      <x:c r="F360" t="str">
        <x:v>UNC vs TCU</x:v>
      </x:c>
      <x:c r="G360" t="str">
        <x:v>TCU</x:v>
      </x:c>
      <x:c r="H360" t="str">
        <x:v>Spread</x:v>
      </x:c>
      <x:c r="I360" t="str">
        <x:v>TCU -7.5</x:v>
      </x:c>
      <x:c r="J360" t="n">
        <x:v>-7.5</x:v>
      </x:c>
      <x:c r="K360"/>
      <x:c r="L360"/>
      <x:c r="M360" t="str">
        <x:v>PAPER</x:v>
      </x:c>
      <x:c r="N360" t="str">
        <x:v>N</x:v>
      </x:c>
      <x:c r="O360" t="str">
        <x:v>Pending</x:v>
      </x:c>
      <x:c r="P360"/>
      <x:c r="Q360"/>
      <x:c r="R360" t="n">
        <x:v>0</x:v>
      </x:c>
      <x:c r="S360"/>
      <x:c r="T360"/>
      <x:c r="U360" t="str">
        <x:v>Action's official spread pick; trench advantage cited.</x:v>
      </x:c>
      <x:c r="V360" t="str">
        <x:v>Paired threshold arm vs TCU ML and source TCU -6.5. https://www.actionnetwork.com/ncaaf/unc-tar-heels-vs-tcu-horned-frogs-prediction-pick-odds-college-football-saturday-august-29</x:v>
      </x:c>
    </x:row>
    <x:row r="361">
      <x:c r="A361" t="str">
        <x:v>2026-08-29</x:v>
      </x:c>
      <x:c r="B361" t="str">
        <x:v>A29-D09</x:v>
      </x:c>
      <x:c r="C361" t="str">
        <x:v>DISCOVERED</x:v>
      </x:c>
      <x:c r="D361" t="str">
        <x:v>Covers / TSI</x:v>
      </x:c>
      <x:c r="E361" t="str">
        <x:v>CFB</x:v>
      </x:c>
      <x:c r="F361" t="str">
        <x:v>Jacksonville State @ NDSU</x:v>
      </x:c>
      <x:c r="G361" t="str">
        <x:v>North Dakota State</x:v>
      </x:c>
      <x:c r="H361" t="str">
        <x:v>Spread</x:v>
      </x:c>
      <x:c r="I361" t="str">
        <x:v>NDSU -6.5</x:v>
      </x:c>
      <x:c r="J361" t="n">
        <x:v>-6.5</x:v>
      </x:c>
      <x:c r="K361"/>
      <x:c r="L361"/>
      <x:c r="M361" t="str">
        <x:v>PAPER</x:v>
      </x:c>
      <x:c r="N361" t="str">
        <x:v>N</x:v>
      </x:c>
      <x:c r="O361" t="str">
        <x:v>Pending</x:v>
      </x:c>
      <x:c r="P361"/>
      <x:c r="Q361"/>
      <x:c r="R361" t="n">
        <x:v>0</x:v>
      </x:c>
      <x:c r="S361"/>
      <x:c r="T361"/>
      <x:c r="U361" t="str">
        <x:v>Covers takes NDSU -6.5; TSI makes NDSU -9.</x:v>
      </x:c>
      <x:c r="V361" t="str">
        <x:v>Independent convergence with Harry source. https://www.covers.com/ncaaf/jacksonville-state-vs-north-dakota-state-prediction-picks-odds-august-29-2026</x:v>
      </x:c>
    </x:row>
    <x:row r="362">
      <x:c r="A362" t="str">
        <x:v>2026-08-29</x:v>
      </x:c>
      <x:c r="B362" t="str">
        <x:v>A29-HR01</x:v>
      </x:c>
      <x:c r="C362" t="str">
        <x:v>SOURCED</x:v>
      </x:c>
      <x:c r="D362" t="str">
        <x:v>Toad HR Projections 08/29</x:v>
      </x:c>
      <x:c r="E362" t="str">
        <x:v>MLB</x:v>
      </x:c>
      <x:c r="F362" t="str">
        <x:v>LAD matchup</x:v>
      </x:c>
      <x:c r="G362" t="str">
        <x:v>Shohei Ohtani</x:v>
      </x:c>
      <x:c r="H362" t="str">
        <x:v>HR</x:v>
      </x:c>
      <x:c r="I362" t="str">
        <x:v>Home Run</x:v>
      </x:c>
      <x:c r="J362" t="n">
        <x:v>1</x:v>
      </x:c>
      <x:c r="K362" t="n">
        <x:v>306</x:v>
      </x:c>
      <x:c r="L362" t="n">
        <x:v>0.24630541871921183</x:v>
      </x:c>
      <x:c r="M362" t="str">
        <x:v>PAPER</x:v>
      </x:c>
      <x:c r="N362" t="str">
        <x:v>N</x:v>
      </x:c>
      <x:c r="O362" t="str">
        <x:v>Pending</x:v>
      </x:c>
      <x:c r="P362"/>
      <x:c r="Q362"/>
      <x:c r="R362" t="n">
        <x:v>0</x:v>
      </x:c>
      <x:c r="S362"/>
      <x:c r="T362"/>
      <x:c r="U362" t="str">
        <x:v>Source model HR probability 23.1%; DK +306.</x:v>
      </x:c>
      <x:c r="V362" t="str">
        <x:v>Raw source fair gap is negative/slight overprice before boost; still highest listed HR probability.</x:v>
      </x:c>
    </x:row>
    <x:row r="363">
      <x:c r="A363" t="str">
        <x:v>2026-08-29</x:v>
      </x:c>
      <x:c r="B363" t="str">
        <x:v>A29-HR02</x:v>
      </x:c>
      <x:c r="C363" t="str">
        <x:v>SOURCED</x:v>
      </x:c>
      <x:c r="D363" t="str">
        <x:v>Toad HR Projections 08/29</x:v>
      </x:c>
      <x:c r="E363" t="str">
        <x:v>MLB</x:v>
      </x:c>
      <x:c r="F363" t="str">
        <x:v>PIT matchup</x:v>
      </x:c>
      <x:c r="G363" t="str">
        <x:v>Rafael Flores</x:v>
      </x:c>
      <x:c r="H363" t="str">
        <x:v>HR</x:v>
      </x:c>
      <x:c r="I363" t="str">
        <x:v>Home Run</x:v>
      </x:c>
      <x:c r="J363" t="n">
        <x:v>1</x:v>
      </x:c>
      <x:c r="K363" t="n">
        <x:v>600</x:v>
      </x:c>
      <x:c r="L363" t="n">
        <x:v>0.14285714285714285</x:v>
      </x:c>
      <x:c r="M363" t="str">
        <x:v>PAPER</x:v>
      </x:c>
      <x:c r="N363" t="str">
        <x:v>N</x:v>
      </x:c>
      <x:c r="O363" t="str">
        <x:v>Pending</x:v>
      </x:c>
      <x:c r="P363"/>
      <x:c r="Q363"/>
      <x:c r="R363" t="n">
        <x:v>0</x:v>
      </x:c>
      <x:c r="S363"/>
      <x:c r="T363"/>
      <x:c r="U363" t="str">
        <x:v>Source model HR probability 22.1%; DK +600.</x:v>
      </x:c>
      <x:c r="V363" t="str">
        <x:v>Largest raw model-vs-price gap on the graphic; requires independent lineup/matchup audit before real consideration.</x:v>
      </x:c>
    </x:row>
    <x:row r="364">
      <x:c r="A364" t="str">
        <x:v>2026-08-29</x:v>
      </x:c>
      <x:c r="B364" t="str">
        <x:v>A29-HR03</x:v>
      </x:c>
      <x:c r="C364" t="str">
        <x:v>SOURCED</x:v>
      </x:c>
      <x:c r="D364" t="str">
        <x:v>Toad HR Projections 08/29</x:v>
      </x:c>
      <x:c r="E364" t="str">
        <x:v>MLB</x:v>
      </x:c>
      <x:c r="F364" t="str">
        <x:v>WSH matchup</x:v>
      </x:c>
      <x:c r="G364" t="str">
        <x:v>CJ Abrams</x:v>
      </x:c>
      <x:c r="H364" t="str">
        <x:v>HR</x:v>
      </x:c>
      <x:c r="I364" t="str">
        <x:v>Home Run</x:v>
      </x:c>
      <x:c r="J364" t="n">
        <x:v>1</x:v>
      </x:c>
      <x:c r="K364" t="n">
        <x:v>400</x:v>
      </x:c>
      <x:c r="L364" t="n">
        <x:v>0.2</x:v>
      </x:c>
      <x:c r="M364" t="str">
        <x:v>PAPER</x:v>
      </x:c>
      <x:c r="N364" t="str">
        <x:v>N</x:v>
      </x:c>
      <x:c r="O364" t="str">
        <x:v>Pending</x:v>
      </x:c>
      <x:c r="P364"/>
      <x:c r="Q364"/>
      <x:c r="R364" t="n">
        <x:v>0</x:v>
      </x:c>
      <x:c r="S364"/>
      <x:c r="T364"/>
      <x:c r="U364" t="str">
        <x:v>Source model HR probability 20.8%; FanDuel +400.</x:v>
      </x:c>
      <x:c r="V364" t="str">
        <x:v>Track source model outcome; DK price still needed.</x:v>
      </x:c>
    </x:row>
    <x:row r="365">
      <x:c r="A365" t="str">
        <x:v>2026-08-29</x:v>
      </x:c>
      <x:c r="B365" t="str">
        <x:v>A29-HR04</x:v>
      </x:c>
      <x:c r="C365" t="str">
        <x:v>SOURCED</x:v>
      </x:c>
      <x:c r="D365" t="str">
        <x:v>Toad HR Projections 08/29</x:v>
      </x:c>
      <x:c r="E365" t="str">
        <x:v>MLB</x:v>
      </x:c>
      <x:c r="F365" t="str">
        <x:v>MIA matchup</x:v>
      </x:c>
      <x:c r="G365" t="str">
        <x:v>Kyle Stowers</x:v>
      </x:c>
      <x:c r="H365" t="str">
        <x:v>HR</x:v>
      </x:c>
      <x:c r="I365" t="str">
        <x:v>Home Run</x:v>
      </x:c>
      <x:c r="J365" t="n">
        <x:v>1</x:v>
      </x:c>
      <x:c r="K365" t="n">
        <x:v>380</x:v>
      </x:c>
      <x:c r="L365" t="n">
        <x:v>0.20833333333333334</x:v>
      </x:c>
      <x:c r="M365" t="str">
        <x:v>PAPER</x:v>
      </x:c>
      <x:c r="N365" t="str">
        <x:v>N</x:v>
      </x:c>
      <x:c r="O365" t="str">
        <x:v>Pending</x:v>
      </x:c>
      <x:c r="P365"/>
      <x:c r="Q365"/>
      <x:c r="R365" t="n">
        <x:v>0</x:v>
      </x:c>
      <x:c r="S365"/>
      <x:c r="T365"/>
      <x:c r="U365" t="str">
        <x:v>Source model HR probability 20.7%; DK +380.</x:v>
      </x:c>
      <x:c r="V365" t="str">
        <x:v>Raw price is approximately aligned with source probability.</x:v>
      </x:c>
    </x:row>
    <x:row r="366">
      <x:c r="A366" t="str">
        <x:v>2026-08-29</x:v>
      </x:c>
      <x:c r="B366" t="str">
        <x:v>A29-HR05</x:v>
      </x:c>
      <x:c r="C366" t="str">
        <x:v>SOURCED</x:v>
      </x:c>
      <x:c r="D366" t="str">
        <x:v>Toad HR Projections 08/29</x:v>
      </x:c>
      <x:c r="E366" t="str">
        <x:v>MLB</x:v>
      </x:c>
      <x:c r="F366" t="str">
        <x:v>ATL matchup</x:v>
      </x:c>
      <x:c r="G366" t="str">
        <x:v>Ronald Acuna Jr.</x:v>
      </x:c>
      <x:c r="H366" t="str">
        <x:v>HR</x:v>
      </x:c>
      <x:c r="I366" t="str">
        <x:v>Home Run</x:v>
      </x:c>
      <x:c r="J366" t="n">
        <x:v>1</x:v>
      </x:c>
      <x:c r="K366" t="n">
        <x:v>420</x:v>
      </x:c>
      <x:c r="L366" t="n">
        <x:v>0.19230769230769232</x:v>
      </x:c>
      <x:c r="M366" t="str">
        <x:v>PAPER</x:v>
      </x:c>
      <x:c r="N366" t="str">
        <x:v>N</x:v>
      </x:c>
      <x:c r="O366" t="str">
        <x:v>Pending</x:v>
      </x:c>
      <x:c r="P366"/>
      <x:c r="Q366"/>
      <x:c r="R366" t="n">
        <x:v>0</x:v>
      </x:c>
      <x:c r="S366"/>
      <x:c r="T366"/>
      <x:c r="U366" t="str">
        <x:v>Source model HR probability 20.6%; FanDuel +420.</x:v>
      </x:c>
      <x:c r="V366" t="str">
        <x:v>Need DK price/lineup audit.</x:v>
      </x:c>
    </x:row>
    <x:row r="367">
      <x:c r="A367" t="str">
        <x:v>2026-08-29</x:v>
      </x:c>
      <x:c r="B367" t="str">
        <x:v>A29-HR06</x:v>
      </x:c>
      <x:c r="C367" t="str">
        <x:v>SOURCED</x:v>
      </x:c>
      <x:c r="D367" t="str">
        <x:v>Toad HR Projections 08/29</x:v>
      </x:c>
      <x:c r="E367" t="str">
        <x:v>MLB</x:v>
      </x:c>
      <x:c r="F367" t="str">
        <x:v>CIN matchup</x:v>
      </x:c>
      <x:c r="G367" t="str">
        <x:v>Sal Stewart</x:v>
      </x:c>
      <x:c r="H367" t="str">
        <x:v>HR</x:v>
      </x:c>
      <x:c r="I367" t="str">
        <x:v>Home Run</x:v>
      </x:c>
      <x:c r="J367" t="n">
        <x:v>1</x:v>
      </x:c>
      <x:c r="K367" t="n">
        <x:v>473</x:v>
      </x:c>
      <x:c r="L367" t="n">
        <x:v>0.17452006980802792</x:v>
      </x:c>
      <x:c r="M367" t="str">
        <x:v>BET</x:v>
      </x:c>
      <x:c r="N367" t="str">
        <x:v>Y</x:v>
      </x:c>
      <x:c r="O367" t="str">
        <x:v>Pending</x:v>
      </x:c>
      <x:c r="P367"/>
      <x:c r="Q367"/>
      <x:c r="R367" t="n">
        <x:v>0.3333333333333333</x:v>
      </x:c>
      <x:c r="S367" t="str">
        <x:v>A29-T02</x:v>
      </x:c>
      <x:c r="T367"/>
      <x:c r="U367" t="str">
        <x:v>Source model HR probability 20.1%; DK +473.</x:v>
      </x:c>
      <x:c r="V367" t="str">
        <x:v>Positive raw model-price gap; independent matchup audit pending.</x:v>
      </x:c>
    </x:row>
    <x:row r="368">
      <x:c r="A368" t="str">
        <x:v>2026-08-29</x:v>
      </x:c>
      <x:c r="B368" t="str">
        <x:v>A29-HR07</x:v>
      </x:c>
      <x:c r="C368" t="str">
        <x:v>SOURCED</x:v>
      </x:c>
      <x:c r="D368" t="str">
        <x:v>Toad HR Projections 08/29</x:v>
      </x:c>
      <x:c r="E368" t="str">
        <x:v>MLB</x:v>
      </x:c>
      <x:c r="F368" t="str">
        <x:v>SD matchup</x:v>
      </x:c>
      <x:c r="G368" t="str">
        <x:v>Fernando Tatis Jr.</x:v>
      </x:c>
      <x:c r="H368" t="str">
        <x:v>HR</x:v>
      </x:c>
      <x:c r="I368" t="str">
        <x:v>Home Run</x:v>
      </x:c>
      <x:c r="J368" t="n">
        <x:v>1</x:v>
      </x:c>
      <x:c r="K368" t="n">
        <x:v>368</x:v>
      </x:c>
      <x:c r="L368" t="n">
        <x:v>0.21367521367521367</x:v>
      </x:c>
      <x:c r="M368" t="str">
        <x:v>PAPER</x:v>
      </x:c>
      <x:c r="N368" t="str">
        <x:v>N</x:v>
      </x:c>
      <x:c r="O368" t="str">
        <x:v>Pending</x:v>
      </x:c>
      <x:c r="P368"/>
      <x:c r="Q368"/>
      <x:c r="R368" t="n">
        <x:v>0</x:v>
      </x:c>
      <x:c r="S368"/>
      <x:c r="T368"/>
      <x:c r="U368" t="str">
        <x:v>Source model HR probability 19.8%; DK +368.</x:v>
      </x:c>
      <x:c r="V368" t="str">
        <x:v>Raw source probability is below book implied; boost could change economics but matchup audit comes first.</x:v>
      </x:c>
    </x:row>
    <x:row r="369">
      <x:c r="A369" t="str">
        <x:v>2026-08-29</x:v>
      </x:c>
      <x:c r="B369" t="str">
        <x:v>A29-HR08</x:v>
      </x:c>
      <x:c r="C369" t="str">
        <x:v>SOURCED</x:v>
      </x:c>
      <x:c r="D369" t="str">
        <x:v>Toad HR Projections 08/29</x:v>
      </x:c>
      <x:c r="E369" t="str">
        <x:v>MLB</x:v>
      </x:c>
      <x:c r="F369" t="str">
        <x:v>MIN matchup</x:v>
      </x:c>
      <x:c r="G369" t="str">
        <x:v>Kody Clemens</x:v>
      </x:c>
      <x:c r="H369" t="str">
        <x:v>HR</x:v>
      </x:c>
      <x:c r="I369" t="str">
        <x:v>Home Run</x:v>
      </x:c>
      <x:c r="J369" t="n">
        <x:v>1</x:v>
      </x:c>
      <x:c r="K369" t="n">
        <x:v>470</x:v>
      </x:c>
      <x:c r="L369" t="n">
        <x:v>0.17543859649122806</x:v>
      </x:c>
      <x:c r="M369" t="str">
        <x:v>PAPER</x:v>
      </x:c>
      <x:c r="N369" t="str">
        <x:v>N</x:v>
      </x:c>
      <x:c r="O369" t="str">
        <x:v>Pending</x:v>
      </x:c>
      <x:c r="P369"/>
      <x:c r="Q369"/>
      <x:c r="R369" t="n">
        <x:v>0</x:v>
      </x:c>
      <x:c r="S369"/>
      <x:c r="T369"/>
      <x:c r="U369" t="str">
        <x:v>Source model HR probability 19.5%; FanDuel +470.</x:v>
      </x:c>
      <x:c r="V369" t="str">
        <x:v>Track paper; DK price pending.</x:v>
      </x:c>
    </x:row>
    <x:row r="370">
      <x:c r="A370" t="str">
        <x:v>2026-08-29</x:v>
      </x:c>
      <x:c r="B370" t="str">
        <x:v>A29-HR09</x:v>
      </x:c>
      <x:c r="C370" t="str">
        <x:v>SOURCED</x:v>
      </x:c>
      <x:c r="D370" t="str">
        <x:v>Toad HR Projections 08/29</x:v>
      </x:c>
      <x:c r="E370" t="str">
        <x:v>MLB</x:v>
      </x:c>
      <x:c r="F370" t="str">
        <x:v>CHC matchup</x:v>
      </x:c>
      <x:c r="G370" t="str">
        <x:v>Alex Bregman</x:v>
      </x:c>
      <x:c r="H370" t="str">
        <x:v>HR</x:v>
      </x:c>
      <x:c r="I370" t="str">
        <x:v>Home Run</x:v>
      </x:c>
      <x:c r="J370" t="n">
        <x:v>1</x:v>
      </x:c>
      <x:c r="K370" t="n">
        <x:v>560</x:v>
      </x:c>
      <x:c r="L370" t="n">
        <x:v>0.15151515151515152</x:v>
      </x:c>
      <x:c r="M370" t="str">
        <x:v>PAPER</x:v>
      </x:c>
      <x:c r="N370" t="str">
        <x:v>N</x:v>
      </x:c>
      <x:c r="O370" t="str">
        <x:v>Pending</x:v>
      </x:c>
      <x:c r="P370"/>
      <x:c r="Q370"/>
      <x:c r="R370" t="n">
        <x:v>0</x:v>
      </x:c>
      <x:c r="S370"/>
      <x:c r="T370"/>
      <x:c r="U370" t="str">
        <x:v>Source model HR probability 19.4%; FanDuel +560.</x:v>
      </x:c>
      <x:c r="V370" t="str">
        <x:v>Potential model-price value if DK comparable; audit pending.</x:v>
      </x:c>
    </x:row>
    <x:row r="371">
      <x:c r="A371" t="str">
        <x:v>2026-08-29</x:v>
      </x:c>
      <x:c r="B371" t="str">
        <x:v>A29-HR10</x:v>
      </x:c>
      <x:c r="C371" t="str">
        <x:v>SOURCED</x:v>
      </x:c>
      <x:c r="D371" t="str">
        <x:v>Toad HR Projections 08/29</x:v>
      </x:c>
      <x:c r="E371" t="str">
        <x:v>MLB</x:v>
      </x:c>
      <x:c r="F371" t="str">
        <x:v>SEA matchup</x:v>
      </x:c>
      <x:c r="G371" t="str">
        <x:v>Dominic Canzone</x:v>
      </x:c>
      <x:c r="H371" t="str">
        <x:v>HR</x:v>
      </x:c>
      <x:c r="I371" t="str">
        <x:v>Home Run</x:v>
      </x:c>
      <x:c r="J371" t="n">
        <x:v>1</x:v>
      </x:c>
      <x:c r="K371" t="n">
        <x:v>520</x:v>
      </x:c>
      <x:c r="L371" t="n">
        <x:v>0.16129032258064516</x:v>
      </x:c>
      <x:c r="M371" t="str">
        <x:v>PAPER</x:v>
      </x:c>
      <x:c r="N371" t="str">
        <x:v>N</x:v>
      </x:c>
      <x:c r="O371" t="str">
        <x:v>Pending</x:v>
      </x:c>
      <x:c r="P371"/>
      <x:c r="Q371"/>
      <x:c r="R371" t="n">
        <x:v>0</x:v>
      </x:c>
      <x:c r="S371"/>
      <x:c r="T371"/>
      <x:c r="U371" t="str">
        <x:v>Source model HR probability 19.0%; DK +520.</x:v>
      </x:c>
      <x:c r="V371" t="str">
        <x:v>Positive raw model-price gap; lineup/matchup audit pending.</x:v>
      </x:c>
    </x:row>
    <x:row r="374">
      <x:c r="A374" t="str">
        <x:v>2026-08-29</x:v>
      </x:c>
      <x:c r="B374" t="str">
        <x:v>A29-D10</x:v>
      </x:c>
      <x:c r="C374" t="str">
        <x:v>DISCOVERED</x:v>
      </x:c>
      <x:c r="D374" t="str">
        <x:v>FOX Sports + TSI convergence</x:v>
      </x:c>
      <x:c r="E374" t="str">
        <x:v>CFB</x:v>
      </x:c>
      <x:c r="F374" t="str">
        <x:v>Memphis @ UNLV</x:v>
      </x:c>
      <x:c r="G374" t="str">
        <x:v>Memphis/UNLV</x:v>
      </x:c>
      <x:c r="H374" t="str">
        <x:v>Game Total</x:v>
      </x:c>
      <x:c r="I374" t="str">
        <x:v>Over 56.5 total points</x:v>
      </x:c>
      <x:c r="J374" t="n">
        <x:v>56.5</x:v>
      </x:c>
      <x:c r="K374" t="n">
        <x:v>-108</x:v>
      </x:c>
      <x:c r="L374" t="n">
        <x:v>0.5192307692307693</x:v>
      </x:c>
      <x:c r="M374" t="str">
        <x:v>BET</x:v>
      </x:c>
      <x:c r="N374" t="str">
        <x:v>Y</x:v>
      </x:c>
      <x:c r="O374" t="str">
        <x:v>Pending</x:v>
      </x:c>
      <x:c r="P374"/>
      <x:c r="Q374"/>
      <x:c r="R374" t="n">
        <x:v>0.3333333333333333</x:v>
      </x:c>
      <x:c r="S374" t="str">
        <x:v>A29-T03</x:v>
      </x:c>
      <x:c r="T374"/>
      <x:c r="U374" t="str">
        <x:v>REAL BET: Memphis/UNLV Over 56.5.</x:v>
      </x:c>
      <x:c r="V374" t="str">
        <x:v>Chosen to avoid contested side; game-total expression independently supported.</x:v>
      </x:c>
    </x:row>
    <x:row r="375">
      <x:c r="A375" t="str">
        <x:v>2026-08-29</x:v>
      </x:c>
      <x:c r="B375" t="str">
        <x:v>A29-S01</x:v>
      </x:c>
      <x:c r="C375" t="str">
        <x:v>DISCOVERED</x:v>
      </x:c>
      <x:c r="D375" t="str">
        <x:v>Sportsgambler</x:v>
      </x:c>
      <x:c r="E375" t="str">
        <x:v>Soccer</x:v>
      </x:c>
      <x:c r="F375" t="str">
        <x:v>Bournemouth vs Everton</x:v>
      </x:c>
      <x:c r="G375" t="str">
        <x:v>Bournemouth/Everton</x:v>
      </x:c>
      <x:c r="H375" t="str">
        <x:v>Game Total Goals</x:v>
      </x:c>
      <x:c r="I375" t="str">
        <x:v>Over 2.5 total goals</x:v>
      </x:c>
      <x:c r="J375" t="n">
        <x:v>2.5</x:v>
      </x:c>
      <x:c r="K375" t="n">
        <x:v>-127</x:v>
      </x:c>
      <x:c r="L375" t="n">
        <x:v>0.5594713656387665</x:v>
      </x:c>
      <x:c r="M375" t="str">
        <x:v>PAPER</x:v>
      </x:c>
      <x:c r="N375" t="str">
        <x:v>N</x:v>
      </x:c>
      <x:c r="O375" t="str">
        <x:v>Pending</x:v>
      </x:c>
      <x:c r="P375"/>
      <x:c r="Q375"/>
      <x:c r="R375" t="n">
        <x:v>0</x:v>
      </x:c>
      <x:c r="S375"/>
      <x:c r="T375"/>
      <x:c r="U375" t="str">
        <x:v>Higher goal-threshold alternative to real O1.5 stabilizer.</x:v>
      </x:c>
      <x:c r="V375" t="str">
        <x:v>Current independent price -127. Source: https://www.sportsgambler.com/betting-tips/football/bournemouth-vs-everton-prediction-lineups-odds-2026-08-29/</x:v>
      </x:c>
    </x:row>
    <x:row r="376">
      <x:c r="A376" t="str">
        <x:v>2026-08-29</x:v>
      </x:c>
      <x:c r="B376" t="str">
        <x:v>A29-S02</x:v>
      </x:c>
      <x:c r="C376" t="str">
        <x:v>DISCOVERED</x:v>
      </x:c>
      <x:c r="D376" t="str">
        <x:v>Sportsgambler</x:v>
      </x:c>
      <x:c r="E376" t="str">
        <x:v>Soccer</x:v>
      </x:c>
      <x:c r="F376" t="str">
        <x:v>Bournemouth vs Everton</x:v>
      </x:c>
      <x:c r="G376" t="str">
        <x:v>Bournemouth</x:v>
      </x:c>
      <x:c r="H376" t="str">
        <x:v>Team Corners</x:v>
      </x:c>
      <x:c r="I376" t="str">
        <x:v>Over 5.5 team corners</x:v>
      </x:c>
      <x:c r="J376" t="n">
        <x:v>5.5</x:v>
      </x:c>
      <x:c r="K376" t="n">
        <x:v>-139</x:v>
      </x:c>
      <x:c r="L376" t="n">
        <x:v>0.5815899581589958</x:v>
      </x:c>
      <x:c r="M376" t="str">
        <x:v>PAPER</x:v>
      </x:c>
      <x:c r="N376" t="str">
        <x:v>N</x:v>
      </x:c>
      <x:c r="O376" t="str">
        <x:v>Pending</x:v>
      </x:c>
      <x:c r="P376"/>
      <x:c r="Q376"/>
      <x:c r="R376" t="n">
        <x:v>0</x:v>
      </x:c>
      <x:c r="S376"/>
      <x:c r="T376"/>
      <x:c r="U376" t="str">
        <x:v>Home corner-pressure alternative.</x:v>
      </x:c>
      <x:c r="V376" t="str">
        <x:v>Bournemouth home corner avg ~6.7 in cited table. Source: https://www.sportsgambler.com/betting-tips/football/bournemouth-vs-everton-prediction-lineups-odds-2026-08-29/</x:v>
      </x:c>
    </x:row>
    <x:row r="377">
      <x:c r="A377" t="str">
        <x:v>2026-08-29</x:v>
      </x:c>
      <x:c r="B377" t="str">
        <x:v>A29-S03</x:v>
      </x:c>
      <x:c r="C377" t="str">
        <x:v>DISCOVERED</x:v>
      </x:c>
      <x:c r="D377" t="str">
        <x:v>Sportsgambler</x:v>
      </x:c>
      <x:c r="E377" t="str">
        <x:v>Soccer</x:v>
      </x:c>
      <x:c r="F377" t="str">
        <x:v>Bournemouth vs Everton</x:v>
      </x:c>
      <x:c r="G377" t="str">
        <x:v>Everton</x:v>
      </x:c>
      <x:c r="H377" t="str">
        <x:v>Team Corners</x:v>
      </x:c>
      <x:c r="I377" t="str">
        <x:v>Over 4.5 team corners</x:v>
      </x:c>
      <x:c r="J377" t="n">
        <x:v>4.5</x:v>
      </x:c>
      <x:c r="K377" t="n">
        <x:v>106</x:v>
      </x:c>
      <x:c r="L377" t="n">
        <x:v>0.4854368932038835</x:v>
      </x:c>
      <x:c r="M377" t="str">
        <x:v>PAPER</x:v>
      </x:c>
      <x:c r="N377" t="str">
        <x:v>N</x:v>
      </x:c>
      <x:c r="O377" t="str">
        <x:v>Pending</x:v>
      </x:c>
      <x:c r="P377"/>
      <x:c r="Q377"/>
      <x:c r="R377" t="n">
        <x:v>0</x:v>
      </x:c>
      <x:c r="S377"/>
      <x:c r="T377"/>
      <x:c r="U377" t="str">
        <x:v>Away-corner plus-money alternative.</x:v>
      </x:c>
      <x:c r="V377" t="str">
        <x:v>Everton away corner avg ~5.9 allowed/for context; source price +106. https://www.sportsgambler.com/betting-tips/football/bournemouth-vs-everton-prediction-lineups-odds-2026-08-29/</x:v>
      </x:c>
    </x:row>
    <x:row r="378">
      <x:c r="A378" t="str">
        <x:v>2026-08-29</x:v>
      </x:c>
      <x:c r="B378" t="str">
        <x:v>A29-S04</x:v>
      </x:c>
      <x:c r="C378" t="str">
        <x:v>DISCOVERED</x:v>
      </x:c>
      <x:c r="D378" t="str">
        <x:v>Sportsgambler</x:v>
      </x:c>
      <x:c r="E378" t="str">
        <x:v>Soccer</x:v>
      </x:c>
      <x:c r="F378" t="str">
        <x:v>Bournemouth vs Everton</x:v>
      </x:c>
      <x:c r="G378" t="str">
        <x:v>Bournemouth/Everton</x:v>
      </x:c>
      <x:c r="H378" t="str">
        <x:v>Total Corners</x:v>
      </x:c>
      <x:c r="I378" t="str">
        <x:v>Over 10.5 total corners</x:v>
      </x:c>
      <x:c r="J378" t="n">
        <x:v>10.5</x:v>
      </x:c>
      <x:c r="K378" t="n">
        <x:v>-114</x:v>
      </x:c>
      <x:c r="L378" t="n">
        <x:v>0.5327102803738317</x:v>
      </x:c>
      <x:c r="M378" t="str">
        <x:v>PAPER</x:v>
      </x:c>
      <x:c r="N378" t="str">
        <x:v>N</x:v>
      </x:c>
      <x:c r="O378" t="str">
        <x:v>Pending</x:v>
      </x:c>
      <x:c r="P378"/>
      <x:c r="Q378"/>
      <x:c r="R378" t="n">
        <x:v>0</x:v>
      </x:c>
      <x:c r="S378"/>
      <x:c r="T378"/>
      <x:c r="U378" t="str">
        <x:v>Game-volume corner alternative to goal-floor stabilizer.</x:v>
      </x:c>
      <x:c r="V378" t="str">
        <x:v>Current independent price -114. https://www.sportsgambler.com/betting-tips/football/bournemouth-vs-everton-prediction-lineups-odds-2026-08-29/</x:v>
      </x:c>
    </x:row>
    <x:row r="379">
      <x:c r="A379" t="str">
        <x:v>2026-08-29</x:v>
      </x:c>
      <x:c r="B379" t="str">
        <x:v>A29-S05</x:v>
      </x:c>
      <x:c r="C379" t="str">
        <x:v>DISCOVERED</x:v>
      </x:c>
      <x:c r="D379" t="str">
        <x:v>Prior audit / Sportsgambler</x:v>
      </x:c>
      <x:c r="E379" t="str">
        <x:v>Soccer</x:v>
      </x:c>
      <x:c r="F379" t="str">
        <x:v>Tottenham vs Newcastle</x:v>
      </x:c>
      <x:c r="G379" t="str">
        <x:v>Tottenham</x:v>
      </x:c>
      <x:c r="H379" t="str">
        <x:v>Team Corners</x:v>
      </x:c>
      <x:c r="I379" t="str">
        <x:v>Over 5.5 team corners</x:v>
      </x:c>
      <x:c r="J379" t="n">
        <x:v>5.5</x:v>
      </x:c>
      <x:c r="K379"/>
      <x:c r="L379"/>
      <x:c r="M379" t="str">
        <x:v>PAPER</x:v>
      </x:c>
      <x:c r="N379" t="str">
        <x:v>N</x:v>
      </x:c>
      <x:c r="O379" t="str">
        <x:v>Pending</x:v>
      </x:c>
      <x:c r="P379"/>
      <x:c r="Q379"/>
      <x:c r="R379" t="n">
        <x:v>0</x:v>
      </x:c>
      <x:c r="S379"/>
      <x:c r="T379"/>
      <x:c r="U379" t="str">
        <x:v>Territorial-pressure alternative to real O2.5 goals leg.</x:v>
      </x:c>
      <x:c r="V379" t="str">
        <x:v>Outcome-only unless exact DK price is later recovered. Source: https://www.sportsgambler.com/betting-tips/football/tottenham-vs-newcastle-prediction-lineups-odds-2026-08-29/</x:v>
      </x:c>
    </x:row>
    <x:row r="380">
      <x:c r="A380" t="str">
        <x:v>2026-08-29</x:v>
      </x:c>
      <x:c r="B380" t="str">
        <x:v>A29-C01</x:v>
      </x:c>
      <x:c r="C380" t="str">
        <x:v>HYBRID</x:v>
      </x:c>
      <x:c r="D380" t="str">
        <x:v>Real Card / Source + Independent</x:v>
      </x:c>
      <x:c r="E380" t="str">
        <x:v>CFB</x:v>
      </x:c>
      <x:c r="F380" t="str">
        <x:v>SJSU @ USC</x:v>
      </x:c>
      <x:c r="G380" t="str">
        <x:v>King Miller</x:v>
      </x:c>
      <x:c r="H380" t="str">
        <x:v>Rushing Yards</x:v>
      </x:c>
      <x:c r="I380" t="str">
        <x:v>60+ rushing yards</x:v>
      </x:c>
      <x:c r="J380" t="n">
        <x:v>60</x:v>
      </x:c>
      <x:c r="K380"/>
      <x:c r="L380"/>
      <x:c r="M380" t="str">
        <x:v>PAPER</x:v>
      </x:c>
      <x:c r="N380" t="str">
        <x:v>N</x:v>
      </x:c>
      <x:c r="O380" t="str">
        <x:v>Pending</x:v>
      </x:c>
      <x:c r="P380"/>
      <x:c r="Q380"/>
      <x:c r="R380" t="n">
        <x:v>0</x:v>
      </x:c>
      <x:c r="S380"/>
      <x:c r="T380"/>
      <x:c r="U380" t="str">
        <x:v>Exact real threshold shadow single.</x:v>
      </x:c>
      <x:c r="V380" t="str">
        <x:v>Compare to sourced/independent O65.5. Same role thesis, lower threshold.</x:v>
      </x:c>
    </x:row>
    <x:row r="381">
      <x:c r="A381" t="str">
        <x:v>2026-08-29</x:v>
      </x:c>
      <x:c r="B381" t="str">
        <x:v>A29-C02</x:v>
      </x:c>
      <x:c r="C381" t="str">
        <x:v>HYBRID</x:v>
      </x:c>
      <x:c r="D381" t="str">
        <x:v>Real Card / Independent</x:v>
      </x:c>
      <x:c r="E381" t="str">
        <x:v>CFB</x:v>
      </x:c>
      <x:c r="F381" t="str">
        <x:v>Hawaii @ Stanford</x:v>
      </x:c>
      <x:c r="G381" t="str">
        <x:v>Hawaii</x:v>
      </x:c>
      <x:c r="H381" t="str">
        <x:v>Spread</x:v>
      </x:c>
      <x:c r="I381" t="str">
        <x:v>Hawaii +4.5</x:v>
      </x:c>
      <x:c r="J381" t="n">
        <x:v>4.5</x:v>
      </x:c>
      <x:c r="K381"/>
      <x:c r="L381"/>
      <x:c r="M381" t="str">
        <x:v>PAPER</x:v>
      </x:c>
      <x:c r="N381" t="str">
        <x:v>N</x:v>
      </x:c>
      <x:c r="O381" t="str">
        <x:v>Pending</x:v>
      </x:c>
      <x:c r="P381"/>
      <x:c r="Q381"/>
      <x:c r="R381" t="n">
        <x:v>0</x:v>
      </x:c>
      <x:c r="S381"/>
      <x:c r="T381"/>
      <x:c r="U381" t="str">
        <x:v>Exact real threshold shadow single.</x:v>
      </x:c>
      <x:c r="V381" t="str">
        <x:v>Compare directly with Hawaii +3.5 market arm and aggressive source Hawaii -6.5.</x:v>
      </x:c>
    </x:row>
    <x:row r="382">
      <x:c r="A382" t="str">
        <x:v>2026-08-29</x:v>
      </x:c>
      <x:c r="B382" t="str">
        <x:v>A29-C03</x:v>
      </x:c>
      <x:c r="C382" t="str">
        <x:v>DISCOVERED</x:v>
      </x:c>
      <x:c r="D382" t="str">
        <x:v>FOX + TSI</x:v>
      </x:c>
      <x:c r="E382" t="str">
        <x:v>CFB</x:v>
      </x:c>
      <x:c r="F382" t="str">
        <x:v>Memphis @ UNLV</x:v>
      </x:c>
      <x:c r="G382" t="str">
        <x:v>Memphis/UNLV</x:v>
      </x:c>
      <x:c r="H382" t="str">
        <x:v>Game Total</x:v>
      </x:c>
      <x:c r="I382" t="str">
        <x:v>Over 56.5 total points</x:v>
      </x:c>
      <x:c r="J382" t="n">
        <x:v>56.5</x:v>
      </x:c>
      <x:c r="K382" t="n">
        <x:v>-108</x:v>
      </x:c>
      <x:c r="L382" t="n">
        <x:v>0.5192307692307693</x:v>
      </x:c>
      <x:c r="M382" t="str">
        <x:v>PAPER</x:v>
      </x:c>
      <x:c r="N382" t="str">
        <x:v>N</x:v>
      </x:c>
      <x:c r="O382" t="str">
        <x:v>Pending</x:v>
      </x:c>
      <x:c r="P382"/>
      <x:c r="Q382"/>
      <x:c r="R382" t="n">
        <x:v>0</x:v>
      </x:c>
      <x:c r="S382"/>
      <x:c r="T382"/>
      <x:c r="U382" t="str">
        <x:v>Exact real total shadow single.</x:v>
      </x:c>
      <x:c r="V382" t="str">
        <x:v>FOX official Over 56.5; TSI projects 59.0. https://www.foxsports.com/stories/college-football/memphis-vs-unlv-prediction-odds-picks-college-football-week-0</x:v>
      </x:c>
    </x:row>
    <x:row r="383">
      <x:c r="A383" t="str">
        <x:v>2026-08-29</x:v>
      </x:c>
      <x:c r="B383" t="str">
        <x:v>A29-C04</x:v>
      </x:c>
      <x:c r="C383" t="str">
        <x:v>DISCOVERED</x:v>
      </x:c>
      <x:c r="D383" t="str">
        <x:v>VSiN TSI</x:v>
      </x:c>
      <x:c r="E383" t="str">
        <x:v>CFB</x:v>
      </x:c>
      <x:c r="F383" t="str">
        <x:v>SJSU @ USC</x:v>
      </x:c>
      <x:c r="G383" t="str">
        <x:v>SJSU/USC</x:v>
      </x:c>
      <x:c r="H383" t="str">
        <x:v>Game Total</x:v>
      </x:c>
      <x:c r="I383" t="str">
        <x:v>Under 60.5 total points</x:v>
      </x:c>
      <x:c r="J383" t="n">
        <x:v>60.5</x:v>
      </x:c>
      <x:c r="K383" t="n">
        <x:v>-110</x:v>
      </x:c>
      <x:c r="L383" t="n">
        <x:v>0.5238095238095238</x:v>
      </x:c>
      <x:c r="M383" t="str">
        <x:v>PAPER</x:v>
      </x:c>
      <x:c r="N383" t="str">
        <x:v>N</x:v>
      </x:c>
      <x:c r="O383" t="str">
        <x:v>Pending</x:v>
      </x:c>
      <x:c r="P383"/>
      <x:c r="Q383"/>
      <x:c r="R383" t="n">
        <x:v>0</x:v>
      </x:c>
      <x:c r="S383"/>
      <x:c r="T383"/>
      <x:c r="U383" t="str">
        <x:v>TSI Week 0 best bet; projection 55.</x:v>
      </x:c>
      <x:c r="V383" t="str">
        <x:v>Primary game-total model test. https://vsin.com/college-football/week-0-college-football-predictions-from-t-shoe-index/</x:v>
      </x:c>
    </x:row>
    <x:row r="384">
      <x:c r="A384" t="str">
        <x:v>2026-08-29</x:v>
      </x:c>
      <x:c r="B384" t="str">
        <x:v>A29-C05</x:v>
      </x:c>
      <x:c r="C384" t="str">
        <x:v>SOURCED</x:v>
      </x:c>
      <x:c r="D384" t="str">
        <x:v>Covers</x:v>
      </x:c>
      <x:c r="E384" t="str">
        <x:v>CFB</x:v>
      </x:c>
      <x:c r="F384" t="str">
        <x:v>SJSU @ USC</x:v>
      </x:c>
      <x:c r="G384" t="str">
        <x:v>USC</x:v>
      </x:c>
      <x:c r="H384" t="str">
        <x:v>Spread</x:v>
      </x:c>
      <x:c r="I384" t="str">
        <x:v>USC -38.5</x:v>
      </x:c>
      <x:c r="J384" t="n">
        <x:v>-38.5</x:v>
      </x:c>
      <x:c r="K384" t="n">
        <x:v>-110</x:v>
      </x:c>
      <x:c r="L384" t="n">
        <x:v>0.5238095238095238</x:v>
      </x:c>
      <x:c r="M384" t="str">
        <x:v>PAPER</x:v>
      </x:c>
      <x:c r="N384" t="str">
        <x:v>N</x:v>
      </x:c>
      <x:c r="O384" t="str">
        <x:v>Pending</x:v>
      </x:c>
      <x:c r="P384"/>
      <x:c r="Q384"/>
      <x:c r="R384" t="n">
        <x:v>0</x:v>
      </x:c>
      <x:c r="S384"/>
      <x:c r="T384"/>
      <x:c r="U384" t="str">
        <x:v>Favorite-spread opposing game-script arm.</x:v>
      </x:c>
      <x:c r="V384" t="str">
        <x:v>Covers supports huge favorite despite TSI making USC -34.5. https://www.covers.com/ncaaf/san-jose-state-vs-usc-prediction-picks-odds-august-29-2026</x:v>
      </x:c>
    </x:row>
    <x:row r="385">
      <x:c r="A385" t="str">
        <x:v>2026-08-29</x:v>
      </x:c>
      <x:c r="B385" t="str">
        <x:v>A29-C06</x:v>
      </x:c>
      <x:c r="C385" t="str">
        <x:v>DISCOVERED</x:v>
      </x:c>
      <x:c r="D385" t="str">
        <x:v>Covers / Yahoo</x:v>
      </x:c>
      <x:c r="E385" t="str">
        <x:v>CFB</x:v>
      </x:c>
      <x:c r="F385" t="str">
        <x:v>NC State @ Virginia</x:v>
      </x:c>
      <x:c r="G385" t="str">
        <x:v>NC State</x:v>
      </x:c>
      <x:c r="H385" t="str">
        <x:v>Spread</x:v>
      </x:c>
      <x:c r="I385" t="str">
        <x:v>NC State +3.5</x:v>
      </x:c>
      <x:c r="J385" t="n">
        <x:v>3.5</x:v>
      </x:c>
      <x:c r="K385" t="n">
        <x:v>-110</x:v>
      </x:c>
      <x:c r="L385" t="n">
        <x:v>0.5238095238095238</x:v>
      </x:c>
      <x:c r="M385" t="str">
        <x:v>PAPER</x:v>
      </x:c>
      <x:c r="N385" t="str">
        <x:v>N</x:v>
      </x:c>
      <x:c r="O385" t="str">
        <x:v>Pending</x:v>
      </x:c>
      <x:c r="P385"/>
      <x:c r="Q385"/>
      <x:c r="R385" t="n">
        <x:v>0</x:v>
      </x:c>
      <x:c r="S385"/>
      <x:c r="T385"/>
      <x:c r="U385" t="str">
        <x:v>Current independent underdog cover thesis.</x:v>
      </x:c>
      <x:c r="V385" t="str">
        <x:v>Covers/Yahoo top pick NC State +3.5. https://sports.yahoo.com/articles/nc-state-vs-virginia-prediction-161300154.html</x:v>
      </x:c>
    </x:row>
    <x:row r="386">
      <x:c r="A386" t="str">
        <x:v>2026-08-29</x:v>
      </x:c>
      <x:c r="B386" t="str">
        <x:v>A29-C07</x:v>
      </x:c>
      <x:c r="C386" t="str">
        <x:v>DISCOVERED</x:v>
      </x:c>
      <x:c r="D386" t="str">
        <x:v>TSI</x:v>
      </x:c>
      <x:c r="E386" t="str">
        <x:v>CFB</x:v>
      </x:c>
      <x:c r="F386" t="str">
        <x:v>NC State @ Virginia</x:v>
      </x:c>
      <x:c r="G386" t="str">
        <x:v>Virginia</x:v>
      </x:c>
      <x:c r="H386" t="str">
        <x:v>Spread</x:v>
      </x:c>
      <x:c r="I386" t="str">
        <x:v>Virginia -4.0</x:v>
      </x:c>
      <x:c r="J386" t="n">
        <x:v>-4</x:v>
      </x:c>
      <x:c r="K386"/>
      <x:c r="L386"/>
      <x:c r="M386" t="str">
        <x:v>PAPER</x:v>
      </x:c>
      <x:c r="N386" t="str">
        <x:v>N</x:v>
      </x:c>
      <x:c r="O386" t="str">
        <x:v>Pending</x:v>
      </x:c>
      <x:c r="P386"/>
      <x:c r="Q386"/>
      <x:c r="R386" t="n">
        <x:v>0</x:v>
      </x:c>
      <x:c r="S386"/>
      <x:c r="T386"/>
      <x:c r="U386" t="str">
        <x:v>TSI model-aligned favorite control.</x:v>
      </x:c>
      <x:c r="V386" t="str">
        <x:v>TSI projects Virginia -4 and total 51. https://vsin.com/college-football/week-0-college-football-predictions-from-t-shoe-index/</x:v>
      </x:c>
    </x:row>
    <x:row r="387">
      <x:c r="A387" t="str">
        <x:v>2026-08-29</x:v>
      </x:c>
      <x:c r="B387" t="str">
        <x:v>A29-C08</x:v>
      </x:c>
      <x:c r="C387" t="str">
        <x:v>DISCOVERED</x:v>
      </x:c>
      <x:c r="D387" t="str">
        <x:v>CBS model / TSI</x:v>
      </x:c>
      <x:c r="E387" t="str">
        <x:v>CFB</x:v>
      </x:c>
      <x:c r="F387" t="str">
        <x:v>New Mexico State @ Florida State</x:v>
      </x:c>
      <x:c r="G387" t="str">
        <x:v>New Mexico State</x:v>
      </x:c>
      <x:c r="H387" t="str">
        <x:v>Spread</x:v>
      </x:c>
      <x:c r="I387" t="str">
        <x:v>New Mexico State +32.5</x:v>
      </x:c>
      <x:c r="J387" t="n">
        <x:v>32.5</x:v>
      </x:c>
      <x:c r="K387"/>
      <x:c r="L387"/>
      <x:c r="M387" t="str">
        <x:v>PAPER</x:v>
      </x:c>
      <x:c r="N387" t="str">
        <x:v>N</x:v>
      </x:c>
      <x:c r="O387" t="str">
        <x:v>Pending</x:v>
      </x:c>
      <x:c r="P387"/>
      <x:c r="Q387"/>
      <x:c r="R387" t="n">
        <x:v>0</x:v>
      </x:c>
      <x:c r="S387"/>
      <x:c r="T387"/>
      <x:c r="U387" t="str">
        <x:v>Huge-spread dog / model-gap arm.</x:v>
      </x:c>
      <x:c r="V387" t="str">
        <x:v>TSI makes FSU -23 versus market around -32.5; CBS computer also backs NMSU against spread. https://www.cbssports.com/betting/news/college-football-odds-lines-spreads-picks-best-bets-predictions-week-0-schedule-2026/</x:v>
      </x:c>
    </x:row>
    <x:row r="388">
      <x:c r="A388" t="str">
        <x:v>2026-08-29</x:v>
      </x:c>
      <x:c r="B388" t="str">
        <x:v>A29-C09</x:v>
      </x:c>
      <x:c r="C388" t="str">
        <x:v>DISCOVERED</x:v>
      </x:c>
      <x:c r="D388" t="str">
        <x:v>Action Network</x:v>
      </x:c>
      <x:c r="E388" t="str">
        <x:v>CFB</x:v>
      </x:c>
      <x:c r="F388" t="str">
        <x:v>New Mexico State @ Florida State</x:v>
      </x:c>
      <x:c r="G388" t="str">
        <x:v>Florida State</x:v>
      </x:c>
      <x:c r="H388" t="str">
        <x:v>First Half Spread</x:v>
      </x:c>
      <x:c r="I388" t="str">
        <x:v>Florida State 1H -17.5</x:v>
      </x:c>
      <x:c r="J388" t="n">
        <x:v>-17.5</x:v>
      </x:c>
      <x:c r="K388"/>
      <x:c r="L388"/>
      <x:c r="M388" t="str">
        <x:v>PAPER</x:v>
      </x:c>
      <x:c r="N388" t="str">
        <x:v>N</x:v>
      </x:c>
      <x:c r="O388" t="str">
        <x:v>Pending</x:v>
      </x:c>
      <x:c r="P388"/>
      <x:c r="Q388"/>
      <x:c r="R388" t="n">
        <x:v>0</x:v>
      </x:c>
      <x:c r="S388"/>
      <x:c r="T388"/>
      <x:c r="U388" t="str">
        <x:v>Dominant-favorite early-script alternative to laying full-game -32.5.</x:v>
      </x:c>
      <x:c r="V388" t="str">
        <x:v>Action official pick. https://www.actionnetwork.com/ncaaf/new-mexico-state-aggies-vs-florida-state-seminoles-prediction-pick-odds-college-football-saturday-august-29</x:v>
      </x:c>
    </x:row>
    <x:row r="389">
      <x:c r="A389" t="str">
        <x:v>2026-08-29</x:v>
      </x:c>
      <x:c r="B389" t="str">
        <x:v>A29-C10</x:v>
      </x:c>
      <x:c r="C389" t="str">
        <x:v>DISCOVERED</x:v>
      </x:c>
      <x:c r="D389" t="str">
        <x:v>Action Network</x:v>
      </x:c>
      <x:c r="E389" t="str">
        <x:v>CFB</x:v>
      </x:c>
      <x:c r="F389" t="str">
        <x:v>New Mexico State @ Florida State</x:v>
      </x:c>
      <x:c r="G389" t="str">
        <x:v>Ousmane Kromah</x:v>
      </x:c>
      <x:c r="H389" t="str">
        <x:v>Rushing Yards</x:v>
      </x:c>
      <x:c r="I389" t="str">
        <x:v>100+ rushing yards</x:v>
      </x:c>
      <x:c r="J389" t="n">
        <x:v>100</x:v>
      </x:c>
      <x:c r="K389" t="n">
        <x:v>230</x:v>
      </x:c>
      <x:c r="L389" t="n">
        <x:v>0.30303030303030304</x:v>
      </x:c>
      <x:c r="M389" t="str">
        <x:v>PAPER</x:v>
      </x:c>
      <x:c r="N389" t="str">
        <x:v>N</x:v>
      </x:c>
      <x:c r="O389" t="str">
        <x:v>Pending</x:v>
      </x:c>
      <x:c r="P389"/>
      <x:c r="Q389"/>
      <x:c r="R389" t="n">
        <x:v>0</x:v>
      </x:c>
      <x:c r="S389"/>
      <x:c r="T389"/>
      <x:c r="U389" t="str">
        <x:v>Player-prop blowout/run-script experiment.</x:v>
      </x:c>
      <x:c r="V389" t="str">
        <x:v>Action lists 100+ rushing at +230. https://www.actionnetwork.com/ncaaf/new-mexico-state-aggies-vs-florida-state-seminoles-prediction-pick-odds-college-football-saturday-august-29</x:v>
      </x:c>
    </x:row>
    <x:row r="391">
      <x:c r="A391" t="str">
        <x:v>2026-08-29</x:v>
      </x:c>
      <x:c r="B391" t="str">
        <x:v>A29-R25</x:v>
      </x:c>
      <x:c r="C391" t="str">
        <x:v>SOURCED</x:v>
      </x:c>
      <x:c r="D391" t="str">
        <x:v>Total Base POD graphic</x:v>
      </x:c>
      <x:c r="E391" t="str">
        <x:v>MLB</x:v>
      </x:c>
      <x:c r="F391" t="str">
        <x:v>PHI @ LAA</x:v>
      </x:c>
      <x:c r="G391" t="str">
        <x:v>Bryce Harper</x:v>
      </x:c>
      <x:c r="H391" t="str">
        <x:v>Total Bases</x:v>
      </x:c>
      <x:c r="I391" t="str">
        <x:v>2+ total bases</x:v>
      </x:c>
      <x:c r="J391" t="n">
        <x:v>2</x:v>
      </x:c>
      <x:c r="K391" t="n">
        <x:v>119</x:v>
      </x:c>
      <x:c r="L391" t="n">
        <x:v>0.45662100456621</x:v>
      </x:c>
      <x:c r="M391" t="str">
        <x:v>PAPER</x:v>
      </x:c>
      <x:c r="N391" t="str">
        <x:v>N</x:v>
      </x:c>
      <x:c r="O391" t="str">
        <x:v>Pending</x:v>
      </x:c>
      <x:c r="P391"/>
      <x:c r="Q391"/>
      <x:c r="R391" t="n">
        <x:v>0</x:v>
      </x:c>
      <x:c r="S391"/>
      <x:c r="T391"/>
      <x:c r="U391" t="str">
        <x:v>Source graphic: hit the total-bases line in 5 of last 6; last 6 = .435 AVG, 10 H, 2 HR, 5 XBH, 19 TB.</x:v>
      </x:c>
      <x:c r="V391" t="str">
        <x:v>Current DK 2+ TB price +119. Angels probable starter Ryan Johnson: 3-7, 5.75 ERA. Independent THE BAT X note flags park/opposite-field geometry as a mild negative.</x:v>
      </x:c>
    </x:row>
    <x:row r="392">
      <x:c r="A392" t="str">
        <x:v>2026-08-29</x:v>
      </x:c>
      <x:c r="B392" t="str">
        <x:v>A29-R26</x:v>
      </x:c>
      <x:c r="C392" t="str">
        <x:v>SOURCED</x:v>
      </x:c>
      <x:c r="D392" t="str">
        <x:v>Hitter Spotlight graphic</x:v>
      </x:c>
      <x:c r="E392" t="str">
        <x:v>MLB</x:v>
      </x:c>
      <x:c r="F392" t="str">
        <x:v>SEA @ TOR</x:v>
      </x:c>
      <x:c r="G392" t="str">
        <x:v>Julio Rodríguez</x:v>
      </x:c>
      <x:c r="H392" t="str">
        <x:v>BvP / Hitter Market Scan</x:v>
      </x:c>
      <x:c r="I392" t="str">
        <x:v>vs José Soriano: 10-for-18, 3 XBH, 2 HR</x:v>
      </x:c>
      <x:c r="J392"/>
      <x:c r="K392"/>
      <x:c r="L392"/>
      <x:c r="M392" t="str">
        <x:v>PAPER</x:v>
      </x:c>
      <x:c r="N392" t="str">
        <x:v>N</x:v>
      </x:c>
      <x:c r="O392" t="str">
        <x:v>Pending</x:v>
      </x:c>
      <x:c r="P392"/>
      <x:c r="Q392"/>
      <x:c r="R392" t="n">
        <x:v>0</x:v>
      </x:c>
      <x:c r="S392"/>
      <x:c r="T392"/>
      <x:c r="U392" t="str">
        <x:v>Source BvP graphic: .556 AVG, .600 OBP, 1.544 OPS in 18 AB, 10 H, 3 XBH, 2 HR, 5 RBI.</x:v>
      </x:c>
      <x:c r="V392" t="str">
        <x:v>José Soriano is today's Toronto starter. BvP is moderate sample, directional not decisive; compare hit/TB/HRR before betting.</x:v>
      </x:c>
    </x:row>
    <x:row r="393">
      <x:c r="A393" t="str">
        <x:v>2026-08-29</x:v>
      </x:c>
      <x:c r="B393" t="str">
        <x:v>A29-D11</x:v>
      </x:c>
      <x:c r="C393" t="str">
        <x:v>HYBRID</x:v>
      </x:c>
      <x:c r="D393" t="str">
        <x:v>Source BvP + current market audit</x:v>
      </x:c>
      <x:c r="E393" t="str">
        <x:v>MLB</x:v>
      </x:c>
      <x:c r="F393" t="str">
        <x:v>SEA @ TOR</x:v>
      </x:c>
      <x:c r="G393" t="str">
        <x:v>Julio Rodríguez</x:v>
      </x:c>
      <x:c r="H393" t="str">
        <x:v>1+ Hit</x:v>
      </x:c>
      <x:c r="I393" t="str">
        <x:v>1+ hit</x:v>
      </x:c>
      <x:c r="J393" t="n">
        <x:v>1</x:v>
      </x:c>
      <x:c r="K393" t="n">
        <x:v>-170</x:v>
      </x:c>
      <x:c r="L393" t="n">
        <x:v>0.6296296296296297</x:v>
      </x:c>
      <x:c r="M393" t="str">
        <x:v>PAPER</x:v>
      </x:c>
      <x:c r="N393" t="str">
        <x:v>N</x:v>
      </x:c>
      <x:c r="O393" t="str">
        <x:v>Pending</x:v>
      </x:c>
      <x:c r="P393"/>
      <x:c r="Q393"/>
      <x:c r="R393" t="n">
        <x:v>0</x:v>
      </x:c>
      <x:c r="S393"/>
      <x:c r="T393"/>
      <x:c r="U393" t="str">
        <x:v>Current BvP-support market expression.</x:v>
      </x:c>
      <x:c r="V393" t="str">
        <x:v>HeatCheck lists Julio 1+ hit around -170. This is very juiced; useful source-validation control, not automatic real-money glue.</x:v>
      </x:c>
    </x:row>
    <x:row r="394">
      <x:c r="A394" t="str">
        <x:v>2026-08-29</x:v>
      </x:c>
      <x:c r="B394" t="str">
        <x:v>A29-D12</x:v>
      </x:c>
      <x:c r="C394" t="str">
        <x:v>DISCOVERED</x:v>
      </x:c>
      <x:c r="D394" t="str">
        <x:v>Market-expression audit</x:v>
      </x:c>
      <x:c r="E394" t="str">
        <x:v>MLB</x:v>
      </x:c>
      <x:c r="F394" t="str">
        <x:v>SEA @ TOR</x:v>
      </x:c>
      <x:c r="G394" t="str">
        <x:v>Julio Rodríguez</x:v>
      </x:c>
      <x:c r="H394" t="str">
        <x:v>Total Bases</x:v>
      </x:c>
      <x:c r="I394" t="str">
        <x:v>2+ total bases</x:v>
      </x:c>
      <x:c r="J394" t="n">
        <x:v>2</x:v>
      </x:c>
      <x:c r="K394"/>
      <x:c r="L394"/>
      <x:c r="M394" t="str">
        <x:v>PAPER</x:v>
      </x:c>
      <x:c r="N394" t="str">
        <x:v>N</x:v>
      </x:c>
      <x:c r="O394" t="str">
        <x:v>Pending</x:v>
      </x:c>
      <x:c r="P394"/>
      <x:c r="Q394"/>
      <x:c r="R394" t="n">
        <x:v>0</x:v>
      </x:c>
      <x:c r="S394"/>
      <x:c r="T394"/>
      <x:c r="U394" t="str">
        <x:v>Higher-upside expression of the same Soriano matchup.</x:v>
      </x:c>
      <x:c r="V394" t="str">
        <x:v>No exact current DK price captured yet. Recent 2+ TB results have been inconsistent, so BvP alone is insufficient to promote this.</x:v>
      </x:c>
    </x:row>
    <x:row r="395">
      <x:c r="A395" t="str">
        <x:v>2026-08-29</x:v>
      </x:c>
      <x:c r="B395" t="str">
        <x:v>A29-D13</x:v>
      </x:c>
      <x:c r="C395" t="str">
        <x:v>DISCOVERED</x:v>
      </x:c>
      <x:c r="D395" t="str">
        <x:v>Market-expression audit</x:v>
      </x:c>
      <x:c r="E395" t="str">
        <x:v>MLB</x:v>
      </x:c>
      <x:c r="F395" t="str">
        <x:v>SEA @ TOR</x:v>
      </x:c>
      <x:c r="G395" t="str">
        <x:v>Julio Rodríguez</x:v>
      </x:c>
      <x:c r="H395" t="str">
        <x:v>H+R+RBI</x:v>
      </x:c>
      <x:c r="I395" t="str">
        <x:v>2+ H+R+RBI</x:v>
      </x:c>
      <x:c r="J395" t="n">
        <x:v>2</x:v>
      </x:c>
      <x:c r="K395"/>
      <x:c r="L395"/>
      <x:c r="M395" t="str">
        <x:v>PAPER</x:v>
      </x:c>
      <x:c r="N395" t="str">
        <x:v>N</x:v>
      </x:c>
      <x:c r="O395" t="str">
        <x:v>Pending</x:v>
      </x:c>
      <x:c r="P395"/>
      <x:c r="Q395"/>
      <x:c r="R395" t="n">
        <x:v>0</x:v>
      </x:c>
      <x:c r="S395"/>
      <x:c r="T395"/>
      <x:c r="U395" t="str">
        <x:v>Broad-production alternative to 1+ hit / 2+ TB.</x:v>
      </x:c>
      <x:c r="V395" t="str">
        <x:v>Prospective market-conversion control; exact price pending.</x:v>
      </x:c>
    </x:row>
    <x:row r="396">
      <x:c r="A396" t="str">
        <x:v>2026-08-29</x:v>
      </x:c>
      <x:c r="B396" t="str">
        <x:v>A29-R27</x:v>
      </x:c>
      <x:c r="C396" t="str">
        <x:v>SOURCED</x:v>
      </x:c>
      <x:c r="D396" t="str">
        <x:v>MJC Top 5 Teams to Target</x:v>
      </x:c>
      <x:c r="E396" t="str">
        <x:v>MLB</x:v>
      </x:c>
      <x:c r="F396" t="str">
        <x:v>CIN @ CHC</x:v>
      </x:c>
      <x:c r="G396" t="str">
        <x:v>Chicago Cubs</x:v>
      </x:c>
      <x:c r="H396" t="str">
        <x:v>Team Hitter Target</x:v>
      </x:c>
      <x:c r="I396" t="str">
        <x:v>Full hitter-prop scan vs Andrew Abbott</x:v>
      </x:c>
      <x:c r="J396"/>
      <x:c r="K396"/>
      <x:c r="L396"/>
      <x:c r="M396" t="str">
        <x:v>PAPER</x:v>
      </x:c>
      <x:c r="N396" t="str">
        <x:v>N</x:v>
      </x:c>
      <x:c r="O396" t="str">
        <x:v>Pending</x:v>
      </x:c>
      <x:c r="P396"/>
      <x:c r="Q396"/>
      <x:c r="R396" t="n">
        <x:v>0</x:v>
      </x:c>
      <x:c r="S396"/>
      <x:c r="T396"/>
      <x:c r="U396" t="str">
        <x:v>Source ranks Cubs #1 hitter-prop target vs Andrew Abbott.</x:v>
      </x:c>
      <x:c r="V396" t="str">
        <x:v>Independent Savant conflict: current Cubs roster vs Abbott has .182 AVG/.247 wOBA in 139 PA, though .326 xwOBA; K% only 16.5%. Mixed signal.</x:v>
      </x:c>
    </x:row>
    <x:row r="397">
      <x:c r="A397" t="str">
        <x:v>2026-08-29</x:v>
      </x:c>
      <x:c r="B397" t="str">
        <x:v>A29-R28</x:v>
      </x:c>
      <x:c r="C397" t="str">
        <x:v>HYBRID</x:v>
      </x:c>
      <x:c r="D397" t="str">
        <x:v>MJC Top 5 + independent audit</x:v>
      </x:c>
      <x:c r="E397" t="str">
        <x:v>MLB</x:v>
      </x:c>
      <x:c r="F397" t="str">
        <x:v>COL @ ATL</x:v>
      </x:c>
      <x:c r="G397" t="str">
        <x:v>Atlanta Braves</x:v>
      </x:c>
      <x:c r="H397" t="str">
        <x:v>Team Hitter Target</x:v>
      </x:c>
      <x:c r="I397" t="str">
        <x:v>Full hitter-prop scan vs Ryan Feltner</x:v>
      </x:c>
      <x:c r="J397"/>
      <x:c r="K397"/>
      <x:c r="L397"/>
      <x:c r="M397" t="str">
        <x:v>PAPER</x:v>
      </x:c>
      <x:c r="N397" t="str">
        <x:v>N</x:v>
      </x:c>
      <x:c r="O397" t="str">
        <x:v>Pending</x:v>
      </x:c>
      <x:c r="P397"/>
      <x:c r="Q397"/>
      <x:c r="R397" t="n">
        <x:v>0</x:v>
      </x:c>
      <x:c r="S397"/>
      <x:c r="T397"/>
      <x:c r="U397" t="str">
        <x:v>Source ranks Braves #2 hitter-prop target.</x:v>
      </x:c>
      <x:c r="V397" t="str">
        <x:v>Strong independent support: ATL current roster vs Feltner .379 AVG/.440 wOBA in 69 PA, .523 xSLG; Feltner 6.08 ERA today.</x:v>
      </x:c>
    </x:row>
    <x:row r="398">
      <x:c r="A398" t="str">
        <x:v>2026-08-29</x:v>
      </x:c>
      <x:c r="B398" t="str">
        <x:v>A29-R29</x:v>
      </x:c>
      <x:c r="C398" t="str">
        <x:v>HYBRID</x:v>
      </x:c>
      <x:c r="D398" t="str">
        <x:v>MJC Top 5 + Harper source</x:v>
      </x:c>
      <x:c r="E398" t="str">
        <x:v>MLB</x:v>
      </x:c>
      <x:c r="F398" t="str">
        <x:v>PHI @ LAA</x:v>
      </x:c>
      <x:c r="G398" t="str">
        <x:v>Philadelphia Phillies</x:v>
      </x:c>
      <x:c r="H398" t="str">
        <x:v>Team Hitter Target</x:v>
      </x:c>
      <x:c r="I398" t="str">
        <x:v>Full hitter-prop scan vs Ryan Johnson</x:v>
      </x:c>
      <x:c r="J398"/>
      <x:c r="K398"/>
      <x:c r="L398"/>
      <x:c r="M398" t="str">
        <x:v>PAPER</x:v>
      </x:c>
      <x:c r="N398" t="str">
        <x:v>N</x:v>
      </x:c>
      <x:c r="O398" t="str">
        <x:v>Pending</x:v>
      </x:c>
      <x:c r="P398"/>
      <x:c r="Q398"/>
      <x:c r="R398" t="n">
        <x:v>0</x:v>
      </x:c>
      <x:c r="S398"/>
      <x:c r="T398"/>
      <x:c r="U398" t="str">
        <x:v>Source ranks Phillies #3 hitter-prop target.</x:v>
      </x:c>
      <x:c r="V398" t="str">
        <x:v>Converges with Harper 2+ TB research; Ryan Johnson 3-7, 5.75 ERA.</x:v>
      </x:c>
    </x:row>
    <x:row r="399">
      <x:c r="A399" t="str">
        <x:v>2026-08-29</x:v>
      </x:c>
      <x:c r="B399" t="str">
        <x:v>A29-R30</x:v>
      </x:c>
      <x:c r="C399" t="str">
        <x:v>SOURCED</x:v>
      </x:c>
      <x:c r="D399" t="str">
        <x:v>MJC Top 5 Teams to Target</x:v>
      </x:c>
      <x:c r="E399" t="str">
        <x:v>MLB</x:v>
      </x:c>
      <x:c r="F399" t="str">
        <x:v>BAL @ ATH</x:v>
      </x:c>
      <x:c r="G399" t="str">
        <x:v>Baltimore Orioles</x:v>
      </x:c>
      <x:c r="H399" t="str">
        <x:v>Team Hitter Target</x:v>
      </x:c>
      <x:c r="I399" t="str">
        <x:v>Full hitter-prop scan vs Jack Perkins</x:v>
      </x:c>
      <x:c r="J399"/>
      <x:c r="K399"/>
      <x:c r="L399"/>
      <x:c r="M399" t="str">
        <x:v>PAPER</x:v>
      </x:c>
      <x:c r="N399" t="str">
        <x:v>N</x:v>
      </x:c>
      <x:c r="O399" t="str">
        <x:v>Pending</x:v>
      </x:c>
      <x:c r="P399"/>
      <x:c r="Q399"/>
      <x:c r="R399" t="n">
        <x:v>0</x:v>
      </x:c>
      <x:c r="S399"/>
      <x:c r="T399"/>
      <x:c r="U399" t="str">
        <x:v>Source ranks Orioles #4 hitter-prop target.</x:v>
      </x:c>
      <x:c r="V399" t="str">
        <x:v>Independent Savant mixed: .308 AVG in only 14 PA, but .268 xwOBA and 35.7% K. Tiny sample.</x:v>
      </x:c>
    </x:row>
    <x:row r="400">
      <x:c r="A400" t="str">
        <x:v>2026-08-29</x:v>
      </x:c>
      <x:c r="B400" t="str">
        <x:v>A29-R31</x:v>
      </x:c>
      <x:c r="C400" t="str">
        <x:v>SOURCED</x:v>
      </x:c>
      <x:c r="D400" t="str">
        <x:v>MJC Top 5 Teams to Target</x:v>
      </x:c>
      <x:c r="E400" t="str">
        <x:v>MLB</x:v>
      </x:c>
      <x:c r="F400" t="str">
        <x:v>CWS @ MIN</x:v>
      </x:c>
      <x:c r="G400" t="str">
        <x:v>Minnesota Twins</x:v>
      </x:c>
      <x:c r="H400" t="str">
        <x:v>Team Hitter Target</x:v>
      </x:c>
      <x:c r="I400" t="str">
        <x:v>Full hitter-prop scan vs Erick Fedde</x:v>
      </x:c>
      <x:c r="J400"/>
      <x:c r="K400"/>
      <x:c r="L400"/>
      <x:c r="M400" t="str">
        <x:v>PAPER</x:v>
      </x:c>
      <x:c r="N400" t="str">
        <x:v>N</x:v>
      </x:c>
      <x:c r="O400" t="str">
        <x:v>Pending</x:v>
      </x:c>
      <x:c r="P400"/>
      <x:c r="Q400"/>
      <x:c r="R400" t="n">
        <x:v>0</x:v>
      </x:c>
      <x:c r="S400"/>
      <x:c r="T400"/>
      <x:c r="U400" t="str">
        <x:v>Source ranks Twins #5 hitter-prop target.</x:v>
      </x:c>
      <x:c r="V400" t="str">
        <x:v>Independent Savant conflicts: current Twins roster vs Fedde .143 AVG/.192 wOBA in 46 PA, .252 xwOBA.</x:v>
      </x:c>
    </x:row>
    <x:row r="401">
      <x:c r="A401" t="str">
        <x:v>2026-08-29</x:v>
      </x:c>
      <x:c r="B401" t="str">
        <x:v>A29-R32</x:v>
      </x:c>
      <x:c r="C401" t="str">
        <x:v>SOURCED</x:v>
      </x:c>
      <x:c r="D401" t="str">
        <x:v>UDLR MLB 3-Pack</x:v>
      </x:c>
      <x:c r="E401" t="str">
        <x:v>MLB</x:v>
      </x:c>
      <x:c r="F401" t="str">
        <x:v>COL @ ATL</x:v>
      </x:c>
      <x:c r="G401" t="str">
        <x:v>Drake Baldwin</x:v>
      </x:c>
      <x:c r="H401" t="str">
        <x:v>Total Bases</x:v>
      </x:c>
      <x:c r="I401" t="str">
        <x:v>Over 1.5 total bases</x:v>
      </x:c>
      <x:c r="J401" t="n">
        <x:v>1.5</x:v>
      </x:c>
      <x:c r="K401" t="n">
        <x:v>-105</x:v>
      </x:c>
      <x:c r="L401" t="n">
        <x:v>0.5121951219512195</x:v>
      </x:c>
      <x:c r="M401" t="str">
        <x:v>PAPER</x:v>
      </x:c>
      <x:c r="N401" t="str">
        <x:v>N</x:v>
      </x:c>
      <x:c r="O401" t="str">
        <x:v>Pending</x:v>
      </x:c>
      <x:c r="P401"/>
      <x:c r="Q401"/>
      <x:c r="R401" t="n">
        <x:v>0</x:v>
      </x:c>
      <x:c r="S401"/>
      <x:c r="T401"/>
      <x:c r="U401" t="str">
        <x:v>UDLR source leg at -105.</x:v>
      </x:c>
      <x:c r="V401" t="str">
        <x:v>Strong independent convergence: Feltner poor vs ATL/lefties; RotoBaller says Baldwin/Michael Harris better TB/2-hit targets than HR. Lineup TBD.</x:v>
      </x:c>
    </x:row>
    <x:row r="402">
      <x:c r="A402" t="str">
        <x:v>2026-08-29</x:v>
      </x:c>
      <x:c r="B402" t="str">
        <x:v>A29-R33</x:v>
      </x:c>
      <x:c r="C402" t="str">
        <x:v>SOURCED</x:v>
      </x:c>
      <x:c r="D402" t="str">
        <x:v>UDLR MLB 3-Pack</x:v>
      </x:c>
      <x:c r="E402" t="str">
        <x:v>MLB</x:v>
      </x:c>
      <x:c r="F402" t="str">
        <x:v>CWS @ MIN</x:v>
      </x:c>
      <x:c r="G402" t="str">
        <x:v>Miguel Vargas</x:v>
      </x:c>
      <x:c r="H402" t="str">
        <x:v>H+R+RBI</x:v>
      </x:c>
      <x:c r="I402" t="str">
        <x:v>Over 1.5 H+R+RBI</x:v>
      </x:c>
      <x:c r="J402" t="n">
        <x:v>1.5</x:v>
      </x:c>
      <x:c r="K402" t="n">
        <x:v>-120</x:v>
      </x:c>
      <x:c r="L402" t="n">
        <x:v>0.5454545454545454</x:v>
      </x:c>
      <x:c r="M402" t="str">
        <x:v>PAPER</x:v>
      </x:c>
      <x:c r="N402" t="str">
        <x:v>N</x:v>
      </x:c>
      <x:c r="O402" t="str">
        <x:v>Pending</x:v>
      </x:c>
      <x:c r="P402"/>
      <x:c r="Q402"/>
      <x:c r="R402" t="n">
        <x:v>0</x:v>
      </x:c>
      <x:c r="S402"/>
      <x:c r="T402"/>
      <x:c r="U402" t="str">
        <x:v>UDLR source leg at -120.</x:v>
      </x:c>
      <x:c r="V402" t="str">
        <x:v>Faces Bailey Ober. White Sox offense on 3-game win streak; lineup/spot still matters. Better test than high-juice 1+ hit glue.</x:v>
      </x:c>
    </x:row>
    <x:row r="403">
      <x:c r="A403" t="str">
        <x:v>2026-08-29</x:v>
      </x:c>
      <x:c r="B403" t="str">
        <x:v>A29-R34</x:v>
      </x:c>
      <x:c r="C403" t="str">
        <x:v>SOURCED</x:v>
      </x:c>
      <x:c r="D403" t="str">
        <x:v>UDLR MLB 3-Pack</x:v>
      </x:c>
      <x:c r="E403" t="str">
        <x:v>MLB</x:v>
      </x:c>
      <x:c r="F403" t="str">
        <x:v>SD @ TB</x:v>
      </x:c>
      <x:c r="G403" t="str">
        <x:v>Nick Martinez</x:v>
      </x:c>
      <x:c r="H403" t="str">
        <x:v>Pitcher K Over</x:v>
      </x:c>
      <x:c r="I403" t="str">
        <x:v>Over 3.5 strikeouts</x:v>
      </x:c>
      <x:c r="J403" t="n">
        <x:v>3.5</x:v>
      </x:c>
      <x:c r="K403" t="n">
        <x:v>-115</x:v>
      </x:c>
      <x:c r="L403" t="n">
        <x:v>0.5348837209302325</x:v>
      </x:c>
      <x:c r="M403" t="str">
        <x:v>PAPER</x:v>
      </x:c>
      <x:c r="N403" t="str">
        <x:v>N</x:v>
      </x:c>
      <x:c r="O403" t="str">
        <x:v>Pending</x:v>
      </x:c>
      <x:c r="P403"/>
      <x:c r="Q403"/>
      <x:c r="R403" t="n">
        <x:v>0</x:v>
      </x:c>
      <x:c r="S403"/>
      <x:c r="T403"/>
      <x:c r="U403" t="str">
        <x:v>UDLR source leg at -115.</x:v>
      </x:c>
      <x:c r="V403" t="str">
        <x:v>Independent downgrade: 87 K in 147.2 IP (~5.3 K/9); current Padres roster K% only 11.2% in 89 PA vs him. Paper only.</x:v>
      </x:c>
    </x:row>
    <x:row r="404">
      <x:c r="A404" t="str">
        <x:v>2026-08-29</x:v>
      </x:c>
      <x:c r="B404" t="str">
        <x:v>A29-D14</x:v>
      </x:c>
      <x:c r="C404" t="str">
        <x:v>DISCOVERED</x:v>
      </x:c>
      <x:c r="D404" t="str">
        <x:v>Independent counter to UDLR</x:v>
      </x:c>
      <x:c r="E404" t="str">
        <x:v>MLB</x:v>
      </x:c>
      <x:c r="F404" t="str">
        <x:v>SD @ TB</x:v>
      </x:c>
      <x:c r="G404" t="str">
        <x:v>Nick Martinez</x:v>
      </x:c>
      <x:c r="H404" t="str">
        <x:v>Pitcher K Under</x:v>
      </x:c>
      <x:c r="I404" t="str">
        <x:v>Under 3.5 strikeouts</x:v>
      </x:c>
      <x:c r="J404" t="n">
        <x:v>3.5</x:v>
      </x:c>
      <x:c r="K404" t="n">
        <x:v>-125</x:v>
      </x:c>
      <x:c r="L404" t="n">
        <x:v>0.5555555555555556</x:v>
      </x:c>
      <x:c r="M404" t="str">
        <x:v>PAPER</x:v>
      </x:c>
      <x:c r="N404" t="str">
        <x:v>N</x:v>
      </x:c>
      <x:c r="O404" t="str">
        <x:v>Pending</x:v>
      </x:c>
      <x:c r="P404"/>
      <x:c r="Q404"/>
      <x:c r="R404" t="n">
        <x:v>0</x:v>
      </x:c>
      <x:c r="S404"/>
      <x:c r="T404"/>
      <x:c r="U404" t="str">
        <x:v>Opposing arm to source K over.</x:v>
      </x:c>
      <x:c r="V404" t="str">
        <x:v>Tony's Picks considered U3.5 -125 due low K/9, though Martinez has 4+ in three straight. K unders remain paper-only.</x:v>
      </x:c>
    </x:row>
    <x:row r="405">
      <x:c r="A405" t="str">
        <x:v>2026-08-29</x:v>
      </x:c>
      <x:c r="B405" t="str">
        <x:v>A29-R35</x:v>
      </x:c>
      <x:c r="C405" t="str">
        <x:v>SOURCED</x:v>
      </x:c>
      <x:c r="D405" t="str">
        <x:v>Source NRFI 3-Leg</x:v>
      </x:c>
      <x:c r="E405" t="str">
        <x:v>MLB</x:v>
      </x:c>
      <x:c r="F405" t="str">
        <x:v>SEA @ TOR</x:v>
      </x:c>
      <x:c r="G405" t="str">
        <x:v>SEA/TOR</x:v>
      </x:c>
      <x:c r="H405" t="str">
        <x:v>NRFI</x:v>
      </x:c>
      <x:c r="I405" t="str">
        <x:v>Under 0.5 first-inning runs</x:v>
      </x:c>
      <x:c r="J405" t="n">
        <x:v>0.5</x:v>
      </x:c>
      <x:c r="K405" t="n">
        <x:v>-130</x:v>
      </x:c>
      <x:c r="L405" t="n">
        <x:v>0.5652173913043478</x:v>
      </x:c>
      <x:c r="M405" t="str">
        <x:v>PAPER</x:v>
      </x:c>
      <x:c r="N405" t="str">
        <x:v>N</x:v>
      </x:c>
      <x:c r="O405" t="str">
        <x:v>Pending</x:v>
      </x:c>
      <x:c r="P405"/>
      <x:c r="Q405"/>
      <x:c r="R405" t="n">
        <x:v>0</x:v>
      </x:c>
      <x:c r="S405"/>
      <x:c r="T405"/>
      <x:c r="U405" t="str">
        <x:v>Source NRFI leg.</x:v>
      </x:c>
      <x:c r="V405" t="str">
        <x:v>Weakest audit: Kade Anderson only 2nd MLB start; José Soriano allowed 5 ER in 5 IP last time.</x:v>
      </x:c>
    </x:row>
    <x:row r="406">
      <x:c r="A406" t="str">
        <x:v>2026-08-29</x:v>
      </x:c>
      <x:c r="B406" t="str">
        <x:v>A29-R36</x:v>
      </x:c>
      <x:c r="C406" t="str">
        <x:v>HYBRID</x:v>
      </x:c>
      <x:c r="D406" t="str">
        <x:v>Source NRFI + independent audit</x:v>
      </x:c>
      <x:c r="E406" t="str">
        <x:v>MLB</x:v>
      </x:c>
      <x:c r="F406" t="str">
        <x:v>MIA @ WSH</x:v>
      </x:c>
      <x:c r="G406" t="str">
        <x:v>MIA/WSH</x:v>
      </x:c>
      <x:c r="H406" t="str">
        <x:v>NRFI</x:v>
      </x:c>
      <x:c r="I406" t="str">
        <x:v>Under 0.5 first-inning runs</x:v>
      </x:c>
      <x:c r="J406" t="n">
        <x:v>0.5</x:v>
      </x:c>
      <x:c r="K406" t="n">
        <x:v>-130</x:v>
      </x:c>
      <x:c r="L406" t="n">
        <x:v>0.5652173913043478</x:v>
      </x:c>
      <x:c r="M406" t="str">
        <x:v>PAPER</x:v>
      </x:c>
      <x:c r="N406" t="str">
        <x:v>N</x:v>
      </x:c>
      <x:c r="O406" t="str">
        <x:v>Pending</x:v>
      </x:c>
      <x:c r="P406"/>
      <x:c r="Q406"/>
      <x:c r="R406" t="n">
        <x:v>0</x:v>
      </x:c>
      <x:c r="S406"/>
      <x:c r="T406"/>
      <x:c r="U406" t="str">
        <x:v>Source NRFI leg.</x:v>
      </x:c>
      <x:c r="V406" t="str">
        <x:v>Strong support: Alcantara 3.46 ERA across 13 IP vs WSH this year; Cavalli 1.97 ERA, 39 K in 32 IP across five August starts.</x:v>
      </x:c>
    </x:row>
    <x:row r="407">
      <x:c r="A407" t="str">
        <x:v>2026-08-29</x:v>
      </x:c>
      <x:c r="B407" t="str">
        <x:v>A29-R37</x:v>
      </x:c>
      <x:c r="C407" t="str">
        <x:v>HYBRID</x:v>
      </x:c>
      <x:c r="D407" t="str">
        <x:v>Source NRFI + independent audit</x:v>
      </x:c>
      <x:c r="E407" t="str">
        <x:v>MLB</x:v>
      </x:c>
      <x:c r="F407" t="str">
        <x:v>KC @ CLE</x:v>
      </x:c>
      <x:c r="G407" t="str">
        <x:v>KC/CLE</x:v>
      </x:c>
      <x:c r="H407" t="str">
        <x:v>NRFI</x:v>
      </x:c>
      <x:c r="I407" t="str">
        <x:v>Under 0.5 first-inning runs</x:v>
      </x:c>
      <x:c r="J407" t="n">
        <x:v>0.5</x:v>
      </x:c>
      <x:c r="K407" t="n">
        <x:v>-120</x:v>
      </x:c>
      <x:c r="L407" t="n">
        <x:v>0.5454545454545454</x:v>
      </x:c>
      <x:c r="M407" t="str">
        <x:v>PAPER</x:v>
      </x:c>
      <x:c r="N407" t="str">
        <x:v>N</x:v>
      </x:c>
      <x:c r="O407" t="str">
        <x:v>Pending</x:v>
      </x:c>
      <x:c r="P407"/>
      <x:c r="Q407"/>
      <x:c r="R407" t="n">
        <x:v>0</x:v>
      </x:c>
      <x:c r="S407"/>
      <x:c r="T407"/>
      <x:c r="U407" t="str">
        <x:v>Source NRFI leg.</x:v>
      </x:c>
      <x:c r="V407" t="str">
        <x:v>Lynch has allowed 1 ER in 11.1 IP vs Cleveland since Aug 2024; Griffin allowed 1 run over 6 vs KC in June.</x:v>
      </x:c>
    </x:row>
    <x:row r="408">
      <x:c r="A408" t="str">
        <x:v>2026-08-29</x:v>
      </x:c>
      <x:c r="B408" t="str">
        <x:v>A29-R38</x:v>
      </x:c>
      <x:c r="C408" t="str">
        <x:v>SOURCED</x:v>
      </x:c>
      <x:c r="D408" t="str">
        <x:v>Source NRFI 3-Leg</x:v>
      </x:c>
      <x:c r="E408" t="str">
        <x:v>MLB</x:v>
      </x:c>
      <x:c r="F408" t="str">
        <x:v>3-game</x:v>
      </x:c>
      <x:c r="G408" t="str">
        <x:v>SEA/TOR + MIA/WSH + KC/CLE</x:v>
      </x:c>
      <x:c r="H408" t="str">
        <x:v>3-leg NRFI Parlay</x:v>
      </x:c>
      <x:c r="I408" t="str">
        <x:v>Three NRFIs</x:v>
      </x:c>
      <x:c r="J408"/>
      <x:c r="K408" t="n">
        <x:v>366</x:v>
      </x:c>
      <x:c r="L408" t="n">
        <x:v>0.2145922746781116</x:v>
      </x:c>
      <x:c r="M408" t="str">
        <x:v>PAPER</x:v>
      </x:c>
      <x:c r="N408" t="str">
        <x:v>N</x:v>
      </x:c>
      <x:c r="O408" t="str">
        <x:v>Pending</x:v>
      </x:c>
      <x:c r="P408"/>
      <x:c r="Q408"/>
      <x:c r="R408" t="n">
        <x:v>0</x:v>
      </x:c>
      <x:c r="S408"/>
      <x:c r="T408"/>
      <x:c r="U408" t="str">
        <x:v>Source raw +366; screenshot separate 30% boost to +476.</x:v>
      </x:c>
      <x:c r="V408" t="str">
        <x:v>Not our promo; preserve intact as EXP-10 control. No real-money 3-leg NRFI backbone.</x:v>
      </x:c>
    </x:row>
    <x:row r="409">
      <x:c r="A409" t="str">
        <x:v>2026-08-29</x:v>
      </x:c>
      <x:c r="B409" t="str">
        <x:v>A29-D15</x:v>
      </x:c>
      <x:c r="C409" t="str">
        <x:v>HYBRID</x:v>
      </x:c>
      <x:c r="D409" t="str">
        <x:v>Real SGPx thesis + Bases Loaded source</x:v>
      </x:c>
      <x:c r="E409" t="str">
        <x:v>MLB</x:v>
      </x:c>
      <x:c r="F409" t="str">
        <x:v>SD @ TB</x:v>
      </x:c>
      <x:c r="G409" t="str">
        <x:v>Fernando Tatis Jr.</x:v>
      </x:c>
      <x:c r="H409" t="str">
        <x:v>Total Bases</x:v>
      </x:c>
      <x:c r="I409" t="str">
        <x:v>2+ total bases</x:v>
      </x:c>
      <x:c r="J409" t="n">
        <x:v>2</x:v>
      </x:c>
      <x:c r="K409"/>
      <x:c r="L409"/>
      <x:c r="M409" t="str">
        <x:v>PAPER</x:v>
      </x:c>
      <x:c r="N409" t="str">
        <x:v>N</x:v>
      </x:c>
      <x:c r="O409" t="str">
        <x:v>Pending</x:v>
      </x:c>
      <x:c r="P409"/>
      <x:c r="Q409"/>
      <x:c r="R409" t="n">
        <x:v>0</x:v>
      </x:c>
      <x:c r="S409"/>
      <x:c r="T409"/>
      <x:c r="U409" t="str">
        <x:v>Exact standalone shadow of proposed real SGPx leg; source graphic also flags Tatis as a total-base target.</x:v>
      </x:c>
      <x:c r="V409" t="str">
        <x:v>Tests individual-leg quality without duplicating real-money exposure.</x:v>
      </x:c>
    </x:row>
    <x:row r="410">
      <x:c r="A410" t="str">
        <x:v>2026-08-29</x:v>
      </x:c>
      <x:c r="B410" t="str">
        <x:v>A29-D16</x:v>
      </x:c>
      <x:c r="C410" t="str">
        <x:v>HYBRID</x:v>
      </x:c>
      <x:c r="D410" t="str">
        <x:v>Real SGPx thesis + source hitter board</x:v>
      </x:c>
      <x:c r="E410" t="str">
        <x:v>MLB</x:v>
      </x:c>
      <x:c r="F410" t="str">
        <x:v>SD @ TB</x:v>
      </x:c>
      <x:c r="G410" t="str">
        <x:v>Junior Caminero</x:v>
      </x:c>
      <x:c r="H410" t="str">
        <x:v>H+R+RBI</x:v>
      </x:c>
      <x:c r="I410" t="str">
        <x:v>2+ H+R+RBI</x:v>
      </x:c>
      <x:c r="J410" t="n">
        <x:v>2</x:v>
      </x:c>
      <x:c r="K410"/>
      <x:c r="L410"/>
      <x:c r="M410" t="str">
        <x:v>PAPER</x:v>
      </x:c>
      <x:c r="N410" t="str">
        <x:v>N</x:v>
      </x:c>
      <x:c r="O410" t="str">
        <x:v>Pending</x:v>
      </x:c>
      <x:c r="P410"/>
      <x:c r="Q410"/>
      <x:c r="R410" t="n">
        <x:v>0</x:v>
      </x:c>
      <x:c r="S410"/>
      <x:c r="T410"/>
      <x:c r="U410" t="str">
        <x:v>Exact standalone shadow of proposed real SGPx leg.</x:v>
      </x:c>
      <x:c r="V410" t="str">
        <x:v>Compare against 2+ TB alternate from Bases Loaded hitter-target signal.</x:v>
      </x:c>
    </x:row>
    <x:row r="411">
      <x:c r="A411" t="str">
        <x:v>2026-08-29</x:v>
      </x:c>
      <x:c r="B411" t="str">
        <x:v>A29-D17</x:v>
      </x:c>
      <x:c r="C411" t="str">
        <x:v>SOURCED</x:v>
      </x:c>
      <x:c r="D411" t="str">
        <x:v>MJC Bases Loaded</x:v>
      </x:c>
      <x:c r="E411" t="str">
        <x:v>MLB</x:v>
      </x:c>
      <x:c r="F411" t="str">
        <x:v>SD @ TB</x:v>
      </x:c>
      <x:c r="G411" t="str">
        <x:v>Junior Caminero</x:v>
      </x:c>
      <x:c r="H411" t="str">
        <x:v>Total Bases</x:v>
      </x:c>
      <x:c r="I411" t="str">
        <x:v>2+ total bases</x:v>
      </x:c>
      <x:c r="J411" t="n">
        <x:v>2</x:v>
      </x:c>
      <x:c r="K411"/>
      <x:c r="L411"/>
      <x:c r="M411" t="str">
        <x:v>PAPER</x:v>
      </x:c>
      <x:c r="N411" t="str">
        <x:v>N</x:v>
      </x:c>
      <x:c r="O411" t="str">
        <x:v>Pending</x:v>
      </x:c>
      <x:c r="P411"/>
      <x:c r="Q411"/>
      <x:c r="R411" t="n">
        <x:v>0</x:v>
      </x:c>
      <x:c r="S411"/>
      <x:c r="T411"/>
      <x:c r="U411" t="str">
        <x:v>Source board: .344 AVG vs RHP over L10, 7/L11 batted balls vs 98+ mph RHP, Buehler 41st percentile barrel%.</x:v>
      </x:c>
      <x:c r="V411" t="str">
        <x:v>Direct paired-market control against Caminero 2+ HRR.</x:v>
      </x:c>
    </x:row>
    <x:row r="412">
      <x:c r="A412" t="str">
        <x:v>2026-08-29</x:v>
      </x:c>
      <x:c r="B412" t="str">
        <x:v>A29-D18</x:v>
      </x:c>
      <x:c r="C412" t="str">
        <x:v>SOURCED</x:v>
      </x:c>
      <x:c r="D412" t="str">
        <x:v>MJC Bases Loaded</x:v>
      </x:c>
      <x:c r="E412" t="str">
        <x:v>MLB</x:v>
      </x:c>
      <x:c r="F412" t="str">
        <x:v>SF matchup</x:v>
      </x:c>
      <x:c r="G412" t="str">
        <x:v>Rafael Devers</x:v>
      </x:c>
      <x:c r="H412" t="str">
        <x:v>Total Bases</x:v>
      </x:c>
      <x:c r="I412" t="str">
        <x:v>2+ total bases</x:v>
      </x:c>
      <x:c r="J412" t="n">
        <x:v>2</x:v>
      </x:c>
      <x:c r="K412"/>
      <x:c r="L412"/>
      <x:c r="M412" t="str">
        <x:v>PAPER</x:v>
      </x:c>
      <x:c r="N412" t="str">
        <x:v>N</x:v>
      </x:c>
      <x:c r="O412" t="str">
        <x:v>Pending</x:v>
      </x:c>
      <x:c r="P412"/>
      <x:c r="Q412"/>
      <x:c r="R412" t="n">
        <x:v>0</x:v>
      </x:c>
      <x:c r="S412"/>
      <x:c r="T412"/>
      <x:c r="U412" t="str">
        <x:v>Source board: 2+ TB in 4/L5 with 3 HR; 4-for-12 with 3 XBH vs Kelly; Kelly 1st percentile barrel%.</x:v>
      </x:c>
      <x:c r="V412" t="str">
        <x:v>Recent-form + matchup source arm; exact DK price not captured yet.</x:v>
      </x:c>
    </x:row>
    <x:row r="413">
      <x:c r="A413" t="str">
        <x:v>2026-08-29</x:v>
      </x:c>
      <x:c r="B413" t="str">
        <x:v>A29-R39</x:v>
      </x:c>
      <x:c r="C413" t="str">
        <x:v>SOURCED</x:v>
      </x:c>
      <x:c r="D413" t="str">
        <x:v>Source RBI 3-Leg Parlay</x:v>
      </x:c>
      <x:c r="E413" t="str">
        <x:v>MLB</x:v>
      </x:c>
      <x:c r="F413" t="str">
        <x:v>COL @ ATL</x:v>
      </x:c>
      <x:c r="G413" t="str">
        <x:v>Matt Olson</x:v>
      </x:c>
      <x:c r="H413" t="str">
        <x:v>RBI</x:v>
      </x:c>
      <x:c r="I413" t="str">
        <x:v>1+ RBI</x:v>
      </x:c>
      <x:c r="J413" t="n">
        <x:v>1</x:v>
      </x:c>
      <x:c r="K413"/>
      <x:c r="L413"/>
      <x:c r="M413" t="str">
        <x:v>PAPER</x:v>
      </x:c>
      <x:c r="N413" t="str">
        <x:v>N</x:v>
      </x:c>
      <x:c r="O413" t="str">
        <x:v>Pending</x:v>
      </x:c>
      <x:c r="P413"/>
      <x:c r="Q413"/>
      <x:c r="R413" t="n">
        <x:v>0</x:v>
      </x:c>
      <x:c r="S413"/>
      <x:c r="T413"/>
      <x:c r="U413" t="str">
        <x:v>Source RBI parlay component.</x:v>
      </x:c>
      <x:c r="V413" t="str">
        <x:v>Broad Braves/Feltner team thesis supports opportunity, but RBI is highly sequencing-dependent.</x:v>
      </x:c>
    </x:row>
    <x:row r="414">
      <x:c r="A414" t="str">
        <x:v>2026-08-29</x:v>
      </x:c>
      <x:c r="B414" t="str">
        <x:v>A29-R40</x:v>
      </x:c>
      <x:c r="C414" t="str">
        <x:v>SOURCED</x:v>
      </x:c>
      <x:c r="D414" t="str">
        <x:v>Source RBI 3-Leg Parlay</x:v>
      </x:c>
      <x:c r="E414" t="str">
        <x:v>MLB</x:v>
      </x:c>
      <x:c r="F414" t="str">
        <x:v>BAL @ ATH</x:v>
      </x:c>
      <x:c r="G414" t="str">
        <x:v>Samuel Basallo</x:v>
      </x:c>
      <x:c r="H414" t="str">
        <x:v>RBI</x:v>
      </x:c>
      <x:c r="I414" t="str">
        <x:v>1+ RBI</x:v>
      </x:c>
      <x:c r="J414" t="n">
        <x:v>1</x:v>
      </x:c>
      <x:c r="K414"/>
      <x:c r="L414"/>
      <x:c r="M414" t="str">
        <x:v>PAPER</x:v>
      </x:c>
      <x:c r="N414" t="str">
        <x:v>N</x:v>
      </x:c>
      <x:c r="O414" t="str">
        <x:v>Pending</x:v>
      </x:c>
      <x:c r="P414"/>
      <x:c r="Q414"/>
      <x:c r="R414" t="n">
        <x:v>0</x:v>
      </x:c>
      <x:c r="S414"/>
      <x:c r="T414"/>
      <x:c r="U414" t="str">
        <x:v>Source RBI parlay component.</x:v>
      </x:c>
      <x:c r="V414" t="str">
        <x:v>Orioles team-target signal is only mixed after audit; RBI remains high-variance.</x:v>
      </x:c>
    </x:row>
    <x:row r="415">
      <x:c r="A415" t="str">
        <x:v>2026-08-29</x:v>
      </x:c>
      <x:c r="B415" t="str">
        <x:v>A29-R41</x:v>
      </x:c>
      <x:c r="C415" t="str">
        <x:v>SOURCED</x:v>
      </x:c>
      <x:c r="D415" t="str">
        <x:v>Source RBI 3-Leg Parlay</x:v>
      </x:c>
      <x:c r="E415" t="str">
        <x:v>MLB</x:v>
      </x:c>
      <x:c r="F415" t="str">
        <x:v>PHI @ LAA</x:v>
      </x:c>
      <x:c r="G415" t="str">
        <x:v>Luis Arraez</x:v>
      </x:c>
      <x:c r="H415" t="str">
        <x:v>RBI</x:v>
      </x:c>
      <x:c r="I415" t="str">
        <x:v>1+ RBI</x:v>
      </x:c>
      <x:c r="J415" t="n">
        <x:v>1</x:v>
      </x:c>
      <x:c r="K415"/>
      <x:c r="L415"/>
      <x:c r="M415" t="str">
        <x:v>PAPER</x:v>
      </x:c>
      <x:c r="N415" t="str">
        <x:v>N</x:v>
      </x:c>
      <x:c r="O415" t="str">
        <x:v>Pending</x:v>
      </x:c>
      <x:c r="P415"/>
      <x:c r="Q415"/>
      <x:c r="R415" t="n">
        <x:v>0</x:v>
      </x:c>
      <x:c r="S415"/>
      <x:c r="T415"/>
      <x:c r="U415" t="str">
        <x:v>Source RBI parlay component.</x:v>
      </x:c>
      <x:c r="V415" t="str">
        <x:v>Phillies team matchup is favorable, but RBI depends heavily on lineup slot and runners on base.</x:v>
      </x:c>
    </x:row>
    <x:row r="416">
      <x:c r="A416" t="str">
        <x:v>2026-08-29</x:v>
      </x:c>
      <x:c r="B416" t="str">
        <x:v>A29-R42</x:v>
      </x:c>
      <x:c r="C416" t="str">
        <x:v>SOURCED</x:v>
      </x:c>
      <x:c r="D416" t="str">
        <x:v>Source RBI 3-Leg Parlay</x:v>
      </x:c>
      <x:c r="E416" t="str">
        <x:v>MLB</x:v>
      </x:c>
      <x:c r="F416" t="str">
        <x:v>3-game</x:v>
      </x:c>
      <x:c r="G416" t="str">
        <x:v>Olson + Basallo + Arraez</x:v>
      </x:c>
      <x:c r="H416" t="str">
        <x:v>3-leg RBI Parlay</x:v>
      </x:c>
      <x:c r="I416" t="str">
        <x:v>Olson 1+ RBI + Basallo 1+ RBI + Arraez 1+ RBI</x:v>
      </x:c>
      <x:c r="J416"/>
      <x:c r="K416" t="n">
        <x:v>1233</x:v>
      </x:c>
      <x:c r="L416" t="n">
        <x:v>0.07501875468867217</x:v>
      </x:c>
      <x:c r="M416" t="str">
        <x:v>PAPER</x:v>
      </x:c>
      <x:c r="N416" t="str">
        <x:v>N</x:v>
      </x:c>
      <x:c r="O416" t="str">
        <x:v>Pending</x:v>
      </x:c>
      <x:c r="P416"/>
      <x:c r="Q416"/>
      <x:c r="R416" t="n">
        <x:v>0</x:v>
      </x:c>
      <x:c r="S416"/>
      <x:c r="T416"/>
      <x:c r="U416" t="str">
        <x:v>Source screenshot raw +1233.</x:v>
      </x:c>
      <x:c r="V416" t="str">
        <x:v>Lottery-style sequencing parlay; preserve intact for experiment, not real-money recommendation.</x:v>
      </x:c>
    </x:row>
    <x:row r="417">
      <x:c r="A417" t="str">
        <x:v>2026-08-30</x:v>
      </x:c>
      <x:c r="B417" t="str">
        <x:v>A30-R01</x:v>
      </x:c>
      <x:c r="C417" t="str">
        <x:v>HYBRID</x:v>
      </x:c>
      <x:c r="D417" t="str">
        <x:v>Independent audit + real card</x:v>
      </x:c>
      <x:c r="E417" t="str">
        <x:v>MLB</x:v>
      </x:c>
      <x:c r="F417" t="str">
        <x:v>PIT @ STL</x:v>
      </x:c>
      <x:c r="G417" t="str">
        <x:v>Matthew Liberatore</x:v>
      </x:c>
      <x:c r="H417" t="str">
        <x:v>Strikeouts</x:v>
      </x:c>
      <x:c r="I417" t="str">
        <x:v>6+ strikeouts</x:v>
      </x:c>
      <x:c r="J417" t="n">
        <x:v>6</x:v>
      </x:c>
      <x:c r="K417" t="n">
        <x:v>-138</x:v>
      </x:c>
      <x:c r="L417" t="n">
        <x:v>0.5798</x:v>
      </x:c>
      <x:c r="M417" t="str">
        <x:v>BET</x:v>
      </x:c>
      <x:c r="N417" t="str">
        <x:v>Y</x:v>
      </x:c>
      <x:c r="O417" t="str">
        <x:v>Win</x:v>
      </x:c>
      <x:c r="P417" t="n">
        <x:v>9</x:v>
      </x:c>
      <x:c r="Q417"/>
      <x:c r="R417" t="n">
        <x:v>1</x:v>
      </x:c>
      <x:c r="S417"/>
      <x:c r="T417"/>
      <x:c r="U417" t="str">
        <x:v>Workload/K matchup supported; threshold chosen over more aggressive K ladder.</x:v>
      </x:c>
      <x:c r="V417" t="str">
        <x:v>Cleared with 9 K.</x:v>
      </x:c>
      <x:c r="W417"/>
      <x:c r="X417"/>
      <x:c r="Y417"/>
      <x:c r="Z417"/>
    </x:row>
    <x:row r="418">
      <x:c r="A418" t="str">
        <x:v>2026-08-30</x:v>
      </x:c>
      <x:c r="B418" t="str">
        <x:v>A30-R02</x:v>
      </x:c>
      <x:c r="C418" t="str">
        <x:v>HYBRID</x:v>
      </x:c>
      <x:c r="D418" t="str">
        <x:v>Independent audit + real card</x:v>
      </x:c>
      <x:c r="E418" t="str">
        <x:v>MLB</x:v>
      </x:c>
      <x:c r="F418" t="str">
        <x:v>TEX @ MIL</x:v>
      </x:c>
      <x:c r="G418" t="str">
        <x:v>Christian Yelich</x:v>
      </x:c>
      <x:c r="H418" t="str">
        <x:v>H+R+RBI</x:v>
      </x:c>
      <x:c r="I418" t="str">
        <x:v>2+ H+R+RBI</x:v>
      </x:c>
      <x:c r="J418" t="n">
        <x:v>2</x:v>
      </x:c>
      <x:c r="K418" t="n">
        <x:v>-130</x:v>
      </x:c>
      <x:c r="L418" t="n">
        <x:v>0.5652</x:v>
      </x:c>
      <x:c r="M418" t="str">
        <x:v>BET</x:v>
      </x:c>
      <x:c r="N418" t="str">
        <x:v>Y</x:v>
      </x:c>
      <x:c r="O418" t="str">
        <x:v>Loss</x:v>
      </x:c>
      <x:c r="P418" t="n">
        <x:v>0</x:v>
      </x:c>
      <x:c r="Q418"/>
      <x:c r="R418" t="n">
        <x:v>0</x:v>
      </x:c>
      <x:c r="S418"/>
      <x:c r="T418"/>
      <x:c r="U418" t="str">
        <x:v>Broad involvement expression preferred to narrower TB.</x:v>
      </x:c>
      <x:c r="V418" t="str">
        <x:v>0-for-4; no H/R/RBI.</x:v>
      </x:c>
      <x:c r="W418"/>
      <x:c r="X418"/>
      <x:c r="Y418"/>
      <x:c r="Z418"/>
    </x:row>
    <x:row r="419">
      <x:c r="A419" t="str">
        <x:v>2026-08-30</x:v>
      </x:c>
      <x:c r="B419" t="str">
        <x:v>A30-R03</x:v>
      </x:c>
      <x:c r="C419" t="str">
        <x:v>DISCOVERED</x:v>
      </x:c>
      <x:c r="D419" t="str">
        <x:v>Independent audit</x:v>
      </x:c>
      <x:c r="E419" t="str">
        <x:v>MLB</x:v>
      </x:c>
      <x:c r="F419" t="str">
        <x:v>BOS @ NYY</x:v>
      </x:c>
      <x:c r="G419" t="str">
        <x:v>Will Warren</x:v>
      </x:c>
      <x:c r="H419" t="str">
        <x:v>Hits Allowed</x:v>
      </x:c>
      <x:c r="I419" t="str">
        <x:v>Over 4.5 hits allowed</x:v>
      </x:c>
      <x:c r="J419" t="n">
        <x:v>4.5</x:v>
      </x:c>
      <x:c r="K419" t="n">
        <x:v>-148</x:v>
      </x:c>
      <x:c r="L419" t="n">
        <x:v>0.5968</x:v>
      </x:c>
      <x:c r="M419" t="str">
        <x:v>BET</x:v>
      </x:c>
      <x:c r="N419" t="str">
        <x:v>Y</x:v>
      </x:c>
      <x:c r="O419" t="str">
        <x:v>Win</x:v>
      </x:c>
      <x:c r="P419" t="n">
        <x:v>6</x:v>
      </x:c>
      <x:c r="Q419"/>
      <x:c r="R419" t="n">
        <x:v>1</x:v>
      </x:c>
      <x:c r="S419"/>
      <x:c r="T419"/>
      <x:c r="U419" t="str">
        <x:v>Boston contact/offense + Warren recent hit-allowance profile.</x:v>
      </x:c>
      <x:c r="V419" t="str">
        <x:v>Allowed 6 hits.</x:v>
      </x:c>
      <x:c r="W419"/>
      <x:c r="X419"/>
      <x:c r="Y419"/>
      <x:c r="Z419"/>
    </x:row>
    <x:row r="420">
      <x:c r="A420" t="str">
        <x:v>2026-08-30</x:v>
      </x:c>
      <x:c r="B420" t="str">
        <x:v>A30-R04</x:v>
      </x:c>
      <x:c r="C420" t="str">
        <x:v>HYBRID</x:v>
      </x:c>
      <x:c r="D420" t="str">
        <x:v>Real soccer card</x:v>
      </x:c>
      <x:c r="E420" t="str">
        <x:v>Soccer</x:v>
      </x:c>
      <x:c r="F420" t="str">
        <x:v>Real Madrid match</x:v>
      </x:c>
      <x:c r="G420" t="str">
        <x:v>Real Madrid</x:v>
      </x:c>
      <x:c r="H420" t="str">
        <x:v>Team Goals</x:v>
      </x:c>
      <x:c r="I420" t="str">
        <x:v>Over 2.5 team goals</x:v>
      </x:c>
      <x:c r="J420" t="n">
        <x:v>2.5</x:v>
      </x:c>
      <x:c r="K420"/>
      <x:c r="L420"/>
      <x:c r="M420" t="str">
        <x:v>BET</x:v>
      </x:c>
      <x:c r="N420" t="str">
        <x:v>Y</x:v>
      </x:c>
      <x:c r="O420" t="str">
        <x:v>Win</x:v>
      </x:c>
      <x:c r="P420" t="n">
        <x:v>4</x:v>
      </x:c>
      <x:c r="Q420"/>
      <x:c r="R420" t="n">
        <x:v>1</x:v>
      </x:c>
      <x:c r="S420"/>
      <x:c r="T420"/>
      <x:c r="U420" t="str">
        <x:v>Scoring-strength expression.</x:v>
      </x:c>
      <x:c r="V420" t="str">
        <x:v>Madrid scored 4.</x:v>
      </x:c>
      <x:c r="W420"/>
      <x:c r="X420"/>
      <x:c r="Y420"/>
      <x:c r="Z420"/>
    </x:row>
    <x:row r="421">
      <x:c r="A421" t="str">
        <x:v>2026-08-30</x:v>
      </x:c>
      <x:c r="B421" t="str">
        <x:v>A30-R05</x:v>
      </x:c>
      <x:c r="C421" t="str">
        <x:v>HYBRID</x:v>
      </x:c>
      <x:c r="D421" t="str">
        <x:v>Real soccer card</x:v>
      </x:c>
      <x:c r="E421" t="str">
        <x:v>Soccer</x:v>
      </x:c>
      <x:c r="F421" t="str">
        <x:v>Real Madrid match</x:v>
      </x:c>
      <x:c r="G421" t="str">
        <x:v>Vinicius Jr.</x:v>
      </x:c>
      <x:c r="H421" t="str">
        <x:v>Shots on Target</x:v>
      </x:c>
      <x:c r="I421" t="str">
        <x:v>1+ SOT</x:v>
      </x:c>
      <x:c r="J421" t="n">
        <x:v>1</x:v>
      </x:c>
      <x:c r="K421"/>
      <x:c r="L421"/>
      <x:c r="M421" t="str">
        <x:v>BET</x:v>
      </x:c>
      <x:c r="N421" t="str">
        <x:v>Y</x:v>
      </x:c>
      <x:c r="O421" t="str">
        <x:v>Loss</x:v>
      </x:c>
      <x:c r="P421" t="n">
        <x:v>0</x:v>
      </x:c>
      <x:c r="Q421"/>
      <x:c r="R421" t="n">
        <x:v>0</x:v>
      </x:c>
      <x:c r="S421"/>
      <x:c r="T421"/>
      <x:c r="U421" t="str">
        <x:v>Low-threshold involvement leg.</x:v>
      </x:c>
      <x:c r="V421" t="str">
        <x:v>2 shots but 0 SOT; assist did not rescue market.</x:v>
      </x:c>
      <x:c r="W421"/>
      <x:c r="X421"/>
      <x:c r="Y421"/>
      <x:c r="Z421"/>
    </x:row>
    <x:row r="422">
      <x:c r="A422" t="str">
        <x:v>2026-08-30</x:v>
      </x:c>
      <x:c r="B422" t="str">
        <x:v>A30-R06</x:v>
      </x:c>
      <x:c r="C422" t="str">
        <x:v>HYBRID</x:v>
      </x:c>
      <x:c r="D422" t="str">
        <x:v>Real soccer card</x:v>
      </x:c>
      <x:c r="E422" t="str">
        <x:v>Soccer</x:v>
      </x:c>
      <x:c r="F422" t="str">
        <x:v>Real Madrid match</x:v>
      </x:c>
      <x:c r="G422" t="str">
        <x:v>Kylian Mbappe</x:v>
      </x:c>
      <x:c r="H422" t="str">
        <x:v>Shots on Target</x:v>
      </x:c>
      <x:c r="I422" t="str">
        <x:v>3+ SOT</x:v>
      </x:c>
      <x:c r="J422" t="n">
        <x:v>3</x:v>
      </x:c>
      <x:c r="K422"/>
      <x:c r="L422"/>
      <x:c r="M422" t="str">
        <x:v>BET</x:v>
      </x:c>
      <x:c r="N422" t="str">
        <x:v>Y</x:v>
      </x:c>
      <x:c r="O422" t="str">
        <x:v>Win</x:v>
      </x:c>
      <x:c r="P422" t="n">
        <x:v>4</x:v>
      </x:c>
      <x:c r="Q422"/>
      <x:c r="R422" t="n">
        <x:v>1</x:v>
      </x:c>
      <x:c r="S422"/>
      <x:c r="T422"/>
      <x:c r="U422" t="str">
        <x:v>High-volume SOT expression.</x:v>
      </x:c>
      <x:c r="V422" t="str">
        <x:v>Finished with 4 SOT.</x:v>
      </x:c>
      <x:c r="W422"/>
      <x:c r="X422"/>
      <x:c r="Y422"/>
      <x:c r="Z422"/>
    </x:row>
    <x:row r="423">
      <x:c r="A423" t="str">
        <x:v>2026-08-30</x:v>
      </x:c>
      <x:c r="B423" t="str">
        <x:v>A30-R07</x:v>
      </x:c>
      <x:c r="C423" t="str">
        <x:v>HYBRID</x:v>
      </x:c>
      <x:c r="D423" t="str">
        <x:v>Real EPL card</x:v>
      </x:c>
      <x:c r="E423" t="str">
        <x:v>Soccer</x:v>
      </x:c>
      <x:c r="F423" t="str">
        <x:v>Premier League</x:v>
      </x:c>
      <x:c r="G423" t="str">
        <x:v>Bryan Mbeumo</x:v>
      </x:c>
      <x:c r="H423" t="str">
        <x:v>Shots on Target</x:v>
      </x:c>
      <x:c r="I423" t="str">
        <x:v>1+ SOT</x:v>
      </x:c>
      <x:c r="J423" t="n">
        <x:v>1</x:v>
      </x:c>
      <x:c r="K423"/>
      <x:c r="L423"/>
      <x:c r="M423" t="str">
        <x:v>BET</x:v>
      </x:c>
      <x:c r="N423" t="str">
        <x:v>Y</x:v>
      </x:c>
      <x:c r="O423" t="str">
        <x:v>Win</x:v>
      </x:c>
      <x:c r="P423" t="n">
        <x:v>1</x:v>
      </x:c>
      <x:c r="Q423"/>
      <x:c r="R423" t="n">
        <x:v>1</x:v>
      </x:c>
      <x:c r="S423"/>
      <x:c r="T423"/>
      <x:c r="U423" t="str">
        <x:v>Low-threshold involvement prop.</x:v>
      </x:c>
      <x:c r="V423" t="str">
        <x:v>Cleared with 1 SOT.</x:v>
      </x:c>
      <x:c r="W423"/>
      <x:c r="X423"/>
      <x:c r="Y423"/>
      <x:c r="Z423"/>
    </x:row>
    <x:row r="424">
      <x:c r="A424" t="str">
        <x:v>2026-08-30</x:v>
      </x:c>
      <x:c r="B424" t="str">
        <x:v>A30-R08</x:v>
      </x:c>
      <x:c r="C424" t="str">
        <x:v>HYBRID</x:v>
      </x:c>
      <x:c r="D424" t="str">
        <x:v>Real EPL card</x:v>
      </x:c>
      <x:c r="E424" t="str">
        <x:v>Soccer</x:v>
      </x:c>
      <x:c r="F424" t="str">
        <x:v>Premier League</x:v>
      </x:c>
      <x:c r="G424" t="str">
        <x:v>Julio Enciso</x:v>
      </x:c>
      <x:c r="H424" t="str">
        <x:v>Shots</x:v>
      </x:c>
      <x:c r="I424" t="str">
        <x:v>2+ shots</x:v>
      </x:c>
      <x:c r="J424" t="n">
        <x:v>2</x:v>
      </x:c>
      <x:c r="K424"/>
      <x:c r="L424"/>
      <x:c r="M424" t="str">
        <x:v>BET</x:v>
      </x:c>
      <x:c r="N424" t="str">
        <x:v>Y</x:v>
      </x:c>
      <x:c r="O424" t="str">
        <x:v>Win</x:v>
      </x:c>
      <x:c r="P424" t="n">
        <x:v>3</x:v>
      </x:c>
      <x:c r="Q424"/>
      <x:c r="R424" t="n">
        <x:v>1</x:v>
      </x:c>
      <x:c r="S424"/>
      <x:c r="T424"/>
      <x:c r="U424" t="str">
        <x:v>Volume-based shot prop.</x:v>
      </x:c>
      <x:c r="V424" t="str">
        <x:v>Cleared with 3 shots.</x:v>
      </x:c>
      <x:c r="W424"/>
      <x:c r="X424"/>
      <x:c r="Y424"/>
      <x:c r="Z424"/>
    </x:row>
    <x:row r="425">
      <x:c r="A425" t="str">
        <x:v>2026-08-30</x:v>
      </x:c>
      <x:c r="B425" t="str">
        <x:v>A30-R09</x:v>
      </x:c>
      <x:c r="C425" t="str">
        <x:v>HYBRID</x:v>
      </x:c>
      <x:c r="D425" t="str">
        <x:v>Real EPL card</x:v>
      </x:c>
      <x:c r="E425" t="str">
        <x:v>Soccer</x:v>
      </x:c>
      <x:c r="F425" t="str">
        <x:v>Premier League</x:v>
      </x:c>
      <x:c r="G425" t="str">
        <x:v>Bruno Fernandes</x:v>
      </x:c>
      <x:c r="H425" t="str">
        <x:v>Shots on Target</x:v>
      </x:c>
      <x:c r="I425" t="str">
        <x:v>1+ SOT</x:v>
      </x:c>
      <x:c r="J425" t="n">
        <x:v>1</x:v>
      </x:c>
      <x:c r="K425"/>
      <x:c r="L425"/>
      <x:c r="M425" t="str">
        <x:v>BET</x:v>
      </x:c>
      <x:c r="N425" t="str">
        <x:v>Y</x:v>
      </x:c>
      <x:c r="O425" t="str">
        <x:v>Win</x:v>
      </x:c>
      <x:c r="P425" t="n">
        <x:v>3</x:v>
      </x:c>
      <x:c r="Q425"/>
      <x:c r="R425" t="n">
        <x:v>1</x:v>
      </x:c>
      <x:c r="S425"/>
      <x:c r="T425"/>
      <x:c r="U425" t="str">
        <x:v>Low-threshold involvement prop.</x:v>
      </x:c>
      <x:c r="V425" t="str">
        <x:v>Cleared with 3 SOT.</x:v>
      </x:c>
      <x:c r="W425"/>
      <x:c r="X425"/>
      <x:c r="Y425"/>
      <x:c r="Z425"/>
    </x:row>
    <x:row r="426">
      <x:c r="A426" t="str">
        <x:v>2026-08-30</x:v>
      </x:c>
      <x:c r="B426" t="str">
        <x:v>A30-R10</x:v>
      </x:c>
      <x:c r="C426" t="str">
        <x:v>SOURCED</x:v>
      </x:c>
      <x:c r="D426" t="str">
        <x:v>WNBA source + real card</x:v>
      </x:c>
      <x:c r="E426" t="str">
        <x:v>WNBA</x:v>
      </x:c>
      <x:c r="F426" t="str">
        <x:v>WNBA slate</x:v>
      </x:c>
      <x:c r="G426" t="str">
        <x:v>Angel Reese</x:v>
      </x:c>
      <x:c r="H426" t="str">
        <x:v>Rebounds</x:v>
      </x:c>
      <x:c r="I426" t="str">
        <x:v>12+ rebounds</x:v>
      </x:c>
      <x:c r="J426" t="n">
        <x:v>12</x:v>
      </x:c>
      <x:c r="K426" t="n">
        <x:v>-177</x:v>
      </x:c>
      <x:c r="L426" t="n">
        <x:v>0.639</x:v>
      </x:c>
      <x:c r="M426" t="str">
        <x:v>BET</x:v>
      </x:c>
      <x:c r="N426" t="str">
        <x:v>Y</x:v>
      </x:c>
      <x:c r="O426" t="str">
        <x:v>Loss</x:v>
      </x:c>
      <x:c r="P426" t="n">
        <x:v>11</x:v>
      </x:c>
      <x:c r="Q426"/>
      <x:c r="R426" t="n">
        <x:v>0</x:v>
      </x:c>
      <x:c r="S426"/>
      <x:c r="T426"/>
      <x:c r="U426" t="str">
        <x:v>Recent rebound trend/source candidate.</x:v>
      </x:c>
      <x:c r="V426" t="str">
        <x:v>Missed by one rebound.</x:v>
      </x:c>
      <x:c r="W426"/>
      <x:c r="X426"/>
      <x:c r="Y426"/>
      <x:c r="Z426"/>
    </x:row>
    <x:row r="427">
      <x:c r="A427" t="str">
        <x:v>2026-08-30</x:v>
      </x:c>
      <x:c r="B427" t="str">
        <x:v>A30-R11</x:v>
      </x:c>
      <x:c r="C427" t="str">
        <x:v>SOURCED</x:v>
      </x:c>
      <x:c r="D427" t="str">
        <x:v>WNBA source + real card</x:v>
      </x:c>
      <x:c r="E427" t="str">
        <x:v>WNBA</x:v>
      </x:c>
      <x:c r="F427" t="str">
        <x:v>WNBA slate</x:v>
      </x:c>
      <x:c r="G427" t="str">
        <x:v>Nneka Ogwumike</x:v>
      </x:c>
      <x:c r="H427" t="str">
        <x:v>Rebounds</x:v>
      </x:c>
      <x:c r="I427" t="str">
        <x:v>8+ rebounds</x:v>
      </x:c>
      <x:c r="J427" t="n">
        <x:v>8</x:v>
      </x:c>
      <x:c r="K427" t="n">
        <x:v>-139</x:v>
      </x:c>
      <x:c r="L427" t="n">
        <x:v>0.5816</x:v>
      </x:c>
      <x:c r="M427" t="str">
        <x:v>BET</x:v>
      </x:c>
      <x:c r="N427" t="str">
        <x:v>Y</x:v>
      </x:c>
      <x:c r="O427" t="str">
        <x:v>Win</x:v>
      </x:c>
      <x:c r="P427" t="n">
        <x:v>12</x:v>
      </x:c>
      <x:c r="Q427"/>
      <x:c r="R427" t="n">
        <x:v>1</x:v>
      </x:c>
      <x:c r="S427"/>
      <x:c r="T427"/>
      <x:c r="U427" t="str">
        <x:v>Role/rebound matchup.</x:v>
      </x:c>
      <x:c r="V427" t="str">
        <x:v>Cleared with 12.</x:v>
      </x:c>
      <x:c r="W427"/>
      <x:c r="X427"/>
      <x:c r="Y427"/>
      <x:c r="Z427"/>
    </x:row>
    <x:row r="428">
      <x:c r="A428" t="str">
        <x:v>2026-08-30</x:v>
      </x:c>
      <x:c r="B428" t="str">
        <x:v>A30-R12</x:v>
      </x:c>
      <x:c r="C428" t="str">
        <x:v>SOURCED</x:v>
      </x:c>
      <x:c r="D428" t="str">
        <x:v>WNBA source + real card</x:v>
      </x:c>
      <x:c r="E428" t="str">
        <x:v>WNBA</x:v>
      </x:c>
      <x:c r="F428" t="str">
        <x:v>WNBA slate</x:v>
      </x:c>
      <x:c r="G428" t="str">
        <x:v>Emily Engstler</x:v>
      </x:c>
      <x:c r="H428" t="str">
        <x:v>Points</x:v>
      </x:c>
      <x:c r="I428" t="str">
        <x:v>10+ points</x:v>
      </x:c>
      <x:c r="J428" t="n">
        <x:v>10</x:v>
      </x:c>
      <x:c r="K428" t="n">
        <x:v>-200</x:v>
      </x:c>
      <x:c r="L428" t="n">
        <x:v>0.6667</x:v>
      </x:c>
      <x:c r="M428" t="str">
        <x:v>BET</x:v>
      </x:c>
      <x:c r="N428" t="str">
        <x:v>Y</x:v>
      </x:c>
      <x:c r="O428" t="str">
        <x:v>Win</x:v>
      </x:c>
      <x:c r="P428" t="n">
        <x:v>12</x:v>
      </x:c>
      <x:c r="Q428"/>
      <x:c r="R428" t="n">
        <x:v>1</x:v>
      </x:c>
      <x:c r="S428"/>
      <x:c r="T428"/>
      <x:c r="U428" t="str">
        <x:v>Role/usage source thesis.</x:v>
      </x:c>
      <x:c r="V428" t="str">
        <x:v>Cleared with 12.</x:v>
      </x:c>
      <x:c r="W428"/>
      <x:c r="X428"/>
      <x:c r="Y428"/>
      <x:c r="Z428"/>
    </x:row>
    <x:row r="429">
      <x:c r="A429" t="str">
        <x:v>2026-08-30</x:v>
      </x:c>
      <x:c r="B429" t="str">
        <x:v>A30-R13</x:v>
      </x:c>
      <x:c r="C429" t="str">
        <x:v>HYBRID</x:v>
      </x:c>
      <x:c r="D429" t="str">
        <x:v>MLB promo SGP</x:v>
      </x:c>
      <x:c r="E429" t="str">
        <x:v>MLB</x:v>
      </x:c>
      <x:c r="F429" t="str">
        <x:v>PHI @ LAA</x:v>
      </x:c>
      <x:c r="G429" t="str">
        <x:v>Zack Wheeler</x:v>
      </x:c>
      <x:c r="H429" t="str">
        <x:v>Strikeouts</x:v>
      </x:c>
      <x:c r="I429" t="str">
        <x:v>7+ strikeouts</x:v>
      </x:c>
      <x:c r="J429" t="n">
        <x:v>7</x:v>
      </x:c>
      <x:c r="K429" t="n">
        <x:v>-173</x:v>
      </x:c>
      <x:c r="L429" t="n">
        <x:v>0.6337</x:v>
      </x:c>
      <x:c r="M429" t="str">
        <x:v>BET</x:v>
      </x:c>
      <x:c r="N429" t="str">
        <x:v>Y</x:v>
      </x:c>
      <x:c r="O429" t="str">
        <x:v>Loss</x:v>
      </x:c>
      <x:c r="P429" t="n">
        <x:v>6</x:v>
      </x:c>
      <x:c r="Q429"/>
      <x:c r="R429" t="n">
        <x:v>0</x:v>
      </x:c>
      <x:c r="S429"/>
      <x:c r="T429"/>
      <x:c r="U429" t="str">
        <x:v>Strikeout floor leg in promo construction.</x:v>
      </x:c>
      <x:c r="V429" t="str">
        <x:v>Missed by one K.</x:v>
      </x:c>
      <x:c r="W429"/>
      <x:c r="X429"/>
      <x:c r="Y429"/>
      <x:c r="Z429"/>
    </x:row>
    <x:row r="430">
      <x:c r="A430" t="str">
        <x:v>2026-08-30</x:v>
      </x:c>
      <x:c r="B430" t="str">
        <x:v>A30-R14</x:v>
      </x:c>
      <x:c r="C430" t="str">
        <x:v>HYBRID</x:v>
      </x:c>
      <x:c r="D430" t="str">
        <x:v>MLB promo SGP</x:v>
      </x:c>
      <x:c r="E430" t="str">
        <x:v>MLB</x:v>
      </x:c>
      <x:c r="F430" t="str">
        <x:v>PHI @ LAA</x:v>
      </x:c>
      <x:c r="G430" t="str">
        <x:v>Alec Bohm</x:v>
      </x:c>
      <x:c r="H430" t="str">
        <x:v>H+R+RBI</x:v>
      </x:c>
      <x:c r="I430" t="str">
        <x:v>2+ H+R+RBI</x:v>
      </x:c>
      <x:c r="J430" t="n">
        <x:v>2</x:v>
      </x:c>
      <x:c r="K430"/>
      <x:c r="L430"/>
      <x:c r="M430" t="str">
        <x:v>BET</x:v>
      </x:c>
      <x:c r="N430" t="str">
        <x:v>Y</x:v>
      </x:c>
      <x:c r="O430" t="str">
        <x:v>Loss</x:v>
      </x:c>
      <x:c r="P430" t="n">
        <x:v>0</x:v>
      </x:c>
      <x:c r="Q430"/>
      <x:c r="R430" t="n">
        <x:v>0</x:v>
      </x:c>
      <x:c r="S430"/>
      <x:c r="T430"/>
      <x:c r="U430" t="str">
        <x:v>Broad hitter involvement leg.</x:v>
      </x:c>
      <x:c r="V430" t="str">
        <x:v>0 H/R/RBI.</x:v>
      </x:c>
      <x:c r="W430"/>
      <x:c r="X430"/>
      <x:c r="Y430"/>
      <x:c r="Z430"/>
    </x:row>
    <x:row r="431">
      <x:c r="A431" t="str">
        <x:v>2026-08-30</x:v>
      </x:c>
      <x:c r="B431" t="str">
        <x:v>A30-R15</x:v>
      </x:c>
      <x:c r="C431" t="str">
        <x:v>HYBRID</x:v>
      </x:c>
      <x:c r="D431" t="str">
        <x:v>Independent audit</x:v>
      </x:c>
      <x:c r="E431" t="str">
        <x:v>MLB</x:v>
      </x:c>
      <x:c r="F431" t="str">
        <x:v>HOU @ NYM</x:v>
      </x:c>
      <x:c r="G431" t="str">
        <x:v>Yordan Alvarez</x:v>
      </x:c>
      <x:c r="H431" t="str">
        <x:v>Total Bases</x:v>
      </x:c>
      <x:c r="I431" t="str">
        <x:v>2+ total bases</x:v>
      </x:c>
      <x:c r="J431" t="n">
        <x:v>2</x:v>
      </x:c>
      <x:c r="K431" t="n">
        <x:v>-108</x:v>
      </x:c>
      <x:c r="L431" t="n">
        <x:v>0.5192</x:v>
      </x:c>
      <x:c r="M431" t="str">
        <x:v>BET</x:v>
      </x:c>
      <x:c r="N431" t="str">
        <x:v>Y</x:v>
      </x:c>
      <x:c r="O431" t="str">
        <x:v>Loss</x:v>
      </x:c>
      <x:c r="P431" t="n">
        <x:v>0</x:v>
      </x:c>
      <x:c r="Q431"/>
      <x:c r="R431" t="n">
        <x:v>0</x:v>
      </x:c>
      <x:c r="S431"/>
      <x:c r="T431"/>
      <x:c r="U431" t="str">
        <x:v>Elite underlying contact/power but narrow TB expression.</x:v>
      </x:c>
      <x:c r="V431" t="str">
        <x:v>0-for-5; 0 TB.</x:v>
      </x:c>
      <x:c r="W431"/>
      <x:c r="X431"/>
      <x:c r="Y431"/>
      <x:c r="Z431"/>
    </x:row>
    <x:row r="432">
      <x:c r="A432" t="str">
        <x:v>2026-09-01</x:v>
      </x:c>
      <x:c r="B432" t="str">
        <x:v>S01-R01</x:v>
      </x:c>
      <x:c r="C432" t="str">
        <x:v>HYBRID</x:v>
      </x:c>
      <x:c r="D432" t="str">
        <x:v>Real boosted SGPx</x:v>
      </x:c>
      <x:c r="E432" t="str">
        <x:v>MLB</x:v>
      </x:c>
      <x:c r="F432" t="str">
        <x:v>SEA @ BOS</x:v>
      </x:c>
      <x:c r="G432" t="str">
        <x:v>Bryan Woo</x:v>
      </x:c>
      <x:c r="H432" t="str">
        <x:v>Strikeouts</x:v>
      </x:c>
      <x:c r="I432" t="str">
        <x:v>5+ strikeouts</x:v>
      </x:c>
      <x:c r="J432" t="n">
        <x:v>5</x:v>
      </x:c>
      <x:c r="K432" t="n">
        <x:v>-154</x:v>
      </x:c>
      <x:c r="L432" t="n">
        <x:v>0.6063</x:v>
      </x:c>
      <x:c r="M432" t="str">
        <x:v>BET</x:v>
      </x:c>
      <x:c r="N432" t="str">
        <x:v>Y</x:v>
      </x:c>
      <x:c r="O432" t="str">
        <x:v>Win</x:v>
      </x:c>
      <x:c r="P432"/>
      <x:c r="Q432"/>
      <x:c r="R432" t="n">
        <x:v>1</x:v>
      </x:c>
      <x:c r="S432"/>
      <x:c r="T432"/>
      <x:c r="U432" t="str">
        <x:v>Outside leg for 2-leg TB SGP core; independent K qualification.</x:v>
      </x:c>
      <x:c r="V432" t="str">
        <x:v>Cleared; ticket won.</x:v>
      </x:c>
      <x:c r="W432"/>
      <x:c r="X432"/>
      <x:c r="Y432"/>
      <x:c r="Z432"/>
    </x:row>
    <x:row r="433">
      <x:c r="A433" t="str">
        <x:v>2026-09-01</x:v>
      </x:c>
      <x:c r="B433" t="str">
        <x:v>S01-R02</x:v>
      </x:c>
      <x:c r="C433" t="str">
        <x:v>HYBRID</x:v>
      </x:c>
      <x:c r="D433" t="str">
        <x:v>Real boosted SGPx</x:v>
      </x:c>
      <x:c r="E433" t="str">
        <x:v>MLB</x:v>
      </x:c>
      <x:c r="F433" t="str">
        <x:v>NYM @ TB</x:v>
      </x:c>
      <x:c r="G433" t="str">
        <x:v>Freddy Peralta</x:v>
      </x:c>
      <x:c r="H433" t="str">
        <x:v>Strikeouts</x:v>
      </x:c>
      <x:c r="I433" t="str">
        <x:v>5+ strikeouts</x:v>
      </x:c>
      <x:c r="J433" t="n">
        <x:v>5</x:v>
      </x:c>
      <x:c r="K433"/>
      <x:c r="L433"/>
      <x:c r="M433" t="str">
        <x:v>BET</x:v>
      </x:c>
      <x:c r="N433" t="str">
        <x:v>Y</x:v>
      </x:c>
      <x:c r="O433" t="str">
        <x:v>Win</x:v>
      </x:c>
      <x:c r="P433"/>
      <x:c r="Q433"/>
      <x:c r="R433" t="n">
        <x:v>1</x:v>
      </x:c>
      <x:c r="S433"/>
      <x:c r="T433"/>
      <x:c r="U433" t="str">
        <x:v>Same-game core leg; K threshold selected for robustness.</x:v>
      </x:c>
      <x:c r="V433" t="str">
        <x:v>Cleared; ticket won.</x:v>
      </x:c>
      <x:c r="W433"/>
      <x:c r="X433"/>
      <x:c r="Y433"/>
      <x:c r="Z433"/>
    </x:row>
    <x:row r="434">
      <x:c r="A434" t="str">
        <x:v>2026-09-01</x:v>
      </x:c>
      <x:c r="B434" t="str">
        <x:v>S01-R03</x:v>
      </x:c>
      <x:c r="C434" t="str">
        <x:v>HYBRID</x:v>
      </x:c>
      <x:c r="D434" t="str">
        <x:v>Real boosted SGPx</x:v>
      </x:c>
      <x:c r="E434" t="str">
        <x:v>MLB</x:v>
      </x:c>
      <x:c r="F434" t="str">
        <x:v>NYM @ TB</x:v>
      </x:c>
      <x:c r="G434" t="str">
        <x:v>Junior Caminero</x:v>
      </x:c>
      <x:c r="H434" t="str">
        <x:v>H+R+RBI</x:v>
      </x:c>
      <x:c r="I434" t="str">
        <x:v>2+ H+R+RBI</x:v>
      </x:c>
      <x:c r="J434" t="n">
        <x:v>2</x:v>
      </x:c>
      <x:c r="K434"/>
      <x:c r="L434"/>
      <x:c r="M434" t="str">
        <x:v>BET</x:v>
      </x:c>
      <x:c r="N434" t="str">
        <x:v>Y</x:v>
      </x:c>
      <x:c r="O434" t="str">
        <x:v>Win</x:v>
      </x:c>
      <x:c r="P434"/>
      <x:c r="Q434"/>
      <x:c r="R434" t="n">
        <x:v>1</x:v>
      </x:c>
      <x:c r="S434"/>
      <x:c r="T434"/>
      <x:c r="U434" t="str">
        <x:v>Same-game core; broad involvement expression.</x:v>
      </x:c>
      <x:c r="V434" t="str">
        <x:v>Cleared; ticket won.</x:v>
      </x:c>
      <x:c r="W434"/>
      <x:c r="X434"/>
      <x:c r="Y434"/>
      <x:c r="Z434"/>
    </x:row>
    <x:row r="435">
      <x:c r="A435" t="str">
        <x:v>2026-09-01</x:v>
      </x:c>
      <x:c r="B435" t="str">
        <x:v>S01-R04</x:v>
      </x:c>
      <x:c r="C435" t="str">
        <x:v>HYBRID</x:v>
      </x:c>
      <x:c r="D435" t="str">
        <x:v>HR boost + independent/source agreement</x:v>
      </x:c>
      <x:c r="E435" t="str">
        <x:v>MLB</x:v>
      </x:c>
      <x:c r="F435" t="str">
        <x:v>STL @ LAD</x:v>
      </x:c>
      <x:c r="G435" t="str">
        <x:v>Jordan Walker</x:v>
      </x:c>
      <x:c r="H435" t="str">
        <x:v>Home Run</x:v>
      </x:c>
      <x:c r="I435" t="str">
        <x:v>1+ home run</x:v>
      </x:c>
      <x:c r="J435" t="n">
        <x:v>1</x:v>
      </x:c>
      <x:c r="K435" t="n">
        <x:v>294</x:v>
      </x:c>
      <x:c r="L435" t="n">
        <x:v>0.2538</x:v>
      </x:c>
      <x:c r="M435" t="str">
        <x:v>BET</x:v>
      </x:c>
      <x:c r="N435" t="str">
        <x:v>Y</x:v>
      </x:c>
      <x:c r="O435" t="str">
        <x:v>Win</x:v>
      </x:c>
      <x:c r="P435" t="n">
        <x:v>1</x:v>
      </x:c>
      <x:c r="Q435"/>
      <x:c r="R435" t="n">
        <x:v>1</x:v>
      </x:c>
      <x:c r="S435"/>
      <x:c r="T435"/>
      <x:c r="U435" t="str">
        <x:v>High-variance HR single accepted only with matchup support and 50% boost.</x:v>
      </x:c>
      <x:c r="V435" t="str">
        <x:v>Hit HR; boosted ticket paid $5.41.</x:v>
      </x:c>
      <x:c r="W435"/>
      <x:c r="X435"/>
      <x:c r="Y435"/>
      <x:c r="Z435"/>
    </x:row>
    <x:row r="436">
      <x:c r="A436" t="str">
        <x:v>2026-09-02</x:v>
      </x:c>
      <x:c r="B436" t="str">
        <x:v>S02-R01</x:v>
      </x:c>
      <x:c r="C436" t="str">
        <x:v>HYBRID</x:v>
      </x:c>
      <x:c r="D436" t="str">
        <x:v>External outs source + independent audit</x:v>
      </x:c>
      <x:c r="E436" t="str">
        <x:v>MLB</x:v>
      </x:c>
      <x:c r="F436" t="str">
        <x:v>MIL @ CHC</x:v>
      </x:c>
      <x:c r="G436" t="str">
        <x:v>Jacob Misiorowski</x:v>
      </x:c>
      <x:c r="H436" t="str">
        <x:v>Pitcher Outs</x:v>
      </x:c>
      <x:c r="I436" t="str">
        <x:v>Over 17.5 outs</x:v>
      </x:c>
      <x:c r="J436" t="n">
        <x:v>17.5</x:v>
      </x:c>
      <x:c r="K436" t="n">
        <x:v>-136</x:v>
      </x:c>
      <x:c r="L436" t="n">
        <x:f>IF(K436="","",IF(K436&gt;0,100/(K436+100),-K436/(-K436+100)))</x:f>
        <x:v>0.576271186440678</x:v>
      </x:c>
      <x:c r="M436" t="str">
        <x:v>BET</x:v>
      </x:c>
      <x:c r="N436" t="str">
        <x:v>Y</x:v>
      </x:c>
      <x:c r="O436" t="str">
        <x:v>Loss</x:v>
      </x:c>
      <x:c r="P436" t="n">
        <x:v>0</x:v>
      </x:c>
      <x:c r="Q436" t="n">
        <x:v>12</x:v>
      </x:c>
      <x:c r="R436" t="n">
        <x:v>1</x:v>
      </x:c>
      <x:c r="S436" t="str">
        <x:v>S02-T04</x:v>
      </x:c>
      <x:c r="T436" t="str">
        <x:v>MATCHUP/HANDICAP MISCALCULATION</x:v>
      </x:c>
      <x:c r="U436" t="str">
        <x:v>Workload thesis expressed through outs instead of requiring 8+ Ks.</x:v>
      </x:c>
      <x:c r="V436" t="str">
        <x:v>Misiorowski lasted only 4.0 IP (12 outs), allowing 5 ER on 92 pitches. This was not a near-threshold miss; workload/efficiency thesis failed.</x:v>
      </x:c>
    </x:row>
    <x:row r="437">
      <x:c r="A437" t="str">
        <x:v>2026-09-02</x:v>
      </x:c>
      <x:c r="B437" t="str">
        <x:v>S02-R02</x:v>
      </x:c>
      <x:c r="C437" t="str">
        <x:v>HYBRID</x:v>
      </x:c>
      <x:c r="D437" t="str">
        <x:v>External K/outs sources + independent audit</x:v>
      </x:c>
      <x:c r="E437" t="str">
        <x:v>MLB</x:v>
      </x:c>
      <x:c r="F437" t="str">
        <x:v>TOR @ CLE</x:v>
      </x:c>
      <x:c r="G437" t="str">
        <x:v>Dylan Cease</x:v>
      </x:c>
      <x:c r="H437" t="str">
        <x:v>Strikeouts</x:v>
      </x:c>
      <x:c r="I437" t="str">
        <x:v>7+ strikeouts</x:v>
      </x:c>
      <x:c r="J437" t="n">
        <x:v>7</x:v>
      </x:c>
      <x:c r="K437" t="n">
        <x:v>-106</x:v>
      </x:c>
      <x:c r="L437" t="n">
        <x:f>IF(K437="","",IF(K437&gt;0,100/(K437+100),-K437/(-K437+100)))</x:f>
        <x:v>0.5145631067961165</x:v>
      </x:c>
      <x:c r="M437" t="str">
        <x:v>BET</x:v>
      </x:c>
      <x:c r="N437" t="str">
        <x:v>Y</x:v>
      </x:c>
      <x:c r="O437" t="str">
        <x:v>Loss</x:v>
      </x:c>
      <x:c r="P437" t="n">
        <x:v>0</x:v>
      </x:c>
      <x:c r="Q437" t="n">
        <x:v>4</x:v>
      </x:c>
      <x:c r="R437" t="n">
        <x:v>1</x:v>
      </x:c>
      <x:c r="S437" t="str">
        <x:v>S02-T03</x:v>
      </x:c>
      <x:c r="T437" t="str">
        <x:v>MARKET-EXPRESSION MISS</x:v>
      </x:c>
      <x:c r="U437" t="str">
        <x:v>At this price the K expression is preferable to O17.5 outs -154.</x:v>
      </x:c>
      <x:c r="V437" t="str">
        <x:v>Cease threw 6.0 scoreless innings but only 4 Ks. Outs paper arm cleared; K selection converted a correct run-prevention/workload read into the wrong market.</x:v>
      </x:c>
    </x:row>
    <x:row r="438">
      <x:c r="A438" t="str">
        <x:v>2026-09-02</x:v>
      </x:c>
      <x:c r="B438" t="str">
        <x:v>S02-R03</x:v>
      </x:c>
      <x:c r="C438" t="str">
        <x:v>HYBRID</x:v>
      </x:c>
      <x:c r="D438" t="str">
        <x:v>HR/TB/trend sources + Statcast audit</x:v>
      </x:c>
      <x:c r="E438" t="str">
        <x:v>MLB</x:v>
      </x:c>
      <x:c r="F438" t="str">
        <x:v>NYM @ TB</x:v>
      </x:c>
      <x:c r="G438" t="str">
        <x:v>Junior Caminero</x:v>
      </x:c>
      <x:c r="H438" t="str">
        <x:v>Total Bases</x:v>
      </x:c>
      <x:c r="I438" t="str">
        <x:v>2+ total bases</x:v>
      </x:c>
      <x:c r="J438" t="n">
        <x:v>2</x:v>
      </x:c>
      <x:c r="K438" t="n">
        <x:v>101</x:v>
      </x:c>
      <x:c r="L438" t="n">
        <x:f>IF(K438="","",IF(K438&gt;0,100/(K438+100),-K438/(-K438+100)))</x:f>
        <x:v>0.4975124378109453</x:v>
      </x:c>
      <x:c r="M438" t="str">
        <x:v>BET</x:v>
      </x:c>
      <x:c r="N438" t="str">
        <x:v>Y</x:v>
      </x:c>
      <x:c r="O438" t="str">
        <x:v>Loss</x:v>
      </x:c>
      <x:c r="P438" t="n">
        <x:v>0</x:v>
      </x:c>
      <x:c r="Q438" t="n">
        <x:v>0</x:v>
      </x:c>
      <x:c r="R438" t="n">
        <x:v>1</x:v>
      </x:c>
      <x:c r="S438" t="str">
        <x:v>S02-T02</x:v>
      </x:c>
      <x:c r="T438" t="str">
        <x:v>MATCHUP/HANDICAP MISCALCULATION</x:v>
      </x:c>
      <x:c r="U438" t="str">
        <x:v>Reject expensive 1+ hit -264 glue; +101 preserves multi-path extra-base upside.</x:v>
      </x:c>
      <x:c r="V438" t="str">
        <x:v>Caminero went hitless: 0 H, 0 R, 0 RBI, 0 TB. Hit/HRR/TB/HR paper controls all failed, so this was not a threshold or market-expression rescue case.</x:v>
      </x:c>
    </x:row>
    <x:row r="439">
      <x:c r="A439" t="str">
        <x:v>2026-09-02</x:v>
      </x:c>
      <x:c r="B439" t="str">
        <x:v>S02-R04</x:v>
      </x:c>
      <x:c r="C439" t="str">
        <x:v>HYBRID</x:v>
      </x:c>
      <x:c r="D439" t="str">
        <x:v>HR/BvP/model sources + independent audit</x:v>
      </x:c>
      <x:c r="E439" t="str">
        <x:v>MLB</x:v>
      </x:c>
      <x:c r="F439" t="str">
        <x:v>CHW @ HOU</x:v>
      </x:c>
      <x:c r="G439" t="str">
        <x:v>Yordan Alvarez</x:v>
      </x:c>
      <x:c r="H439" t="str">
        <x:v>Total Bases</x:v>
      </x:c>
      <x:c r="I439" t="str">
        <x:v>2+ total bases</x:v>
      </x:c>
      <x:c r="J439" t="n">
        <x:v>2</x:v>
      </x:c>
      <x:c r="K439" t="n">
        <x:v>-105</x:v>
      </x:c>
      <x:c r="L439" t="n">
        <x:f>IF(K439="","",IF(K439&gt;0,100/(K439+100),-K439/(-K439+100)))</x:f>
        <x:v>0.5121951219512195</x:v>
      </x:c>
      <x:c r="M439" t="str">
        <x:v>BET</x:v>
      </x:c>
      <x:c r="N439" t="str">
        <x:v>Y</x:v>
      </x:c>
      <x:c r="O439" t="str">
        <x:v>Win</x:v>
      </x:c>
      <x:c r="P439" t="n">
        <x:v>1</x:v>
      </x:c>
      <x:c r="Q439" t="n">
        <x:v>3</x:v>
      </x:c>
      <x:c r="R439" t="n">
        <x:v>1</x:v>
      </x:c>
      <x:c r="S439" t="str">
        <x:v>S02-T01</x:v>
      </x:c>
      <x:c r="T439"/>
      <x:c r="U439" t="str">
        <x:v>Power-specific thesis fits TB better than 1+ hit -289.</x:v>
      </x:c>
      <x:c r="V439" t="str">
        <x:v>Yordan went 2-for-4 including a double: 3 TB. Power/contact thesis was sound and 2+ TB was the right expression.</x:v>
      </x:c>
    </x:row>
    <x:row r="440">
      <x:c r="A440" t="str">
        <x:v>2026-09-02</x:v>
      </x:c>
      <x:c r="B440" t="str">
        <x:v>S02-R05</x:v>
      </x:c>
      <x:c r="C440" t="str">
        <x:v>HYBRID</x:v>
      </x:c>
      <x:c r="D440" t="str">
        <x:v>Independent K audit + external K source</x:v>
      </x:c>
      <x:c r="E440" t="str">
        <x:v>MLB</x:v>
      </x:c>
      <x:c r="F440" t="str">
        <x:v>NYY @ LAA</x:v>
      </x:c>
      <x:c r="G440" t="str">
        <x:v>Cam Schlittler</x:v>
      </x:c>
      <x:c r="H440" t="str">
        <x:v>Strikeouts</x:v>
      </x:c>
      <x:c r="I440" t="str">
        <x:v>8+ strikeouts</x:v>
      </x:c>
      <x:c r="J440" t="n">
        <x:v>8</x:v>
      </x:c>
      <x:c r="K440" t="n">
        <x:v>-141</x:v>
      </x:c>
      <x:c r="L440" t="n">
        <x:f>IF(K440="","",IF(K440&gt;0,100/(K440+100),-K440/(-K440+100)))</x:f>
        <x:v>0.5850622406639004</x:v>
      </x:c>
      <x:c r="M440" t="str">
        <x:v>QUALIFIED_NOT_BET</x:v>
      </x:c>
      <x:c r="N440" t="str">
        <x:v>N</x:v>
      </x:c>
      <x:c r="O440" t="str">
        <x:v>Pending</x:v>
      </x:c>
      <x:c r="P440"/>
      <x:c r="Q440"/>
      <x:c r="R440"/>
      <x:c r="S440"/>
      <x:c r="T440"/>
      <x:c r="U440" t="str">
        <x:v>K matchup is cleaner than O17.5 outs -173, but current real slots already carry two pitcher theses.</x:v>
      </x:c>
      <x:c r="V440" t="str">
        <x:v>First-in reserve if price/lineup changes weaken a top-four real candidate.</x:v>
      </x:c>
    </x:row>
    <x:row r="441">
      <x:c r="A441" t="str">
        <x:v>2026-09-02</x:v>
      </x:c>
      <x:c r="B441" t="str">
        <x:v>S02-R06</x:v>
      </x:c>
      <x:c r="C441" t="str">
        <x:v>HYBRID</x:v>
      </x:c>
      <x:c r="D441" t="str">
        <x:v>XEP + independent matchup audit</x:v>
      </x:c>
      <x:c r="E441" t="str">
        <x:v>MLB</x:v>
      </x:c>
      <x:c r="F441" t="str">
        <x:v>MIL @ CHC</x:v>
      </x:c>
      <x:c r="G441" t="str">
        <x:v>William Contreras</x:v>
      </x:c>
      <x:c r="H441" t="str">
        <x:v>Total Bases</x:v>
      </x:c>
      <x:c r="I441" t="str">
        <x:v>2+ total bases</x:v>
      </x:c>
      <x:c r="J441" t="n">
        <x:v>2</x:v>
      </x:c>
      <x:c r="K441" t="n">
        <x:v>116</x:v>
      </x:c>
      <x:c r="L441" t="n">
        <x:f>IF(K441="","",IF(K441&gt;0,100/(K441+100),-K441/(-K441+100)))</x:f>
        <x:v>0.46296296296296297</x:v>
      </x:c>
      <x:c r="M441" t="str">
        <x:v>QUALIFIED_NOT_BET</x:v>
      </x:c>
      <x:c r="N441" t="str">
        <x:v>N</x:v>
      </x:c>
      <x:c r="O441" t="str">
        <x:v>Pending</x:v>
      </x:c>
      <x:c r="P441"/>
      <x:c r="Q441"/>
      <x:c r="R441"/>
      <x:c r="S441"/>
      <x:c r="T441"/>
      <x:c r="U441" t="str">
        <x:v>Clean plus-money TB expression vs left-handed starter; no need to pay -261 for 1+ hit.</x:v>
      </x:c>
      <x:c r="V441" t="str">
        <x:v>Strong 50% boost challenger; held out to avoid overloading hitter slots before final lineup.</x:v>
      </x:c>
    </x:row>
    <x:row r="442">
      <x:c r="A442" t="str">
        <x:v>2026-09-02</x:v>
      </x:c>
      <x:c r="B442" t="str">
        <x:v>S02-R07</x:v>
      </x:c>
      <x:c r="C442" t="str">
        <x:v>SOURCED</x:v>
      </x:c>
      <x:c r="D442" t="str">
        <x:v>Discord best bet + independent matchup check</x:v>
      </x:c>
      <x:c r="E442" t="str">
        <x:v>MLB</x:v>
      </x:c>
      <x:c r="F442" t="str">
        <x:v>CHW @ HOU</x:v>
      </x:c>
      <x:c r="G442" t="str">
        <x:v>Isaac Paredes</x:v>
      </x:c>
      <x:c r="H442" t="str">
        <x:v>H+R+RBI</x:v>
      </x:c>
      <x:c r="I442" t="str">
        <x:v>2+ H+R+RBI</x:v>
      </x:c>
      <x:c r="J442" t="n">
        <x:v>2</x:v>
      </x:c>
      <x:c r="K442" t="n">
        <x:v>-116</x:v>
      </x:c>
      <x:c r="L442" t="n">
        <x:f>IF(K442="","",IF(K442&gt;0,100/(K442+100),-K442/(-K442+100)))</x:f>
        <x:v>0.5370370370370371</x:v>
      </x:c>
      <x:c r="M442" t="str">
        <x:v>QUALIFIED_NOT_BET</x:v>
      </x:c>
      <x:c r="N442" t="str">
        <x:v>N</x:v>
      </x:c>
      <x:c r="O442" t="str">
        <x:v>Pending</x:v>
      </x:c>
      <x:c r="P442"/>
      <x:c r="Q442"/>
      <x:c r="R442"/>
      <x:c r="S442"/>
      <x:c r="T442"/>
      <x:c r="U442" t="str">
        <x:v>Broad involvement thesis is better expressed by HRR than TB/HR.</x:v>
      </x:c>
      <x:c r="V442" t="str">
        <x:v>QNB mainly due same-game thesis concentration with Yordan real candidate.</x:v>
      </x:c>
    </x:row>
    <x:row r="443">
      <x:c r="A443" t="str">
        <x:v>2026-09-02</x:v>
      </x:c>
      <x:c r="B443" t="str">
        <x:v>S02-R08</x:v>
      </x:c>
      <x:c r="C443" t="str">
        <x:v>HYBRID</x:v>
      </x:c>
      <x:c r="D443" t="str">
        <x:v>UDLR/source trend + independent audit</x:v>
      </x:c>
      <x:c r="E443" t="str">
        <x:v>MLB</x:v>
      </x:c>
      <x:c r="F443" t="str">
        <x:v>ATH @ TEX</x:v>
      </x:c>
      <x:c r="G443" t="str">
        <x:v>Lawrence Butler</x:v>
      </x:c>
      <x:c r="H443" t="str">
        <x:v>H+R+RBI</x:v>
      </x:c>
      <x:c r="I443" t="str">
        <x:v>2+ H+R+RBI</x:v>
      </x:c>
      <x:c r="J443" t="n">
        <x:v>2</x:v>
      </x:c>
      <x:c r="K443" t="n">
        <x:v>108</x:v>
      </x:c>
      <x:c r="L443" t="n">
        <x:f>IF(K443="","",IF(K443&gt;0,100/(K443+100),-K443/(-K443+100)))</x:f>
        <x:v>0.4807692307692308</x:v>
      </x:c>
      <x:c r="M443" t="str">
        <x:v>QUALIFIED_NOT_BET</x:v>
      </x:c>
      <x:c r="N443" t="str">
        <x:v>N</x:v>
      </x:c>
      <x:c r="O443" t="str">
        <x:v>Pending</x:v>
      </x:c>
      <x:c r="P443"/>
      <x:c r="Q443"/>
      <x:c r="R443"/>
      <x:c r="S443"/>
      <x:c r="T443"/>
      <x:c r="U443" t="str">
        <x:v>Natural +100 HRR expression; stronger portfolio fit than expensive 1+ hit.</x:v>
      </x:c>
      <x:c r="V443" t="str">
        <x:v>QNB: early 2:35 ET game and boost priority currently Caminero; keep as paper/boost challenger.</x:v>
      </x:c>
    </x:row>
    <x:row r="444">
      <x:c r="A444" t="str">
        <x:v>2026-09-02</x:v>
      </x:c>
      <x:c r="B444" t="str">
        <x:v>S02-R09</x:v>
      </x:c>
      <x:c r="C444" t="str">
        <x:v>HYBRID</x:v>
      </x:c>
      <x:c r="D444" t="str">
        <x:v>BvP + recent-form source + price audit</x:v>
      </x:c>
      <x:c r="E444" t="str">
        <x:v>MLB</x:v>
      </x:c>
      <x:c r="F444" t="str">
        <x:v>DET @ MIN</x:v>
      </x:c>
      <x:c r="G444" t="str">
        <x:v>Gleyber Torres</x:v>
      </x:c>
      <x:c r="H444" t="str">
        <x:v>H+R+RBI</x:v>
      </x:c>
      <x:c r="I444" t="str">
        <x:v>2+ H+R+RBI</x:v>
      </x:c>
      <x:c r="J444" t="n">
        <x:v>2</x:v>
      </x:c>
      <x:c r="K444" t="n">
        <x:v>-108</x:v>
      </x:c>
      <x:c r="L444" t="n">
        <x:f>IF(K444="","",IF(K444&gt;0,100/(K444+100),-K444/(-K444+100)))</x:f>
        <x:v>0.5192307692307693</x:v>
      </x:c>
      <x:c r="M444" t="str">
        <x:v>QUALIFIED_NOT_BET</x:v>
      </x:c>
      <x:c r="N444" t="str">
        <x:v>N</x:v>
      </x:c>
      <x:c r="O444" t="str">
        <x:v>Pending</x:v>
      </x:c>
      <x:c r="P444"/>
      <x:c r="Q444"/>
      <x:c r="R444"/>
      <x:c r="S444"/>
      <x:c r="T444"/>
      <x:c r="U444" t="str">
        <x:v>Composite market preserves multiple paths and avoids -204 hit tax.</x:v>
      </x:c>
      <x:c r="V444" t="str">
        <x:v>Useful HRR-vs-TB paired test; not needed on concentrated real card.</x:v>
      </x:c>
    </x:row>
    <x:row r="445">
      <x:c r="A445" t="str">
        <x:v>2026-09-02</x:v>
      </x:c>
      <x:c r="B445" t="str">
        <x:v>S02-R10</x:v>
      </x:c>
      <x:c r="C445" t="str">
        <x:v>HYBRID</x:v>
      </x:c>
      <x:c r="D445" t="str">
        <x:v>Trend/XEP sources + price audit</x:v>
      </x:c>
      <x:c r="E445" t="str">
        <x:v>MLB</x:v>
      </x:c>
      <x:c r="F445" t="str">
        <x:v>DET @ MIN</x:v>
      </x:c>
      <x:c r="G445" t="str">
        <x:v>Luke Keaschall</x:v>
      </x:c>
      <x:c r="H445" t="str">
        <x:v>Total Bases</x:v>
      </x:c>
      <x:c r="I445" t="str">
        <x:v>2+ total bases</x:v>
      </x:c>
      <x:c r="J445" t="n">
        <x:v>2</x:v>
      </x:c>
      <x:c r="K445" t="n">
        <x:v>133</x:v>
      </x:c>
      <x:c r="L445" t="n">
        <x:f>IF(K445="","",IF(K445&gt;0,100/(K445+100),-K445/(-K445+100)))</x:f>
        <x:v>0.4291845493562232</x:v>
      </x:c>
      <x:c r="M445" t="str">
        <x:v>QUALIFIED_NOT_BET</x:v>
      </x:c>
      <x:c r="N445" t="str">
        <x:v>N</x:v>
      </x:c>
      <x:c r="O445" t="str">
        <x:v>Pending</x:v>
      </x:c>
      <x:c r="P445"/>
      <x:c r="Q445"/>
      <x:c r="R445"/>
      <x:c r="S445"/>
      <x:c r="T445"/>
      <x:c r="U445" t="str">
        <x:v>Recent TB signal plus plus-money price; compare directly with HRR -126.</x:v>
      </x:c>
      <x:c r="V445" t="str">
        <x:v>QNB due source-heavy recent-form dependence and limited real slots.</x:v>
      </x:c>
    </x:row>
    <x:row r="446">
      <x:c r="A446" t="str">
        <x:v>2026-09-02</x:v>
      </x:c>
      <x:c r="B446" t="str">
        <x:v>S02-R11</x:v>
      </x:c>
      <x:c r="C446" t="str">
        <x:v>HYBRID</x:v>
      </x:c>
      <x:c r="D446" t="str">
        <x:v>Multiple K sources + independent audit</x:v>
      </x:c>
      <x:c r="E446" t="str">
        <x:v>MLB</x:v>
      </x:c>
      <x:c r="F446" t="str">
        <x:v>STL @ LAD</x:v>
      </x:c>
      <x:c r="G446" t="str">
        <x:v>Yoshinobu Yamamoto</x:v>
      </x:c>
      <x:c r="H446" t="str">
        <x:v>Strikeouts</x:v>
      </x:c>
      <x:c r="I446" t="str">
        <x:v>7+ strikeouts</x:v>
      </x:c>
      <x:c r="J446" t="n">
        <x:v>7</x:v>
      </x:c>
      <x:c r="K446" t="n">
        <x:v>-149</x:v>
      </x:c>
      <x:c r="L446" t="n">
        <x:f>IF(K446="","",IF(K446&gt;0,100/(K446+100),-K446/(-K446+100)))</x:f>
        <x:v>0.5983935742971888</x:v>
      </x:c>
      <x:c r="M446" t="str">
        <x:v>QUALIFIED_NOT_BET</x:v>
      </x:c>
      <x:c r="N446" t="str">
        <x:v>N</x:v>
      </x:c>
      <x:c r="O446" t="str">
        <x:v>Pending</x:v>
      </x:c>
      <x:c r="P446"/>
      <x:c r="Q446"/>
      <x:c r="R446"/>
      <x:c r="S446"/>
      <x:c r="T446"/>
      <x:c r="U446" t="str">
        <x:v>Prefer K expression to 18.5 outs because thesis is whiff-driven and 19 outs adds workload dependence.</x:v>
      </x:c>
      <x:c r="V446" t="str">
        <x:v>Strong but below top pitcher pair on current price/portfolio fit.</x:v>
      </x:c>
    </x:row>
    <x:row r="447">
      <x:c r="A447" t="str">
        <x:v>2026-09-02</x:v>
      </x:c>
      <x:c r="B447" t="str">
        <x:v>S02-R12</x:v>
      </x:c>
      <x:c r="C447" t="str">
        <x:v>HYBRID</x:v>
      </x:c>
      <x:c r="D447" t="str">
        <x:v>PropKitchen + source K parlay + independent audit</x:v>
      </x:c>
      <x:c r="E447" t="str">
        <x:v>MLB</x:v>
      </x:c>
      <x:c r="F447" t="str">
        <x:v>MIA @ KC</x:v>
      </x:c>
      <x:c r="G447" t="str">
        <x:v>Noah Cameron</x:v>
      </x:c>
      <x:c r="H447" t="str">
        <x:v>Strikeouts</x:v>
      </x:c>
      <x:c r="I447" t="str">
        <x:v>5+ strikeouts</x:v>
      </x:c>
      <x:c r="J447" t="n">
        <x:v>5</x:v>
      </x:c>
      <x:c r="K447" t="n">
        <x:v>-123</x:v>
      </x:c>
      <x:c r="L447" t="n">
        <x:f>IF(K447="","",IF(K447&gt;0,100/(K447+100),-K447/(-K447+100)))</x:f>
        <x:v>0.5515695067264574</x:v>
      </x:c>
      <x:c r="M447" t="str">
        <x:v>BET</x:v>
      </x:c>
      <x:c r="N447" t="str">
        <x:v>Y</x:v>
      </x:c>
      <x:c r="O447" t="str">
        <x:v>Win</x:v>
      </x:c>
      <x:c r="P447" t="n">
        <x:v>1</x:v>
      </x:c>
      <x:c r="Q447" t="n">
        <x:v>5</x:v>
      </x:c>
      <x:c r="R447" t="n">
        <x:v>1</x:v>
      </x:c>
      <x:c r="S447" t="str">
        <x:v>S02-T06</x:v>
      </x:c>
      <x:c r="T447"/>
      <x:c r="U447" t="str">
        <x:v>Five-K threshold correctly matched the whiff thesis without requiring six full innings.</x:v>
      </x:c>
      <x:c r="V447" t="str">
        <x:v>Placed as outside leg of +325 raw / +489 boosted SGPx; cleared 5+ Ks.</x:v>
      </x:c>
    </x:row>
    <x:row r="448">
      <x:c r="A448" t="str">
        <x:v>2026-09-02</x:v>
      </x:c>
      <x:c r="B448" t="str">
        <x:v>S02-R13</x:v>
      </x:c>
      <x:c r="C448" t="str">
        <x:v>HYBRID</x:v>
      </x:c>
      <x:c r="D448" t="str">
        <x:v>2–4 PM HR boost + independent Coors/Sugano audit</x:v>
      </x:c>
      <x:c r="E448" t="str">
        <x:v>MLB</x:v>
      </x:c>
      <x:c r="F448" t="str">
        <x:v>BAL @ COL</x:v>
      </x:c>
      <x:c r="G448" t="str">
        <x:v>Pete Alonso</x:v>
      </x:c>
      <x:c r="H448" t="str">
        <x:v>Home Run</x:v>
      </x:c>
      <x:c r="I448" t="str">
        <x:v>1+ home run</x:v>
      </x:c>
      <x:c r="J448" t="n">
        <x:v>1</x:v>
      </x:c>
      <x:c r="K448" t="n">
        <x:v>251</x:v>
      </x:c>
      <x:c r="L448" t="n">
        <x:f>IF(K448="","",IF(K448&gt;0,100/(K448+100),-K448/(-K448+100)))</x:f>
        <x:v>0.2849002849002849</x:v>
      </x:c>
      <x:c r="M448" t="str">
        <x:v>BET</x:v>
      </x:c>
      <x:c r="N448" t="str">
        <x:v>Y</x:v>
      </x:c>
      <x:c r="O448" t="str">
        <x:v>Loss</x:v>
      </x:c>
      <x:c r="P448" t="n">
        <x:v>0</x:v>
      </x:c>
      <x:c r="Q448" t="n">
        <x:v>0</x:v>
      </x:c>
      <x:c r="R448" t="n">
        <x:v>1</x:v>
      </x:c>
      <x:c r="S448" t="str">
        <x:v>S02-T05</x:v>
      </x:c>
      <x:c r="T448" t="str">
        <x:v>NORMAL VARIANCE</x:v>
      </x:c>
      <x:c r="U448" t="str">
        <x:v>HR-specific mechanism: Coors + weak opposing starter + hard-contact profile; promo amplifies an independently qualified HR single.</x:v>
      </x:c>
      <x:c r="V448" t="str">
        <x:v>Alonso recorded an RBI single but no HR. HR mechanism was defensible; one-swing market did not convert. Boost improved price but not hit probability.</x:v>
      </x:c>
    </x:row>
    <x:row r="449">
      <x:c r="A449" t="str">
        <x:v>2026-09-02</x:v>
      </x:c>
      <x:c r="B449" t="str">
        <x:v>S02-R14</x:v>
      </x:c>
      <x:c r="C449" t="str">
        <x:v>HYBRID</x:v>
      </x:c>
      <x:c r="D449" t="str">
        <x:v>Late SGPx build + independent lineup/matchup audit</x:v>
      </x:c>
      <x:c r="E449" t="str">
        <x:v>MLB</x:v>
      </x:c>
      <x:c r="F449" t="str">
        <x:v>MIL @ CHC</x:v>
      </x:c>
      <x:c r="G449" t="str">
        <x:v>Jackson Chourio</x:v>
      </x:c>
      <x:c r="H449" t="str">
        <x:v>H+R+RBI</x:v>
      </x:c>
      <x:c r="I449" t="str">
        <x:v>2+ H+R+RBI</x:v>
      </x:c>
      <x:c r="J449" t="n">
        <x:v>2</x:v>
      </x:c>
      <x:c r="K449" t="n">
        <x:v>-166</x:v>
      </x:c>
      <x:c r="L449" t="n">
        <x:f>IF(K449="","",IF(K449&gt;0,100/(K449+100),-K449/(-K449+100)))</x:f>
        <x:v>0.6240601503759399</x:v>
      </x:c>
      <x:c r="M449" t="str">
        <x:v>BET</x:v>
      </x:c>
      <x:c r="N449" t="str">
        <x:v>Y</x:v>
      </x:c>
      <x:c r="O449" t="str">
        <x:v>Win</x:v>
      </x:c>
      <x:c r="P449" t="n">
        <x:v>1</x:v>
      </x:c>
      <x:c r="Q449" t="n">
        <x:v>7</x:v>
      </x:c>
      <x:c r="R449" t="n">
        <x:v>1</x:v>
      </x:c>
      <x:c r="S449" t="str">
        <x:v>S02-T06</x:v>
      </x:c>
      <x:c r="T449"/>
      <x:c r="U449" t="str">
        <x:v>Broad involvement expression against LHP: hit, run and RBI paths; avoided forcing TB/HR threshold.</x:v>
      </x:c>
      <x:c r="V449" t="str">
        <x:v>Won decisively: 4 H, 2 R, 1 RBI, 1 HR = 7 H+R+RBI.</x:v>
      </x:c>
    </x:row>
    <x:row r="450">
      <x:c r="A450" t="str">
        <x:v>2026-09-02</x:v>
      </x:c>
      <x:c r="B450" t="str">
        <x:v>S02-R15</x:v>
      </x:c>
      <x:c r="C450" t="str">
        <x:v>HYBRID</x:v>
      </x:c>
      <x:c r="D450" t="str">
        <x:v>Late SGPx build + earlier independent matchup audit</x:v>
      </x:c>
      <x:c r="E450" t="str">
        <x:v>MLB</x:v>
      </x:c>
      <x:c r="F450" t="str">
        <x:v>MIL @ CHC</x:v>
      </x:c>
      <x:c r="G450" t="str">
        <x:v>William Contreras</x:v>
      </x:c>
      <x:c r="H450" t="str">
        <x:v>H+R+RBI</x:v>
      </x:c>
      <x:c r="I450" t="str">
        <x:v>2+ H+R+RBI</x:v>
      </x:c>
      <x:c r="J450" t="n">
        <x:v>2</x:v>
      </x:c>
      <x:c r="K450" t="n">
        <x:v>-138</x:v>
      </x:c>
      <x:c r="L450" t="n">
        <x:f>IF(K450="","",IF(K450&gt;0,100/(K450+100),-K450/(-K450+100)))</x:f>
        <x:v>0.5798319327731093</x:v>
      </x:c>
      <x:c r="M450" t="str">
        <x:v>BET</x:v>
      </x:c>
      <x:c r="N450" t="str">
        <x:v>Y</x:v>
      </x:c>
      <x:c r="O450" t="str">
        <x:v>Win</x:v>
      </x:c>
      <x:c r="P450" t="n">
        <x:v>1</x:v>
      </x:c>
      <x:c r="Q450" t="n">
        <x:v>4</x:v>
      </x:c>
      <x:c r="R450" t="n">
        <x:v>1</x:v>
      </x:c>
      <x:c r="S450" t="str">
        <x:v>S02-T06</x:v>
      </x:c>
      <x:c r="T450"/>
      <x:c r="U450" t="str">
        <x:v>Composite preserved multiple paths and fit the right-handed matchup better than expensive 1+ hit glue.</x:v>
      </x:c>
      <x:c r="V450" t="str">
        <x:v>Won: 2 H, 1 R, 1 RBI = 4 H+R+RBI.</x:v>
      </x:c>
    </x:row>
    <x:row r="451">
      <x:c r="A451" t="str">
        <x:v>2026-09-03</x:v>
      </x:c>
      <x:c r="B451" t="str">
        <x:v>S03-R01</x:v>
      </x:c>
      <x:c r="C451" t="str">
        <x:v>HYBRID</x:v>
      </x:c>
      <x:c r="D451" t="str">
        <x:v>BvP + pitch-type advantage + independent market-expression audit</x:v>
      </x:c>
      <x:c r="E451" t="str">
        <x:v>MLB</x:v>
      </x:c>
      <x:c r="F451" t="str">
        <x:v>CHW @ HOU</x:v>
      </x:c>
      <x:c r="G451" t="str">
        <x:v>Yordan Alvarez</x:v>
      </x:c>
      <x:c r="H451" t="str">
        <x:v>Total Bases</x:v>
      </x:c>
      <x:c r="I451" t="str">
        <x:v>2+ total bases</x:v>
      </x:c>
      <x:c r="J451" t="n">
        <x:v>2</x:v>
      </x:c>
      <x:c r="K451" t="n">
        <x:v>-138</x:v>
      </x:c>
      <x:c r="L451" t="n">
        <x:v>0.5798319327731093</x:v>
      </x:c>
      <x:c r="M451" t="str">
        <x:v>BET</x:v>
      </x:c>
      <x:c r="N451" t="str">
        <x:v>Y</x:v>
      </x:c>
      <x:c r="O451" t="str">
        <x:v>Pending</x:v>
      </x:c>
      <x:c r="P451"/>
      <x:c r="Q451"/>
      <x:c r="R451" t="n">
        <x:v>1</x:v>
      </x:c>
      <x:c r="S451" t="str">
        <x:v>S03-T01</x:v>
      </x:c>
      <x:c r="T451"/>
      <x:c r="U451" t="str">
        <x:v>Damage-specific thesis favored TB over HRR/HR; 50% batter boost applied at ticket level.</x:v>
      </x:c>
      <x:c r="V451" t="str">
        <x:v>Raw -138; boosted ticket price +109. One real Yordan exposure only.</x:v>
      </x:c>
    </x:row>
    <x:row r="452">
      <x:c r="A452" t="str">
        <x:v>2026-09-03</x:v>
      </x:c>
      <x:c r="B452" t="str">
        <x:v>S03-R02</x:v>
      </x:c>
      <x:c r="C452" t="str">
        <x:v>HYBRID</x:v>
      </x:c>
      <x:c r="D452" t="str">
        <x:v>Prop source + independent workload/efficiency audit</x:v>
      </x:c>
      <x:c r="E452" t="str">
        <x:v>MLB</x:v>
      </x:c>
      <x:c r="F452" t="str">
        <x:v>BOS @ BAL</x:v>
      </x:c>
      <x:c r="G452" t="str">
        <x:v>Jake Bennett</x:v>
      </x:c>
      <x:c r="H452" t="str">
        <x:v>Pitcher Outs</x:v>
      </x:c>
      <x:c r="I452" t="str">
        <x:v>Over 16.5 outs</x:v>
      </x:c>
      <x:c r="J452" t="n">
        <x:v>16.5</x:v>
      </x:c>
      <x:c r="K452" t="n">
        <x:v>-112</x:v>
      </x:c>
      <x:c r="L452" t="n">
        <x:v>0.5283018867924528</x:v>
      </x:c>
      <x:c r="M452" t="str">
        <x:v>BET</x:v>
      </x:c>
      <x:c r="N452" t="str">
        <x:v>Y</x:v>
      </x:c>
      <x:c r="O452" t="str">
        <x:v>Pending</x:v>
      </x:c>
      <x:c r="P452"/>
      <x:c r="Q452"/>
      <x:c r="R452" t="n">
        <x:v>1</x:v>
      </x:c>
      <x:c r="S452" t="str">
        <x:v>S03-T02</x:v>
      </x:c>
      <x:c r="T452"/>
      <x:c r="U452" t="str">
        <x:v>Workload/efficiency thesis expressed through outs rather than Ks.</x:v>
      </x:c>
      <x:c r="V452" t="str">
        <x:v>No additional Bennett real exposure; K ladder reserved for paper.</x:v>
      </x:c>
    </x:row>
    <x:row r="453">
      <x:c r="A453" t="str">
        <x:v>2026-09-03</x:v>
      </x:c>
      <x:c r="B453" t="str">
        <x:v>S03-R03</x:v>
      </x:c>
      <x:c r="C453" t="str">
        <x:v>HYBRID</x:v>
      </x:c>
      <x:c r="D453" t="str">
        <x:v>Recent-form/source convergence + independent Gausman matchup audit</x:v>
      </x:c>
      <x:c r="E453" t="str">
        <x:v>MLB</x:v>
      </x:c>
      <x:c r="F453" t="str">
        <x:v>MIL @ CHC</x:v>
      </x:c>
      <x:c r="G453" t="str">
        <x:v>Jackson Chourio</x:v>
      </x:c>
      <x:c r="H453" t="str">
        <x:v>H+R+RBI</x:v>
      </x:c>
      <x:c r="I453" t="str">
        <x:v>2+ H+R+RBI</x:v>
      </x:c>
      <x:c r="J453" t="n">
        <x:v>2</x:v>
      </x:c>
      <x:c r="K453" t="n">
        <x:v>-149</x:v>
      </x:c>
      <x:c r="L453" t="n">
        <x:v>0.5983935742971888</x:v>
      </x:c>
      <x:c r="M453" t="str">
        <x:v>BET</x:v>
      </x:c>
      <x:c r="N453" t="str">
        <x:v>Y</x:v>
      </x:c>
      <x:c r="O453" t="str">
        <x:v>Pending</x:v>
      </x:c>
      <x:c r="P453"/>
      <x:c r="Q453"/>
      <x:c r="R453" t="n">
        <x:v>0.3333333333333333</x:v>
      </x:c>
      <x:c r="S453" t="str">
        <x:v>S03-T03</x:v>
      </x:c>
      <x:c r="T453"/>
      <x:c r="U453" t="str">
        <x:v>Broad involvement expression selected over 2+ TB and expensive 1+ hit glue.</x:v>
      </x:c>
      <x:c r="V453" t="str">
        <x:v>Same-game offensive core leg; raw individual price -149.</x:v>
      </x:c>
    </x:row>
    <x:row r="454">
      <x:c r="A454" t="str">
        <x:v>2026-09-03</x:v>
      </x:c>
      <x:c r="B454" t="str">
        <x:v>S03-R04</x:v>
      </x:c>
      <x:c r="C454" t="str">
        <x:v>HYBRID</x:v>
      </x:c>
      <x:c r="D454" t="str">
        <x:v>Recent-form/source convergence + independent Gausman matchup audit</x:v>
      </x:c>
      <x:c r="E454" t="str">
        <x:v>MLB</x:v>
      </x:c>
      <x:c r="F454" t="str">
        <x:v>MIL @ CHC</x:v>
      </x:c>
      <x:c r="G454" t="str">
        <x:v>William Contreras</x:v>
      </x:c>
      <x:c r="H454" t="str">
        <x:v>H+R+RBI</x:v>
      </x:c>
      <x:c r="I454" t="str">
        <x:v>2+ H+R+RBI</x:v>
      </x:c>
      <x:c r="J454" t="n">
        <x:v>2</x:v>
      </x:c>
      <x:c r="K454" t="n">
        <x:v>-116</x:v>
      </x:c>
      <x:c r="L454" t="n">
        <x:v>0.5370370370370371</x:v>
      </x:c>
      <x:c r="M454" t="str">
        <x:v>BET</x:v>
      </x:c>
      <x:c r="N454" t="str">
        <x:v>Y</x:v>
      </x:c>
      <x:c r="O454" t="str">
        <x:v>Pending</x:v>
      </x:c>
      <x:c r="P454"/>
      <x:c r="Q454"/>
      <x:c r="R454" t="n">
        <x:v>0.3333333333333333</x:v>
      </x:c>
      <x:c r="S454" t="str">
        <x:v>S03-T03</x:v>
      </x:c>
      <x:c r="T454"/>
      <x:c r="U454" t="str">
        <x:v>Composite preserves hit/run/RBI paths and avoids narrower 2+ TB requirement.</x:v>
      </x:c>
      <x:c r="V454" t="str">
        <x:v>Same-game offensive core leg; raw individual price -116.</x:v>
      </x:c>
    </x:row>
    <x:row r="455">
      <x:c r="A455" t="str">
        <x:v>2026-09-03</x:v>
      </x:c>
      <x:c r="B455" t="str">
        <x:v>S03-R05</x:v>
      </x:c>
      <x:c r="C455" t="str">
        <x:v>HYBRID</x:v>
      </x:c>
      <x:c r="D455" t="str">
        <x:v>External EV source U15.5 + independent rookie workload audit + DK price check</x:v>
      </x:c>
      <x:c r="E455" t="str">
        <x:v>MLB</x:v>
      </x:c>
      <x:c r="F455" t="str">
        <x:v>ATH @ SEA</x:v>
      </x:c>
      <x:c r="G455" t="str">
        <x:v>Kade Anderson</x:v>
      </x:c>
      <x:c r="H455" t="str">
        <x:v>Pitcher Outs</x:v>
      </x:c>
      <x:c r="I455" t="str">
        <x:v>Under 16.5 outs</x:v>
      </x:c>
      <x:c r="J455" t="n">
        <x:v>16.5</x:v>
      </x:c>
      <x:c r="K455" t="n">
        <x:v>-117</x:v>
      </x:c>
      <x:c r="L455" t="n">
        <x:v>0.5391705069124424</x:v>
      </x:c>
      <x:c r="M455" t="str">
        <x:v>BET</x:v>
      </x:c>
      <x:c r="N455" t="str">
        <x:v>Y</x:v>
      </x:c>
      <x:c r="O455" t="str">
        <x:v>Pending</x:v>
      </x:c>
      <x:c r="P455"/>
      <x:c r="Q455"/>
      <x:c r="R455" t="n">
        <x:v>0.3333333333333333</x:v>
      </x:c>
      <x:c r="S455" t="str">
        <x:v>S03-T03</x:v>
      </x:c>
      <x:c r="T455"/>
      <x:c r="U455" t="str">
        <x:v>Short-workload / pitch-count thesis is cleaner through outs than K suppression.</x:v>
      </x:c>
      <x:c r="V455" t="str">
        <x:v>Outside SGPx leg; exact DK U16.5 -117. Source model referenced U15.5, so this is an independently re-evaluated threshold.</x:v>
      </x:c>
    </x:row>
    <x:row r="456">
      <x:c r="A456" t="str">
        <x:v>2026-09-03</x:v>
      </x:c>
      <x:c r="B456" t="str">
        <x:v>S03-R06</x:v>
      </x:c>
      <x:c r="C456" t="str">
        <x:v>HYBRID</x:v>
      </x:c>
      <x:c r="D456" t="str">
        <x:v>PropKitchen + hits-allowed trend + independent contact-expression audit</x:v>
      </x:c>
      <x:c r="E456" t="str">
        <x:v>MLB</x:v>
      </x:c>
      <x:c r="F456" t="str">
        <x:v>MIL @ CHC</x:v>
      </x:c>
      <x:c r="G456" t="str">
        <x:v>Kevin Gausman</x:v>
      </x:c>
      <x:c r="H456" t="str">
        <x:v>Hits Allowed</x:v>
      </x:c>
      <x:c r="I456" t="str">
        <x:v>Over 4.5 hits allowed</x:v>
      </x:c>
      <x:c r="J456" t="n">
        <x:v>4.5</x:v>
      </x:c>
      <x:c r="K456" t="n">
        <x:v>-139</x:v>
      </x:c>
      <x:c r="L456" t="n">
        <x:v>0.5815899581589958</x:v>
      </x:c>
      <x:c r="M456" t="str">
        <x:v>QUALIFIED_NOT_BET</x:v>
      </x:c>
      <x:c r="N456" t="str">
        <x:v>N</x:v>
      </x:c>
      <x:c r="O456" t="str">
        <x:v>Pending</x:v>
      </x:c>
      <x:c r="P456"/>
      <x:c r="Q456"/>
      <x:c r="R456"/>
      <x:c r="S456"/>
      <x:c r="T456"/>
      <x:c r="U456" t="str">
        <x:v>Broad Milwaukee contact thesis may be cleaner at pitcher level than selecting one hitter.</x:v>
      </x:c>
      <x:c r="V456" t="str">
        <x:v>QNB: would triple-concentrate MIL offensive thesis with Chourio/Contreras; paper/control only.</x:v>
      </x:c>
    </x:row>
    <x:row r="457">
      <x:c r="A457" t="str">
        <x:v>2026-09-03</x:v>
      </x:c>
      <x:c r="B457" t="str">
        <x:v>S03-R07</x:v>
      </x:c>
      <x:c r="C457" t="str">
        <x:v>HYBRID</x:v>
      </x:c>
      <x:c r="D457" t="str">
        <x:v>Late-game lineup/price audit + current-form support</x:v>
      </x:c>
      <x:c r="E457" t="str">
        <x:v>MLB</x:v>
      </x:c>
      <x:c r="F457" t="str">
        <x:v>STL @ LAD</x:v>
      </x:c>
      <x:c r="G457" t="str">
        <x:v>Mookie Betts</x:v>
      </x:c>
      <x:c r="H457" t="str">
        <x:v>H+R+RBI</x:v>
      </x:c>
      <x:c r="I457" t="str">
        <x:v>2+ H+R+RBI</x:v>
      </x:c>
      <x:c r="J457" t="n">
        <x:v>2</x:v>
      </x:c>
      <x:c r="K457" t="n">
        <x:v>-141</x:v>
      </x:c>
      <x:c r="L457" t="n">
        <x:v>0.5850622406639004</x:v>
      </x:c>
      <x:c r="M457" t="str">
        <x:v>QUALIFIED_NOT_BET</x:v>
      </x:c>
      <x:c r="N457" t="str">
        <x:v>N</x:v>
      </x:c>
      <x:c r="O457" t="str">
        <x:v>Pending</x:v>
      </x:c>
      <x:c r="P457"/>
      <x:c r="Q457"/>
      <x:c r="R457"/>
      <x:c r="S457"/>
      <x:c r="T457"/>
      <x:c r="U457" t="str">
        <x:v>Multi-path involvement preferred to 2+ TB when broad LAD offense is the thesis.</x:v>
      </x:c>
      <x:c r="V457" t="str">
        <x:v>QNB: strong option but below existing SGPx structure; paper paired with TB and 1+ hit.</x:v>
      </x:c>
    </x:row>
    <x:row r="458">
      <x:c r="A458" t="str">
        <x:v>2026-09-03</x:v>
      </x:c>
      <x:c r="B458" t="str">
        <x:v>S03-R08</x:v>
      </x:c>
      <x:c r="C458" t="str">
        <x:v>HYBRID</x:v>
      </x:c>
      <x:c r="D458" t="str">
        <x:v>Skubal form + market-expression audit</x:v>
      </x:c>
      <x:c r="E458" t="str">
        <x:v>MLB</x:v>
      </x:c>
      <x:c r="F458" t="str">
        <x:v>STL @ LAD</x:v>
      </x:c>
      <x:c r="G458" t="str">
        <x:v>Tarik Skubal</x:v>
      </x:c>
      <x:c r="H458" t="str">
        <x:v>Hits Allowed</x:v>
      </x:c>
      <x:c r="I458" t="str">
        <x:v>Under 4.5 hits allowed</x:v>
      </x:c>
      <x:c r="J458" t="n">
        <x:v>4.5</x:v>
      </x:c>
      <x:c r="K458" t="n">
        <x:v>-135</x:v>
      </x:c>
      <x:c r="L458" t="n">
        <x:v>0.574468085106383</x:v>
      </x:c>
      <x:c r="M458" t="str">
        <x:v>QUALIFIED_NOT_BET</x:v>
      </x:c>
      <x:c r="N458" t="str">
        <x:v>N</x:v>
      </x:c>
      <x:c r="O458" t="str">
        <x:v>Pending</x:v>
      </x:c>
      <x:c r="P458"/>
      <x:c r="Q458"/>
      <x:c r="R458"/>
      <x:c r="S458"/>
      <x:c r="T458"/>
      <x:c r="U458" t="str">
        <x:v>Run-prevention/contact suppression may be more stable than requiring 8+ Ks.</x:v>
      </x:c>
      <x:c r="V458" t="str">
        <x:v>QNB: avoid adding another pitcher-dominance single; paper paired against 8+ Ks and O4.5 HA challenger.</x:v>
      </x:c>
    </x:row>
    <x:row r="459">
      <x:c r="A459" t="str">
        <x:v>2026-09-03</x:v>
      </x:c>
      <x:c r="B459" t="str">
        <x:v>S03-R09</x:v>
      </x:c>
      <x:c r="C459" t="str">
        <x:v>HYBRID</x:v>
      </x:c>
      <x:c r="D459" t="str">
        <x:v>Hit-streak source + price/pitch-type audit</x:v>
      </x:c>
      <x:c r="E459" t="str">
        <x:v>MLB</x:v>
      </x:c>
      <x:c r="F459" t="str">
        <x:v>ATH @ SEA</x:v>
      </x:c>
      <x:c r="G459" t="str">
        <x:v>Lawrence Butler</x:v>
      </x:c>
      <x:c r="H459" t="str">
        <x:v>Hits</x:v>
      </x:c>
      <x:c r="I459" t="str">
        <x:v>1+ hit</x:v>
      </x:c>
      <x:c r="J459" t="n">
        <x:v>1</x:v>
      </x:c>
      <x:c r="K459" t="n">
        <x:v>-128</x:v>
      </x:c>
      <x:c r="L459" t="n">
        <x:v>0.5614035087719298</x:v>
      </x:c>
      <x:c r="M459" t="str">
        <x:v>QUALIFIED_NOT_BET</x:v>
      </x:c>
      <x:c r="N459" t="str">
        <x:v>N</x:v>
      </x:c>
      <x:c r="O459" t="str">
        <x:v>Pending</x:v>
      </x:c>
      <x:c r="P459"/>
      <x:c r="Q459"/>
      <x:c r="R459"/>
      <x:c r="S459"/>
      <x:c r="T459"/>
      <x:c r="U459" t="str">
        <x:v>Cheap relative to typical 1+ hit glue, but streak alone is not enough for real-money promotion.</x:v>
      </x:c>
      <x:c r="V459" t="str">
        <x:v>Paper market-expression cluster vs 2+ HRR +153 and 2+ TB +228.</x:v>
      </x:c>
    </x:row>
    <x:row r="460">
      <x:c r="A460" t="str">
        <x:v>2026-09-05</x:v>
      </x:c>
      <x:c r="B460" t="str">
        <x:v>S05-R01</x:v>
      </x:c>
      <x:c r="C460" t="str">
        <x:v>INDEPENDENT</x:v>
      </x:c>
      <x:c r="D460" t="str">
        <x:v>Source-blind soccer audit + market-expression comparison</x:v>
      </x:c>
      <x:c r="E460" t="str">
        <x:v>Soccer</x:v>
      </x:c>
      <x:c r="F460" t="str">
        <x:v>Manchester City vs Coventry</x:v>
      </x:c>
      <x:c r="G460" t="str">
        <x:v>Manchester City</x:v>
      </x:c>
      <x:c r="H460" t="str">
        <x:v>Team Total Goals</x:v>
      </x:c>
      <x:c r="I460" t="str">
        <x:v>Over 2.5 team goals</x:v>
      </x:c>
      <x:c r="J460" t="n">
        <x:v>2.5</x:v>
      </x:c>
      <x:c r="K460" t="n">
        <x:v>-134</x:v>
      </x:c>
      <x:c r="L460" t="n">
        <x:v>0.5726495726495726</x:v>
      </x:c>
      <x:c r="M460" t="str">
        <x:v>BET</x:v>
      </x:c>
      <x:c r="N460" t="str">
        <x:v>Y</x:v>
      </x:c>
      <x:c r="O460" t="str">
        <x:v>Pending</x:v>
      </x:c>
      <x:c r="P460"/>
      <x:c r="Q460"/>
      <x:c r="R460" t="n">
        <x:v>1</x:v>
      </x:c>
      <x:c r="S460" t="str">
        <x:v>S05-T01</x:v>
      </x:c>
      <x:c r="T460"/>
      <x:c r="U460" t="str">
        <x:v>Broad team-scoring expression preferred to narrower player shots/SOT and high corner thresholds.</x:v>
      </x:c>
      <x:c r="V460" t="str">
        <x:v>User confirmed placement with “Done.” Result and settlement remain pending.</x:v>
      </x:c>
      <x:c r="W460"/>
      <x:c r="X460"/>
      <x:c r="Y460"/>
      <x:c r="Z460"/>
    </x:row>
    <x:row r="461">
      <x:c r="A461" t="str">
        <x:v>2026-09-05</x:v>
      </x:c>
      <x:c r="B461" t="str">
        <x:v>S05-R02</x:v>
      </x:c>
      <x:c r="C461" t="str">
        <x:v>INDEPENDENT</x:v>
      </x:c>
      <x:c r="D461" t="str">
        <x:v>Frozen full-slate CFB player-prop board</x:v>
      </x:c>
      <x:c r="E461" t="str">
        <x:v>CFB</x:v>
      </x:c>
      <x:c r="F461" t="str">
        <x:v>Houston vs Oregon State</x:v>
      </x:c>
      <x:c r="G461" t="str">
        <x:v>Makhi Hughes</x:v>
      </x:c>
      <x:c r="H461" t="str">
        <x:v>Rushing Yards</x:v>
      </x:c>
      <x:c r="I461" t="str">
        <x:v>76+ rushing yards</x:v>
      </x:c>
      <x:c r="J461" t="n">
        <x:v>76</x:v>
      </x:c>
      <x:c r="K461" t="n">
        <x:v>-118</x:v>
      </x:c>
      <x:c r="L461" t="n">
        <x:v>0.5412844036697247</x:v>
      </x:c>
      <x:c r="M461" t="str">
        <x:v>BET</x:v>
      </x:c>
      <x:c r="N461" t="str">
        <x:v>Y</x:v>
      </x:c>
      <x:c r="O461" t="str">
        <x:v>Pending</x:v>
      </x:c>
      <x:c r="P461"/>
      <x:c r="Q461"/>
      <x:c r="R461" t="n">
        <x:v>1</x:v>
      </x:c>
      <x:c r="S461" t="str">
        <x:v>S05-T02</x:v>
      </x:c>
      <x:c r="T461"/>
      <x:c r="U461" t="str">
        <x:v>Role, rushing mechanism and positive game script supported the 76+ threshold without a promo-driven ladder.</x:v>
      </x:c>
      <x:c r="V461" t="str">
        <x:v>Chat grade 88/A. User confirmed all three CFB recommendations were placed. Exact boosted price remains unavailable.</x:v>
      </x:c>
      <x:c r="W461"/>
      <x:c r="X461"/>
      <x:c r="Y461"/>
      <x:c r="Z461"/>
    </x:row>
    <x:row r="462">
      <x:c r="A462" t="str">
        <x:v>2026-09-05</x:v>
      </x:c>
      <x:c r="B462" t="str">
        <x:v>S05-R03</x:v>
      </x:c>
      <x:c r="C462" t="str">
        <x:v>INDEPENDENT</x:v>
      </x:c>
      <x:c r="D462" t="str">
        <x:v>Frozen full-slate CFB player-prop board</x:v>
      </x:c>
      <x:c r="E462" t="str">
        <x:v>CFB</x:v>
      </x:c>
      <x:c r="F462" t="str">
        <x:v>Houston vs Oregon State</x:v>
      </x:c>
      <x:c r="G462" t="str">
        <x:v>Amare Thomas</x:v>
      </x:c>
      <x:c r="H462" t="str">
        <x:v>Receiving Yards</x:v>
      </x:c>
      <x:c r="I462" t="str">
        <x:v>70+ receiving yards</x:v>
      </x:c>
      <x:c r="J462" t="n">
        <x:v>70</x:v>
      </x:c>
      <x:c r="K462" t="n">
        <x:v>101</x:v>
      </x:c>
      <x:c r="L462" t="n">
        <x:v>0.4975124378109453</x:v>
      </x:c>
      <x:c r="M462" t="str">
        <x:v>BET</x:v>
      </x:c>
      <x:c r="N462" t="str">
        <x:v>Y</x:v>
      </x:c>
      <x:c r="O462" t="str">
        <x:v>Pending</x:v>
      </x:c>
      <x:c r="P462"/>
      <x:c r="Q462"/>
      <x:c r="R462" t="n">
        <x:v>1</x:v>
      </x:c>
      <x:c r="S462" t="str">
        <x:v>S05-T03</x:v>
      </x:c>
      <x:c r="T462"/>
      <x:c r="U462" t="str">
        <x:v>The 70+ threshold was only three yards above the 67+ line while crossing to a naturally plus-money price.</x:v>
      </x:c>
      <x:c r="V462" t="str">
        <x:v>Chat grade A. User confirmed all three CFB recommendations were placed. Exact boosted price remains unavailable.</x:v>
      </x:c>
      <x:c r="W462"/>
      <x:c r="X462"/>
      <x:c r="Y462"/>
      <x:c r="Z462"/>
    </x:row>
    <x:row r="463">
      <x:c r="A463" t="str">
        <x:v>2026-09-05</x:v>
      </x:c>
      <x:c r="B463" t="str">
        <x:v>S05-R04</x:v>
      </x:c>
      <x:c r="C463" t="str">
        <x:v>INDEPENDENT</x:v>
      </x:c>
      <x:c r="D463" t="str">
        <x:v>Frozen full-slate CFB player-prop board</x:v>
      </x:c>
      <x:c r="E463" t="str">
        <x:v>CFB</x:v>
      </x:c>
      <x:c r="F463" t="str">
        <x:v>Penn State vs Marshall</x:v>
      </x:c>
      <x:c r="G463" t="str">
        <x:v>Carson Hansen</x:v>
      </x:c>
      <x:c r="H463" t="str">
        <x:v>Rushing Yards</x:v>
      </x:c>
      <x:c r="I463" t="str">
        <x:v>80+ rushing yards</x:v>
      </x:c>
      <x:c r="J463" t="n">
        <x:v>80</x:v>
      </x:c>
      <x:c r="K463" t="n">
        <x:v>-122</x:v>
      </x:c>
      <x:c r="L463" t="n">
        <x:v>0.5495495495495496</x:v>
      </x:c>
      <x:c r="M463" t="str">
        <x:v>BET</x:v>
      </x:c>
      <x:c r="N463" t="str">
        <x:v>Y</x:v>
      </x:c>
      <x:c r="O463" t="str">
        <x:v>Loss</x:v>
      </x:c>
      <x:c r="P463" t="str">
        <x:v>N</x:v>
      </x:c>
      <x:c r="Q463" t="n">
        <x:v>48</x:v>
      </x:c>
      <x:c r="R463" t="n">
        <x:v>1</x:v>
      </x:c>
      <x:c r="S463" t="str">
        <x:v>S05-T04</x:v>
      </x:c>
      <x:c r="T463" t="str">
        <x:v>Role/workload miscalculation + selection/construction error</x:v>
      </x:c>
      <x:c r="U463" t="str">
        <x:v>The team rushing script was correct, but a three-way backfield split invalidated the individual 80-yard workload assumption. Rocco Becht 220+ passing was a qualified alternative and finished with 271 yards.</x:v>
      </x:c>
      <x:c r="V463" t="str">
        <x:v>Hansen finished with 48 rushing yards on 11 carries. The selection process did not verify expected carry concentration before using the leg in the parlay.</x:v>
      </x:c>
      <x:c r="W463"/>
      <x:c r="X463"/>
      <x:c r="Y463"/>
      <x:c r="Z463"/>
    </x:row>
    <x:row r="464">
      <x:c r="A464" t="str">
        <x:v>2026-09-05</x:v>
      </x:c>
      <x:c r="B464" t="str">
        <x:v>S05-R05</x:v>
      </x:c>
      <x:c r="C464" t="str">
        <x:v>INDEPENDENT</x:v>
      </x:c>
      <x:c r="D464" t="str">
        <x:v>Frozen full-slate CFB player-prop board</x:v>
      </x:c>
      <x:c r="E464" t="str">
        <x:v>CFB</x:v>
      </x:c>
      <x:c r="F464" t="str">
        <x:v>Iowa vs Northern Illinois</x:v>
      </x:c>
      <x:c r="G464" t="str">
        <x:v>Kamari Moulton</x:v>
      </x:c>
      <x:c r="H464" t="str">
        <x:v>Rushing Yards</x:v>
      </x:c>
      <x:c r="I464" t="str">
        <x:v>70+ rushing yards</x:v>
      </x:c>
      <x:c r="J464" t="n">
        <x:v>70</x:v>
      </x:c>
      <x:c r="K464" t="n">
        <x:v>-148</x:v>
      </x:c>
      <x:c r="L464" t="n">
        <x:v>0.5967741935483871</x:v>
      </x:c>
      <x:c r="M464" t="str">
        <x:v>BET</x:v>
      </x:c>
      <x:c r="N464" t="str">
        <x:v>Y</x:v>
      </x:c>
      <x:c r="O464" t="str">
        <x:v>Pending</x:v>
      </x:c>
      <x:c r="P464"/>
      <x:c r="Q464"/>
      <x:c r="R464" t="n">
        <x:v>1</x:v>
      </x:c>
      <x:c r="S464" t="str">
        <x:v>S05-T04</x:v>
      </x:c>
      <x:c r="T464"/>
      <x:c r="U464" t="str">
        <x:v>Independently qualified rushing-volume leg selected before parlay construction.</x:v>
      </x:c>
      <x:c r="V464" t="str">
        <x:v>User confirmed the three-leg CFB parlay was placed.</x:v>
      </x:c>
      <x:c r="W464"/>
      <x:c r="X464"/>
      <x:c r="Y464"/>
      <x:c r="Z464"/>
    </x:row>
    <x:row r="465">
      <x:c r="A465" t="str">
        <x:v>2026-09-05</x:v>
      </x:c>
      <x:c r="B465" t="str">
        <x:v>S05-R06</x:v>
      </x:c>
      <x:c r="C465" t="str">
        <x:v>INDEPENDENT</x:v>
      </x:c>
      <x:c r="D465" t="str">
        <x:v>Frozen full-slate CFB player-prop board</x:v>
      </x:c>
      <x:c r="E465" t="str">
        <x:v>CFB</x:v>
      </x:c>
      <x:c r="F465" t="str">
        <x:v>Oregon vs Boise State</x:v>
      </x:c>
      <x:c r="G465" t="str">
        <x:v>Dakorien Moore</x:v>
      </x:c>
      <x:c r="H465" t="str">
        <x:v>Receiving Yards</x:v>
      </x:c>
      <x:c r="I465" t="str">
        <x:v>50+ receiving yards</x:v>
      </x:c>
      <x:c r="J465" t="n">
        <x:v>50</x:v>
      </x:c>
      <x:c r="K465" t="n">
        <x:v>-141</x:v>
      </x:c>
      <x:c r="L465" t="n">
        <x:v>0.5850622406639004</x:v>
      </x:c>
      <x:c r="M465" t="str">
        <x:v>BET</x:v>
      </x:c>
      <x:c r="N465" t="str">
        <x:v>Y</x:v>
      </x:c>
      <x:c r="O465" t="str">
        <x:v>Pending</x:v>
      </x:c>
      <x:c r="P465"/>
      <x:c r="Q465"/>
      <x:c r="R465" t="n">
        <x:v>1</x:v>
      </x:c>
      <x:c r="S465" t="str">
        <x:v>S05-T04</x:v>
      </x:c>
      <x:c r="T465"/>
      <x:c r="U465" t="str">
        <x:v>Independently qualified receiving-volume leg selected before parlay construction.</x:v>
      </x:c>
      <x:c r="V465" t="str">
        <x:v>User confirmed the three-leg CFB parlay was placed.</x:v>
      </x:c>
      <x:c r="W465"/>
      <x:c r="X465"/>
      <x:c r="Y465"/>
      <x:c r="Z465"/>
    </x:row>
  </x:sheetData>
  <x:conditionalFormatting sqref="O2:O56">
    <x:cfRule type="expression" dxfId="0" priority="1">
      <x:formula>O2="Win"</x:formula>
    </x:cfRule>
    <x:cfRule type="expression" dxfId="1" priority="2">
      <x:formula>O2="Loss"</x:formula>
    </x:cfRule>
  </x:conditionalFormatting>
  <x:dataValidations count="3">
    <x:dataValidation type="list" sqref="M2:M200">
      <x:formula1>"BET,QUALIFIED_NOT_BET,REJECTED,WATCH"</x:formula1>
    </x:dataValidation>
    <x:dataValidation type="list" sqref="O2:O200">
      <x:formula1>"Win,Loss,Push,Pending"</x:formula1>
    </x:dataValidation>
    <x:dataValidation type="list" sqref="C2:C200">
      <x:formula1>"SOURCED,DISCOVERED,HYBRID,ROLLER"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98d686f08c465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42" hidden="0" customWidth="1"/>
    <x:col min="5" max="5" width="10" hidden="0" customWidth="1"/>
    <x:col min="6" max="6" width="12" hidden="0" customWidth="1"/>
    <x:col min="7" max="7" width="10" hidden="0" customWidth="1"/>
    <x:col min="8" max="8" width="8" hidden="0" customWidth="1"/>
    <x:col min="9" max="9" width="10" hidden="0" customWidth="1"/>
    <x:col min="10" max="10" width="10" hidden="0" customWidth="1"/>
    <x:col min="11" max="11" width="10" hidden="0" customWidth="1"/>
    <x:col min="12" max="12" width="18" hidden="0" customWidth="1"/>
    <x:col min="13" max="13" width="42" hidden="0" customWidth="1"/>
  </x:cols>
  <x:sheetData>
    <x:row r="1" ht="28" customHeight="1">
      <x:c r="A1" s="537" t="str">
        <x:v>TICKET LOG</x:v>
      </x:c>
    </x:row>
    <x:row r="2" ht="24" customHeight="1">
      <x:c r="A2" s="31" t="str">
        <x:v>Placed tickets only. Pending results stay blank until separately verified.</x:v>
      </x:c>
    </x:row>
    <x:row r="4" ht="30" customHeight="1">
      <x:c r="A4" s="31" t="str">
        <x:v>Date</x:v>
      </x:c>
      <x:c r="B4" s="31" t="str">
        <x:v>Ticket ID</x:v>
      </x:c>
      <x:c r="C4" s="31" t="str">
        <x:v>Origin</x:v>
      </x:c>
      <x:c r="D4" s="31" t="str">
        <x:v>Description</x:v>
      </x:c>
      <x:c r="E4" s="538" t="str">
        <x:v>Stake</x:v>
      </x:c>
      <x:c r="F4" s="80" t="str">
        <x:v>Odds (American)</x:v>
      </x:c>
      <x:c r="G4" s="534" t="str">
        <x:v>Boosted?</x:v>
      </x:c>
      <x:c r="H4" s="80" t="str">
        <x:v>Legs</x:v>
      </x:c>
      <x:c r="I4" s="534" t="str">
        <x:v>Result</x:v>
      </x:c>
      <x:c r="J4" s="538" t="str">
        <x:v>Payout</x:v>
      </x:c>
      <x:c r="K4" s="538" t="str">
        <x:v>P/L</x:v>
      </x:c>
      <x:c r="L4" s="31" t="str">
        <x:v>Promo / Special</x:v>
      </x:c>
      <x:c r="M4" s="31" t="str">
        <x:v>Execution Note</x:v>
      </x:c>
    </x:row>
    <x:row r="5" ht="38" customHeight="1">
      <x:c r="A5" s="31" t="str">
        <x:v>2026-08-24</x:v>
      </x:c>
      <x:c r="B5" s="31" t="str">
        <x:v>A24-T01</x:v>
      </x:c>
      <x:c r="C5" s="31" t="str">
        <x:v>SOURCED</x:v>
      </x:c>
      <x:c r="D5" s="31" t="str">
        <x:v>Collier 30+ PRA</x:v>
      </x:c>
      <x:c r="E5" s="538" t="n">
        <x:v>1</x:v>
      </x:c>
      <x:c r="F5" s="80" t="n">
        <x:v>-149</x:v>
      </x:c>
      <x:c r="G5" s="534" t="str">
        <x:v>N</x:v>
      </x:c>
      <x:c r="H5" s="80" t="n">
        <x:v>1</x:v>
      </x:c>
      <x:c r="I5" s="534" t="str">
        <x:v>Loss</x:v>
      </x:c>
      <x:c r="J5" s="538" t="n">
        <x:v>0</x:v>
      </x:c>
      <x:c r="K5" s="538" t="n">
        <x:v>-1</x:v>
      </x:c>
      <x:c r="L5" s="31" t="str"/>
      <x:c r="M5" s="31" t="str"/>
    </x:row>
    <x:row r="6" ht="38" customHeight="1">
      <x:c r="A6" s="31" t="str">
        <x:v>2026-08-24</x:v>
      </x:c>
      <x:c r="B6" s="31" t="str">
        <x:v>A24-T02</x:v>
      </x:c>
      <x:c r="C6" s="31" t="str">
        <x:v>HYBRID</x:v>
      </x:c>
      <x:c r="D6" s="31" t="str">
        <x:v>PCA HR</x:v>
      </x:c>
      <x:c r="E6" s="538" t="n">
        <x:v>5</x:v>
      </x:c>
      <x:c r="F6" s="80" t="n">
        <x:v>343</x:v>
      </x:c>
      <x:c r="G6" s="534" t="str">
        <x:v>N</x:v>
      </x:c>
      <x:c r="H6" s="80" t="n">
        <x:v>1</x:v>
      </x:c>
      <x:c r="I6" s="534" t="str">
        <x:v>Loss</x:v>
      </x:c>
      <x:c r="J6" s="538" t="n">
        <x:v>0</x:v>
      </x:c>
      <x:c r="K6" s="538" t="n">
        <x:v>-5</x:v>
      </x:c>
      <x:c r="L6" s="31" t="str">
        <x:v>HR promo</x:v>
      </x:c>
      <x:c r="M6" s="31" t="str"/>
    </x:row>
    <x:row r="7" ht="38" customHeight="1">
      <x:c r="A7" s="31" t="str">
        <x:v>2026-08-24</x:v>
      </x:c>
      <x:c r="B7" s="31" t="str">
        <x:v>A24-T03</x:v>
      </x:c>
      <x:c r="C7" s="31" t="str">
        <x:v>SOURCED</x:v>
      </x:c>
      <x:c r="D7" s="31" t="str">
        <x:v>Tatis 2+ TB</x:v>
      </x:c>
      <x:c r="E7" s="538" t="n">
        <x:v>2</x:v>
      </x:c>
      <x:c r="F7" s="80" t="n">
        <x:v>115</x:v>
      </x:c>
      <x:c r="G7" s="534" t="str">
        <x:v>N</x:v>
      </x:c>
      <x:c r="H7" s="80" t="n">
        <x:v>1</x:v>
      </x:c>
      <x:c r="I7" s="534" t="str">
        <x:v>Loss</x:v>
      </x:c>
      <x:c r="J7" s="538" t="n">
        <x:v>0</x:v>
      </x:c>
      <x:c r="K7" s="538" t="n">
        <x:v>-2</x:v>
      </x:c>
      <x:c r="L7" s="31" t="str">
        <x:v>Conviction single</x:v>
      </x:c>
      <x:c r="M7" s="31" t="str"/>
    </x:row>
    <x:row r="8" ht="38" customHeight="1">
      <x:c r="A8" s="31" t="str">
        <x:v>2026-08-24</x:v>
      </x:c>
      <x:c r="B8" s="31" t="str">
        <x:v>A24-T04</x:v>
      </x:c>
      <x:c r="C8" s="31" t="str">
        <x:v>SOURCED</x:v>
      </x:c>
      <x:c r="D8" s="31" t="str">
        <x:v>PCA 2+ TB</x:v>
      </x:c>
      <x:c r="E8" s="538" t="n">
        <x:v>2</x:v>
      </x:c>
      <x:c r="F8" s="80" t="n">
        <x:v>-126</x:v>
      </x:c>
      <x:c r="G8" s="534" t="str">
        <x:v>N</x:v>
      </x:c>
      <x:c r="H8" s="80" t="n">
        <x:v>1</x:v>
      </x:c>
      <x:c r="I8" s="534" t="str">
        <x:v>Loss</x:v>
      </x:c>
      <x:c r="J8" s="538" t="n">
        <x:v>0</x:v>
      </x:c>
      <x:c r="K8" s="538" t="n">
        <x:v>-2</x:v>
      </x:c>
      <x:c r="L8" s="31" t="str">
        <x:v>Conviction single</x:v>
      </x:c>
      <x:c r="M8" s="31" t="str">
        <x:v>Entry deteriorated materially from sourced +122.</x:v>
      </x:c>
    </x:row>
    <x:row r="9" ht="38" customHeight="1">
      <x:c r="A9" s="31" t="str">
        <x:v>2026-08-24</x:v>
      </x:c>
      <x:c r="B9" s="31" t="str">
        <x:v>A24-T05</x:v>
      </x:c>
      <x:c r="C9" s="31" t="str">
        <x:v>CREATED</x:v>
      </x:c>
      <x:c r="D9" s="31" t="str">
        <x:v>Collier 3+ AST + Under 159.5 + MIN -6.5</x:v>
      </x:c>
      <x:c r="E9" s="538" t="n">
        <x:v>1</x:v>
      </x:c>
      <x:c r="F9" s="80" t="n">
        <x:v>683</x:v>
      </x:c>
      <x:c r="G9" s="534" t="str">
        <x:v>Y</x:v>
      </x:c>
      <x:c r="H9" s="80" t="n">
        <x:v>3</x:v>
      </x:c>
      <x:c r="I9" s="534" t="str">
        <x:v>Loss</x:v>
      </x:c>
      <x:c r="J9" s="538" t="n">
        <x:v>0</x:v>
      </x:c>
      <x:c r="K9" s="538" t="n">
        <x:v>-1</x:v>
      </x:c>
      <x:c r="L9" s="31" t="str">
        <x:v>WNBA promo SGP</x:v>
      </x:c>
      <x:c r="M9" s="31" t="str"/>
    </x:row>
    <x:row r="10" ht="38" customHeight="1">
      <x:c r="A10" s="31" t="str">
        <x:v>2026-08-24</x:v>
      </x:c>
      <x:c r="B10" s="31" t="str">
        <x:v>A24-T06</x:v>
      </x:c>
      <x:c r="C10" s="31" t="str">
        <x:v>CREATED</x:v>
      </x:c>
      <x:c r="D10" s="31" t="str">
        <x:v>TB/DET NRFI + Caminero 2+ HRR + Framber &lt;=7 hits</x:v>
      </x:c>
      <x:c r="E10" s="538" t="n">
        <x:v>4</x:v>
      </x:c>
      <x:c r="F10" s="80" t="n">
        <x:v>416</x:v>
      </x:c>
      <x:c r="G10" s="534" t="str">
        <x:v>Y</x:v>
      </x:c>
      <x:c r="H10" s="80" t="n">
        <x:v>3</x:v>
      </x:c>
      <x:c r="I10" s="534" t="str">
        <x:v>Loss</x:v>
      </x:c>
      <x:c r="J10" s="538" t="n">
        <x:v>0</x:v>
      </x:c>
      <x:c r="K10" s="538" t="n">
        <x:v>-4</x:v>
      </x:c>
      <x:c r="L10" s="31" t="str">
        <x:v>MLB promo SGP</x:v>
      </x:c>
      <x:c r="M10" s="31" t="str">
        <x:v>Stake intended $1; $4 was accidental misclick (+$3 execution error).</x:v>
      </x:c>
    </x:row>
    <x:row r="11" ht="38" customHeight="1">
      <x:c r="A11" s="31" t="str">
        <x:v>2026-08-24</x:v>
      </x:c>
      <x:c r="B11" s="31" t="str">
        <x:v>A24-T07</x:v>
      </x:c>
      <x:c r="C11" s="31" t="str">
        <x:v>CREATED</x:v>
      </x:c>
      <x:c r="D11" s="31" t="str">
        <x:v>Kody Clemens HR + Jackson Merrill HR</x:v>
      </x:c>
      <x:c r="E11" s="538" t="n">
        <x:v>0.89</x:v>
      </x:c>
      <x:c r="F11" s="80" t="n">
        <x:v>2446</x:v>
      </x:c>
      <x:c r="G11" s="534" t="str">
        <x:v>N</x:v>
      </x:c>
      <x:c r="H11" s="80" t="n">
        <x:v>2</x:v>
      </x:c>
      <x:c r="I11" s="534" t="str">
        <x:v>Loss</x:v>
      </x:c>
      <x:c r="J11" s="538" t="n">
        <x:v>0</x:v>
      </x:c>
      <x:c r="K11" s="538" t="n">
        <x:v>-0.89</x:v>
      </x:c>
      <x:c r="L11" s="31" t="str">
        <x:v>HR satellite</x:v>
      </x:c>
      <x:c r="M11" s="31" t="str"/>
    </x:row>
    <x:row r="12" ht="38" customHeight="1">
      <x:c r="A12" s="31" t="str">
        <x:v>2026-08-24</x:v>
      </x:c>
      <x:c r="B12" s="31" t="str">
        <x:v>A24-T08</x:v>
      </x:c>
      <x:c r="C12" s="31" t="str">
        <x:v>ADJUSTED</x:v>
      </x:c>
      <x:c r="D12" s="31" t="str">
        <x:v>Caminero 2+ HRR + PCA 2+ TB + Tatis 1+ hit</x:v>
      </x:c>
      <x:c r="E12" s="538" t="n">
        <x:v>1</x:v>
      </x:c>
      <x:c r="F12" s="80" t="n">
        <x:v>323</x:v>
      </x:c>
      <x:c r="G12" s="534" t="str">
        <x:v>N</x:v>
      </x:c>
      <x:c r="H12" s="80" t="n">
        <x:v>3</x:v>
      </x:c>
      <x:c r="I12" s="534" t="str">
        <x:v>Loss</x:v>
      </x:c>
      <x:c r="J12" s="538" t="n">
        <x:v>0</x:v>
      </x:c>
      <x:c r="K12" s="538" t="n">
        <x:v>-1</x:v>
      </x:c>
      <x:c r="L12" s="31" t="str"/>
      <x:c r="M12" s="31" t="str">
        <x:v>Replaced Burns K over; original also would have lost.</x:v>
      </x:c>
    </x:row>
    <x:row r="13" ht="38" customHeight="1">
      <x:c r="A13" s="31" t="str">
        <x:v>2026-08-24</x:v>
      </x:c>
      <x:c r="B13" s="31" t="str">
        <x:v>A24-T09</x:v>
      </x:c>
      <x:c r="C13" s="31" t="str">
        <x:v>SOURCED_ORIGINAL</x:v>
      </x:c>
      <x:c r="D13" s="31" t="str">
        <x:v>Robbie Ray O16.5 outs + Atlanta -9.5</x:v>
      </x:c>
      <x:c r="E13" s="538" t="n">
        <x:v>1</x:v>
      </x:c>
      <x:c r="F13" s="80" t="n">
        <x:v>190</x:v>
      </x:c>
      <x:c r="G13" s="534" t="str">
        <x:v>N</x:v>
      </x:c>
      <x:c r="H13" s="80" t="n">
        <x:v>2</x:v>
      </x:c>
      <x:c r="I13" s="534" t="str">
        <x:v>Loss</x:v>
      </x:c>
      <x:c r="J13" s="538" t="n">
        <x:v>0</x:v>
      </x:c>
      <x:c r="K13" s="538" t="n">
        <x:v>-1</x:v>
      </x:c>
      <x:c r="L13" s="31" t="str"/>
      <x:c r="M13" s="31" t="str"/>
    </x:row>
    <x:row r="14" ht="38" customHeight="1">
      <x:c r="A14" s="31" t="str">
        <x:v>2026-08-24</x:v>
      </x:c>
      <x:c r="B14" s="31" t="str">
        <x:v>A24-T10</x:v>
      </x:c>
      <x:c r="C14" s="31" t="str">
        <x:v>SOURCED_ORIGINAL</x:v>
      </x:c>
      <x:c r="D14" s="31" t="str">
        <x:v>TB/DET NRFI + BOS/MIA NRFI + PHI/SEA NRFI</x:v>
      </x:c>
      <x:c r="E14" s="538" t="n">
        <x:v>1</x:v>
      </x:c>
      <x:c r="F14" s="80" t="n">
        <x:v>374</x:v>
      </x:c>
      <x:c r="G14" s="534" t="str">
        <x:v>N</x:v>
      </x:c>
      <x:c r="H14" s="80" t="n">
        <x:v>3</x:v>
      </x:c>
      <x:c r="I14" s="534" t="str">
        <x:v>Loss</x:v>
      </x:c>
      <x:c r="J14" s="538" t="n">
        <x:v>0</x:v>
      </x:c>
      <x:c r="K14" s="538" t="n">
        <x:v>-1</x:v>
      </x:c>
      <x:c r="L14" s="31" t="str"/>
      <x:c r="M14" s="31" t="str"/>
    </x:row>
    <x:row r="15" ht="38" customHeight="1">
      <x:c r="A15" s="31" t="str">
        <x:v>2026-08-24</x:v>
      </x:c>
      <x:c r="B15" s="31" t="str">
        <x:v>A24-T11</x:v>
      </x:c>
      <x:c r="C15" s="31" t="str">
        <x:v>SOURCED_ORIGINAL</x:v>
      </x:c>
      <x:c r="D15" s="31" t="str">
        <x:v>Zebby U4.5 Ks + Framber &lt;=7 hits</x:v>
      </x:c>
      <x:c r="E15" s="538" t="n">
        <x:v>1</x:v>
      </x:c>
      <x:c r="F15" s="80" t="n">
        <x:v>112</x:v>
      </x:c>
      <x:c r="G15" s="534" t="str">
        <x:v>N</x:v>
      </x:c>
      <x:c r="H15" s="80" t="n">
        <x:v>2</x:v>
      </x:c>
      <x:c r="I15" s="534" t="str">
        <x:v>Loss</x:v>
      </x:c>
      <x:c r="J15" s="538" t="n">
        <x:v>0</x:v>
      </x:c>
      <x:c r="K15" s="538" t="n">
        <x:v>-1</x:v>
      </x:c>
      <x:c r="L15" s="31" t="str"/>
      <x:c r="M15" s="31" t="str"/>
    </x:row>
    <x:row r="16" ht="38" customHeight="1">
      <x:c r="A16" s="31" t="str">
        <x:v>2026-08-24</x:v>
      </x:c>
      <x:c r="B16" s="31" t="str">
        <x:v>A24-T12</x:v>
      </x:c>
      <x:c r="C16" s="31" t="str">
        <x:v>ROLLER</x:v>
      </x:c>
      <x:c r="D16" s="31" t="str">
        <x:v>Olivia Miles 15+ points + Janelle Salaun 10+ points</x:v>
      </x:c>
      <x:c r="E16" s="538" t="n">
        <x:v>25.62</x:v>
      </x:c>
      <x:c r="F16" s="80" t="n">
        <x:v>-145</x:v>
      </x:c>
      <x:c r="G16" s="534" t="str">
        <x:v>N</x:v>
      </x:c>
      <x:c r="H16" s="80" t="n">
        <x:v>2</x:v>
      </x:c>
      <x:c r="I16" s="534" t="str">
        <x:v>Loss</x:v>
      </x:c>
      <x:c r="J16" s="538" t="n">
        <x:v>0</x:v>
      </x:c>
      <x:c r="K16" s="538" t="n">
        <x:v>-25.62</x:v>
      </x:c>
      <x:c r="L16" s="31" t="str">
        <x:v>Roller</x:v>
      </x:c>
      <x:c r="M16" s="31" t="str">
        <x:v>Roller strategy retired permanently.</x:v>
      </x:c>
    </x:row>
    <x:row r="17" ht="38" customHeight="1">
      <x:c r="A17" s="31" t="str">
        <x:v>2026-08-25</x:v>
      </x:c>
      <x:c r="B17" s="31" t="str">
        <x:v>A25-T01</x:v>
      </x:c>
      <x:c r="C17" s="31" t="str">
        <x:v>DISCOVERED</x:v>
      </x:c>
      <x:c r="D17" s="31" t="str">
        <x:v>Ethan Pecko U14.5 outs</x:v>
      </x:c>
      <x:c r="E17" s="538" t="n">
        <x:v>1</x:v>
      </x:c>
      <x:c r="F17" s="80" t="n">
        <x:v>-106</x:v>
      </x:c>
      <x:c r="G17" s="534" t="str">
        <x:v>N</x:v>
      </x:c>
      <x:c r="H17" s="80" t="n">
        <x:v>1</x:v>
      </x:c>
      <x:c r="I17" s="534" t="str">
        <x:v>Win</x:v>
      </x:c>
      <x:c r="J17" s="538" t="n">
        <x:v>1.9433962264150944</x:v>
      </x:c>
      <x:c r="K17" s="538" t="n">
        <x:v>0.9433962264150944</x:v>
      </x:c>
      <x:c r="L17" s="31" t="str"/>
      <x:c r="M17" s="31" t="str"/>
    </x:row>
    <x:row r="18" ht="38" customHeight="1">
      <x:c r="A18" s="31" t="str">
        <x:v>2026-08-25</x:v>
      </x:c>
      <x:c r="B18" s="31" t="str">
        <x:v>A25-T02</x:v>
      </x:c>
      <x:c r="C18" s="31" t="str">
        <x:v>DISCOVERED</x:v>
      </x:c>
      <x:c r="D18" s="31" t="str">
        <x:v>Max Scherzer U3.5 Ks</x:v>
      </x:c>
      <x:c r="E18" s="538" t="n">
        <x:v>1</x:v>
      </x:c>
      <x:c r="F18" s="80" t="n">
        <x:v>126</x:v>
      </x:c>
      <x:c r="G18" s="534" t="str">
        <x:v>N</x:v>
      </x:c>
      <x:c r="H18" s="80" t="n">
        <x:v>1</x:v>
      </x:c>
      <x:c r="I18" s="534" t="str">
        <x:v>Loss</x:v>
      </x:c>
      <x:c r="J18" s="538" t="n">
        <x:v>0</x:v>
      </x:c>
      <x:c r="K18" s="538" t="n">
        <x:v>-1</x:v>
      </x:c>
      <x:c r="L18" s="31" t="str"/>
      <x:c r="M18" s="31" t="str"/>
    </x:row>
    <x:row r="19" ht="38" customHeight="1">
      <x:c r="A19" s="31" t="str">
        <x:v>2026-08-25</x:v>
      </x:c>
      <x:c r="B19" s="31" t="str">
        <x:v>A25-T03</x:v>
      </x:c>
      <x:c r="C19" s="31" t="str">
        <x:v>SOURCED</x:v>
      </x:c>
      <x:c r="D19" s="31" t="str">
        <x:v>Nick Sogard 2+ TB</x:v>
      </x:c>
      <x:c r="E19" s="538" t="n">
        <x:v>1</x:v>
      </x:c>
      <x:c r="F19" s="80" t="n">
        <x:v>138</x:v>
      </x:c>
      <x:c r="G19" s="534" t="str">
        <x:v>N</x:v>
      </x:c>
      <x:c r="H19" s="80" t="n">
        <x:v>1</x:v>
      </x:c>
      <x:c r="I19" s="534" t="str">
        <x:v>Loss</x:v>
      </x:c>
      <x:c r="J19" s="538" t="n">
        <x:v>0</x:v>
      </x:c>
      <x:c r="K19" s="538" t="n">
        <x:v>-1</x:v>
      </x:c>
      <x:c r="L19" s="31" t="str"/>
      <x:c r="M19" s="31" t="str"/>
    </x:row>
    <x:row r="20" ht="38" customHeight="1">
      <x:c r="A20" s="31" t="str">
        <x:v>2026-08-25</x:v>
      </x:c>
      <x:c r="B20" s="31" t="str">
        <x:v>A25-T04</x:v>
      </x:c>
      <x:c r="C20" s="31" t="str">
        <x:v>DISCOVERED</x:v>
      </x:c>
      <x:c r="D20" s="31" t="str">
        <x:v>Yordan Alvarez 2+ TB</x:v>
      </x:c>
      <x:c r="E20" s="538" t="n">
        <x:v>1</x:v>
      </x:c>
      <x:c r="F20" s="80" t="n">
        <x:v>-105</x:v>
      </x:c>
      <x:c r="G20" s="534" t="str">
        <x:v>N</x:v>
      </x:c>
      <x:c r="H20" s="80" t="n">
        <x:v>1</x:v>
      </x:c>
      <x:c r="I20" s="534" t="str">
        <x:v>Win</x:v>
      </x:c>
      <x:c r="J20" s="538" t="n">
        <x:v>1.9523809523809523</x:v>
      </x:c>
      <x:c r="K20" s="538" t="n">
        <x:v>0.9523809523809523</x:v>
      </x:c>
      <x:c r="L20" s="31" t="str"/>
      <x:c r="M20" s="31" t="str"/>
    </x:row>
    <x:row r="21" ht="38" customHeight="1">
      <x:c r="A21" s="31" t="str">
        <x:v>2026-08-25</x:v>
      </x:c>
      <x:c r="B21" s="31" t="str">
        <x:v>A25-T05</x:v>
      </x:c>
      <x:c r="C21" s="31" t="str">
        <x:v>SOURCED</x:v>
      </x:c>
      <x:c r="D21" s="31" t="str">
        <x:v>Shakira Austin O27.5 P+R</x:v>
      </x:c>
      <x:c r="E21" s="538" t="n">
        <x:v>1</x:v>
      </x:c>
      <x:c r="F21" s="80" t="n">
        <x:v>-112</x:v>
      </x:c>
      <x:c r="G21" s="534" t="str">
        <x:v>N</x:v>
      </x:c>
      <x:c r="H21" s="80" t="n">
        <x:v>1</x:v>
      </x:c>
      <x:c r="I21" s="534" t="str">
        <x:v>Loss</x:v>
      </x:c>
      <x:c r="J21" s="538" t="n">
        <x:v>0</x:v>
      </x:c>
      <x:c r="K21" s="538" t="n">
        <x:v>-1</x:v>
      </x:c>
      <x:c r="L21" s="31" t="str"/>
      <x:c r="M21" s="31" t="str"/>
    </x:row>
    <x:row r="22" ht="38" customHeight="1">
      <x:c r="A22" s="31" t="str">
        <x:v>2026-08-25</x:v>
      </x:c>
      <x:c r="B22" s="31" t="str">
        <x:v>A25-T06</x:v>
      </x:c>
      <x:c r="C22" s="31" t="str">
        <x:v>HYBRID</x:v>
      </x:c>
      <x:c r="D22" s="31" t="str">
        <x:v>Max Muncy HR</x:v>
      </x:c>
      <x:c r="E22" s="538" t="n">
        <x:v>1</x:v>
      </x:c>
      <x:c r="F22" s="80" t="n">
        <x:v>335</x:v>
      </x:c>
      <x:c r="G22" s="534" t="str">
        <x:v>N</x:v>
      </x:c>
      <x:c r="H22" s="80" t="n">
        <x:v>1</x:v>
      </x:c>
      <x:c r="I22" s="534" t="str">
        <x:v>Loss</x:v>
      </x:c>
      <x:c r="J22" s="538" t="n">
        <x:v>0</x:v>
      </x:c>
      <x:c r="K22" s="538" t="n">
        <x:v>-1</x:v>
      </x:c>
      <x:c r="L22" s="31" t="str">
        <x:v>HR single</x:v>
      </x:c>
      <x:c r="M22" s="31" t="str"/>
    </x:row>
    <x:row r="23" ht="38" customHeight="1">
      <x:c r="A23" s="31" t="str">
        <x:v>2026-08-25</x:v>
      </x:c>
      <x:c r="B23" s="31" t="str">
        <x:v>A25-T07</x:v>
      </x:c>
      <x:c r="C23" s="31" t="str">
        <x:v>HYBRID</x:v>
      </x:c>
      <x:c r="D23" s="31" t="str">
        <x:v>Aaron Nola O5.5 Ks + Michael King O17.5 outs</x:v>
      </x:c>
      <x:c r="E23" s="538" t="n">
        <x:v>1</x:v>
      </x:c>
      <x:c r="F23" s="80" t="n">
        <x:v>225</x:v>
      </x:c>
      <x:c r="G23" s="534" t="str">
        <x:v>N</x:v>
      </x:c>
      <x:c r="H23" s="80" t="n">
        <x:v>2</x:v>
      </x:c>
      <x:c r="I23" s="534" t="str">
        <x:v>Win</x:v>
      </x:c>
      <x:c r="J23" s="538" t="n">
        <x:v>3.25</x:v>
      </x:c>
      <x:c r="K23" s="538" t="n">
        <x:v>2.25</x:v>
      </x:c>
      <x:c r="L23" s="31" t="str"/>
      <x:c r="M23" s="31" t="str"/>
    </x:row>
    <x:row r="24" ht="38" customHeight="1">
      <x:c r="A24" s="31" t="str">
        <x:v>2026-08-25</x:v>
      </x:c>
      <x:c r="B24" s="31" t="str">
        <x:v>A25-T08</x:v>
      </x:c>
      <x:c r="C24" s="31" t="str">
        <x:v>HYBRID</x:v>
      </x:c>
      <x:c r="D24" s="31" t="str">
        <x:v>Freeman 1+ hit + Yordan 1+ hit + Witt 1+ hit</x:v>
      </x:c>
      <x:c r="E24" s="538" t="n">
        <x:v>1</x:v>
      </x:c>
      <x:c r="F24" s="80" t="n">
        <x:v>164</x:v>
      </x:c>
      <x:c r="G24" s="534" t="str">
        <x:v>N</x:v>
      </x:c>
      <x:c r="H24" s="80" t="n">
        <x:v>3</x:v>
      </x:c>
      <x:c r="I24" s="534" t="str">
        <x:v>Loss</x:v>
      </x:c>
      <x:c r="J24" s="538" t="n">
        <x:v>0</x:v>
      </x:c>
      <x:c r="K24" s="538" t="n">
        <x:v>-1</x:v>
      </x:c>
      <x:c r="L24" s="31" t="str"/>
      <x:c r="M24" s="31" t="str"/>
    </x:row>
    <x:row r="25" ht="38" customHeight="1">
      <x:c r="A25" s="31" t="str">
        <x:v>2026-08-25</x:v>
      </x:c>
      <x:c r="B25" s="31" t="str">
        <x:v>A25-T09</x:v>
      </x:c>
      <x:c r="C25" s="31" t="str">
        <x:v>CREATED</x:v>
      </x:c>
      <x:c r="D25" s="31" t="str">
        <x:v>Ohtani 1+ hit + Elder U4.5 Ks + Freeman 2+ TB</x:v>
      </x:c>
      <x:c r="E25" s="538" t="n">
        <x:v>1</x:v>
      </x:c>
      <x:c r="F25" s="80" t="n">
        <x:v>385</x:v>
      </x:c>
      <x:c r="G25" s="534" t="str">
        <x:v>Y</x:v>
      </x:c>
      <x:c r="H25" s="80" t="n">
        <x:v>3</x:v>
      </x:c>
      <x:c r="I25" s="534" t="str">
        <x:v>Loss</x:v>
      </x:c>
      <x:c r="J25" s="538" t="n">
        <x:v>0</x:v>
      </x:c>
      <x:c r="K25" s="538" t="n">
        <x:v>-1</x:v>
      </x:c>
      <x:c r="L25" s="31" t="str">
        <x:v>MLB SGP boost</x:v>
      </x:c>
      <x:c r="M25" s="31" t="str">
        <x:v>Raw price shown +296; promo qualification should be checked pre-submit next time.</x:v>
      </x:c>
    </x:row>
    <x:row r="26" ht="38" customHeight="1">
      <x:c r="A26" s="31" t="str">
        <x:v>2026-08-25</x:v>
      </x:c>
      <x:c r="B26" s="31" t="str">
        <x:v>A25-T10</x:v>
      </x:c>
      <x:c r="C26" s="31" t="str">
        <x:v>ADJUSTED</x:v>
      </x:c>
      <x:c r="D26" s="31" t="str">
        <x:v>CLE/LAA NRFI + PIT/SD NRFI</x:v>
      </x:c>
      <x:c r="E26" s="538" t="n">
        <x:v>1</x:v>
      </x:c>
      <x:c r="F26" s="80" t="n">
        <x:v>164</x:v>
      </x:c>
      <x:c r="G26" s="534" t="str">
        <x:v>N</x:v>
      </x:c>
      <x:c r="H26" s="80" t="n">
        <x:v>2</x:v>
      </x:c>
      <x:c r="I26" s="534" t="str">
        <x:v>Loss</x:v>
      </x:c>
      <x:c r="J26" s="538" t="n">
        <x:v>0</x:v>
      </x:c>
      <x:c r="K26" s="538" t="n">
        <x:v>-1</x:v>
      </x:c>
      <x:c r="L26" s="31" t="str"/>
      <x:c r="M26" s="31" t="str">
        <x:v>Removed BOS/MIA NRFI from source 3-leg; removed leg won.</x:v>
      </x:c>
    </x:row>
    <x:row r="27" ht="38" customHeight="1">
      <x:c r="A27" s="31" t="str">
        <x:v>2026-08-22</x:v>
      </x:c>
      <x:c r="B27" s="31" t="str">
        <x:v>A22-T01</x:v>
      </x:c>
      <x:c r="C27" s="31" t="str">
        <x:v>SOURCED</x:v>
      </x:c>
      <x:c r="D27" s="31" t="str">
        <x:v>Jones 5+ Ks + Atlanta Dream ML</x:v>
      </x:c>
      <x:c r="E27" s="538" t="n">
        <x:v>1</x:v>
      </x:c>
      <x:c r="F27" s="80" t="n">
        <x:v>126</x:v>
      </x:c>
      <x:c r="G27" s="534" t="str">
        <x:v>N</x:v>
      </x:c>
      <x:c r="H27" s="80" t="n">
        <x:v>2</x:v>
      </x:c>
      <x:c r="I27" s="534" t="str"/>
      <x:c r="J27" s="538" t="str"/>
      <x:c r="K27" s="538" t="str"/>
      <x:c r="L27" s="31" t="str"/>
      <x:c r="M27" s="31" t="str">
        <x:v>Backfilled from project context; result pending exact reconciliation.</x:v>
      </x:c>
    </x:row>
    <x:row r="28" ht="38" customHeight="1">
      <x:c r="A28" s="31" t="str">
        <x:v>2026-08-22</x:v>
      </x:c>
      <x:c r="B28" s="31" t="str">
        <x:v>A22-T02</x:v>
      </x:c>
      <x:c r="C28" s="31" t="str">
        <x:v>SOURCED</x:v>
      </x:c>
      <x:c r="D28" s="31" t="str">
        <x:v>Yandy Diaz 1+ hit + Bobby Witt Jr. 1+ hit + Willson Contreras 1+ hit</x:v>
      </x:c>
      <x:c r="E28" s="538" t="n">
        <x:v>1</x:v>
      </x:c>
      <x:c r="F28" s="80" t="n">
        <x:v>152</x:v>
      </x:c>
      <x:c r="G28" s="534" t="str">
        <x:v>N</x:v>
      </x:c>
      <x:c r="H28" s="80" t="n">
        <x:v>3</x:v>
      </x:c>
      <x:c r="I28" s="534" t="str"/>
      <x:c r="J28" s="538" t="str"/>
      <x:c r="K28" s="538" t="str"/>
      <x:c r="L28" s="31" t="str"/>
      <x:c r="M28" s="31" t="str">
        <x:v>Backfilled from project context; result pending.</x:v>
      </x:c>
    </x:row>
    <x:row r="29" ht="38" customHeight="1">
      <x:c r="A29" s="31" t="str">
        <x:v>2026-08-22</x:v>
      </x:c>
      <x:c r="B29" s="31" t="str">
        <x:v>A22-T03</x:v>
      </x:c>
      <x:c r="C29" s="31" t="str">
        <x:v>SOURCED</x:v>
      </x:c>
      <x:c r="D29" s="31" t="str">
        <x:v>Tatis 2+ TB + Lindor 1+ hit</x:v>
      </x:c>
      <x:c r="E29" s="538" t="n">
        <x:v>1</x:v>
      </x:c>
      <x:c r="F29" s="80" t="n">
        <x:v>188</x:v>
      </x:c>
      <x:c r="G29" s="534" t="str">
        <x:v>N</x:v>
      </x:c>
      <x:c r="H29" s="80" t="n">
        <x:v>2</x:v>
      </x:c>
      <x:c r="I29" s="534" t="str"/>
      <x:c r="J29" s="538" t="str"/>
      <x:c r="K29" s="538" t="str"/>
      <x:c r="L29" s="31" t="str"/>
      <x:c r="M29" s="31" t="str">
        <x:v>Backfilled from project context; result pending.</x:v>
      </x:c>
    </x:row>
    <x:row r="30" ht="38" customHeight="1">
      <x:c r="A30" s="31" t="str">
        <x:v>2026-08-22</x:v>
      </x:c>
      <x:c r="B30" s="31" t="str">
        <x:v>A22-T04</x:v>
      </x:c>
      <x:c r="C30" s="31" t="str">
        <x:v>SOURCED</x:v>
      </x:c>
      <x:c r="D30" s="31" t="str">
        <x:v>McClanahan 4+ Ks + Painter 3+ Ks + Skubal 8+ Ks</x:v>
      </x:c>
      <x:c r="E30" s="538" t="n">
        <x:v>1</x:v>
      </x:c>
      <x:c r="F30" s="80" t="n">
        <x:v>207</x:v>
      </x:c>
      <x:c r="G30" s="534" t="str">
        <x:v>Y</x:v>
      </x:c>
      <x:c r="H30" s="80" t="n">
        <x:v>3</x:v>
      </x:c>
      <x:c r="I30" s="534" t="str"/>
      <x:c r="J30" s="538" t="str"/>
      <x:c r="K30" s="538" t="str"/>
      <x:c r="L30" s="31" t="str"/>
      <x:c r="M30" s="31" t="str">
        <x:v>Backfilled from project context; result pending.</x:v>
      </x:c>
    </x:row>
    <x:row r="31" ht="38" customHeight="1">
      <x:c r="A31" s="31" t="str">
        <x:v>2026-08-22</x:v>
      </x:c>
      <x:c r="B31" s="31" t="str">
        <x:v>A22-T05</x:v>
      </x:c>
      <x:c r="C31" s="31" t="str">
        <x:v>SOURCED</x:v>
      </x:c>
      <x:c r="D31" s="31" t="str">
        <x:v>Scott 5+ Ks + Bichette 1+ hit + Lindor 2+ HRR + Kwan 1+ hit + DeLauter 1+ hit</x:v>
      </x:c>
      <x:c r="E31" s="538" t="n">
        <x:v>1</x:v>
      </x:c>
      <x:c r="F31" s="80" t="n">
        <x:v>300</x:v>
      </x:c>
      <x:c r="G31" s="534" t="str">
        <x:v>Y</x:v>
      </x:c>
      <x:c r="H31" s="80" t="n">
        <x:v>5</x:v>
      </x:c>
      <x:c r="I31" s="534" t="str"/>
      <x:c r="J31" s="538" t="str"/>
      <x:c r="K31" s="538" t="str"/>
      <x:c r="L31" s="31" t="str">
        <x:v>SGPx</x:v>
      </x:c>
      <x:c r="M31" s="31" t="str">
        <x:v>Approx. +300 from prior project context; final price/result pending.</x:v>
      </x:c>
    </x:row>
    <x:row r="32" ht="38" customHeight="1">
      <x:c r="A32" s="31" t="str">
        <x:v>2026-08-22</x:v>
      </x:c>
      <x:c r="B32" s="31" t="str">
        <x:v>A22-T06</x:v>
      </x:c>
      <x:c r="C32" s="31" t="str">
        <x:v>SOURCED</x:v>
      </x:c>
      <x:c r="D32" s="31" t="str">
        <x:v>Brandon Lowe 2+ TB + Corey Seager 2+ TB</x:v>
      </x:c>
      <x:c r="E32" s="538" t="n">
        <x:v>1</x:v>
      </x:c>
      <x:c r="F32" s="80" t="n">
        <x:v>324</x:v>
      </x:c>
      <x:c r="G32" s="534" t="str">
        <x:v>N</x:v>
      </x:c>
      <x:c r="H32" s="80" t="n">
        <x:v>2</x:v>
      </x:c>
      <x:c r="I32" s="534" t="str"/>
      <x:c r="J32" s="538" t="str"/>
      <x:c r="K32" s="538" t="str"/>
      <x:c r="L32" s="31" t="str"/>
      <x:c r="M32" s="31" t="str">
        <x:v>Backfilled from project context; result pending.</x:v>
      </x:c>
    </x:row>
    <x:row r="33" ht="38" customHeight="1">
      <x:c r="A33" s="31" t="str">
        <x:v>2026-08-22</x:v>
      </x:c>
      <x:c r="B33" s="31" t="str">
        <x:v>A22-T07</x:v>
      </x:c>
      <x:c r="C33" s="31" t="str">
        <x:v>SOURCED</x:v>
      </x:c>
      <x:c r="D33" s="31" t="str">
        <x:v>Soroka O15.5 outs + Wilyer 2+ HRR + Howard 20+ P+A + Clark 8+ AST</x:v>
      </x:c>
      <x:c r="E33" s="538" t="n">
        <x:v>1</x:v>
      </x:c>
      <x:c r="F33" s="80" t="n">
        <x:v>410</x:v>
      </x:c>
      <x:c r="G33" s="534" t="str">
        <x:v>Y</x:v>
      </x:c>
      <x:c r="H33" s="80" t="n">
        <x:v>4</x:v>
      </x:c>
      <x:c r="I33" s="534" t="str"/>
      <x:c r="J33" s="538" t="str"/>
      <x:c r="K33" s="538" t="str"/>
      <x:c r="L33" s="31" t="str"/>
      <x:c r="M33" s="31" t="str">
        <x:v>Backfilled from project context; result pending.</x:v>
      </x:c>
    </x:row>
    <x:row r="34" ht="38" customHeight="1">
      <x:c r="A34" s="31" t="str">
        <x:v>2026-08-22</x:v>
      </x:c>
      <x:c r="B34" s="31" t="str">
        <x:v>A22-T08</x:v>
      </x:c>
      <x:c r="C34" s="31" t="str">
        <x:v>SOURCED</x:v>
      </x:c>
      <x:c r="D34" s="31" t="str">
        <x:v>Jordan Walker 2+ HRR + Pete Alonso 2+ HRR + Ceddanne Rafaela 2+ HRR</x:v>
      </x:c>
      <x:c r="E34" s="538" t="n">
        <x:v>1</x:v>
      </x:c>
      <x:c r="F34" s="80" t="n">
        <x:v>467</x:v>
      </x:c>
      <x:c r="G34" s="534" t="str">
        <x:v>N</x:v>
      </x:c>
      <x:c r="H34" s="80" t="n">
        <x:v>3</x:v>
      </x:c>
      <x:c r="I34" s="534" t="str"/>
      <x:c r="J34" s="538" t="str"/>
      <x:c r="K34" s="538" t="str"/>
      <x:c r="L34" s="31" t="str"/>
      <x:c r="M34" s="31" t="str">
        <x:v>Backfilled from project context; result pending.</x:v>
      </x:c>
    </x:row>
    <x:row r="35" ht="38" customHeight="1">
      <x:c r="A35" s="31" t="str">
        <x:v>2026-08-22</x:v>
      </x:c>
      <x:c r="B35" s="31" t="str">
        <x:v>A22-T09</x:v>
      </x:c>
      <x:c r="C35" s="31" t="str">
        <x:v>HYBRID</x:v>
      </x:c>
      <x:c r="D35" s="31" t="str">
        <x:v>PCA 2+ TB + Pete Alonso 2+ H+R+RBI + Painter 3+ Ks</x:v>
      </x:c>
      <x:c r="E35" s="538" t="n">
        <x:v>1</x:v>
      </x:c>
      <x:c r="F35" s="80" t="str"/>
      <x:c r="G35" s="534" t="str">
        <x:v>N</x:v>
      </x:c>
      <x:c r="H35" s="80" t="n">
        <x:v>3</x:v>
      </x:c>
      <x:c r="I35" s="534" t="str"/>
      <x:c r="J35" s="538" t="str"/>
      <x:c r="K35" s="538" t="str"/>
      <x:c r="L35" s="31" t="str"/>
      <x:c r="M35" s="31" t="str">
        <x:v>Additional placed card from project context; exact odds/result pending.</x:v>
      </x:c>
    </x:row>
    <x:row r="36" ht="38" customHeight="1">
      <x:c r="A36" s="31" t="str">
        <x:v>2026-08-22</x:v>
      </x:c>
      <x:c r="B36" s="31" t="str">
        <x:v>A22-T10</x:v>
      </x:c>
      <x:c r="C36" s="31" t="str">
        <x:v>SOURCED</x:v>
      </x:c>
      <x:c r="D36" s="31" t="str">
        <x:v>Dead NRFI ticket — matchup pending reconstruction</x:v>
      </x:c>
      <x:c r="E36" s="538" t="n">
        <x:v>1</x:v>
      </x:c>
      <x:c r="F36" s="80" t="str"/>
      <x:c r="G36" s="534" t="str">
        <x:v>N</x:v>
      </x:c>
      <x:c r="H36" s="80" t="str"/>
      <x:c r="I36" s="534" t="str">
        <x:v>Loss</x:v>
      </x:c>
      <x:c r="J36" s="538" t="n">
        <x:v>0</x:v>
      </x:c>
      <x:c r="K36" s="538" t="n">
        <x:v>-1</x:v>
      </x:c>
      <x:c r="L36" s="31" t="str">
        <x:v>NRFI</x:v>
      </x:c>
      <x:c r="M36" s="31" t="str">
        <x:v>Known dead $1 NRFI; exact matchup still needs reconstruction.</x:v>
      </x:c>
    </x:row>
    <x:row r="37" ht="38" customHeight="1">
      <x:c r="A37" s="31" t="str">
        <x:v>2026-08-23</x:v>
      </x:c>
      <x:c r="B37" s="31" t="str">
        <x:v>A23-T01</x:v>
      </x:c>
      <x:c r="C37" s="31" t="str">
        <x:v>SOURCED</x:v>
      </x:c>
      <x:c r="D37" s="31" t="str">
        <x:v>STL/PHI NRFI + CHC/SEA NRFI</x:v>
      </x:c>
      <x:c r="E37" s="538" t="n">
        <x:v>1</x:v>
      </x:c>
      <x:c r="F37" s="80" t="n">
        <x:v>194</x:v>
      </x:c>
      <x:c r="G37" s="534" t="str">
        <x:v>N</x:v>
      </x:c>
      <x:c r="H37" s="80" t="n">
        <x:v>2</x:v>
      </x:c>
      <x:c r="I37" s="534" t="str">
        <x:v>Loss</x:v>
      </x:c>
      <x:c r="J37" s="538" t="n">
        <x:v>0</x:v>
      </x:c>
      <x:c r="K37" s="538" t="n">
        <x:v>-1</x:v>
      </x:c>
      <x:c r="L37" s="31" t="str"/>
      <x:c r="M37" s="31" t="str"/>
    </x:row>
    <x:row r="38" ht="38" customHeight="1">
      <x:c r="A38" s="31" t="str">
        <x:v>2026-08-23</x:v>
      </x:c>
      <x:c r="B38" s="31" t="str">
        <x:v>A23-T02</x:v>
      </x:c>
      <x:c r="C38" s="31" t="str">
        <x:v>SOURCED</x:v>
      </x:c>
      <x:c r="D38" s="31" t="str">
        <x:v>Ohtani 2+ TB + Tatis 2+ TB + Carroll 2+ TB</x:v>
      </x:c>
      <x:c r="E38" s="538" t="n">
        <x:v>1</x:v>
      </x:c>
      <x:c r="F38" s="80" t="n">
        <x:v>578</x:v>
      </x:c>
      <x:c r="G38" s="534" t="str">
        <x:v>N</x:v>
      </x:c>
      <x:c r="H38" s="80" t="n">
        <x:v>3</x:v>
      </x:c>
      <x:c r="I38" s="534" t="str">
        <x:v>Loss</x:v>
      </x:c>
      <x:c r="J38" s="538" t="n">
        <x:v>0</x:v>
      </x:c>
      <x:c r="K38" s="538" t="n">
        <x:v>-1</x:v>
      </x:c>
      <x:c r="L38" s="31" t="str"/>
      <x:c r="M38" s="31" t="str">
        <x:v>Ohtani miss killed ticket; other legs pending exact reconciliation.</x:v>
      </x:c>
    </x:row>
    <x:row r="39" ht="38" customHeight="1">
      <x:c r="A39" s="31" t="str">
        <x:v>2026-08-23</x:v>
      </x:c>
      <x:c r="B39" s="31" t="str">
        <x:v>A23-T03</x:v>
      </x:c>
      <x:c r="C39" s="31" t="str">
        <x:v>SOURCED</x:v>
      </x:c>
      <x:c r="D39" s="31" t="str">
        <x:v>Cardoso O27.5 PRA + Bryce Miller O4.5 hits allowed + McLean O17.5 outs</x:v>
      </x:c>
      <x:c r="E39" s="538" t="n">
        <x:v>1</x:v>
      </x:c>
      <x:c r="F39" s="80" t="n">
        <x:v>453</x:v>
      </x:c>
      <x:c r="G39" s="534" t="str">
        <x:v>N</x:v>
      </x:c>
      <x:c r="H39" s="80" t="n">
        <x:v>3</x:v>
      </x:c>
      <x:c r="I39" s="534" t="str">
        <x:v>Loss</x:v>
      </x:c>
      <x:c r="J39" s="538" t="n">
        <x:v>0</x:v>
      </x:c>
      <x:c r="K39" s="538" t="n">
        <x:v>-1</x:v>
      </x:c>
      <x:c r="L39" s="31" t="str"/>
      <x:c r="M39" s="31" t="str">
        <x:v>Miller leg missed; other unresolved details preserved.</x:v>
      </x:c>
    </x:row>
    <x:row r="40" ht="38" customHeight="1">
      <x:c r="A40" s="31" t="str">
        <x:v>2026-08-23</x:v>
      </x:c>
      <x:c r="B40" s="31" t="str">
        <x:v>A23-T04</x:v>
      </x:c>
      <x:c r="C40" s="31" t="str">
        <x:v>SOURCED</x:v>
      </x:c>
      <x:c r="D40" s="31" t="str">
        <x:v>WNBA +131 ticket — legs pending reconstruction</x:v>
      </x:c>
      <x:c r="E40" s="538" t="n">
        <x:v>1</x:v>
      </x:c>
      <x:c r="F40" s="80" t="n">
        <x:v>131</x:v>
      </x:c>
      <x:c r="G40" s="534" t="str">
        <x:v>N</x:v>
      </x:c>
      <x:c r="H40" s="80" t="str"/>
      <x:c r="I40" s="534" t="str"/>
      <x:c r="J40" s="538" t="str"/>
      <x:c r="K40" s="538" t="str"/>
      <x:c r="L40" s="31" t="str"/>
      <x:c r="M40" s="31" t="str">
        <x:v>Ticket existed on placed card; exact legs/result still need screenshot reconciliation.</x:v>
      </x:c>
    </x:row>
    <x:row r="41" ht="38" customHeight="1">
      <x:c r="A41" s="31" t="str">
        <x:v>2026-08-23</x:v>
      </x:c>
      <x:c r="B41" s="31" t="str">
        <x:v>A23-T05</x:v>
      </x:c>
      <x:c r="C41" s="31" t="str">
        <x:v>HYBRID</x:v>
      </x:c>
      <x:c r="D41" s="31" t="str">
        <x:v>McLean O17.5 outs + Ohtani 2+ TB + Martinez 4+ Ks</x:v>
      </x:c>
      <x:c r="E41" s="538" t="n">
        <x:v>1</x:v>
      </x:c>
      <x:c r="F41" s="80" t="n">
        <x:v>421</x:v>
      </x:c>
      <x:c r="G41" s="534" t="str">
        <x:v>N</x:v>
      </x:c>
      <x:c r="H41" s="80" t="n">
        <x:v>3</x:v>
      </x:c>
      <x:c r="I41" s="534" t="str">
        <x:v>Loss</x:v>
      </x:c>
      <x:c r="J41" s="538" t="n">
        <x:v>0</x:v>
      </x:c>
      <x:c r="K41" s="538" t="n">
        <x:v>-1</x:v>
      </x:c>
      <x:c r="L41" s="31" t="str"/>
      <x:c r="M41" s="31" t="str">
        <x:v>McLean and Martinez hit; Ohtani missed.</x:v>
      </x:c>
    </x:row>
    <x:row r="42" ht="38" customHeight="1">
      <x:c r="A42" s="31" t="str">
        <x:v>2026-08-23</x:v>
      </x:c>
      <x:c r="B42" s="31" t="str">
        <x:v>A23-T06</x:v>
      </x:c>
      <x:c r="C42" s="31" t="str">
        <x:v>SOURCED</x:v>
      </x:c>
      <x:c r="D42" s="31" t="str">
        <x:v>Soriano 5+ Ks + Martinez 4+ Ks + Imanaga 5+ Ks</x:v>
      </x:c>
      <x:c r="E42" s="538" t="n">
        <x:v>1</x:v>
      </x:c>
      <x:c r="F42" s="80" t="n">
        <x:v>263</x:v>
      </x:c>
      <x:c r="G42" s="534" t="str">
        <x:v>N</x:v>
      </x:c>
      <x:c r="H42" s="80" t="n">
        <x:v>3</x:v>
      </x:c>
      <x:c r="I42" s="534" t="str">
        <x:v>Loss</x:v>
      </x:c>
      <x:c r="J42" s="538" t="n">
        <x:v>0</x:v>
      </x:c>
      <x:c r="K42" s="538" t="n">
        <x:v>-1</x:v>
      </x:c>
      <x:c r="L42" s="31" t="str"/>
      <x:c r="M42" s="31" t="str">
        <x:v>Soriano/Martinez hit; Imanaga finished at 4.</x:v>
      </x:c>
    </x:row>
    <x:row r="43" ht="38" customHeight="1">
      <x:c r="A43" s="31" t="str">
        <x:v>2026-08-23</x:v>
      </x:c>
      <x:c r="B43" s="31" t="str">
        <x:v>A23-T07</x:v>
      </x:c>
      <x:c r="C43" s="31" t="str">
        <x:v>SOURCED</x:v>
      </x:c>
      <x:c r="D43" s="31" t="str">
        <x:v>Neto 1+ hit + Kody Clemens 1+ hit + Michael Harris II 1+ hit</x:v>
      </x:c>
      <x:c r="E43" s="538" t="n">
        <x:v>1</x:v>
      </x:c>
      <x:c r="F43" s="80" t="n">
        <x:v>244</x:v>
      </x:c>
      <x:c r="G43" s="534" t="str">
        <x:v>N</x:v>
      </x:c>
      <x:c r="H43" s="80" t="n">
        <x:v>3</x:v>
      </x:c>
      <x:c r="I43" s="534" t="str">
        <x:v>Loss</x:v>
      </x:c>
      <x:c r="J43" s="538" t="n">
        <x:v>0</x:v>
      </x:c>
      <x:c r="K43" s="538" t="n">
        <x:v>-1</x:v>
      </x:c>
      <x:c r="L43" s="31" t="str"/>
      <x:c r="M43" s="31" t="str">
        <x:v>Neto hit; Clemens missed; Harris result pending.</x:v>
      </x:c>
    </x:row>
    <x:row r="44" ht="38" customHeight="1">
      <x:c r="A44" s="31" t="str">
        <x:v>2026-08-23</x:v>
      </x:c>
      <x:c r="B44" s="31" t="str">
        <x:v>A23-T08</x:v>
      </x:c>
      <x:c r="C44" s="31" t="str">
        <x:v>SOURCED</x:v>
      </x:c>
      <x:c r="D44" s="31" t="str">
        <x:v>Mitchell/Austin roller</x:v>
      </x:c>
      <x:c r="E44" s="538" t="n">
        <x:v>14.99</x:v>
      </x:c>
      <x:c r="F44" s="80" t="n">
        <x:v>-143</x:v>
      </x:c>
      <x:c r="G44" s="534" t="str">
        <x:v>N</x:v>
      </x:c>
      <x:c r="H44" s="80" t="n">
        <x:v>2</x:v>
      </x:c>
      <x:c r="I44" s="534" t="str"/>
      <x:c r="J44" s="538" t="str"/>
      <x:c r="K44" s="538" t="str"/>
      <x:c r="L44" s="31" t="str">
        <x:v>Roller</x:v>
      </x:c>
      <x:c r="M44" s="31" t="str">
        <x:v>Exact thresholds/result pending reconstruction.</x:v>
      </x:c>
    </x:row>
    <x:row r="45" ht="38" customHeight="1">
      <x:c r="A45" s="31" t="str">
        <x:v>2026-08-23</x:v>
      </x:c>
      <x:c r="B45" s="31" t="str">
        <x:v>A23-T09</x:v>
      </x:c>
      <x:c r="C45" s="31" t="str">
        <x:v>SOURCED</x:v>
      </x:c>
      <x:c r="D45" s="31" t="str">
        <x:v>Citron + Engstler + WAS/POR O166.5</x:v>
      </x:c>
      <x:c r="E45" s="538" t="n">
        <x:v>1</x:v>
      </x:c>
      <x:c r="F45" s="80" t="n">
        <x:v>475</x:v>
      </x:c>
      <x:c r="G45" s="534" t="str">
        <x:v>Y</x:v>
      </x:c>
      <x:c r="H45" s="80" t="n">
        <x:v>3</x:v>
      </x:c>
      <x:c r="I45" s="534" t="str"/>
      <x:c r="J45" s="538" t="str"/>
      <x:c r="K45" s="538" t="str"/>
      <x:c r="L45" s="31" t="str">
        <x:v>WNBA boost</x:v>
      </x:c>
      <x:c r="M45" s="31" t="str">
        <x:v>Exact player markets/result pending reconstruction.</x:v>
      </x:c>
    </x:row>
    <x:row r="46" ht="38" customHeight="1">
      <x:c r="A46" s="31" t="str">
        <x:v>2026-08-23</x:v>
      </x:c>
      <x:c r="B46" s="31" t="str">
        <x:v>A23-T10</x:v>
      </x:c>
      <x:c r="C46" s="31" t="str">
        <x:v>SOURCED</x:v>
      </x:c>
      <x:c r="D46" s="31" t="str">
        <x:v>Drohan + Chourio + Mahle</x:v>
      </x:c>
      <x:c r="E46" s="538" t="n">
        <x:v>1</x:v>
      </x:c>
      <x:c r="F46" s="80" t="n">
        <x:v>410</x:v>
      </x:c>
      <x:c r="G46" s="534" t="str">
        <x:v>N</x:v>
      </x:c>
      <x:c r="H46" s="80" t="n">
        <x:v>3</x:v>
      </x:c>
      <x:c r="I46" s="534" t="str"/>
      <x:c r="J46" s="538" t="str"/>
      <x:c r="K46" s="538" t="str"/>
      <x:c r="L46" s="31" t="str"/>
      <x:c r="M46" s="31" t="str">
        <x:v>Exact markets/result pending reconstruction.</x:v>
      </x:c>
    </x:row>
    <x:row r="47" ht="38" customHeight="1">
      <x:c r="A47" s="31" t="str">
        <x:v>2026-08-23</x:v>
      </x:c>
      <x:c r="B47" s="31" t="str">
        <x:v>A23-T11</x:v>
      </x:c>
      <x:c r="C47" s="31" t="str">
        <x:v>SOURCED</x:v>
      </x:c>
      <x:c r="D47" s="31" t="str">
        <x:v>Jackson Chourio 2+ TB</x:v>
      </x:c>
      <x:c r="E47" s="538" t="n">
        <x:v>5</x:v>
      </x:c>
      <x:c r="F47" s="80" t="n">
        <x:v>127</x:v>
      </x:c>
      <x:c r="G47" s="534" t="str">
        <x:v>N</x:v>
      </x:c>
      <x:c r="H47" s="80" t="n">
        <x:v>1</x:v>
      </x:c>
      <x:c r="I47" s="534" t="str"/>
      <x:c r="J47" s="538" t="str"/>
      <x:c r="K47" s="538" t="str"/>
      <x:c r="L47" s="31" t="str">
        <x:v>Conviction single</x:v>
      </x:c>
      <x:c r="M47" s="31" t="str">
        <x:v>Outcome pending reconstruction.</x:v>
      </x:c>
    </x:row>
    <x:row r="48" ht="38" customHeight="1">
      <x:c r="A48" s="31" t="str">
        <x:v>2026-08-26</x:v>
      </x:c>
      <x:c r="B48" s="31" t="str">
        <x:v>A26-T01</x:v>
      </x:c>
      <x:c r="C48" s="31" t="str">
        <x:v>HYBRID</x:v>
      </x:c>
      <x:c r="D48" s="31" t="str">
        <x:v>Real Madrid ML + O3.5 goals + Real Madrid O6.5 team corners</x:v>
      </x:c>
      <x:c r="E48" s="538" t="n">
        <x:v>1</x:v>
      </x:c>
      <x:c r="F48" s="80" t="n">
        <x:v>328</x:v>
      </x:c>
      <x:c r="G48" s="534" t="str">
        <x:v>Y</x:v>
      </x:c>
      <x:c r="H48" s="80" t="n">
        <x:v>3</x:v>
      </x:c>
      <x:c r="I48" s="534" t="str">
        <x:v>Loss</x:v>
      </x:c>
      <x:c r="J48" s="538" t="n">
        <x:v>0</x:v>
      </x:c>
      <x:c r="K48" s="538" t="n">
        <x:v>-1</x:v>
      </x:c>
      <x:c r="L48" s="31" t="str">
        <x:v>25% Real Madrid SGP boost</x:v>
      </x:c>
      <x:c r="M48" s="31" t="str">
        <x:v>Madrid lost only on RMA O6.5 team corners. ML and O3.5 goals won; O10.5 total-corners pregame alternative would have cashed. Execution O/U mistake did not change final outcome.</x:v>
      </x:c>
    </x:row>
    <x:row r="49" ht="38" customHeight="1">
      <x:c r="A49" s="31" t="str">
        <x:v>2026-08-26</x:v>
      </x:c>
      <x:c r="B49" s="31" t="str">
        <x:v>A26-T02</x:v>
      </x:c>
      <x:c r="C49" s="31" t="str">
        <x:v>HYBRID</x:v>
      </x:c>
      <x:c r="D49" s="31" t="str">
        <x:v>Cleveland Guardians ML — 2 Runs Up Early Win</x:v>
      </x:c>
      <x:c r="E49" s="538" t="n">
        <x:v>1</x:v>
      </x:c>
      <x:c r="F49" s="80" t="n">
        <x:v>-135</x:v>
      </x:c>
      <x:c r="G49" s="534" t="str">
        <x:v>Y</x:v>
      </x:c>
      <x:c r="H49" s="80" t="n">
        <x:v>1</x:v>
      </x:c>
      <x:c r="I49" s="534" t="str">
        <x:v>Win</x:v>
      </x:c>
      <x:c r="J49" s="538" t="n">
        <x:v>1.74</x:v>
      </x:c>
      <x:c r="K49" s="538" t="n">
        <x:v>0.74</x:v>
      </x:c>
      <x:c r="L49" s="31" t="str">
        <x:v>Up 2 Early Win</x:v>
      </x:c>
      <x:c r="M49" s="31" t="str">
        <x:v>CLE won 4-3. Early Win two-run trigger never activated; standard ML still cashed.</x:v>
      </x:c>
    </x:row>
    <x:row r="50" ht="38" customHeight="1">
      <x:c r="A50" s="31" t="str">
        <x:v>2026-08-26</x:v>
      </x:c>
      <x:c r="B50" s="31" t="str">
        <x:v>A26-T03</x:v>
      </x:c>
      <x:c r="C50" s="31" t="str">
        <x:v>DISCOVERED</x:v>
      </x:c>
      <x:c r="D50" s="31" t="str">
        <x:v>Jesús Luzardo 8+ strikeouts</x:v>
      </x:c>
      <x:c r="E50" s="538" t="n">
        <x:v>1</x:v>
      </x:c>
      <x:c r="F50" s="80" t="n">
        <x:v>-114</x:v>
      </x:c>
      <x:c r="G50" s="534" t="str">
        <x:v>Y</x:v>
      </x:c>
      <x:c r="H50" s="80" t="n">
        <x:v>1</x:v>
      </x:c>
      <x:c r="I50" s="534" t="str">
        <x:v>Win</x:v>
      </x:c>
      <x:c r="J50" s="538" t="n">
        <x:v>1.88</x:v>
      </x:c>
      <x:c r="K50" s="538" t="n">
        <x:v>0.88</x:v>
      </x:c>
      <x:c r="L50" s="31" t="str">
        <x:v>50% MLB Strikeouts Boost</x:v>
      </x:c>
      <x:c r="M50" s="31" t="str">
        <x:v>Luzardo 8+ Ks won with 9. Boosted price -114; base -172.</x:v>
      </x:c>
    </x:row>
    <x:row r="51" ht="38" customHeight="1">
      <x:c r="A51" s="31" t="str">
        <x:v>2026-08-26</x:v>
      </x:c>
      <x:c r="B51" s="31" t="str">
        <x:v>A26-T04</x:v>
      </x:c>
      <x:c r="C51" s="31" t="str">
        <x:v>DISCOVERED</x:v>
      </x:c>
      <x:c r="D51" s="31" t="str">
        <x:v>Bryan Woo U17.5 outs</x:v>
      </x:c>
      <x:c r="E51" s="538" t="n">
        <x:v>1</x:v>
      </x:c>
      <x:c r="F51" s="80" t="n">
        <x:v>-112</x:v>
      </x:c>
      <x:c r="G51" s="534" t="str">
        <x:v>N</x:v>
      </x:c>
      <x:c r="H51" s="80" t="n">
        <x:v>1</x:v>
      </x:c>
      <x:c r="I51" s="534" t="str">
        <x:v>Win</x:v>
      </x:c>
      <x:c r="J51" s="538" t="n">
        <x:v>1.89</x:v>
      </x:c>
      <x:c r="K51" s="538" t="n">
        <x:v>0.89</x:v>
      </x:c>
      <x:c r="L51" s="31" t="str"/>
      <x:c r="M51" s="31" t="str">
        <x:v>Woo U17.5 outs won comfortably: 4.0 IP / 12 outs.</x:v>
      </x:c>
    </x:row>
    <x:row r="52" ht="38" customHeight="1">
      <x:c r="A52" s="31" t="str">
        <x:v>2026-08-26</x:v>
      </x:c>
      <x:c r="B52" s="31" t="str">
        <x:v>A26-T05</x:v>
      </x:c>
      <x:c r="C52" s="31" t="str">
        <x:v>DISCOVERED</x:v>
      </x:c>
      <x:c r="D52" s="31" t="str">
        <x:v>Yordan Alvarez 2+ TB + Sal Stewart 1+ H+R+RBI</x:v>
      </x:c>
      <x:c r="E52" s="538" t="n">
        <x:v>1</x:v>
      </x:c>
      <x:c r="F52" s="80" t="n">
        <x:v>158</x:v>
      </x:c>
      <x:c r="G52" s="534" t="str">
        <x:v>N</x:v>
      </x:c>
      <x:c r="H52" s="80" t="n">
        <x:v>2</x:v>
      </x:c>
      <x:c r="I52" s="534" t="str">
        <x:v>Loss</x:v>
      </x:c>
      <x:c r="J52" s="538" t="n">
        <x:v>0</x:v>
      </x:c>
      <x:c r="K52" s="538" t="n">
        <x:v>-1</x:v>
      </x:c>
      <x:c r="L52" s="31" t="str"/>
      <x:c r="M52" s="31" t="str">
        <x:v>Sal 1+ HRR won; Yordan 2+ TB lost by one base (1-for-4 single). Market-expression/threshold miss.</x:v>
      </x:c>
    </x:row>
    <x:row r="53" ht="38" customHeight="1">
      <x:c r="A53" s="31" t="str">
        <x:v>2026-08-26</x:v>
      </x:c>
      <x:c r="B53" s="31" t="str">
        <x:v>A26-T06</x:v>
      </x:c>
      <x:c r="C53" s="31" t="str">
        <x:v>DISCOVERED</x:v>
      </x:c>
      <x:c r="D53" s="31" t="str">
        <x:v>Randy Dobnak U15.5 outs</x:v>
      </x:c>
      <x:c r="E53" s="538" t="n">
        <x:v>1</x:v>
      </x:c>
      <x:c r="F53" s="80" t="n">
        <x:v>-101</x:v>
      </x:c>
      <x:c r="G53" s="534" t="str">
        <x:v>N</x:v>
      </x:c>
      <x:c r="H53" s="80" t="n">
        <x:v>1</x:v>
      </x:c>
      <x:c r="I53" s="534" t="str">
        <x:v>Loss</x:v>
      </x:c>
      <x:c r="J53" s="538" t="n">
        <x:v>0</x:v>
      </x:c>
      <x:c r="K53" s="538" t="n">
        <x:v>-1</x:v>
      </x:c>
      <x:c r="L53" s="31" t="str"/>
      <x:c r="M53" s="31" t="str">
        <x:v>Dobnak U15.5 lost: 6.0 IP / 18 outs. Paper U16.5 also lost; bad workload handicap, not threshold choice.</x:v>
      </x:c>
    </x:row>
    <x:row r="54" ht="38" customHeight="1">
      <x:c r="A54" s="31" t="str">
        <x:v>2026-08-27</x:v>
      </x:c>
      <x:c r="B54" s="31" t="str">
        <x:v>A27-T01</x:v>
      </x:c>
      <x:c r="C54" s="31" t="str">
        <x:v>DISCOVERED</x:v>
      </x:c>
      <x:c r="D54" s="31" t="str">
        <x:v>Gabriel Hughes U15.5 outs</x:v>
      </x:c>
      <x:c r="E54" s="538" t="n">
        <x:v>1</x:v>
      </x:c>
      <x:c r="F54" s="80" t="n">
        <x:v>-125</x:v>
      </x:c>
      <x:c r="G54" s="534" t="str">
        <x:v>N</x:v>
      </x:c>
      <x:c r="H54" s="80" t="n">
        <x:v>1</x:v>
      </x:c>
      <x:c r="I54" s="534" t="str">
        <x:v>Win</x:v>
      </x:c>
      <x:c r="J54" s="538" t="n">
        <x:v>1.8</x:v>
      </x:c>
      <x:c r="K54" s="538" t="n">
        <x:v>0.8</x:v>
      </x:c>
      <x:c r="L54" s="31" t="str"/>
      <x:c r="M54" s="31" t="str">
        <x:v>Placed at -125. Independent EXP-01 workload/outs candidate.</x:v>
      </x:c>
    </x:row>
    <x:row r="55" ht="38" customHeight="1">
      <x:c r="A55" s="31" t="str">
        <x:v>2026-08-27</x:v>
      </x:c>
      <x:c r="B55" s="31" t="str">
        <x:v>A27-T02</x:v>
      </x:c>
      <x:c r="C55" s="31" t="str">
        <x:v>HYBRID</x:v>
      </x:c>
      <x:c r="D55" s="31" t="str">
        <x:v>Barcelona -1.5 + BTTS No + O9.5 total corners</x:v>
      </x:c>
      <x:c r="E55" s="538" t="n">
        <x:v>1</x:v>
      </x:c>
      <x:c r="F55" s="80" t="n">
        <x:v>407</x:v>
      </x:c>
      <x:c r="G55" s="534" t="str">
        <x:v>Y</x:v>
      </x:c>
      <x:c r="H55" s="80" t="n">
        <x:v>3</x:v>
      </x:c>
      <x:c r="I55" s="534" t="str">
        <x:v>Win</x:v>
      </x:c>
      <x:c r="J55" s="538" t="n">
        <x:v>5.07</x:v>
      </x:c>
      <x:c r="K55" s="538" t="n">
        <x:v>4.07</x:v>
      </x:c>
      <x:c r="L55" s="31" t="str">
        <x:v>25% Barcelona SGP boost</x:v>
      </x:c>
      <x:c r="M55" s="31" t="str">
        <x:v>Raw +325; boosted +407. Total corners chosen over Barcelona team corners.</x:v>
      </x:c>
    </x:row>
    <x:row r="56" ht="38" customHeight="1">
      <x:c r="A56" s="31" t="str">
        <x:v>2026-08-27</x:v>
      </x:c>
      <x:c r="B56" s="31" t="str">
        <x:v>A27-T03</x:v>
      </x:c>
      <x:c r="C56" s="31" t="str">
        <x:v>HYBRID</x:v>
      </x:c>
      <x:c r="D56" s="31" t="str">
        <x:v>Walker 2+ HRR + Witt 2+ HRR + Caglianone 2+ HRR</x:v>
      </x:c>
      <x:c r="E56" s="538" t="n">
        <x:v>1</x:v>
      </x:c>
      <x:c r="F56" s="80" t="n">
        <x:v>568</x:v>
      </x:c>
      <x:c r="G56" s="534" t="str">
        <x:v>Y</x:v>
      </x:c>
      <x:c r="H56" s="80" t="n">
        <x:v>3</x:v>
      </x:c>
      <x:c r="I56" s="534" t="str">
        <x:v>Win</x:v>
      </x:c>
      <x:c r="J56" s="538" t="n">
        <x:v>6.68</x:v>
      </x:c>
      <x:c r="K56" s="538" t="n">
        <x:v>5.68</x:v>
      </x:c>
      <x:c r="L56" s="31" t="str">
        <x:v>50% MLB SGP(x) boost</x:v>
      </x:c>
      <x:c r="M56" s="31" t="str">
        <x:v>Raw +378; boosted +568. Witt + Caglianone form KC/TOR SGP core; Walker is outside SGPx leg.</x:v>
      </x:c>
    </x:row>
    <x:row r="57" ht="38" customHeight="1">
      <x:c r="A57" s="31" t="str">
        <x:v>2026-08-27</x:v>
      </x:c>
      <x:c r="B57" s="31" t="str">
        <x:v>A27-T04</x:v>
      </x:c>
      <x:c r="C57" s="31" t="str">
        <x:v>HYBRID</x:v>
      </x:c>
      <x:c r="D57" s="31" t="str">
        <x:v>Alyssa Thomas 8+ assists</x:v>
      </x:c>
      <x:c r="E57" s="538" t="n">
        <x:v>1</x:v>
      </x:c>
      <x:c r="F57" s="80" t="n">
        <x:v>-112</x:v>
      </x:c>
      <x:c r="G57" s="534" t="str">
        <x:v>Y</x:v>
      </x:c>
      <x:c r="H57" s="80" t="n">
        <x:v>1</x:v>
      </x:c>
      <x:c r="I57" s="534" t="str">
        <x:v>Win</x:v>
      </x:c>
      <x:c r="J57" s="538" t="n">
        <x:v>1.89</x:v>
      </x:c>
      <x:c r="K57" s="538" t="n">
        <x:v>0.89</x:v>
      </x:c>
      <x:c r="L57" s="31" t="str">
        <x:v>30% WNBA player prop boost</x:v>
      </x:c>
      <x:c r="M57" s="31" t="str">
        <x:v>Raw -147; boosted to -112. Lower 8+ threshold chosen over 9+ +112.</x:v>
      </x:c>
    </x:row>
    <x:row r="58" ht="38" customHeight="1">
      <x:c r="A58" s="31" t="str">
        <x:v>2026-08-28</x:v>
      </x:c>
      <x:c r="B58" s="31" t="str">
        <x:v>A28-T01</x:v>
      </x:c>
      <x:c r="C58" s="31" t="str">
        <x:v>HYBRID</x:v>
      </x:c>
      <x:c r="D58" s="31" t="str">
        <x:v>Jackie Young 5+ REB + Naz Hillmon O14.5 P+R + Dearica Hamby 15+ P+R</x:v>
      </x:c>
      <x:c r="E58" s="538" t="n">
        <x:v>1</x:v>
      </x:c>
      <x:c r="F58" s="80" t="n">
        <x:v>463</x:v>
      </x:c>
      <x:c r="G58" s="534" t="str">
        <x:v>Y</x:v>
      </x:c>
      <x:c r="H58" s="80" t="n">
        <x:v>3</x:v>
      </x:c>
      <x:c r="I58" s="534" t="str">
        <x:v>Loss</x:v>
      </x:c>
      <x:c r="J58" s="538" t="n">
        <x:v>0</x:v>
      </x:c>
      <x:c r="K58" s="538" t="n">
        <x:v>-1</x:v>
      </x:c>
      <x:c r="L58" s="31" t="str">
        <x:v>30% WNBA 3-leg +300 boost</x:v>
      </x:c>
      <x:c r="M58" s="31" t="str">
        <x:v>Final: Young 4 REB L; Hillmon 19 P+R W; Hamby 13 P+R L. Ticket 1/3.</x:v>
      </x:c>
    </x:row>
    <x:row r="59" ht="38" customHeight="1">
      <x:c r="A59" s="31" t="str">
        <x:v>2026-08-28</x:v>
      </x:c>
      <x:c r="B59" s="31" t="str">
        <x:v>A28-T02</x:v>
      </x:c>
      <x:c r="C59" s="31" t="str">
        <x:v>HYBRID</x:v>
      </x:c>
      <x:c r="D59" s="31" t="str">
        <x:v>Man City ML + Bayern ML + Lille/PSG BTTS Yes</x:v>
      </x:c>
      <x:c r="E59" s="538" t="n">
        <x:v>1</x:v>
      </x:c>
      <x:c r="F59" s="80" t="n">
        <x:v>236</x:v>
      </x:c>
      <x:c r="G59" s="534" t="str">
        <x:v>N</x:v>
      </x:c>
      <x:c r="H59" s="80" t="n">
        <x:v>3</x:v>
      </x:c>
      <x:c r="I59" s="534" t="str">
        <x:v>Win</x:v>
      </x:c>
      <x:c r="J59" s="538" t="n">
        <x:v>3.36</x:v>
      </x:c>
      <x:c r="K59" s="538" t="n">
        <x:v>2.36</x:v>
      </x:c>
      <x:c r="L59" s="31" t="str"/>
      <x:c r="M59" s="31" t="str">
        <x:v>Final: Man City ML W (4-1), Bayern ML W (5-1), Lille/PSG BTTS W (2-2). Ticket 3/3.</x:v>
      </x:c>
    </x:row>
    <x:row r="60" ht="38" customHeight="1">
      <x:c r="A60" s="31" t="str">
        <x:v>2026-08-28</x:v>
      </x:c>
      <x:c r="B60" s="31" t="str">
        <x:v>A28-T03</x:v>
      </x:c>
      <x:c r="C60" s="31" t="str">
        <x:v>HYBRID</x:v>
      </x:c>
      <x:c r="D60" s="31" t="str">
        <x:v>Dylan Cease O7.5 K + Matt Olson 2+ TB + Tomoyuki Sugano O5.5 hits allowed</x:v>
      </x:c>
      <x:c r="E60" s="538" t="n">
        <x:v>1</x:v>
      </x:c>
      <x:c r="F60" s="80" t="n">
        <x:v>545</x:v>
      </x:c>
      <x:c r="G60" s="534" t="str">
        <x:v>Y</x:v>
      </x:c>
      <x:c r="H60" s="80" t="n">
        <x:v>3</x:v>
      </x:c>
      <x:c r="I60" s="534" t="str">
        <x:v>Loss</x:v>
      </x:c>
      <x:c r="J60" s="538" t="n">
        <x:v>0</x:v>
      </x:c>
      <x:c r="K60" s="538" t="n">
        <x:v>-1</x:v>
      </x:c>
      <x:c r="L60" s="31" t="str">
        <x:v>50% MLB 3-leg +300 SGP(x) boost</x:v>
      </x:c>
      <x:c r="M60" s="31" t="str">
        <x:v>Final: Cease O7.5 K W (8); Olson 2+ TB L (1 TB); Sugano O5.5 HA W (10). Ticket 2/3.</x:v>
      </x:c>
    </x:row>
    <x:row r="61" ht="38" customHeight="1">
      <x:c r="A61" s="31" t="str">
        <x:v>2026-08-28</x:v>
      </x:c>
      <x:c r="B61" s="31" t="str">
        <x:v>A28-T04</x:v>
      </x:c>
      <x:c r="C61" s="31" t="str">
        <x:v>HYBRID</x:v>
      </x:c>
      <x:c r="D61" s="31" t="str">
        <x:v>Matt Olson HR</x:v>
      </x:c>
      <x:c r="E61" s="538" t="n">
        <x:v>1</x:v>
      </x:c>
      <x:c r="F61" s="80" t="n">
        <x:v>356</x:v>
      </x:c>
      <x:c r="G61" s="534" t="str">
        <x:v>Y</x:v>
      </x:c>
      <x:c r="H61" s="80" t="n">
        <x:v>1</x:v>
      </x:c>
      <x:c r="I61" s="534" t="str">
        <x:v>Loss</x:v>
      </x:c>
      <x:c r="J61" s="538" t="n">
        <x:v>0</x:v>
      </x:c>
      <x:c r="K61" s="538" t="n">
        <x:v>-1</x:v>
      </x:c>
      <x:c r="L61" s="31" t="str">
        <x:v>50% MLB Home Run boost</x:v>
      </x:c>
      <x:c r="M61" s="31" t="str">
        <x:v>Final: Matt Olson 1-for-5, no HR.</x:v>
      </x:c>
    </x:row>
    <x:row r="62" ht="38" customHeight="1">
      <x:c r="A62" s="31" t="str">
        <x:v>2026-08-29</x:v>
      </x:c>
      <x:c r="B62" s="31" t="str">
        <x:v>A29-T01</x:v>
      </x:c>
      <x:c r="C62" s="31" t="str">
        <x:v>HYBRID</x:v>
      </x:c>
      <x:c r="D62" s="31" t="str">
        <x:v>Bournemouth/Everton O1.5 goals + Dortmund O6.5 team corners + Tottenham/Newcastle O2.5 goals</x:v>
      </x:c>
      <x:c r="E62" s="538" t="n">
        <x:v>1</x:v>
      </x:c>
      <x:c r="F62" s="80" t="n">
        <x:v>242</x:v>
      </x:c>
      <x:c r="G62" s="534" t="str">
        <x:v>N</x:v>
      </x:c>
      <x:c r="H62" s="80" t="n">
        <x:v>3</x:v>
      </x:c>
      <x:c r="I62" s="534" t="str">
        <x:v>Loss</x:v>
      </x:c>
      <x:c r="J62" s="538" t="n">
        <x:v>0</x:v>
      </x:c>
      <x:c r="K62" s="538" t="n">
        <x:v>-1</x:v>
      </x:c>
      <x:c r="L62" s="31" t="str"/>
      <x:c r="M62" s="31" t="str">
        <x:v>Final: BOU/EVE O1.5 W; Dortmund O6.5 team corners L; TOT/NEW O2.5 L. Original sourced Dortmund 2+ team goals won. Market-expression adjustment miss on Dortmund.</x:v>
      </x:c>
    </x:row>
    <x:row r="63" ht="38" customHeight="1">
      <x:c r="A63" s="31" t="str">
        <x:v>2026-08-29</x:v>
      </x:c>
      <x:c r="B63" s="31" t="str">
        <x:v>A29-T02</x:v>
      </x:c>
      <x:c r="C63" s="31" t="str">
        <x:v>HYBRID</x:v>
      </x:c>
      <x:c r="D63" s="31" t="str">
        <x:v>TCU -6.5 + Eastern Michigan -6.5 + Jacksonville State +10.5</x:v>
      </x:c>
      <x:c r="E63" s="538" t="n">
        <x:v>1</x:v>
      </x:c>
      <x:c r="F63" s="80" t="n">
        <x:v>450</x:v>
      </x:c>
      <x:c r="G63" s="534" t="str">
        <x:v>Y</x:v>
      </x:c>
      <x:c r="H63" s="80" t="n">
        <x:v>3</x:v>
      </x:c>
      <x:c r="I63" s="534" t="str">
        <x:v>Loss</x:v>
      </x:c>
      <x:c r="J63" s="538" t="n">
        <x:v>0</x:v>
      </x:c>
      <x:c r="K63" s="538" t="n">
        <x:v>-1</x:v>
      </x:c>
      <x:c r="L63" s="31" t="str">
        <x:v>CFB Week 0 50% Boost</x:v>
      </x:c>
      <x:c r="M63" s="31" t="str">
        <x:v>Raw +299; final boosted +450. TCU -6.5 L (UNC 15-10); EMU -6.5 W (28-17); JAX +10.5 L (NDSU 33-7). Ticket 1/3.</x:v>
      </x:c>
    </x:row>
    <x:row r="64" ht="38" customHeight="1">
      <x:c r="A64" s="31" t="str">
        <x:v>2026-08-29</x:v>
      </x:c>
      <x:c r="B64" s="31" t="str">
        <x:v>A29-T03</x:v>
      </x:c>
      <x:c r="C64" s="31" t="str">
        <x:v>HYBRID</x:v>
      </x:c>
      <x:c r="D64" s="31" t="str">
        <x:v>King Miller 60+ rushing + Hawaii +4.5 + Memphis/UNLV O56.5</x:v>
      </x:c>
      <x:c r="E64" s="538" t="n">
        <x:v>1</x:v>
      </x:c>
      <x:c r="F64" s="80" t="n">
        <x:v>650</x:v>
      </x:c>
      <x:c r="G64" s="534" t="str">
        <x:v>Y</x:v>
      </x:c>
      <x:c r="H64" s="80" t="n">
        <x:v>3</x:v>
      </x:c>
      <x:c r="I64" s="534" t="str">
        <x:v>Loss</x:v>
      </x:c>
      <x:c r="J64" s="538" t="n">
        <x:v>0</x:v>
      </x:c>
      <x:c r="K64" s="538" t="n">
        <x:v>-1</x:v>
      </x:c>
      <x:c r="L64" s="31" t="str">
        <x:v>CFB Week 0 50% Parlay Boost</x:v>
      </x:c>
      <x:c r="M64" s="31" t="str">
        <x:v>Raw +433; final boosted +650. King Miller 60+ W (63); Hawaii +4.5 L (27-37); MEM/UNLV O56.5 L (27-21 = 48). Ticket 1/3.</x:v>
      </x:c>
    </x:row>
    <x:row r="65" ht="38" customHeight="1">
      <x:c r="A65" s="31" t="str">
        <x:v>2026-08-29</x:v>
      </x:c>
      <x:c r="B65" s="31" t="str">
        <x:v>A29-T04</x:v>
      </x:c>
      <x:c r="C65" s="31" t="str">
        <x:v>HYBRID</x:v>
      </x:c>
      <x:c r="D65" s="31" t="str">
        <x:v>Tatis 2+ TB + Caminero 2+ HRR + Drake Baldwin 2+ TB</x:v>
      </x:c>
      <x:c r="E65" s="538" t="n">
        <x:v>1</x:v>
      </x:c>
      <x:c r="F65" s="80" t="n">
        <x:v>778</x:v>
      </x:c>
      <x:c r="G65" s="534" t="str">
        <x:v>Y</x:v>
      </x:c>
      <x:c r="H65" s="80" t="n">
        <x:v>3</x:v>
      </x:c>
      <x:c r="I65" s="534" t="str">
        <x:v>Loss</x:v>
      </x:c>
      <x:c r="J65" s="538" t="n">
        <x:v>0</x:v>
      </x:c>
      <x:c r="K65" s="538" t="n">
        <x:v>-1</x:v>
      </x:c>
      <x:c r="L65" s="31" t="str">
        <x:v>50% MLB SGP(x) boost</x:v>
      </x:c>
      <x:c r="M65" s="31" t="str">
        <x:v>Raw +518; boosted +778. Tatis L; Caminero W; Baldwin L. Two 2+ TB legs failed; composite HRR leg won.</x:v>
      </x:c>
    </x:row>
    <x:row r="66" ht="38" customHeight="1">
      <x:c r="A66" s="31" t="str">
        <x:v>2026-08-29</x:v>
      </x:c>
      <x:c r="B66" s="31" t="str">
        <x:v>A29-T05</x:v>
      </x:c>
      <x:c r="C66" s="31" t="str">
        <x:v>HYBRID</x:v>
      </x:c>
      <x:c r="D66" s="31" t="str">
        <x:v>MIA/WSH NRFI + KC/CLE NRFI</x:v>
      </x:c>
      <x:c r="E66" s="538" t="n">
        <x:v>1</x:v>
      </x:c>
      <x:c r="F66" s="80" t="n">
        <x:v>201</x:v>
      </x:c>
      <x:c r="G66" s="534" t="str">
        <x:v>N</x:v>
      </x:c>
      <x:c r="H66" s="80" t="n">
        <x:v>2</x:v>
      </x:c>
      <x:c r="I66" s="534" t="str">
        <x:v>Win</x:v>
      </x:c>
      <x:c r="J66" s="538" t="n">
        <x:v>3.01</x:v>
      </x:c>
      <x:c r="K66" s="538" t="n">
        <x:v>2.01</x:v>
      </x:c>
      <x:c r="L66" s="31" t="str"/>
      <x:c r="M66" s="31" t="str">
        <x:v>Both selected NRFIs won. SEA/TOR (the omitted third source leg) also won, so the pruning reduced ticket exposure/variance but did not improve the realized outcome on this slate.</x:v>
      </x:c>
    </x:row>
    <x:row r="67" ht="38" customHeight="1">
      <x:c r="A67" s="31" t="str">
        <x:v>2026-08-29</x:v>
      </x:c>
      <x:c r="B67" s="31" t="str">
        <x:v>A29-T06</x:v>
      </x:c>
      <x:c r="C67" s="31" t="str">
        <x:v>HYBRID</x:v>
      </x:c>
      <x:c r="D67" s="31" t="str">
        <x:v>Bryce Harper 2+ total bases</x:v>
      </x:c>
      <x:c r="E67" s="538" t="n">
        <x:v>1</x:v>
      </x:c>
      <x:c r="F67" s="80" t="n">
        <x:v>176</x:v>
      </x:c>
      <x:c r="G67" s="534" t="str">
        <x:v>Y</x:v>
      </x:c>
      <x:c r="H67" s="80" t="n">
        <x:v>1</x:v>
      </x:c>
      <x:c r="I67" s="534" t="str">
        <x:v>Loss</x:v>
      </x:c>
      <x:c r="J67" s="538" t="n">
        <x:v>0</x:v>
      </x:c>
      <x:c r="K67" s="538" t="n">
        <x:v>-1</x:v>
      </x:c>
      <x:c r="L67" s="31" t="str">
        <x:v>50% MLB Batter Props Boost</x:v>
      </x:c>
      <x:c r="M67" s="31" t="str">
        <x:v>Raw +117; boosted +176. Harper 2+ TB lost. Single structure was disciplined; result treated primarily as hitter/TB variance with some recent-form overweight risk.</x:v>
      </x:c>
    </x:row>
    <x:row r="68" ht="38" customHeight="1">
      <x:c r="A68" s="31" t="str">
        <x:v>2026-08-30</x:v>
      </x:c>
      <x:c r="B68" s="31" t="str">
        <x:v>A30-T01</x:v>
      </x:c>
      <x:c r="C68" s="31" t="str">
        <x:v>HYBRID</x:v>
      </x:c>
      <x:c r="D68" s="31" t="str">
        <x:v>Matthew Liberatore 6+ strikeouts</x:v>
      </x:c>
      <x:c r="E68" s="538" t="n">
        <x:v>1</x:v>
      </x:c>
      <x:c r="F68" s="80" t="n">
        <x:v>-138</x:v>
      </x:c>
      <x:c r="G68" s="534" t="str">
        <x:v>N</x:v>
      </x:c>
      <x:c r="H68" s="80" t="n">
        <x:v>1</x:v>
      </x:c>
      <x:c r="I68" s="534" t="str">
        <x:v>Win</x:v>
      </x:c>
      <x:c r="J68" s="538" t="n">
        <x:v>1.72</x:v>
      </x:c>
      <x:c r="K68" s="538" t="n">
        <x:v>0.72</x:v>
      </x:c>
      <x:c r="L68" s="31" t="str"/>
      <x:c r="M68" s="31" t="str">
        <x:v>Final: 9 K.</x:v>
      </x:c>
    </x:row>
    <x:row r="69" ht="38" customHeight="1">
      <x:c r="A69" s="31" t="str">
        <x:v>2026-08-30</x:v>
      </x:c>
      <x:c r="B69" s="31" t="str">
        <x:v>A30-T02</x:v>
      </x:c>
      <x:c r="C69" s="31" t="str">
        <x:v>HYBRID</x:v>
      </x:c>
      <x:c r="D69" s="31" t="str">
        <x:v>Christian Yelich 2+ H+R+RBI</x:v>
      </x:c>
      <x:c r="E69" s="538" t="n">
        <x:v>1</x:v>
      </x:c>
      <x:c r="F69" s="80" t="n">
        <x:v>-130</x:v>
      </x:c>
      <x:c r="G69" s="534" t="str">
        <x:v>N</x:v>
      </x:c>
      <x:c r="H69" s="80" t="n">
        <x:v>1</x:v>
      </x:c>
      <x:c r="I69" s="534" t="str">
        <x:v>Loss</x:v>
      </x:c>
      <x:c r="J69" s="538" t="n">
        <x:v>0</x:v>
      </x:c>
      <x:c r="K69" s="538" t="n">
        <x:v>-1</x:v>
      </x:c>
      <x:c r="L69" s="31" t="str"/>
      <x:c r="M69" s="31" t="str">
        <x:v>Final: 0-for-4, no H/R/RBI.</x:v>
      </x:c>
    </x:row>
    <x:row r="70" ht="38" customHeight="1">
      <x:c r="A70" s="31" t="str">
        <x:v>2026-08-30</x:v>
      </x:c>
      <x:c r="B70" s="31" t="str">
        <x:v>A30-T03</x:v>
      </x:c>
      <x:c r="C70" s="31" t="str">
        <x:v>DISCOVERED</x:v>
      </x:c>
      <x:c r="D70" s="31" t="str">
        <x:v>Will Warren O4.5 hits allowed</x:v>
      </x:c>
      <x:c r="E70" s="538" t="n">
        <x:v>1</x:v>
      </x:c>
      <x:c r="F70" s="80" t="n">
        <x:v>-148</x:v>
      </x:c>
      <x:c r="G70" s="534" t="str">
        <x:v>N</x:v>
      </x:c>
      <x:c r="H70" s="80" t="n">
        <x:v>1</x:v>
      </x:c>
      <x:c r="I70" s="534" t="str">
        <x:v>Win</x:v>
      </x:c>
      <x:c r="J70" s="538" t="n">
        <x:v>1.68</x:v>
      </x:c>
      <x:c r="K70" s="538" t="n">
        <x:v>0.68</x:v>
      </x:c>
      <x:c r="L70" s="31" t="str"/>
      <x:c r="M70" s="31" t="str">
        <x:v>Final: 6 hits allowed.</x:v>
      </x:c>
    </x:row>
    <x:row r="71" ht="38" customHeight="1">
      <x:c r="A71" s="31" t="str">
        <x:v>2026-08-30</x:v>
      </x:c>
      <x:c r="B71" s="31" t="str">
        <x:v>A30-T04</x:v>
      </x:c>
      <x:c r="C71" s="31" t="str">
        <x:v>HYBRID</x:v>
      </x:c>
      <x:c r="D71" s="31" t="str">
        <x:v>Real Madrid O2.5 team goals + Vinicius 1+ SOT + Mbappe 3+ SOT</x:v>
      </x:c>
      <x:c r="E71" s="538" t="n">
        <x:v>1</x:v>
      </x:c>
      <x:c r="F71" s="80" t="n">
        <x:v>120</x:v>
      </x:c>
      <x:c r="G71" s="534" t="str">
        <x:v>N</x:v>
      </x:c>
      <x:c r="H71" s="80" t="n">
        <x:v>3</x:v>
      </x:c>
      <x:c r="I71" s="534" t="str">
        <x:v>Loss</x:v>
      </x:c>
      <x:c r="J71" s="538" t="n">
        <x:v>0</x:v>
      </x:c>
      <x:c r="K71" s="538" t="n">
        <x:v>-1</x:v>
      </x:c>
      <x:c r="L71" s="31" t="str"/>
      <x:c r="M71" s="31" t="str">
        <x:v>Madrid goals W (4); Vini SOT L (0); Mbappe 3+ SOT W (4).</x:v>
      </x:c>
    </x:row>
    <x:row r="72" ht="38" customHeight="1">
      <x:c r="A72" s="31" t="str">
        <x:v>2026-08-30</x:v>
      </x:c>
      <x:c r="B72" s="31" t="str">
        <x:v>A30-T05</x:v>
      </x:c>
      <x:c r="C72" s="31" t="str">
        <x:v>HYBRID</x:v>
      </x:c>
      <x:c r="D72" s="31" t="str">
        <x:v>Mbeumo 1+ SOT + Bruno Fernandes 1+ SOT + Julio Enciso 2+ shots</x:v>
      </x:c>
      <x:c r="E72" s="538" t="n">
        <x:v>1</x:v>
      </x:c>
      <x:c r="F72" s="80" t="str"/>
      <x:c r="G72" s="534" t="str">
        <x:v>N</x:v>
      </x:c>
      <x:c r="H72" s="80" t="n">
        <x:v>3</x:v>
      </x:c>
      <x:c r="I72" s="534" t="str">
        <x:v>Win</x:v>
      </x:c>
      <x:c r="J72" s="538" t="str"/>
      <x:c r="K72" s="538" t="str"/>
      <x:c r="L72" s="31" t="str"/>
      <x:c r="M72" s="31" t="str">
        <x:v>All three legs won. Exact ticket odds/payout not recovered; retained as confirmed W without fabricated economics.</x:v>
      </x:c>
    </x:row>
    <x:row r="73" ht="38" customHeight="1">
      <x:c r="A73" s="31" t="str">
        <x:v>2026-08-30</x:v>
      </x:c>
      <x:c r="B73" s="31" t="str">
        <x:v>A30-T06</x:v>
      </x:c>
      <x:c r="C73" s="31" t="str">
        <x:v>HYBRID</x:v>
      </x:c>
      <x:c r="D73" s="31" t="str">
        <x:v>WNBA real ticket: Reese 12+ REB + Nneka 8+ REB + Engstler 10+ PTS</x:v>
      </x:c>
      <x:c r="E73" s="538" t="n">
        <x:v>1</x:v>
      </x:c>
      <x:c r="F73" s="80" t="str"/>
      <x:c r="G73" s="534" t="str">
        <x:v>N</x:v>
      </x:c>
      <x:c r="H73" s="80" t="n">
        <x:v>3</x:v>
      </x:c>
      <x:c r="I73" s="534" t="str">
        <x:v>Loss</x:v>
      </x:c>
      <x:c r="J73" s="538" t="n">
        <x:v>0</x:v>
      </x:c>
      <x:c r="K73" s="538" t="n">
        <x:v>-1</x:v>
      </x:c>
      <x:c r="L73" s="31" t="str"/>
      <x:c r="M73" s="31" t="str">
        <x:v>Reese L (11); Nneka W (12); Engstler W (12). Exact odds not recovered.</x:v>
      </x:c>
    </x:row>
    <x:row r="74" ht="38" customHeight="1">
      <x:c r="A74" s="31" t="str">
        <x:v>2026-08-30</x:v>
      </x:c>
      <x:c r="B74" s="31" t="str">
        <x:v>A30-T07</x:v>
      </x:c>
      <x:c r="C74" s="31" t="str">
        <x:v>HYBRID</x:v>
      </x:c>
      <x:c r="D74" s="31" t="str">
        <x:v>MLB real ticket including Yordan 2+ TB + Wheeler 7+ K + Bohm 2+ HRR</x:v>
      </x:c>
      <x:c r="E74" s="538" t="n">
        <x:v>1</x:v>
      </x:c>
      <x:c r="F74" s="80" t="str"/>
      <x:c r="G74" s="534" t="str">
        <x:v>Y</x:v>
      </x:c>
      <x:c r="H74" s="80" t="n">
        <x:v>3</x:v>
      </x:c>
      <x:c r="I74" s="534" t="str">
        <x:v>Loss</x:v>
      </x:c>
      <x:c r="J74" s="538" t="n">
        <x:v>0</x:v>
      </x:c>
      <x:c r="K74" s="538" t="n">
        <x:v>-1</x:v>
      </x:c>
      <x:c r="L74" s="31" t="str">
        <x:v>MLB promo construction</x:v>
      </x:c>
      <x:c r="M74" s="31" t="str">
        <x:v>Yordan L; Wheeler L by one K; Bohm L. Exact final odds not recovered.</x:v>
      </x:c>
    </x:row>
    <x:row r="75" ht="38" customHeight="1">
      <x:c r="A75" s="31" t="str">
        <x:v>2026-09-01</x:v>
      </x:c>
      <x:c r="B75" s="31" t="str">
        <x:v>S01-T01</x:v>
      </x:c>
      <x:c r="C75" s="31" t="str">
        <x:v>HYBRID</x:v>
      </x:c>
      <x:c r="D75" s="31" t="str">
        <x:v>Bryan Woo 5+ K + Freddy Peralta 5+ K + Junior Caminero 2+ H+R+RBI</x:v>
      </x:c>
      <x:c r="E75" s="538" t="n">
        <x:v>1</x:v>
      </x:c>
      <x:c r="F75" s="80" t="n">
        <x:v>454</x:v>
      </x:c>
      <x:c r="G75" s="534" t="str">
        <x:v>Y</x:v>
      </x:c>
      <x:c r="H75" s="80" t="n">
        <x:v>3</x:v>
      </x:c>
      <x:c r="I75" s="534" t="str">
        <x:v>Win</x:v>
      </x:c>
      <x:c r="J75" s="538" t="n">
        <x:v>5.54</x:v>
      </x:c>
      <x:c r="K75" s="538" t="n">
        <x:v>4.54</x:v>
      </x:c>
      <x:c r="L75" s="31" t="str">
        <x:v>50% MLB SGP(x) Boost</x:v>
      </x:c>
      <x:c r="M75" s="31" t="str">
        <x:v>Raw +302; boosted +454. 2-pick NYM@TB SGP core (+144) plus Woo outside leg (-154). All 3 legs won.</x:v>
      </x:c>
    </x:row>
    <x:row r="76" ht="38" customHeight="1">
      <x:c r="A76" s="31" t="str">
        <x:v>2026-09-01</x:v>
      </x:c>
      <x:c r="B76" s="31" t="str">
        <x:v>S01-T02</x:v>
      </x:c>
      <x:c r="C76" s="31" t="str">
        <x:v>HYBRID</x:v>
      </x:c>
      <x:c r="D76" s="31" t="str">
        <x:v>Jordan Walker 1+ Home Run</x:v>
      </x:c>
      <x:c r="E76" s="538" t="n">
        <x:v>1</x:v>
      </x:c>
      <x:c r="F76" s="80" t="n">
        <x:v>441</x:v>
      </x:c>
      <x:c r="G76" s="534" t="str">
        <x:v>Y</x:v>
      </x:c>
      <x:c r="H76" s="80" t="n">
        <x:v>1</x:v>
      </x:c>
      <x:c r="I76" s="534" t="str">
        <x:v>Win</x:v>
      </x:c>
      <x:c r="J76" s="538" t="n">
        <x:v>5.41</x:v>
      </x:c>
      <x:c r="K76" s="538" t="n">
        <x:v>4.41</x:v>
      </x:c>
      <x:c r="L76" s="31" t="str">
        <x:v>50% HR Boost</x:v>
      </x:c>
      <x:c r="M76" s="31" t="str">
        <x:v>Raw +294; boosted +441. Walker homered; paid $5.41.</x:v>
      </x:c>
    </x:row>
    <x:row r="77" ht="38" customHeight="1">
      <x:c r="A77" s="31" t="str">
        <x:v>2026-09-02</x:v>
      </x:c>
      <x:c r="B77" s="31" t="str">
        <x:v>S02-T01</x:v>
      </x:c>
      <x:c r="C77" s="31" t="str">
        <x:v>HYBRID</x:v>
      </x:c>
      <x:c r="D77" s="31" t="str">
        <x:v>Yordan Alvarez 2+ total bases</x:v>
      </x:c>
      <x:c r="E77" s="538" t="n">
        <x:v>1</x:v>
      </x:c>
      <x:c r="F77" s="80" t="n">
        <x:v>-105</x:v>
      </x:c>
      <x:c r="G77" s="534" t="str">
        <x:v>N</x:v>
      </x:c>
      <x:c r="H77" s="80" t="n">
        <x:v>1</x:v>
      </x:c>
      <x:c r="I77" s="534" t="str">
        <x:v>Win</x:v>
      </x:c>
      <x:c r="J77" s="538" t="n">
        <x:v>1.95</x:v>
      </x:c>
      <x:c r="K77" s="538" t="n">
        <x:v>0.95</x:v>
      </x:c>
      <x:c r="L77" s="31" t="str"/>
      <x:c r="M77" s="31" t="str">
        <x:v>Placed from finalized preliminary card; exact DK screenshot confirms -105.</x:v>
      </x:c>
    </x:row>
    <x:row r="78" ht="38" customHeight="1">
      <x:c r="A78" s="31" t="str">
        <x:v>2026-09-02</x:v>
      </x:c>
      <x:c r="B78" s="31" t="str">
        <x:v>S02-T02</x:v>
      </x:c>
      <x:c r="C78" s="31" t="str">
        <x:v>HYBRID</x:v>
      </x:c>
      <x:c r="D78" s="31" t="str">
        <x:v>Junior Caminero 2+ total bases</x:v>
      </x:c>
      <x:c r="E78" s="538" t="n">
        <x:v>1</x:v>
      </x:c>
      <x:c r="F78" s="80" t="n">
        <x:v>152</x:v>
      </x:c>
      <x:c r="G78" s="534" t="str">
        <x:v>Y</x:v>
      </x:c>
      <x:c r="H78" s="80" t="n">
        <x:v>1</x:v>
      </x:c>
      <x:c r="I78" s="534" t="str">
        <x:v>Loss</x:v>
      </x:c>
      <x:c r="J78" s="538" t="n">
        <x:v>0</x:v>
      </x:c>
      <x:c r="K78" s="538" t="n">
        <x:v>-1</x:v>
      </x:c>
      <x:c r="L78" s="31" t="str">
        <x:v>50% Any Sport Boost</x:v>
      </x:c>
      <x:c r="M78" s="31" t="str">
        <x:v>Raw +101; boosted to +152. Natural +100 qualifier; no threshold inflation.</x:v>
      </x:c>
    </x:row>
    <x:row r="79" ht="38" customHeight="1">
      <x:c r="A79" s="31" t="str">
        <x:v>2026-09-02</x:v>
      </x:c>
      <x:c r="B79" s="31" t="str">
        <x:v>S02-T03</x:v>
      </x:c>
      <x:c r="C79" s="31" t="str">
        <x:v>HYBRID</x:v>
      </x:c>
      <x:c r="D79" s="31" t="str">
        <x:v>Dylan Cease 7+ strikeouts</x:v>
      </x:c>
      <x:c r="E79" s="538" t="n">
        <x:v>1</x:v>
      </x:c>
      <x:c r="F79" s="80" t="n">
        <x:v>-106</x:v>
      </x:c>
      <x:c r="G79" s="534" t="str">
        <x:v>N</x:v>
      </x:c>
      <x:c r="H79" s="80" t="n">
        <x:v>1</x:v>
      </x:c>
      <x:c r="I79" s="534" t="str">
        <x:v>Loss</x:v>
      </x:c>
      <x:c r="J79" s="538" t="n">
        <x:v>0</x:v>
      </x:c>
      <x:c r="K79" s="538" t="n">
        <x:v>-1</x:v>
      </x:c>
      <x:c r="L79" s="31" t="str"/>
      <x:c r="M79" s="31" t="str">
        <x:v>Placed at -106 after K-vs-outs price comparison.</x:v>
      </x:c>
    </x:row>
    <x:row r="80" ht="38" customHeight="1">
      <x:c r="A80" s="31" t="str">
        <x:v>2026-09-02</x:v>
      </x:c>
      <x:c r="B80" s="31" t="str">
        <x:v>S02-T04</x:v>
      </x:c>
      <x:c r="C80" s="31" t="str">
        <x:v>HYBRID</x:v>
      </x:c>
      <x:c r="D80" s="31" t="str">
        <x:v>Jacob Misiorowski O17.5 outs</x:v>
      </x:c>
      <x:c r="E80" s="538" t="n">
        <x:v>1</x:v>
      </x:c>
      <x:c r="F80" s="80" t="n">
        <x:v>-136</x:v>
      </x:c>
      <x:c r="G80" s="534" t="str">
        <x:v>N</x:v>
      </x:c>
      <x:c r="H80" s="80" t="n">
        <x:v>1</x:v>
      </x:c>
      <x:c r="I80" s="534" t="str">
        <x:v>Loss</x:v>
      </x:c>
      <x:c r="J80" s="538" t="n">
        <x:v>0</x:v>
      </x:c>
      <x:c r="K80" s="538" t="n">
        <x:v>-1</x:v>
      </x:c>
      <x:c r="L80" s="31" t="str"/>
      <x:c r="M80" s="31" t="str">
        <x:v>Placed at -136; observed earlier at -131. Workload expression chosen over 8+ K.</x:v>
      </x:c>
    </x:row>
    <x:row r="81" ht="38" customHeight="1">
      <x:c r="A81" s="31" t="str">
        <x:v>2026-09-02</x:v>
      </x:c>
      <x:c r="B81" s="31" t="str">
        <x:v>S02-T05</x:v>
      </x:c>
      <x:c r="C81" s="31" t="str">
        <x:v>HYBRID</x:v>
      </x:c>
      <x:c r="D81" s="31" t="str">
        <x:v>Pete Alonso 1+ home run</x:v>
      </x:c>
      <x:c r="E81" s="538" t="n">
        <x:v>1</x:v>
      </x:c>
      <x:c r="F81" s="80" t="n">
        <x:v>377</x:v>
      </x:c>
      <x:c r="G81" s="534" t="str">
        <x:v>Y</x:v>
      </x:c>
      <x:c r="H81" s="80" t="n">
        <x:v>1</x:v>
      </x:c>
      <x:c r="I81" s="534" t="str">
        <x:v>Loss</x:v>
      </x:c>
      <x:c r="J81" s="538" t="n">
        <x:v>0</x:v>
      </x:c>
      <x:c r="K81" s="538" t="n">
        <x:v>-1</x:v>
      </x:c>
      <x:c r="L81" s="31" t="str">
        <x:v>50% 2–4 PM HR Boost</x:v>
      </x:c>
      <x:c r="M81" s="31" t="str">
        <x:v>Raw +251; boosted to +377. Eligible-game-window HR promo; selected after BAL@COL / PHI@ARI / ATH@TEX comparison.</x:v>
      </x:c>
    </x:row>
    <x:row r="82" ht="38" customHeight="1">
      <x:c r="A82" s="31" t="str">
        <x:v>2026-09-02</x:v>
      </x:c>
      <x:c r="B82" s="31" t="str">
        <x:v>S02-T06</x:v>
      </x:c>
      <x:c r="C82" s="31" t="str">
        <x:v>HYBRID</x:v>
      </x:c>
      <x:c r="D82" s="31" t="str">
        <x:v>Noah Cameron 5+ K + Jackson Chourio 2+ H+R+RBI + William Contreras 2+ H+R+RBI</x:v>
      </x:c>
      <x:c r="E82" s="538" t="n">
        <x:v>1</x:v>
      </x:c>
      <x:c r="F82" s="80" t="n">
        <x:v>489</x:v>
      </x:c>
      <x:c r="G82" s="534" t="str">
        <x:v>Y</x:v>
      </x:c>
      <x:c r="H82" s="80" t="n">
        <x:v>3</x:v>
      </x:c>
      <x:c r="I82" s="534" t="str">
        <x:v>Win</x:v>
      </x:c>
      <x:c r="J82" s="538" t="n">
        <x:v>5.89</x:v>
      </x:c>
      <x:c r="K82" s="538" t="n">
        <x:v>4.89</x:v>
      </x:c>
      <x:c r="L82" s="31" t="str">
        <x:v>50% MLB SGP(x) Boost</x:v>
      </x:c>
      <x:c r="M82" s="31" t="str">
        <x:v>Raw +325; boosted +489. MIL@CHC 2-leg SGP core + Cameron outside leg. All 3 legs won.</x:v>
      </x:c>
    </x:row>
    <x:row r="83" ht="38" customHeight="1">
      <x:c r="A83" s="31" t="str">
        <x:v>2026-09-03</x:v>
      </x:c>
      <x:c r="B83" s="31" t="str">
        <x:v>S03-T01</x:v>
      </x:c>
      <x:c r="C83" s="31" t="str">
        <x:v>HYBRID</x:v>
      </x:c>
      <x:c r="D83" s="31" t="str">
        <x:v>Yordan Alvarez 2+ total bases</x:v>
      </x:c>
      <x:c r="E83" s="538" t="n">
        <x:v>1</x:v>
      </x:c>
      <x:c r="F83" s="80" t="n">
        <x:v>109</x:v>
      </x:c>
      <x:c r="G83" s="534" t="str">
        <x:v>Y</x:v>
      </x:c>
      <x:c r="H83" s="80" t="n">
        <x:v>1</x:v>
      </x:c>
      <x:c r="I83" s="534" t="str">
        <x:v>Loss</x:v>
      </x:c>
      <x:c r="J83" s="538" t="n">
        <x:v>0</x:v>
      </x:c>
      <x:c r="K83" s="538" t="n">
        <x:v>-1</x:v>
      </x:c>
      <x:c r="L83" s="31" t="str">
        <x:v>50% Batter Boost</x:v>
      </x:c>
      <x:c r="M83" s="31" t="str">
        <x:v>Raw -138; boosted to +109. Yordan went 0-for-2 with a walk, hit by pitch and run.</x:v>
      </x:c>
    </x:row>
    <x:row r="84" ht="38" customHeight="1">
      <x:c r="A84" s="31" t="str">
        <x:v>2026-09-03</x:v>
      </x:c>
      <x:c r="B84" s="31" t="str">
        <x:v>S03-T02</x:v>
      </x:c>
      <x:c r="C84" s="31" t="str">
        <x:v>INDEPENDENT</x:v>
      </x:c>
      <x:c r="D84" s="31" t="str">
        <x:v>Jake Bennett over 16.5 pitching outs</x:v>
      </x:c>
      <x:c r="E84" s="538" t="n">
        <x:v>1</x:v>
      </x:c>
      <x:c r="F84" s="80" t="n">
        <x:v>-112</x:v>
      </x:c>
      <x:c r="G84" s="534" t="str">
        <x:v>N</x:v>
      </x:c>
      <x:c r="H84" s="80" t="n">
        <x:v>1</x:v>
      </x:c>
      <x:c r="I84" s="534" t="str">
        <x:v>Win</x:v>
      </x:c>
      <x:c r="J84" s="538" t="n">
        <x:v>1.89</x:v>
      </x:c>
      <x:c r="K84" s="538" t="n">
        <x:v>0.89</x:v>
      </x:c>
      <x:c r="L84" s="31" t="str"/>
      <x:c r="M84" s="31" t="str">
        <x:v>Bennett completed 6.0 innings for 18 outs with 7 strikeouts.</x:v>
      </x:c>
    </x:row>
    <x:row r="85" ht="38" customHeight="1">
      <x:c r="A85" s="31" t="str">
        <x:v>2026-09-03</x:v>
      </x:c>
      <x:c r="B85" s="31" t="str">
        <x:v>S03-T03</x:v>
      </x:c>
      <x:c r="C85" s="31" t="str">
        <x:v>HYBRID</x:v>
      </x:c>
      <x:c r="D85" s="31" t="str">
        <x:v>Jackson Chourio 2+ H+R+RBI + William Contreras 2+ H+R+RBI + Kade Anderson under 16.5 pitching outs</x:v>
      </x:c>
      <x:c r="E85" s="538" t="n">
        <x:v>1</x:v>
      </x:c>
      <x:c r="F85" s="80" t="n">
        <x:v>477</x:v>
      </x:c>
      <x:c r="G85" s="534" t="str">
        <x:v>Y</x:v>
      </x:c>
      <x:c r="H85" s="80" t="n">
        <x:v>3</x:v>
      </x:c>
      <x:c r="I85" s="534" t="str">
        <x:v>Loss</x:v>
      </x:c>
      <x:c r="J85" s="538" t="n">
        <x:v>0</x:v>
      </x:c>
      <x:c r="K85" s="538" t="n">
        <x:v>-1</x:v>
      </x:c>
      <x:c r="L85" s="31" t="str">
        <x:v>20% MLB SGP(x) Boost</x:v>
      </x:c>
      <x:c r="M85" s="31" t="str">
        <x:v>Raw +397; boosted to +477. Chourio and Contreras lost; Anderson won at 15 outs.</x:v>
      </x:c>
    </x:row>
    <x:row r="86" ht="38" customHeight="1">
      <x:c r="A86" s="31" t="str">
        <x:v>2026-09-04</x:v>
      </x:c>
      <x:c r="B86" s="31" t="str">
        <x:v>S04-T01</x:v>
      </x:c>
      <x:c r="C86" s="31" t="str">
        <x:v>BOTH</x:v>
      </x:c>
      <x:c r="D86" s="31" t="str">
        <x:v>Como moneyline + Liverpool over 2.5 team goals + Real Madrid over 2.5 team goals</x:v>
      </x:c>
      <x:c r="E86" s="538" t="n">
        <x:v>1</x:v>
      </x:c>
      <x:c r="F86" s="80" t="n">
        <x:v>736</x:v>
      </x:c>
      <x:c r="G86" s="534" t="str">
        <x:v>Y</x:v>
      </x:c>
      <x:c r="H86" s="80" t="n">
        <x:v>3</x:v>
      </x:c>
      <x:c r="I86" s="534" t="str">
        <x:v>Loss</x:v>
      </x:c>
      <x:c r="J86" s="538" t="n">
        <x:v>0</x:v>
      </x:c>
      <x:c r="K86" s="538" t="n">
        <x:v>-1</x:v>
      </x:c>
      <x:c r="L86" s="31" t="str">
        <x:v>30% Soccer Parlay Boost</x:v>
      </x:c>
      <x:c r="M86" s="31" t="str">
        <x:v>FINAL from user-provided DraftKings screenshot. Como ML won 4-1; Liverpool O2.5 team goals lost with 2; Real Madrid O2.5 team goals lost with 0. Exact boosted settlement price remains uncaptured.</x:v>
      </x:c>
    </x:row>
    <x:row r="87" ht="38" customHeight="1">
      <x:c r="A87" s="31" t="str">
        <x:v>2026-09-04</x:v>
      </x:c>
      <x:c r="B87" s="31" t="str">
        <x:v>S04-T02</x:v>
      </x:c>
      <x:c r="C87" s="31" t="str">
        <x:v>INDEPENDENT</x:v>
      </x:c>
      <x:c r="D87" s="31" t="str">
        <x:v>Miami -24.5 (-108) + Fresno State +22.5 (-118)</x:v>
      </x:c>
      <x:c r="E87" s="538" t="n">
        <x:v>1</x:v>
      </x:c>
      <x:c r="F87" s="80" t="n">
        <x:v>384</x:v>
      </x:c>
      <x:c r="G87" s="534" t="str">
        <x:v>Y</x:v>
      </x:c>
      <x:c r="H87" s="80" t="n">
        <x:v>2</x:v>
      </x:c>
      <x:c r="I87" s="534" t="str">
        <x:v>Loss</x:v>
      </x:c>
      <x:c r="J87" s="538" t="n">
        <x:v>0</x:v>
      </x:c>
      <x:c r="K87" s="538" t="n">
        <x:v>-1</x:v>
      </x:c>
      <x:c r="L87" s="31" t="str">
        <x:v>50% CFB Boost</x:v>
      </x:c>
      <x:c r="M87" s="31" t="str">
        <x:v>FINAL from user-provided DraftKings screenshot. Raw +235; boosted +384. Miami -24.5 won 45-6; Fresno State +22.5 lost 39-0.</x:v>
      </x:c>
    </x:row>
    <x:row r="88" ht="38" customHeight="1">
      <x:c r="A88" s="31" t="str">
        <x:v>2026-09-04</x:v>
      </x:c>
      <x:c r="B88" s="31" t="str">
        <x:v>S04-T03</x:v>
      </x:c>
      <x:c r="C88" s="31" t="str">
        <x:v>INDEPENDENT</x:v>
      </x:c>
      <x:c r="D88" s="31" t="str">
        <x:v>Ozzie Albies 1+ hit + Lane Thomas 1+ hit + Hunter Goodman 2+ total bases</x:v>
      </x:c>
      <x:c r="E88" s="538" t="n">
        <x:v>1</x:v>
      </x:c>
      <x:c r="F88" s="80" t="n">
        <x:v>416</x:v>
      </x:c>
      <x:c r="G88" s="534" t="str">
        <x:v>Y</x:v>
      </x:c>
      <x:c r="H88" s="80" t="n">
        <x:v>3</x:v>
      </x:c>
      <x:c r="I88" s="534" t="str">
        <x:v>Loss</x:v>
      </x:c>
      <x:c r="J88" s="538" t="n">
        <x:v>0</x:v>
      </x:c>
      <x:c r="K88" s="538" t="n">
        <x:v>-1</x:v>
      </x:c>
      <x:c r="L88" s="31" t="str">
        <x:v>30% MLB SGPx Boost</x:v>
      </x:c>
      <x:c r="M88" s="31" t="str">
        <x:v>FINAL from user-provided DraftKings screenshot. Raw +319; boosted +416. Ozzie Albies 1+ hit won; Lane Thomas 1+ hit and Hunter Goodman 2+ total bases lost.</x:v>
      </x:c>
    </x:row>
    <x:row r="89" ht="38" customHeight="1">
      <x:c r="A89" s="31" t="str">
        <x:v>2026-09-04</x:v>
      </x:c>
      <x:c r="B89" s="31" t="str">
        <x:v>S04-T04</x:v>
      </x:c>
      <x:c r="C89" s="31" t="str">
        <x:v>HYBRID</x:v>
      </x:c>
      <x:c r="D89" s="31" t="str">
        <x:v>Yordan Alvarez 1+ home run</x:v>
      </x:c>
      <x:c r="E89" s="538" t="n">
        <x:v>1</x:v>
      </x:c>
      <x:c r="F89" s="80" t="n">
        <x:v>323</x:v>
      </x:c>
      <x:c r="G89" s="534" t="str">
        <x:v>Y</x:v>
      </x:c>
      <x:c r="H89" s="80" t="n">
        <x:v>1</x:v>
      </x:c>
      <x:c r="I89" s="534" t="str">
        <x:v>Loss</x:v>
      </x:c>
      <x:c r="J89" s="538" t="n">
        <x:v>0</x:v>
      </x:c>
      <x:c r="K89" s="538" t="n">
        <x:v>-1</x:v>
      </x:c>
      <x:c r="L89" s="31" t="str">
        <x:v>50% MLB Home Run Boost</x:v>
      </x:c>
      <x:c r="M89" s="31" t="str">
        <x:v>FINAL from user-provided DraftKings screenshot. Raw +215; boosted +323. Yordan Alvarez did not homer.</x:v>
      </x:c>
    </x:row>
    <x:row r="90" ht="38" customHeight="1">
      <x:c r="A90" s="31" t="str">
        <x:v>2026-09-05</x:v>
      </x:c>
      <x:c r="B90" s="31" t="str">
        <x:v>S05-T01</x:v>
      </x:c>
      <x:c r="C90" s="31" t="str">
        <x:v>INDEPENDENT</x:v>
      </x:c>
      <x:c r="D90" s="31" t="str">
        <x:v>Manchester City over 2.5 team goals</x:v>
      </x:c>
      <x:c r="E90" s="538" t="n">
        <x:v>1</x:v>
      </x:c>
      <x:c r="F90" s="80" t="n">
        <x:v>-134</x:v>
      </x:c>
      <x:c r="G90" s="534" t="str">
        <x:v>N</x:v>
      </x:c>
      <x:c r="H90" s="80" t="n">
        <x:v>1</x:v>
      </x:c>
      <x:c r="I90" s="534" t="str">
        <x:v>Pending</x:v>
      </x:c>
      <x:c r="J90" s="538" t="str"/>
      <x:c r="K90" s="538" t="str"/>
      <x:c r="L90" s="31" t="str"/>
      <x:c r="M90" s="31" t="str">
        <x:v>PLACED_USER_CONFIRMED from the user saying “Done” immediately after the exact $1 placement instruction. Settlement pending.</x:v>
      </x:c>
    </x:row>
    <x:row r="91" ht="38" customHeight="1">
      <x:c r="A91" s="31" t="str">
        <x:v>2026-09-05</x:v>
      </x:c>
      <x:c r="B91" s="31" t="str">
        <x:v>S05-T02</x:v>
      </x:c>
      <x:c r="C91" s="31" t="str">
        <x:v>INDEPENDENT</x:v>
      </x:c>
      <x:c r="D91" s="31" t="str">
        <x:v>Makhi Hughes 76+ rushing yards</x:v>
      </x:c>
      <x:c r="E91" s="538" t="n">
        <x:v>1</x:v>
      </x:c>
      <x:c r="F91" s="80" t="n">
        <x:v>-118</x:v>
      </x:c>
      <x:c r="G91" s="534" t="str">
        <x:v>Y</x:v>
      </x:c>
      <x:c r="H91" s="80" t="n">
        <x:v>1</x:v>
      </x:c>
      <x:c r="I91" s="534" t="str">
        <x:v>Pending</x:v>
      </x:c>
      <x:c r="J91" s="538" t="str"/>
      <x:c r="K91" s="538" t="str"/>
      <x:c r="L91" s="31" t="str">
        <x:v>50% CFB Week 1 single boost</x:v>
      </x:c>
      <x:c r="M91" s="31" t="str">
        <x:v>PLACED_USER_CONFIRMED from “All 3 placed.” -118 is the captured raw line; exact boosted price and payout remain unavailable.</x:v>
      </x:c>
    </x:row>
    <x:row r="92" ht="38" customHeight="1">
      <x:c r="A92" s="31" t="str">
        <x:v>2026-09-05</x:v>
      </x:c>
      <x:c r="B92" s="31" t="str">
        <x:v>S05-T03</x:v>
      </x:c>
      <x:c r="C92" s="31" t="str">
        <x:v>INDEPENDENT</x:v>
      </x:c>
      <x:c r="D92" s="31" t="str">
        <x:v>Amare Thomas 70+ receiving yards</x:v>
      </x:c>
      <x:c r="E92" s="538" t="n">
        <x:v>1</x:v>
      </x:c>
      <x:c r="F92" s="80" t="n">
        <x:v>101</x:v>
      </x:c>
      <x:c r="G92" s="534" t="str">
        <x:v>Y</x:v>
      </x:c>
      <x:c r="H92" s="80" t="n">
        <x:v>1</x:v>
      </x:c>
      <x:c r="I92" s="534" t="str">
        <x:v>Pending</x:v>
      </x:c>
      <x:c r="J92" s="538" t="str"/>
      <x:c r="K92" s="538" t="str"/>
      <x:c r="L92" s="31" t="str">
        <x:v>50% CFB Saturday +100 boost</x:v>
      </x:c>
      <x:c r="M92" s="31" t="str">
        <x:v>PLACED_USER_CONFIRMED from “All 3 placed.” +101 is the captured raw line; exact boosted price and payout remain unavailable.</x:v>
      </x:c>
    </x:row>
    <x:row r="93" ht="38" customHeight="1">
      <x:c r="A93" s="31" t="str">
        <x:v>2026-09-05</x:v>
      </x:c>
      <x:c r="B93" s="31" t="str">
        <x:v>S05-T04</x:v>
      </x:c>
      <x:c r="C93" s="31" t="str">
        <x:v>INDEPENDENT</x:v>
      </x:c>
      <x:c r="D93" s="31" t="str">
        <x:v>Carson Hansen 80+ rushing yards + Kamari Moulton 70+ rushing yards + Dakorien Moore 50+ receiving yards</x:v>
      </x:c>
      <x:c r="E93" s="538" t="n">
        <x:v>1</x:v>
      </x:c>
      <x:c r="F93" s="80" t="str"/>
      <x:c r="G93" s="534" t="str">
        <x:v>Y</x:v>
      </x:c>
      <x:c r="H93" s="80" t="n">
        <x:v>3</x:v>
      </x:c>
      <x:c r="I93" s="534" t="str">
        <x:v>Loss</x:v>
      </x:c>
      <x:c r="J93" s="538" t="n">
        <x:v>0</x:v>
      </x:c>
      <x:c r="K93" s="538" t="n">
        <x:v>-1</x:v>
      </x:c>
      <x:c r="L93" s="31" t="str">
        <x:v>50% CFB Week 1 parlay boost</x:v>
      </x:c>
      <x:c r="M93" s="31" t="str">
        <x:v>PLACED_USER_CONFIRMED from “All 3 placed.” Hansen lost with 48 rushing yards on 11 carries against 80+. Classified as role/workload miscalculation and selection/construction error; exact combined and boosted prices remain unavailable.</x:v>
      </x:c>
    </x:row>
    <x:row r="94" ht="38" customHeight="1">
      <x:c r="A94" s="31" t="str">
        <x:v>2026-09-06</x:v>
      </x:c>
      <x:c r="B94" s="31" t="str">
        <x:v>S06-T01</x:v>
      </x:c>
      <x:c r="C94" s="31" t="str">
        <x:v>INDEPENDENT</x:v>
      </x:c>
      <x:c r="D94" s="31" t="str">
        <x:v>Arsenal moneyline + Chelsea at Arsenal over 1.5 total goals</x:v>
      </x:c>
      <x:c r="E94" s="538" t="n">
        <x:v>1</x:v>
      </x:c>
      <x:c r="F94" s="80" t="n">
        <x:v>133</x:v>
      </x:c>
      <x:c r="G94" s="534" t="str">
        <x:v>Y</x:v>
      </x:c>
      <x:c r="H94" s="80" t="n">
        <x:v>2</x:v>
      </x:c>
      <x:c r="I94" s="534" t="str">
        <x:v>Win</x:v>
      </x:c>
      <x:c r="J94" s="538" t="n">
        <x:v>2.33</x:v>
      </x:c>
      <x:c r="K94" s="538" t="n">
        <x:v>1.33</x:v>
      </x:c>
      <x:c r="L94" s="31" t="str">
        <x:v>30% Arsenal vs Chelsea boost</x:v>
      </x:c>
      <x:c r="M94" s="31" t="str">
        <x:v>FINAL from user-submitted DraftKings results. Arsenal won 2-1; both Arsenal ML and over 1.5 goals cleared.</x:v>
      </x:c>
    </x:row>
    <x:row r="95" ht="38" customHeight="1">
      <x:c r="A95" s="31" t="str">
        <x:v>2026-09-06</x:v>
      </x:c>
      <x:c r="B95" s="31" t="str">
        <x:v>S06-T02</x:v>
      </x:c>
      <x:c r="C95" s="31" t="str">
        <x:v>INDEPENDENT</x:v>
      </x:c>
      <x:c r="D95" s="31" t="str">
        <x:v>Stade Rennais moneyline + FC Augsburg at Eintracht Frankfurt under 3.5 total goals + AC Milan at Juventus under 2.5 total goals</x:v>
      </x:c>
      <x:c r="E95" s="538" t="n">
        <x:v>1</x:v>
      </x:c>
      <x:c r="F95" s="80" t="n">
        <x:v>638</x:v>
      </x:c>
      <x:c r="G95" s="534" t="str">
        <x:v>Y</x:v>
      </x:c>
      <x:c r="H95" s="80" t="n">
        <x:v>3</x:v>
      </x:c>
      <x:c r="I95" s="534" t="str">
        <x:v>Loss</x:v>
      </x:c>
      <x:c r="J95" s="538" t="n">
        <x:v>0</x:v>
      </x:c>
      <x:c r="K95" s="538" t="n">
        <x:v>-1</x:v>
      </x:c>
      <x:c r="L95" s="31" t="str">
        <x:v>30% soccer parlay boost</x:v>
      </x:c>
      <x:c r="M95" s="31" t="str">
        <x:v>FINAL from user-submitted DraftKings results. Rennes ML and Juventus/Milan under 2.5 won; Frankfurt/Augsburg under 3.5 lost in a 4-1 match.</x:v>
      </x:c>
    </x:row>
    <x:row r="96" ht="38" customHeight="1">
      <x:c r="A96" s="31" t="str">
        <x:v>2026-09-06</x:v>
      </x:c>
      <x:c r="B96" s="31" t="str">
        <x:v>S06-T03</x:v>
      </x:c>
      <x:c r="C96" s="31" t="str">
        <x:v>INDEPENDENT</x:v>
      </x:c>
      <x:c r="D96" s="31" t="str">
        <x:v>Levante at Málaga under 2.5 total goals + Marseille moneyline + AC Milan at Juventus under 2.5 total goals</x:v>
      </x:c>
      <x:c r="E96" s="538" t="n">
        <x:v>1</x:v>
      </x:c>
      <x:c r="F96" s="80" t="n">
        <x:v>639</x:v>
      </x:c>
      <x:c r="G96" s="534" t="str">
        <x:v>Y</x:v>
      </x:c>
      <x:c r="H96" s="80" t="n">
        <x:v>3</x:v>
      </x:c>
      <x:c r="I96" s="534" t="str">
        <x:v>Loss</x:v>
      </x:c>
      <x:c r="J96" s="538" t="n">
        <x:v>0</x:v>
      </x:c>
      <x:c r="K96" s="538" t="n">
        <x:v>-1</x:v>
      </x:c>
      <x:c r="L96" s="31" t="str">
        <x:v>30% soccer parlay boost</x:v>
      </x:c>
      <x:c r="M96" s="31" t="str">
        <x:v>FINAL from user-submitted DraftKings results. Málaga/Levante under 2.5 and Juventus/Milan under 2.5 won; Marseille ML lost.</x:v>
      </x:c>
    </x:row>
    <x:row r="97" ht="38" customHeight="1">
      <x:c r="A97" s="31" t="str">
        <x:v>2026-09-06</x:v>
      </x:c>
      <x:c r="B97" s="31" t="str">
        <x:v>S06-T04</x:v>
      </x:c>
      <x:c r="C97" s="31" t="str">
        <x:v>INDEPENDENT</x:v>
      </x:c>
      <x:c r="D97" s="31" t="str">
        <x:v>Brady Singer over 5.5 hits allowed</x:v>
      </x:c>
      <x:c r="E97" s="538" t="n">
        <x:v>1</x:v>
      </x:c>
      <x:c r="F97" s="80" t="n">
        <x:v>104</x:v>
      </x:c>
      <x:c r="G97" s="534" t="str">
        <x:v>N</x:v>
      </x:c>
      <x:c r="H97" s="80" t="n">
        <x:v>1</x:v>
      </x:c>
      <x:c r="I97" s="534" t="str">
        <x:v>Loss</x:v>
      </x:c>
      <x:c r="J97" s="538" t="n">
        <x:v>0</x:v>
      </x:c>
      <x:c r="K97" s="538" t="n">
        <x:v>-1</x:v>
      </x:c>
      <x:c r="L97" s="31" t="str"/>
      <x:c r="M97" s="31" t="str">
        <x:v>FINAL from user-submitted DraftKings results. Singer allowed fewer than 6 hits, although he allowed 6 runs and 6 walks in 5 innings; logged as a market-expression miss.</x:v>
      </x:c>
    </x:row>
    <x:row r="98" ht="38" customHeight="1">
      <x:c r="A98" s="31" t="str">
        <x:v>2026-09-06</x:v>
      </x:c>
      <x:c r="B98" s="31" t="str">
        <x:v>S06-T05</x:v>
      </x:c>
      <x:c r="C98" s="31" t="str">
        <x:v>INDEPENDENT</x:v>
      </x:c>
      <x:c r="D98" s="31" t="str">
        <x:v>Gavin Williams 9+ strikeouts</x:v>
      </x:c>
      <x:c r="E98" s="538" t="n">
        <x:v>1</x:v>
      </x:c>
      <x:c r="F98" s="80" t="n">
        <x:v>111</x:v>
      </x:c>
      <x:c r="G98" s="534" t="str">
        <x:v>N</x:v>
      </x:c>
      <x:c r="H98" s="80" t="n">
        <x:v>1</x:v>
      </x:c>
      <x:c r="I98" s="534" t="str">
        <x:v>Win</x:v>
      </x:c>
      <x:c r="J98" s="538" t="n">
        <x:v>2.11</x:v>
      </x:c>
      <x:c r="K98" s="538" t="n">
        <x:v>1.11</x:v>
      </x:c>
      <x:c r="L98" s="31" t="str"/>
      <x:c r="M98" s="31" t="str">
        <x:v>FINAL from user-submitted DraftKings results. Williams recorded 11 strikeouts; the selected 9+ threshold at +111 cleared.</x:v>
      </x:c>
    </x:row>
    <x:row r="99" ht="38" customHeight="1">
      <x:c r="A99" s="31" t="str">
        <x:v>2026-09-07</x:v>
      </x:c>
      <x:c r="B99" s="31" t="str">
        <x:v>S07-T01</x:v>
      </x:c>
      <x:c r="C99" s="31" t="str">
        <x:v>INDEPENDENT</x:v>
      </x:c>
      <x:c r="D99" s="31" t="str">
        <x:v>San Diego Padres moneyline</x:v>
      </x:c>
      <x:c r="E99" s="538" t="n">
        <x:v>1</x:v>
      </x:c>
      <x:c r="F99" s="80" t="n">
        <x:v>-192</x:v>
      </x:c>
      <x:c r="G99" s="534" t="str">
        <x:v>N</x:v>
      </x:c>
      <x:c r="H99" s="80" t="n">
        <x:v>1</x:v>
      </x:c>
      <x:c r="I99" s="534" t="str">
        <x:v>Pending</x:v>
      </x:c>
      <x:c r="J99" s="538" t="str"/>
      <x:c r="K99" s="538" t="str"/>
      <x:c r="L99" s="31" t="str">
        <x:v>MLB Early Win (lead by 2 runs)</x:v>
      </x:c>
      <x:c r="M99" s="31" t="str">
        <x:v>PLACED_USER_CONFIRMED from “Done” immediately after the direct $1 placement instruction. Settlement pending.</x:v>
      </x:c>
    </x:row>
    <x:row r="100" ht="38" customHeight="1">
      <x:c r="A100" s="31" t="str">
        <x:v>2026-09-07</x:v>
      </x:c>
      <x:c r="B100" s="31" t="str">
        <x:v>S07-T02</x:v>
      </x:c>
      <x:c r="C100" s="31" t="str">
        <x:v>INDEPENDENT</x:v>
      </x:c>
      <x:c r="D100" s="31" t="str">
        <x:v>Seiya Suzuki 1+ hit + Alex Bregman 1+ hit + Dylan Cease over 7.5 strikeouts</x:v>
      </x:c>
      <x:c r="E100" s="538" t="n">
        <x:v>1</x:v>
      </x:c>
      <x:c r="F100" s="80" t="n">
        <x:v>302</x:v>
      </x:c>
      <x:c r="G100" s="534" t="str">
        <x:v>Y</x:v>
      </x:c>
      <x:c r="H100" s="80" t="n">
        <x:v>3</x:v>
      </x:c>
      <x:c r="I100" s="534" t="str">
        <x:v>Pending</x:v>
      </x:c>
      <x:c r="J100" s="538" t="str"/>
      <x:c r="K100" s="538" t="str"/>
      <x:c r="L100" s="31" t="str">
        <x:v>30% MLB SGPx profit boost</x:v>
      </x:c>
      <x:c r="M100" s="31" t="str">
        <x:v>PLACED_USER_CONFIRMED from “Placed.” Raw +302 was displayed and the 30% boost was applied; exact boosted price was not captured.</x:v>
      </x:c>
    </x:row>
    <x:row r="101" ht="38" customHeight="1">
      <x:c r="A101" s="31" t="str">
        <x:v>2026-09-07</x:v>
      </x:c>
      <x:c r="B101" s="31" t="str">
        <x:v>S07-T03</x:v>
      </x:c>
      <x:c r="C101" s="31" t="str">
        <x:v>INDEPENDENT</x:v>
      </x:c>
      <x:c r="D101" s="31" t="str">
        <x:v>SMU Mustangs -2.5</x:v>
      </x:c>
      <x:c r="E101" s="538" t="n">
        <x:v>1</x:v>
      </x:c>
      <x:c r="F101" s="80" t="n">
        <x:v>-115</x:v>
      </x:c>
      <x:c r="G101" s="534" t="str">
        <x:v>Y</x:v>
      </x:c>
      <x:c r="H101" s="80" t="n">
        <x:v>1</x:v>
      </x:c>
      <x:c r="I101" s="534" t="str">
        <x:v>Pending</x:v>
      </x:c>
      <x:c r="J101" s="538" t="str"/>
      <x:c r="K101" s="538" t="str"/>
      <x:c r="L101" s="31" t="str">
        <x:v>50% SMU–FSU profit boost</x:v>
      </x:c>
      <x:c r="M101" s="31" t="str">
        <x:v>PLACED_USER_CONFIRMED from “Placed.” -115 is the captured raw price; exact boosted price was not captured.</x:v>
      </x:c>
    </x:row>
    <x:row r="102" ht="38" customHeight="1">
      <x:c r="A102" s="31" t="str">
        <x:v>2026-09-07</x:v>
      </x:c>
      <x:c r="B102" s="31" t="str">
        <x:v>S07-T04</x:v>
      </x:c>
      <x:c r="C102" s="31" t="str">
        <x:v>INDEPENDENT</x:v>
      </x:c>
      <x:c r="D102" s="31" t="str">
        <x:v>SMU Mustangs -1.5 + Samuel Singleton 58+ rushing + receiving yards + Ashton Daniels 204+ passing yards + Kevin Jennings 2+ passing touchdowns</x:v>
      </x:c>
      <x:c r="E102" s="538" t="n">
        <x:v>1</x:v>
      </x:c>
      <x:c r="F102" s="80" t="n">
        <x:v>780</x:v>
      </x:c>
      <x:c r="G102" s="534" t="str">
        <x:v>Y</x:v>
      </x:c>
      <x:c r="H102" s="80" t="n">
        <x:v>4</x:v>
      </x:c>
      <x:c r="I102" s="534" t="str">
        <x:v>Pending</x:v>
      </x:c>
      <x:c r="J102" s="538" t="str"/>
      <x:c r="K102" s="538" t="str"/>
      <x:c r="L102" s="31" t="str">
        <x:v>20% CFB stepped-up boost</x:v>
      </x:c>
      <x:c r="M102" s="31" t="str">
        <x:v>PLACED_USER_CONFIRMED from “Placed.” DraftKings showed +650 raw and +780 boosted.</x:v>
      </x:c>
    </x:row>
    <x:row r="103" ht="38" customHeight="1">
      <x:c r="A103" s="31" t="str">
        <x:v>2026-09-07</x:v>
      </x:c>
      <x:c r="B103" s="31" t="str">
        <x:v>S07-T05</x:v>
      </x:c>
      <x:c r="C103" s="31" t="str">
        <x:v>INDEPENDENT</x:v>
      </x:c>
      <x:c r="D103" s="31" t="str">
        <x:v>Chase Burns over 4.5 strikeouts</x:v>
      </x:c>
      <x:c r="E103" s="538" t="n">
        <x:v>1</x:v>
      </x:c>
      <x:c r="F103" s="80" t="n">
        <x:v>-116</x:v>
      </x:c>
      <x:c r="G103" s="534" t="str">
        <x:v>N</x:v>
      </x:c>
      <x:c r="H103" s="80" t="n">
        <x:v>1</x:v>
      </x:c>
      <x:c r="I103" s="534" t="str">
        <x:v>Pending</x:v>
      </x:c>
      <x:c r="J103" s="538" t="str"/>
      <x:c r="K103" s="538" t="str"/>
      <x:c r="L103" s="31" t="str"/>
      <x:c r="M103" s="31" t="str">
        <x:v>PLACED_USER_CONFIRMED from “Okay placed” immediately after the exact $1 instruction.</x:v>
      </x:c>
    </x:row>
    <x:row r="104" ht="38" customHeight="1">
      <x:c r="A104" s="31" t="str">
        <x:v>2026-09-08</x:v>
      </x:c>
      <x:c r="B104" s="31" t="str">
        <x:v>S08-T01</x:v>
      </x:c>
      <x:c r="C104" s="31" t="str">
        <x:v>BOTH</x:v>
      </x:c>
      <x:c r="D104" s="31" t="str">
        <x:v>Michael Wacha over 17.5 outs</x:v>
      </x:c>
      <x:c r="E104" s="538" t="n">
        <x:v>1</x:v>
      </x:c>
      <x:c r="F104" s="80" t="n">
        <x:v>-129</x:v>
      </x:c>
      <x:c r="G104" s="534" t="str">
        <x:v>N</x:v>
      </x:c>
      <x:c r="H104" s="80" t="n">
        <x:v>1</x:v>
      </x:c>
      <x:c r="I104" s="534" t="str">
        <x:v>Win</x:v>
      </x:c>
      <x:c r="J104" s="538" t="n">
        <x:v>1.7751937984</x:v>
      </x:c>
      <x:c r="K104" s="538" t="n">
        <x:v>0.7751937984</x:v>
      </x:c>
      <x:c r="L104" s="31" t="str"/>
      <x:c r="M104" s="31" t="str">
        <x:v>PLACED_USER_CONFIRMED from the user immediately after the final $1 instruction. Official MLB boxscore: Wacha recorded 18 outs (6.0 IP), clearing over 17.5. Payout is calculated from the captured -129 price.</x:v>
      </x:c>
    </x:row>
    <x:row r="105" ht="38" customHeight="1">
      <x:c r="A105" s="31" t="str">
        <x:v>2026-09-08</x:v>
      </x:c>
      <x:c r="B105" s="31" t="str">
        <x:v>S08-T02</x:v>
      </x:c>
      <x:c r="C105" s="31" t="str">
        <x:v>BOTH</x:v>
      </x:c>
      <x:c r="D105" s="31" t="str">
        <x:v>Jackson Chourio 1+ hit + Milwaukee Brewers moneyline + AJ Smith-Shawver under 14.5 outs</x:v>
      </x:c>
      <x:c r="E105" s="538" t="n">
        <x:v>1</x:v>
      </x:c>
      <x:c r="F105" s="80" t="n">
        <x:v>303</x:v>
      </x:c>
      <x:c r="G105" s="534" t="str">
        <x:v>Y</x:v>
      </x:c>
      <x:c r="H105" s="80" t="n">
        <x:v>3</x:v>
      </x:c>
      <x:c r="I105" s="534" t="str">
        <x:v>Win</x:v>
      </x:c>
      <x:c r="J105" s="538" t="n">
        <x:v>5.545</x:v>
      </x:c>
      <x:c r="K105" s="538" t="n">
        <x:v>4.545</x:v>
      </x:c>
      <x:c r="L105" s="31" t="str">
        <x:v>50% MLB SGPx profit boost</x:v>
      </x:c>
      <x:c r="M105" s="31" t="str">
        <x:v>PLACED_USER_CONFIRMED by chronological DraftKings screenshots. Official MLB boxscores: Chourio went 4-for-5, Milwaukee won 4-3, and Smith-Shawver recorded 10 outs, so all three legs won. Payout is calculated from captured +303 raw odds and the captured 50% profit boost.</x:v>
      </x:c>
    </x:row>
    <x:row r="106" ht="38" customHeight="1">
      <x:c r="A106" s="31" t="str">
        <x:v>2026-09-08</x:v>
      </x:c>
      <x:c r="B106" s="31" t="str">
        <x:v>S08-T03</x:v>
      </x:c>
      <x:c r="C106" s="31" t="str">
        <x:v>BOTH</x:v>
      </x:c>
      <x:c r="D106" s="31" t="str">
        <x:v>Teoscar Hernández 1+ home run</x:v>
      </x:c>
      <x:c r="E106" s="538" t="n">
        <x:v>1</x:v>
      </x:c>
      <x:c r="F106" s="80" t="n">
        <x:v>313</x:v>
      </x:c>
      <x:c r="G106" s="534" t="str">
        <x:v>Y</x:v>
      </x:c>
      <x:c r="H106" s="80" t="n">
        <x:v>1</x:v>
      </x:c>
      <x:c r="I106" s="534" t="str">
        <x:v>Loss</x:v>
      </x:c>
      <x:c r="J106" s="538" t="n">
        <x:v>0</x:v>
      </x:c>
      <x:c r="K106" s="538" t="n">
        <x:v>-1</x:v>
      </x:c>
      <x:c r="L106" s="31" t="str">
        <x:v>50% home-run profit boost</x:v>
      </x:c>
      <x:c r="M106" s="31" t="str">
        <x:v>PLACED_USER_CONFIRMED by the user correction that three tickets were placed. Official MLB boxscore: Teoscar Hernández went 3-for-3 with a triple and 0 home runs, so the home-run ticket lost.</x:v>
      </x:c>
    </x:row>
    <x:row r="107" ht="38" customHeight="1">
      <x:c r="A107" s="31" t="str">
        <x:v>2026-09-09</x:v>
      </x:c>
      <x:c r="B107" s="31" t="str">
        <x:v>S09-T01</x:v>
      </x:c>
      <x:c r="C107" s="31" t="str">
        <x:v>BOTH</x:v>
      </x:c>
      <x:c r="D107" s="31" t="str">
        <x:v>A.J. Brown 50+ receiving yards + Jaxon Smith-Njigba 50+ receiving yards</x:v>
      </x:c>
      <x:c r="E107" s="538" t="n">
        <x:v>1</x:v>
      </x:c>
      <x:c r="F107" s="80" t="n">
        <x:v>150</x:v>
      </x:c>
      <x:c r="G107" s="534" t="str">
        <x:v>Y</x:v>
      </x:c>
      <x:c r="H107" s="80" t="n">
        <x:v>2</x:v>
      </x:c>
      <x:c r="I107" s="534" t="str">
        <x:v>Loss</x:v>
      </x:c>
      <x:c r="J107" s="538" t="n">
        <x:v>0</x:v>
      </x:c>
      <x:c r="K107" s="538" t="n">
        <x:v>-1</x:v>
      </x:c>
      <x:c r="L107" s="31" t="str">
        <x:v>Superstar Receivers flash odds boost</x:v>
      </x:c>
      <x:c r="M107" s="31" t="str">
        <x:v>FINAL: DraftKings settled the boosted +150 parlay as a loss. ESPN confirms Smith-Njigba cleared 50+ with 122 yards, so the other receiving-yards leg was the miss.</x:v>
      </x:c>
    </x:row>
    <x:row r="108" ht="38" customHeight="1">
      <x:c r="A108" s="31" t="str">
        <x:v>2026-09-09</x:v>
      </x:c>
      <x:c r="B108" s="31" t="str">
        <x:v>S09-T02</x:v>
      </x:c>
      <x:c r="C108" s="31" t="str">
        <x:v>BOTH</x:v>
      </x:c>
      <x:c r="D108" s="31" t="str">
        <x:v>A.J. Brown 5+ first-quarter receiving yards</x:v>
      </x:c>
      <x:c r="E108" s="538" t="n">
        <x:v>1</x:v>
      </x:c>
      <x:c r="F108" s="80" t="n">
        <x:v>100</x:v>
      </x:c>
      <x:c r="G108" s="534" t="str">
        <x:v>Y</x:v>
      </x:c>
      <x:c r="H108" s="80" t="n">
        <x:v>1</x:v>
      </x:c>
      <x:c r="I108" s="534" t="str">
        <x:v>Win</x:v>
      </x:c>
      <x:c r="J108" s="538" t="n">
        <x:v>2</x:v>
      </x:c>
      <x:c r="K108" s="538" t="n">
        <x:v>1</x:v>
      </x:c>
      <x:c r="L108" s="31" t="str">
        <x:v>A.J. Brown Super Boost</x:v>
      </x:c>
      <x:c r="M108" s="31" t="str">
        <x:v>FINAL: DraftKings shows the $1 A.J. Brown 5+ first-quarter receiving-yards boost paid $2.00.</x:v>
      </x:c>
    </x:row>
    <x:row r="109" ht="38" customHeight="1">
      <x:c r="A109" s="31" t="str">
        <x:v>2026-09-09</x:v>
      </x:c>
      <x:c r="B109" s="31" t="str">
        <x:v>S09-T03</x:v>
      </x:c>
      <x:c r="C109" s="31" t="str">
        <x:v>BOTH</x:v>
      </x:c>
      <x:c r="D109" s="31" t="str">
        <x:v>Alexander Isak 2+ shots on target</x:v>
      </x:c>
      <x:c r="E109" s="538" t="n">
        <x:v>1</x:v>
      </x:c>
      <x:c r="F109" s="80" t="n">
        <x:v>135</x:v>
      </x:c>
      <x:c r="G109" s="534" t="str">
        <x:v>N</x:v>
      </x:c>
      <x:c r="H109" s="80" t="n">
        <x:v>1</x:v>
      </x:c>
      <x:c r="I109" s="534" t="str">
        <x:v>Loss</x:v>
      </x:c>
      <x:c r="J109" s="538" t="n">
        <x:v>0</x:v>
      </x:c>
      <x:c r="K109" s="538" t="n">
        <x:v>-1</x:v>
      </x:c>
      <x:c r="L109" s="31" t="str"/>
      <x:c r="M109" s="31" t="str">
        <x:v>PLACED_USER_CONFIRMED when the user said all three named bets were placed. Settled from the Sep. 9 StatMuse match table: Isak recorded 0 shots on target in Liverpool's 2-1 win.</x:v>
      </x:c>
    </x:row>
    <x:row r="110" ht="38" customHeight="1">
      <x:c r="A110" s="31" t="str">
        <x:v>2026-09-09</x:v>
      </x:c>
      <x:c r="B110" s="31" t="str">
        <x:v>S09-T04</x:v>
      </x:c>
      <x:c r="C110" s="31" t="str">
        <x:v>BOTH</x:v>
      </x:c>
      <x:c r="D110" s="31" t="str">
        <x:v>Liverpool moneyline</x:v>
      </x:c>
      <x:c r="E110" s="538" t="n">
        <x:v>1</x:v>
      </x:c>
      <x:c r="F110" s="80" t="n">
        <x:v>-130</x:v>
      </x:c>
      <x:c r="G110" s="534" t="str">
        <x:v>Y</x:v>
      </x:c>
      <x:c r="H110" s="80" t="n">
        <x:v>1</x:v>
      </x:c>
      <x:c r="I110" s="534" t="str">
        <x:v>Win</x:v>
      </x:c>
      <x:c r="J110" s="538" t="n">
        <x:v>1.76</x:v>
      </x:c>
      <x:c r="K110" s="538" t="n">
        <x:v>0.76</x:v>
      </x:c>
      <x:c r="L110" s="31" t="str">
        <x:v>DrawBreaker</x:v>
      </x:c>
      <x:c r="M110" s="31" t="str">
        <x:v>PLACED_USER_CONFIRMED when the user said all three named bets were placed. DraftKings shows $1.76 paid on the $1 wager, and ESPN records Liverpool 2-1 Atlético Madrid at full time.</x:v>
      </x:c>
    </x:row>
    <x:row r="111" ht="38" customHeight="1">
      <x:c r="A111" s="31" t="str">
        <x:v>2026-09-09</x:v>
      </x:c>
      <x:c r="B111" s="31" t="str">
        <x:v>S09-T05</x:v>
      </x:c>
      <x:c r="C111" s="31" t="str">
        <x:v>BOTH</x:v>
      </x:c>
      <x:c r="D111" s="31" t="str">
        <x:v>Either A.J. Brown or Jaxon Smith-Njigba to score a touchdown</x:v>
      </x:c>
      <x:c r="E111" s="538" t="n">
        <x:v>1</x:v>
      </x:c>
      <x:c r="F111" s="80" t="n">
        <x:v>100</x:v>
      </x:c>
      <x:c r="G111" s="534" t="str">
        <x:v>Y</x:v>
      </x:c>
      <x:c r="H111" s="80" t="n">
        <x:v>1</x:v>
      </x:c>
      <x:c r="I111" s="534" t="str">
        <x:v>Win</x:v>
      </x:c>
      <x:c r="J111" s="538" t="n">
        <x:v>2</x:v>
      </x:c>
      <x:c r="K111" s="538" t="n">
        <x:v>1</x:v>
      </x:c>
      <x:c r="L111" s="31" t="str">
        <x:v>McAfee Super Boost</x:v>
      </x:c>
      <x:c r="M111" s="31" t="str">
        <x:v>FINAL: DraftKings shows the $1 either-player touchdown boost paid $2.00; Smith-Njigba scored.</x:v>
      </x:c>
    </x:row>
    <x:row r="112" ht="38" customHeight="1">
      <x:c r="A112" s="31" t="str">
        <x:v>2026-09-09</x:v>
      </x:c>
      <x:c r="B112" s="31" t="str">
        <x:v>S09-T06</x:v>
      </x:c>
      <x:c r="C112" s="31" t="str">
        <x:v>BOTH</x:v>
      </x:c>
      <x:c r="D112" s="31" t="str">
        <x:v>Rhamondre Stevenson 4+ receptions</x:v>
      </x:c>
      <x:c r="E112" s="538" t="n">
        <x:v>1</x:v>
      </x:c>
      <x:c r="F112" s="80" t="n">
        <x:v>174</x:v>
      </x:c>
      <x:c r="G112" s="534" t="str">
        <x:v>Y</x:v>
      </x:c>
      <x:c r="H112" s="80" t="n">
        <x:v>1</x:v>
      </x:c>
      <x:c r="I112" s="534" t="str">
        <x:v>Win</x:v>
      </x:c>
      <x:c r="J112" s="538" t="n">
        <x:v>2.74</x:v>
      </x:c>
      <x:c r="K112" s="538" t="n">
        <x:v>1.74</x:v>
      </x:c>
      <x:c r="L112" s="31" t="str">
        <x:v>50% NFL single boost</x:v>
      </x:c>
      <x:c r="M112" s="31" t="str">
        <x:v>FINAL: DraftKings shows the $1 Stevenson 4+ receptions boost won and paid $2.74.</x:v>
      </x:c>
    </x:row>
    <x:row r="113" ht="38" customHeight="1">
      <x:c r="A113" s="31" t="str">
        <x:v>2026-09-09</x:v>
      </x:c>
      <x:c r="B113" s="31" t="str">
        <x:v>S09-T07</x:v>
      </x:c>
      <x:c r="C113" s="31" t="str">
        <x:v>INDEPENDENT</x:v>
      </x:c>
      <x:c r="D113" s="31" t="str">
        <x:v>Tomoyuki Sugano over 5.5 hits allowed</x:v>
      </x:c>
      <x:c r="E113" s="538" t="n">
        <x:v>1</x:v>
      </x:c>
      <x:c r="F113" s="80" t="n">
        <x:v>-134</x:v>
      </x:c>
      <x:c r="G113" s="534" t="str">
        <x:v>N</x:v>
      </x:c>
      <x:c r="H113" s="80" t="n">
        <x:v>1</x:v>
      </x:c>
      <x:c r="I113" s="534" t="str">
        <x:v>Loss</x:v>
      </x:c>
      <x:c r="J113" s="538" t="n">
        <x:v>0</x:v>
      </x:c>
      <x:c r="K113" s="538" t="n">
        <x:v>-1</x:v>
      </x:c>
      <x:c r="L113" s="31" t="str"/>
      <x:c r="M113" s="31" t="str">
        <x:v>FINAL: DraftKings settled Sugano over 5.5 hits allowed as a loss. MLB records four hits allowed in six innings. Broad pitcher-fade thesis did not map cleanly to hits allowed.</x:v>
      </x:c>
    </x:row>
    <x:row r="114" ht="38" customHeight="1">
      <x:c r="A114" s="31" t="str">
        <x:v>2026-09-09</x:v>
      </x:c>
      <x:c r="B114" s="31" t="str">
        <x:v>S09-T08</x:v>
      </x:c>
      <x:c r="C114" s="31" t="str">
        <x:v>INDEPENDENT</x:v>
      </x:c>
      <x:c r="D114" s="31" t="str">
        <x:v>New England-Seattle game total over 26.5 (execution error)</x:v>
      </x:c>
      <x:c r="E114" s="538" t="n">
        <x:v>1</x:v>
      </x:c>
      <x:c r="F114" s="80" t="n">
        <x:v>-138</x:v>
      </x:c>
      <x:c r="G114" s="534" t="str">
        <x:v>N</x:v>
      </x:c>
      <x:c r="H114" s="80" t="n">
        <x:v>1</x:v>
      </x:c>
      <x:c r="I114" s="534" t="str">
        <x:v>Cashed Out</x:v>
      </x:c>
      <x:c r="J114" s="538" t="n">
        <x:v>1.09</x:v>
      </x:c>
      <x:c r="K114" s="538" t="n">
        <x:v>0.09</x:v>
      </x:c>
      <x:c r="L114" s="31" t="str">
        <x:v>50% live boost shown; not applied after cashout</x:v>
      </x:c>
      <x:c r="M114" s="31" t="str">
        <x:v>FINAL: The independent live recommendation was under 27.5 at -121, but the user accidentally placed over 26.5. DraftKings shows a $1.09 cashout. The 13-10 final would have won the recommendation and lost the placed over if held. Track as execution error, not model win.</x:v>
      </x:c>
    </x:row>
    <x:row r="115" ht="38" customHeight="1">
      <x:c r="A115" s="31" t="str">
        <x:v>2026-09-10</x:v>
      </x:c>
      <x:c r="B115" s="31" t="str">
        <x:v>S10-T01</x:v>
      </x:c>
      <x:c r="C115" s="31" t="str">
        <x:v>BOTH</x:v>
      </x:c>
      <x:c r="D115" s="31" t="str">
        <x:v>Christian McCaffrey 1+ first-quarter reception</x:v>
      </x:c>
      <x:c r="E115" s="538" t="n">
        <x:v>1</x:v>
      </x:c>
      <x:c r="F115" s="80" t="n">
        <x:v>100</x:v>
      </x:c>
      <x:c r="G115" s="534" t="str">
        <x:v>Y</x:v>
      </x:c>
      <x:c r="H115" s="80" t="n">
        <x:v>1</x:v>
      </x:c>
      <x:c r="I115" s="534" t="str">
        <x:v>Win</x:v>
      </x:c>
      <x:c r="J115" s="538" t="n">
        <x:v>2</x:v>
      </x:c>
      <x:c r="K115" s="538" t="n">
        <x:v>1</x:v>
      </x:c>
      <x:c r="L115" s="31" t="str">
        <x:v>Super Boost</x:v>
      </x:c>
      <x:c r="M115" s="31" t="str">
        <x:v>FINAL: DraftKings settled the $1 McCaffrey 1+ first-quarter reception Super Boost at +100 as a win and paid $2.00.</x:v>
      </x:c>
    </x:row>
    <x:row r="116" ht="38" customHeight="1">
      <x:c r="A116" s="31" t="str">
        <x:v>2026-09-10</x:v>
      </x:c>
      <x:c r="B116" s="31" t="str">
        <x:v>S10-T02</x:v>
      </x:c>
      <x:c r="C116" s="31" t="str">
        <x:v>INDEPENDENT</x:v>
      </x:c>
      <x:c r="D116" s="31" t="str">
        <x:v>Miami Hurricanes team total under 60.5</x:v>
      </x:c>
      <x:c r="E116" s="538" t="n">
        <x:v>1</x:v>
      </x:c>
      <x:c r="F116" s="80" t="n">
        <x:v>125</x:v>
      </x:c>
      <x:c r="G116" s="534" t="str">
        <x:v>N</x:v>
      </x:c>
      <x:c r="H116" s="80" t="n">
        <x:v>1</x:v>
      </x:c>
      <x:c r="I116" s="534" t="str">
        <x:v>Loss</x:v>
      </x:c>
      <x:c r="J116" s="538" t="n">
        <x:v>0</x:v>
      </x:c>
      <x:c r="K116" s="538" t="n">
        <x:v>-1</x:v>
      </x:c>
      <x:c r="L116" s="31" t="str"/>
      <x:c r="M116" s="31" t="str">
        <x:v>FINAL: DraftKings settled Miami team total under 60.5 +125 as a loss. ESPN records Miami scoring 77; rotation did not suppress scoring.</x:v>
      </x:c>
    </x:row>
    <x:row r="117" ht="38" customHeight="1">
      <x:c r="A117" s="31" t="str">
        <x:v>2026-09-10</x:v>
      </x:c>
      <x:c r="B117" s="31" t="str">
        <x:v>S10-T03</x:v>
      </x:c>
      <x:c r="C117" s="31" t="str">
        <x:v>INDEPENDENT</x:v>
      </x:c>
      <x:c r="D117" s="31" t="str">
        <x:v>Jared Jones under 15.5 pitching outs</x:v>
      </x:c>
      <x:c r="E117" s="538" t="n">
        <x:v>1</x:v>
      </x:c>
      <x:c r="F117" s="80" t="n">
        <x:v>-146</x:v>
      </x:c>
      <x:c r="G117" s="534" t="str">
        <x:v>N</x:v>
      </x:c>
      <x:c r="H117" s="80" t="n">
        <x:v>1</x:v>
      </x:c>
      <x:c r="I117" s="534" t="str">
        <x:v>Loss</x:v>
      </x:c>
      <x:c r="J117" s="538" t="n">
        <x:v>0</x:v>
      </x:c>
      <x:c r="K117" s="538" t="n">
        <x:v>-1</x:v>
      </x:c>
      <x:c r="L117" s="31" t="str"/>
      <x:c r="M117" s="31" t="str">
        <x:v>FINAL: DraftKings settled Jared Jones under 15.5 pitching outs -146 as a loss. MLB records seven innings (21 outs) and eight strikeouts; workload regime was misread.</x:v>
      </x:c>
    </x:row>
    <x:row r="118" ht="38" customHeight="1">
      <x:c r="A118" s="31" t="str">
        <x:v>2026-09-10</x:v>
      </x:c>
      <x:c r="B118" s="31" t="str">
        <x:v>S10-T04</x:v>
      </x:c>
      <x:c r="C118" s="31" t="str">
        <x:v>INDEPENDENT</x:v>
      </x:c>
      <x:c r="D118" s="31" t="str">
        <x:v>New York Yankees first-five team total over 2.5</x:v>
      </x:c>
      <x:c r="E118" s="538" t="n">
        <x:v>1</x:v>
      </x:c>
      <x:c r="F118" s="80" t="n">
        <x:v>-130</x:v>
      </x:c>
      <x:c r="G118" s="534" t="str">
        <x:v>N</x:v>
      </x:c>
      <x:c r="H118" s="80" t="n">
        <x:v>1</x:v>
      </x:c>
      <x:c r="I118" s="534" t="str">
        <x:v>Win</x:v>
      </x:c>
      <x:c r="J118" s="538" t="n">
        <x:v>1.76</x:v>
      </x:c>
      <x:c r="K118" s="538" t="n">
        <x:v>0.76</x:v>
      </x:c>
      <x:c r="L118" s="31" t="str"/>
      <x:c r="M118" s="31" t="str">
        <x:v>FINAL: DraftKings settled Yankees first-five team total over 2.5 -130 as a win and paid $1.76. New York scored four runs through five innings.</x:v>
      </x:c>
    </x:row>
    <x:row r="119" ht="38" customHeight="1">
      <x:c r="A119" s="31" t="str">
        <x:v>2026-09-10</x:v>
      </x:c>
      <x:c r="B119" s="31" t="str">
        <x:v>S10-T05</x:v>
      </x:c>
      <x:c r="C119" s="31" t="str">
        <x:v>INDEPENDENT</x:v>
      </x:c>
      <x:c r="D119" s="31" t="str">
        <x:v>Christian McCaffrey 5+ live receptions + Kyren Williams 50+ live rushing yards</x:v>
      </x:c>
      <x:c r="E119" s="538" t="n">
        <x:v>1</x:v>
      </x:c>
      <x:c r="F119" s="80" t="n">
        <x:v>291</x:v>
      </x:c>
      <x:c r="G119" s="534" t="str">
        <x:v>Y</x:v>
      </x:c>
      <x:c r="H119" s="80" t="n">
        <x:v>2</x:v>
      </x:c>
      <x:c r="I119" s="534" t="str">
        <x:v>Loss</x:v>
      </x:c>
      <x:c r="J119" s="538" t="n">
        <x:v>0</x:v>
      </x:c>
      <x:c r="K119" s="538" t="n">
        <x:v>-1</x:v>
      </x:c>
      <x:c r="L119" s="31" t="str">
        <x:v>50% Rams–49ers parlay boost</x:v>
      </x:c>
      <x:c r="M119" s="31" t="str">
        <x:v>FINAL: The user replied “Ok done” after the exact $1 placement instruction. DraftKings verifies +194 raw / +291 boosted. McCaffrey cleared 5+ receptions; Kyren finished with 41 rushing yards and missed 50+.</x:v>
      </x:c>
    </x:row>
    <x:row r="120" ht="38" customHeight="1">
      <x:c r="A120" s="31" t="str">
        <x:v>2026-09-11</x:v>
      </x:c>
      <x:c r="B120" s="31" t="str">
        <x:v>S11-T01</x:v>
      </x:c>
      <x:c r="C120" s="31" t="str">
        <x:v>INDEPENDENT</x:v>
      </x:c>
      <x:c r="D120" s="31" t="str">
        <x:v>Jamal Roberts 40+ first-half rushing yards</x:v>
      </x:c>
      <x:c r="E120" s="538" t="n">
        <x:v>1</x:v>
      </x:c>
      <x:c r="F120" s="80" t="n">
        <x:v>120</x:v>
      </x:c>
      <x:c r="G120" s="534" t="str">
        <x:v>Y</x:v>
      </x:c>
      <x:c r="H120" s="80" t="n">
        <x:v>1</x:v>
      </x:c>
      <x:c r="I120" s="534" t="str">
        <x:v>Win</x:v>
      </x:c>
      <x:c r="J120" s="538" t="n">
        <x:v>2.2</x:v>
      </x:c>
      <x:c r="K120" s="538" t="n">
        <x:v>1.2</x:v>
      </x:c>
      <x:c r="L120" s="31" t="str">
        <x:v>50% Missouri–Kansas boost</x:v>
      </x:c>
      <x:c r="M120" s="31" t="str">
        <x:v>FINAL: ESPN official play-by-play records 88 Jamal Roberts rushing yards in the first half, clearing 40+ at +120 boosted. The $1 ticket returns $2.20.</x:v>
      </x:c>
    </x:row>
    <x:row r="121" ht="38" customHeight="1">
      <x:c r="A121" s="31" t="str">
        <x:v>2026-09-11</x:v>
      </x:c>
      <x:c r="B121" s="31" t="str">
        <x:v>S11-T02</x:v>
      </x:c>
      <x:c r="C121" s="31" t="str">
        <x:v>INDEPENDENT</x:v>
      </x:c>
      <x:c r="D121" s="31" t="str">
        <x:v>Cade Cavalli 7+ strikeouts</x:v>
      </x:c>
      <x:c r="E121" s="538" t="n">
        <x:v>1</x:v>
      </x:c>
      <x:c r="F121" s="80" t="n">
        <x:v>-150</x:v>
      </x:c>
      <x:c r="G121" s="534" t="str">
        <x:v>N</x:v>
      </x:c>
      <x:c r="H121" s="80" t="n">
        <x:v>1</x:v>
      </x:c>
      <x:c r="I121" s="534" t="str">
        <x:v>Win</x:v>
      </x:c>
      <x:c r="J121" s="538" t="n">
        <x:v>1.67</x:v>
      </x:c>
      <x:c r="K121" s="538" t="n">
        <x:v>0.67</x:v>
      </x:c>
      <x:c r="L121" s="31" t="str"/>
      <x:c r="M121" s="31" t="str">
        <x:v>FINAL: MLB official box score records Cade Cavalli with 9 strikeouts in 6.0 innings, clearing 7+ at -150. The $1 ticket returns $1.67.</x:v>
      </x:c>
    </x:row>
    <x:row r="122" ht="38" customHeight="1">
      <x:c r="A122" s="31" t="str">
        <x:v>2026-09-11</x:v>
      </x:c>
      <x:c r="B122" s="31" t="str">
        <x:v>S11-T03</x:v>
      </x:c>
      <x:c r="C122" s="31" t="str">
        <x:v>BOTH</x:v>
      </x:c>
      <x:c r="D122" s="31" t="str">
        <x:v>Ronald Acuña Jr. 2+ total bases</x:v>
      </x:c>
      <x:c r="E122" s="538" t="n">
        <x:v>1</x:v>
      </x:c>
      <x:c r="F122" s="80" t="n">
        <x:v>122</x:v>
      </x:c>
      <x:c r="G122" s="534" t="str">
        <x:v>N</x:v>
      </x:c>
      <x:c r="H122" s="80" t="n">
        <x:v>1</x:v>
      </x:c>
      <x:c r="I122" s="534" t="str">
        <x:v>Win</x:v>
      </x:c>
      <x:c r="J122" s="538" t="n">
        <x:v>2.22</x:v>
      </x:c>
      <x:c r="K122" s="538" t="n">
        <x:v>1.22</x:v>
      </x:c>
      <x:c r="L122" s="31" t="str"/>
      <x:c r="M122" s="31" t="str">
        <x:v>FINAL: MLB official box score records Ronald Acuña Jr. with 2 total bases (one double), clearing 2+ at +122. The $1 ticket returns $2.22.</x:v>
      </x:c>
    </x:row>
    <x:row r="123" ht="38" customHeight="1">
      <x:c r="A123" s="31" t="str">
        <x:v>2026-09-11</x:v>
      </x:c>
      <x:c r="B123" s="31" t="str">
        <x:v>S11-T04</x:v>
      </x:c>
      <x:c r="C123" s="31" t="str">
        <x:v>BOTH</x:v>
      </x:c>
      <x:c r="D123" s="31" t="str">
        <x:v>Chris Bassitt over 2.5 earned runs allowed</x:v>
      </x:c>
      <x:c r="E123" s="538" t="n">
        <x:v>1</x:v>
      </x:c>
      <x:c r="F123" s="80" t="n">
        <x:v>103</x:v>
      </x:c>
      <x:c r="G123" s="534" t="str">
        <x:v>N</x:v>
      </x:c>
      <x:c r="H123" s="80" t="n">
        <x:v>1</x:v>
      </x:c>
      <x:c r="I123" s="534" t="str">
        <x:v>Loss</x:v>
      </x:c>
      <x:c r="J123" s="538" t="n">
        <x:v>0</x:v>
      </x:c>
      <x:c r="K123" s="538" t="n">
        <x:v>-1</x:v>
      </x:c>
      <x:c r="L123" s="31" t="str"/>
      <x:c r="M123" s="31" t="str">
        <x:v>FINAL: MLB official box score records Chris Bassitt with 2 earned runs allowed in 5.0 innings, so over 2.5 at +103 lost.</x:v>
      </x:c>
    </x:row>
    <x:row r="124" ht="38" customHeight="1">
      <x:c r="A124" s="31" t="str">
        <x:v>2026-09-11</x:v>
      </x:c>
      <x:c r="B124" s="31" t="str">
        <x:v>S11-T05</x:v>
      </x:c>
      <x:c r="C124" s="31" t="str">
        <x:v>BOTH</x:v>
      </x:c>
      <x:c r="D124" s="31" t="str">
        <x:v>Matthew Liberatore over 2.5 earned runs allowed</x:v>
      </x:c>
      <x:c r="E124" s="538" t="n">
        <x:v>1</x:v>
      </x:c>
      <x:c r="F124" s="80" t="n">
        <x:v>124</x:v>
      </x:c>
      <x:c r="G124" s="534" t="str">
        <x:v>N</x:v>
      </x:c>
      <x:c r="H124" s="80" t="n">
        <x:v>1</x:v>
      </x:c>
      <x:c r="I124" s="534" t="str">
        <x:v>Loss</x:v>
      </x:c>
      <x:c r="J124" s="538" t="n">
        <x:v>0</x:v>
      </x:c>
      <x:c r="K124" s="538" t="n">
        <x:v>-1</x:v>
      </x:c>
      <x:c r="L124" s="31" t="str"/>
      <x:c r="M124" s="31" t="str">
        <x:v>FINAL: MLB official box score records Matthew Liberatore with 2 earned runs allowed in 4.1 innings, so over 2.5 at +124 lost.</x:v>
      </x:c>
    </x:row>
    <x:row r="125" ht="38" customHeight="1">
      <x:c r="A125" s="31" t="str">
        <x:v>2026-09-11</x:v>
      </x:c>
      <x:c r="B125" s="31" t="str">
        <x:v>S11-T06</x:v>
      </x:c>
      <x:c r="C125" s="31" t="str">
        <x:v>INDEPENDENT</x:v>
      </x:c>
      <x:c r="D125" s="31" t="str">
        <x:v>MacKenzie Gore over 1.5 walks</x:v>
      </x:c>
      <x:c r="E125" s="538" t="n">
        <x:v>1</x:v>
      </x:c>
      <x:c r="F125" s="80" t="n">
        <x:v>-152</x:v>
      </x:c>
      <x:c r="G125" s="534" t="str">
        <x:v>N</x:v>
      </x:c>
      <x:c r="H125" s="80" t="n">
        <x:v>1</x:v>
      </x:c>
      <x:c r="I125" s="534" t="str">
        <x:v>Win</x:v>
      </x:c>
      <x:c r="J125" s="538" t="n">
        <x:v>1.66</x:v>
      </x:c>
      <x:c r="K125" s="538" t="n">
        <x:v>0.66</x:v>
      </x:c>
      <x:c r="L125" s="31" t="str"/>
      <x:c r="M125" s="31" t="str">
        <x:v>FINAL: MLB official box score records MacKenzie Gore with 3 walks in 4.0 innings, clearing over 1.5 at -152. The $1 ticket returns $1.66.</x:v>
      </x:c>
    </x:row>
    <x:row r="126" ht="38" customHeight="1">
      <x:c r="A126" s="31" t="str">
        <x:v>2026-09-12</x:v>
      </x:c>
      <x:c r="B126" s="31" t="str">
        <x:v>S12-T01</x:v>
      </x:c>
      <x:c r="C126" s="31" t="str">
        <x:v>INDEPENDENT</x:v>
      </x:c>
      <x:c r="D126" s="31" t="str">
        <x:v>Serhou Guirassy 2+ shots on target — Serhou Guirassy 2+ shots on target (-170)</x:v>
      </x:c>
      <x:c r="E126" s="538" t="n">
        <x:v>1</x:v>
      </x:c>
      <x:c r="F126" s="80" t="n">
        <x:v>-170</x:v>
      </x:c>
      <x:c r="G126" s="534" t="str">
        <x:v>N</x:v>
      </x:c>
      <x:c r="H126" s="80" t="n">
        <x:v>1</x:v>
      </x:c>
      <x:c r="I126" s="534" t="str">
        <x:v>Win</x:v>
      </x:c>
      <x:c r="J126" s="538" t="n">
        <x:v>1.5882</x:v>
      </x:c>
      <x:c r="K126" s="538" t="n">
        <x:v>0.5882</x:v>
      </x:c>
      <x:c r="L126" s="31" t="str"/>
      <x:c r="M126" s="31" t="str">
        <x:v>FINAL: DraftKings settlement supplied by the user: Guirassy recorded at least 2 shots on target and the ticket won.</x:v>
      </x:c>
    </x:row>
    <x:row r="127" ht="38" customHeight="1">
      <x:c r="A127" s="31" t="str">
        <x:v>2026-09-12</x:v>
      </x:c>
      <x:c r="B127" s="31" t="str">
        <x:v>S12-T02</x:v>
      </x:c>
      <x:c r="C127" s="31" t="str">
        <x:v>INDEPENDENT</x:v>
      </x:c>
      <x:c r="D127" s="31" t="str">
        <x:v>Alexander Isak 2+ shots on target — Alexander Isak 2+ shots on target (+110)</x:v>
      </x:c>
      <x:c r="E127" s="538" t="n">
        <x:v>1</x:v>
      </x:c>
      <x:c r="F127" s="80" t="n">
        <x:v>110</x:v>
      </x:c>
      <x:c r="G127" s="534" t="str">
        <x:v>N</x:v>
      </x:c>
      <x:c r="H127" s="80" t="n">
        <x:v>1</x:v>
      </x:c>
      <x:c r="I127" s="534" t="str">
        <x:v>Loss</x:v>
      </x:c>
      <x:c r="J127" s="538" t="n">
        <x:v>0</x:v>
      </x:c>
      <x:c r="K127" s="538" t="n">
        <x:v>-1</x:v>
      </x:c>
      <x:c r="L127" s="31" t="str"/>
      <x:c r="M127" s="31" t="str">
        <x:v>FINAL: DraftKings settlement supplied by the user: Isak recorded 1 shot on target, below the 2+ threshold.</x:v>
      </x:c>
    </x:row>
    <x:row r="128" ht="38" customHeight="1">
      <x:c r="A128" s="31" t="str">
        <x:v>2026-09-12</x:v>
      </x:c>
      <x:c r="B128" s="31" t="str">
        <x:v>S12-T03</x:v>
      </x:c>
      <x:c r="C128" s="31" t="str">
        <x:v>INDEPENDENT</x:v>
      </x:c>
      <x:c r="D128" s="31" t="str">
        <x:v>Patrik Schick 2+ shots on target — Patrik Schick 2+ shots on target (+115)</x:v>
      </x:c>
      <x:c r="E128" s="538" t="n">
        <x:v>1</x:v>
      </x:c>
      <x:c r="F128" s="80" t="n">
        <x:v>115</x:v>
      </x:c>
      <x:c r="G128" s="534" t="str">
        <x:v>N</x:v>
      </x:c>
      <x:c r="H128" s="80" t="n">
        <x:v>1</x:v>
      </x:c>
      <x:c r="I128" s="534" t="str">
        <x:v>Loss</x:v>
      </x:c>
      <x:c r="J128" s="538" t="n">
        <x:v>0</x:v>
      </x:c>
      <x:c r="K128" s="538" t="n">
        <x:v>-1</x:v>
      </x:c>
      <x:c r="L128" s="31" t="str"/>
      <x:c r="M128" s="31" t="str">
        <x:v>FINAL: DraftKings settlement supplied by the user controls accounting: Schick recorded 1 shot on target, below the 2+ threshold.</x:v>
      </x:c>
    </x:row>
    <x:row r="129" ht="38" customHeight="1">
      <x:c r="A129" s="31" t="str">
        <x:v>2026-09-12</x:v>
      </x:c>
      <x:c r="B129" s="31" t="str">
        <x:v>S12-T04</x:v>
      </x:c>
      <x:c r="C129" s="31" t="str">
        <x:v>INDEPENDENT</x:v>
      </x:c>
      <x:c r="D129" s="31" t="str">
        <x:v>Nate Sheppard 24+ rushing attempts — Nate Sheppard 24+ rushing attempts (-123 before boost)</x:v>
      </x:c>
      <x:c r="E129" s="538" t="n">
        <x:v>1</x:v>
      </x:c>
      <x:c r="F129" s="80" t="str">
        <x:v>-123 before boost</x:v>
      </x:c>
      <x:c r="G129" s="534" t="str">
        <x:v>Y</x:v>
      </x:c>
      <x:c r="H129" s="80" t="n">
        <x:v>1</x:v>
      </x:c>
      <x:c r="I129" s="534" t="str"/>
      <x:c r="J129" s="538" t="str"/>
      <x:c r="K129" s="538" t="str"/>
      <x:c r="L129" s="31" t="str">
        <x:v>50% CFB Saturday profit boost</x:v>
      </x:c>
      <x:c r="M129" s="31" t="str">
        <x:v>PLACED_USER_CONFIRMED: The independent role audit selected rushing attempts over rushing yards to express expected workload directly. The final boosted display price was not captured.</x:v>
      </x:c>
    </x:row>
    <x:row r="130" ht="38" customHeight="1">
      <x:c r="A130" s="31" t="str">
        <x:v>2026-09-12</x:v>
      </x:c>
      <x:c r="B130" s="31" t="str">
        <x:v>S12-T05</x:v>
      </x:c>
      <x:c r="C130" s="31" t="str">
        <x:v>INDEPENDENT</x:v>
      </x:c>
      <x:c r="D130" s="31" t="str">
        <x:v>McAfee Tailgate Overs — Mississippi State at Minnesota over 50.5 | Tennessee at Georgia Tech over 50.5 | Arizona State at Texas A&amp;M over 45.5</x:v>
      </x:c>
      <x:c r="E130" s="538" t="n">
        <x:v>1</x:v>
      </x:c>
      <x:c r="F130" s="80" t="str">
        <x:v>+400 boosted</x:v>
      </x:c>
      <x:c r="G130" s="534" t="str">
        <x:v>Y</x:v>
      </x:c>
      <x:c r="H130" s="80" t="n">
        <x:v>3</x:v>
      </x:c>
      <x:c r="I130" s="534" t="str"/>
      <x:c r="J130" s="538" t="str"/>
      <x:c r="K130" s="538" t="str"/>
      <x:c r="L130" s="31" t="str">
        <x:v>McAfee Tailgate Overs fixed proposition</x:v>
      </x:c>
      <x:c r="M130" s="31" t="str">
        <x:v>PLACED_USER_CONFIRMED: The independent audit treated this as one fixed sportsbook proposition, not three independent selections. The user explicitly confirmed it as placed.</x:v>
      </x:c>
    </x:row>
    <x:row r="131" ht="38" customHeight="1">
      <x:c r="A131" s="31" t="str">
        <x:v>2026-09-12</x:v>
      </x:c>
      <x:c r="B131" s="31" t="str">
        <x:v>S12-T06</x:v>
      </x:c>
      <x:c r="C131" s="31" t="str">
        <x:v>INDEPENDENT</x:v>
      </x:c>
      <x:c r="D131" s="31" t="str">
        <x:v>Athletic Bilbao first-half moneyline — Athletic Bilbao first-half moneyline (-125)</x:v>
      </x:c>
      <x:c r="E131" s="538" t="n">
        <x:v>1</x:v>
      </x:c>
      <x:c r="F131" s="80" t="n">
        <x:v>-125</x:v>
      </x:c>
      <x:c r="G131" s="534" t="str">
        <x:v>N</x:v>
      </x:c>
      <x:c r="H131" s="80" t="n">
        <x:v>1</x:v>
      </x:c>
      <x:c r="I131" s="534" t="str">
        <x:v>Loss</x:v>
      </x:c>
      <x:c r="J131" s="538" t="n">
        <x:v>0</x:v>
      </x:c>
      <x:c r="K131" s="538" t="n">
        <x:v>-1</x:v>
      </x:c>
      <x:c r="L131" s="31" t="str"/>
      <x:c r="M131" s="31" t="str">
        <x:v>FINAL: DraftKings settlement supplied by the user: Athletic Club and Elche were 0–0 at halftime, so the first-half moneyline lost.</x:v>
      </x:c>
    </x:row>
    <x:row r="132" ht="38" customHeight="1">
      <x:c r="A132" s="31" t="str">
        <x:v>2026-09-12</x:v>
      </x:c>
      <x:c r="B132" s="31" t="str">
        <x:v>S12-T07</x:v>
      </x:c>
      <x:c r="C132" s="31" t="str">
        <x:v>BOTH</x:v>
      </x:c>
      <x:c r="D132" s="31" t="str">
        <x:v>Oregon Ducks first-half team total over 21.5 — Oregon Ducks first-half team total over 21.5 (+100)</x:v>
      </x:c>
      <x:c r="E132" s="538" t="n">
        <x:v>1</x:v>
      </x:c>
      <x:c r="F132" s="80" t="n">
        <x:v>100</x:v>
      </x:c>
      <x:c r="G132" s="534" t="str">
        <x:v>N</x:v>
      </x:c>
      <x:c r="H132" s="80" t="n">
        <x:v>1</x:v>
      </x:c>
      <x:c r="I132" s="534" t="str">
        <x:v>Loss</x:v>
      </x:c>
      <x:c r="J132" s="538" t="n">
        <x:v>0</x:v>
      </x:c>
      <x:c r="K132" s="538" t="n">
        <x:v>-1</x:v>
      </x:c>
      <x:c r="L132" s="31" t="str"/>
      <x:c r="M132" s="31" t="str">
        <x:v>FINAL: Verified game state reported in the chat: Oregon scored 17 first-half points, below the over 21.5 threshold. Classified as a matchup/mechanism failure.</x:v>
      </x:c>
    </x:row>
    <x:row r="133" ht="38" customHeight="1">
      <x:c r="A133" s="31" t="str">
        <x:v>2026-09-12</x:v>
      </x:c>
      <x:c r="B133" s="31" t="str">
        <x:v>S12-T08</x:v>
      </x:c>
      <x:c r="C133" s="31" t="str">
        <x:v>BOTH</x:v>
      </x:c>
      <x:c r="D133" s="31" t="str">
        <x:v>Zac Thornton over 4.5 hits allowed — Zac Thornton over 4.5 hits allowed (-158)</x:v>
      </x:c>
      <x:c r="E133" s="538" t="n">
        <x:v>1</x:v>
      </x:c>
      <x:c r="F133" s="80" t="n">
        <x:v>-158</x:v>
      </x:c>
      <x:c r="G133" s="534" t="str">
        <x:v>N</x:v>
      </x:c>
      <x:c r="H133" s="80" t="n">
        <x:v>1</x:v>
      </x:c>
      <x:c r="I133" s="534" t="str"/>
      <x:c r="J133" s="538" t="str"/>
      <x:c r="K133" s="538" t="str"/>
      <x:c r="L133" s="31" t="str"/>
      <x:c r="M133" s="31" t="str">
        <x:v>PLACED_USER_CONFIRMED: The frozen system decision was Thornton over 5.5 hits at a plus price. The user’s DraftKings execution used the lower 4.5 threshold at -158; system decision and user execution remain separate.</x:v>
      </x:c>
    </x:row>
    <x:row r="134" ht="38" customHeight="1">
      <x:c r="A134" s="31" t="str">
        <x:v>2026-09-12</x:v>
      </x:c>
      <x:c r="B134" s="31" t="str">
        <x:v>S12-T09</x:v>
      </x:c>
      <x:c r="C134" s="31" t="str">
        <x:v>INDEPENDENT</x:v>
      </x:c>
      <x:c r="D134" s="31" t="str">
        <x:v>Michigan live spread -4.5 — Michigan -4.5 live spread (-114 before boost)</x:v>
      </x:c>
      <x:c r="E134" s="538" t="n">
        <x:v>1</x:v>
      </x:c>
      <x:c r="F134" s="80" t="str">
        <x:v>-114 before boost</x:v>
      </x:c>
      <x:c r="G134" s="534" t="str">
        <x:v>Y</x:v>
      </x:c>
      <x:c r="H134" s="80" t="n">
        <x:v>1</x:v>
      </x:c>
      <x:c r="I134" s="534" t="str"/>
      <x:c r="J134" s="538" t="str"/>
      <x:c r="K134" s="538" t="str"/>
      <x:c r="L134" s="31" t="str">
        <x:v>50% live CFB boost</x:v>
      </x:c>
      <x:c r="M134" s="31" t="str">
        <x:v>PLACED_USER_CONFIRMED: The live state was requalified independently before execution. The user confirmed Michigan -4.5 at -114 with the 50% live CFB boost; the exact final boosted display price was not captured.</x:v>
      </x:c>
    </x:row>
    <x:row r="135" ht="38" customHeight="1">
      <x:c r="A135" s="31" t="str">
        <x:v>2026-09-12</x:v>
      </x:c>
      <x:c r="B135" s="31" t="str">
        <x:v>S12-T10</x:v>
      </x:c>
      <x:c r="C135" s="31" t="str">
        <x:v>BOTH</x:v>
      </x:c>
      <x:c r="D135" s="31" t="str">
        <x:v>Kyle Bradish over 2.5 walks allowed — Kyle Bradish over 2.5 walks allowed (+145)</x:v>
      </x:c>
      <x:c r="E135" s="538" t="n">
        <x:v>1</x:v>
      </x:c>
      <x:c r="F135" s="80" t="n">
        <x:v>145</x:v>
      </x:c>
      <x:c r="G135" s="534" t="str">
        <x:v>N</x:v>
      </x:c>
      <x:c r="H135" s="80" t="n">
        <x:v>1</x:v>
      </x:c>
      <x:c r="I135" s="534" t="str"/>
      <x:c r="J135" s="538" t="str"/>
      <x:c r="K135" s="538" t="str"/>
      <x:c r="L135" s="31" t="str"/>
      <x:c r="M135" s="31" t="str">
        <x:v>PLACED_USER_CONFIRMED: A live-before-first-pitch requalification selected the higher 2.5-walk threshold at plus money over the hits market. The user confirmed this and Ureña as placed.</x:v>
      </x:c>
    </x:row>
    <x:row r="136" ht="38" customHeight="1">
      <x:c r="A136" s="31" t="str">
        <x:v>2026-09-12</x:v>
      </x:c>
      <x:c r="B136" s="31" t="str">
        <x:v>S12-T11</x:v>
      </x:c>
      <x:c r="C136" s="31" t="str">
        <x:v>BOTH</x:v>
      </x:c>
      <x:c r="D136" s="31" t="str">
        <x:v>Walbert Ureña over 16.5 pitching outs — Walbert Ureña over 16.5 pitching outs (-115)</x:v>
      </x:c>
      <x:c r="E136" s="538" t="n">
        <x:v>1</x:v>
      </x:c>
      <x:c r="F136" s="80" t="n">
        <x:v>-115</x:v>
      </x:c>
      <x:c r="G136" s="534" t="str">
        <x:v>N</x:v>
      </x:c>
      <x:c r="H136" s="80" t="n">
        <x:v>1</x:v>
      </x:c>
      <x:c r="I136" s="534" t="str"/>
      <x:c r="J136" s="538" t="str"/>
      <x:c r="K136" s="538" t="str"/>
      <x:c r="L136" s="31" t="str"/>
      <x:c r="M136" s="31" t="str">
        <x:v>PLACED_USER_CONFIRMED: The independent workload audit preferred the improved 16.5-outs threshold over the earlier 17.5 line and alternate strikeout markets. The user confirmed this and Bradish as placed.</x:v>
      </x:c>
    </x:row>
    <x:row r="137" ht="38" customHeight="1">
      <x:c r="A137" s="31" t="str">
        <x:v>2026-09-12</x:v>
      </x:c>
      <x:c r="B137" s="31" t="str">
        <x:v>S12-T12</x:v>
      </x:c>
      <x:c r="C137" s="31" t="str">
        <x:v>INDEPENDENT</x:v>
      </x:c>
      <x:c r="D137" s="31" t="str">
        <x:v>Arizona +7.5 / Kentucky +10.5 / UConn +12.5 parlay — Arizona +7.5 at BYU | Kentucky +10.5 vs Alabama | UConn +12.5 vs Maryland</x:v>
      </x:c>
      <x:c r="E137" s="538" t="n">
        <x:v>1</x:v>
      </x:c>
      <x:c r="F137" s="80" t="str">
        <x:v>+435 raw / +652 effective</x:v>
      </x:c>
      <x:c r="G137" s="534" t="str">
        <x:v>Y</x:v>
      </x:c>
      <x:c r="H137" s="80" t="n">
        <x:v>3</x:v>
      </x:c>
      <x:c r="I137" s="534" t="str"/>
      <x:c r="J137" s="538" t="str"/>
      <x:c r="K137" s="538" t="str"/>
      <x:c r="L137" s="31" t="str">
        <x:v>50% CFB Mystery Parlay Boost</x:v>
      </x:c>
      <x:c r="M137" s="31" t="str">
        <x:v>PLACED_USER_CONFIRMED: The 3:30 CFB audit qualified each spread before packaging. The user confirmed the exact three-leg, $1, 50%-boosted construction after a final confidence check.</x:v>
      </x:c>
    </x:row>
    <x:row r="138" ht="38" customHeight="1">
      <x:c r="A138" s="31" t="str">
        <x:v>2026-09-12</x:v>
      </x:c>
      <x:c r="B138" s="31" t="str">
        <x:v>S12-T13</x:v>
      </x:c>
      <x:c r="C138" s="31" t="str">
        <x:v>INDEPENDENT</x:v>
      </x:c>
      <x:c r="D138" s="31" t="str">
        <x:v>Keelon Russell 50+ rushing yards — Keelon Russell 50+ rushing yards (-107)</x:v>
      </x:c>
      <x:c r="E138" s="538" t="n">
        <x:v>1</x:v>
      </x:c>
      <x:c r="F138" s="80" t="n">
        <x:v>-107</x:v>
      </x:c>
      <x:c r="G138" s="534" t="str">
        <x:v>N</x:v>
      </x:c>
      <x:c r="H138" s="80" t="n">
        <x:v>1</x:v>
      </x:c>
      <x:c r="I138" s="534" t="str"/>
      <x:c r="J138" s="538" t="str"/>
      <x:c r="K138" s="538" t="str"/>
      <x:c r="L138" s="31" t="str"/>
      <x:c r="M138" s="31" t="str">
        <x:v>PLACED_USER_CONFIRMED: The player-board audit preferred a lower 50+ threshold at a better price than the previously evaluated 53+ line. The user immediately confirmed placement.</x:v>
      </x:c>
    </x:row>
    <x:row r="139" ht="38" customHeight="1">
      <x:c r="A139" s="31" t="str">
        <x:v>2026-09-12</x:v>
      </x:c>
      <x:c r="B139" s="31" t="str">
        <x:v>S12-T14</x:v>
      </x:c>
      <x:c r="C139" s="31" t="str">
        <x:v>INDEPENDENT</x:v>
      </x:c>
      <x:c r="D139" s="31" t="str">
        <x:v>Ryan Wingo 60+ receiving yards - Ryan Wingo 60+ receiving yards (+120 before boost)</x:v>
      </x:c>
      <x:c r="E139" s="538" t="n">
        <x:v>1</x:v>
      </x:c>
      <x:c r="F139" s="80" t="str">
        <x:v>+120 before boost</x:v>
      </x:c>
      <x:c r="G139" s="534" t="str">
        <x:v>Y</x:v>
      </x:c>
      <x:c r="H139" s="80" t="n">
        <x:v>1</x:v>
      </x:c>
      <x:c r="I139" s="534" t="str"/>
      <x:c r="J139" s="538" t="str"/>
      <x:c r="K139" s="538" t="str"/>
      <x:c r="L139" s="31" t="str">
        <x:v>50% OSU-Texas profit boost</x:v>
      </x:c>
      <x:c r="M139" s="31" t="str">
        <x:v>PLACED_USER_CONFIRMED: The independent evening audit preferred Wingo's 60+ receiving-yards threshold over the supplied Jeremiah Smith markets. The displayed +120 price qualified before the promo, and the user explicitly confirmed placement.</x:v>
      </x:c>
    </x:row>
  </x:sheetData>
  <x:conditionalFormatting sqref="I2:I23">
    <x:cfRule type="expression" dxfId="2" priority="1">
      <x:formula>I2="Win"</x:formula>
    </x:cfRule>
    <x:cfRule type="expression" dxfId="3" priority="2">
      <x:formula>I2="Loss"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e01ab5696b45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1" hidden="0" customWidth="1"/>
    <x:col min="4" max="4" width="13" hidden="0" customWidth="1"/>
    <x:col min="5" max="5" width="16" hidden="0" customWidth="1"/>
    <x:col min="6" max="6" width="16" hidden="0" customWidth="1"/>
    <x:col min="7" max="7" width="13" hidden="0" customWidth="1"/>
    <x:col min="8" max="8" width="10" hidden="0" customWidth="1"/>
    <x:col min="9" max="9" width="10" hidden="0" customWidth="1"/>
    <x:col min="10" max="10" width="12" hidden="0" customWidth="1"/>
    <x:col min="11" max="11" width="30" hidden="0" customWidth="1"/>
  </x:cols>
  <x:sheetData>
    <x:row r="1" ht="28" customHeight="1">
      <x:c r="A1" s="30" t="str">
        <x:v>Market Family</x:v>
      </x:c>
      <x:c r="B1" s="30" t="str">
        <x:v>Placed Obs</x:v>
      </x:c>
      <x:c r="C1" s="30" t="str">
        <x:v>Placed Wins</x:v>
      </x:c>
      <x:c r="D1" s="30" t="str">
        <x:v>Placed Hit Rate</x:v>
      </x:c>
      <x:c r="E1" s="30" t="str">
        <x:v>Research/Shadow Obs</x:v>
      </x:c>
      <x:c r="F1" s="30" t="str">
        <x:v>Research/Shadow Wins</x:v>
      </x:c>
      <x:c r="G1" s="30" t="str">
        <x:v>Shadow Hit Rate</x:v>
      </x:c>
      <x:c r="H1" s="30" t="str">
        <x:v>All Obs</x:v>
      </x:c>
      <x:c r="I1" s="30" t="str">
        <x:v>All Wins</x:v>
      </x:c>
      <x:c r="J1" s="30" t="str">
        <x:v>All Hit Rate</x:v>
      </x:c>
      <x:c r="K1" s="30" t="str">
        <x:v>Immediate Action</x:v>
      </x:c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 t="str">
        <x:v>Pitcher Outs</x:v>
      </x:c>
      <x:c r="B2" s="31" t="n">
        <x:f>COUNTIFS('Candidate Log'!$H$2:$H$300,$A2,'Candidate Log'!$M$2:$M$300,"BET",'Candidate Log'!$O$2:$O$300,"Win")+COUNTIFS('Candidate Log'!$H$2:$H$300,$A2,'Candidate Log'!$M$2:$M$300,"BET",'Candidate Log'!$O$2:$O$300,"Loss")</x:f>
        <x:v>7</x:v>
      </x:c>
      <x:c r="C2" s="31" t="n">
        <x:f>COUNTIFS('Candidate Log'!$H$2:$H$300,$A2,'Candidate Log'!$M$2:$M$300,"BET",'Candidate Log'!$O$2:$O$300,"Win")</x:f>
        <x:v>5</x:v>
      </x:c>
      <x:c r="D2" s="32" t="n">
        <x:f>IFERROR(C2/B2,0)</x:f>
        <x:v>0.7142857142857143</x:v>
      </x:c>
      <x:c r="E2" s="31" t="n">
        <x:f>COUNTIFS('Candidate Log'!$H$2:$H$300,$A2,'Candidate Log'!$M$2:$M$300,"&lt;&gt;BET",'Candidate Log'!$O$2:$O$300,"Win")+COUNTIFS('Candidate Log'!$H$2:$H$300,$A2,'Candidate Log'!$M$2:$M$300,"&lt;&gt;BET",'Candidate Log'!$O$2:$O$300,"Loss")</x:f>
        <x:v>3</x:v>
      </x:c>
      <x:c r="F2" s="31" t="n">
        <x:f>COUNTIFS('Candidate Log'!$H$2:$H$300,$A2,'Candidate Log'!$M$2:$M$300,"&lt;&gt;BET",'Candidate Log'!$O$2:$O$300,"Win")</x:f>
        <x:v>3</x:v>
      </x:c>
      <x:c r="G2" s="32" t="n">
        <x:f>IFERROR(F2/E2,0)</x:f>
        <x:v>1</x:v>
      </x:c>
      <x:c r="H2" s="31" t="n">
        <x:f>B2+E2</x:f>
        <x:v>10</x:v>
      </x:c>
      <x:c r="I2" s="31" t="n">
        <x:f>C2+F2</x:f>
        <x:v>8</x:v>
      </x:c>
      <x:c r="J2" s="32" t="n">
        <x:f>IFERROR(I2/H2,0)</x:f>
        <x:v>0.8</x:v>
      </x:c>
      <x:c r="K2" s="31" t="str">
        <x:v>CORE / expand sample</x:v>
      </x:c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Pitcher K Over</x:v>
      </x:c>
      <x:c r="B3" s="31" t="n">
        <x:f>COUNTIFS('Candidate Log'!$H$2:$H$300,$A3,'Candidate Log'!$M$2:$M$300,"BET",'Candidate Log'!$O$2:$O$300,"Win")+COUNTIFS('Candidate Log'!$H$2:$H$300,$A3,'Candidate Log'!$M$2:$M$300,"BET",'Candidate Log'!$O$2:$O$300,"Loss")</x:f>
        <x:v>5</x:v>
      </x:c>
      <x:c r="C3" s="31" t="n">
        <x:f>COUNTIFS('Candidate Log'!$H$2:$H$300,$A3,'Candidate Log'!$M$2:$M$300,"BET",'Candidate Log'!$O$2:$O$300,"Win")</x:f>
        <x:v>4</x:v>
      </x:c>
      <x:c r="D3" s="32" t="n">
        <x:f>IFERROR(C3/B3,0)</x:f>
        <x:v>0.8</x:v>
      </x:c>
      <x:c r="E3" s="31" t="n">
        <x:f>COUNTIFS('Candidate Log'!$H$2:$H$300,$A3,'Candidate Log'!$M$2:$M$300,"&lt;&gt;BET",'Candidate Log'!$O$2:$O$300,"Win")+COUNTIFS('Candidate Log'!$H$2:$H$300,$A3,'Candidate Log'!$M$2:$M$300,"&lt;&gt;BET",'Candidate Log'!$O$2:$O$300,"Loss")</x:f>
        <x:v>8</x:v>
      </x:c>
      <x:c r="F3" s="31" t="n">
        <x:f>COUNTIFS('Candidate Log'!$H$2:$H$300,$A3,'Candidate Log'!$M$2:$M$300,"&lt;&gt;BET",'Candidate Log'!$O$2:$O$300,"Win")</x:f>
        <x:v>3</x:v>
      </x:c>
      <x:c r="G3" s="32" t="n">
        <x:f>IFERROR(F3/E3,0)</x:f>
        <x:v>0.375</x:v>
      </x:c>
      <x:c r="H3" s="31" t="n">
        <x:f>B3+E3</x:f>
        <x:v>13</x:v>
      </x:c>
      <x:c r="I3" s="31" t="n">
        <x:f>C3+F3</x:f>
        <x:v>7</x:v>
      </x:c>
      <x:c r="J3" s="32" t="n">
        <x:f>IFERROR(I3/H3,0)</x:f>
        <x:v>0.5384615384615384</x:v>
      </x:c>
      <x:c r="K3" s="31" t="str">
        <x:v>CORE / expand sample</x:v>
      </x:c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Pitcher K Under</x:v>
      </x:c>
      <x:c r="B4" s="31" t="n">
        <x:f>COUNTIFS('Candidate Log'!$H$2:$H$300,$A4,'Candidate Log'!$M$2:$M$300,"BET",'Candidate Log'!$O$2:$O$300,"Win")+COUNTIFS('Candidate Log'!$H$2:$H$300,$A4,'Candidate Log'!$M$2:$M$300,"BET",'Candidate Log'!$O$2:$O$300,"Loss")</x:f>
        <x:v>3</x:v>
      </x:c>
      <x:c r="C4" s="31" t="n">
        <x:f>COUNTIFS('Candidate Log'!$H$2:$H$300,$A4,'Candidate Log'!$M$2:$M$300,"BET",'Candidate Log'!$O$2:$O$300,"Win")</x:f>
        <x:v>0</x:v>
      </x:c>
      <x:c r="D4" s="32" t="n">
        <x:f>IFERROR(C4/B4,0)</x:f>
        <x:v>0</x:v>
      </x:c>
      <x:c r="E4" s="31" t="n">
        <x:f>COUNTIFS('Candidate Log'!$H$2:$H$300,$A4,'Candidate Log'!$M$2:$M$300,"&lt;&gt;BET",'Candidate Log'!$O$2:$O$300,"Win")+COUNTIFS('Candidate Log'!$H$2:$H$300,$A4,'Candidate Log'!$M$2:$M$300,"&lt;&gt;BET",'Candidate Log'!$O$2:$O$300,"Loss")</x:f>
        <x:v>1</x:v>
      </x:c>
      <x:c r="F4" s="31" t="n">
        <x:f>COUNTIFS('Candidate Log'!$H$2:$H$300,$A4,'Candidate Log'!$M$2:$M$300,"&lt;&gt;BET",'Candidate Log'!$O$2:$O$300,"Win")</x:f>
        <x:v>0</x:v>
      </x:c>
      <x:c r="G4" s="32" t="n">
        <x:f>IFERROR(F4/E4,0)</x:f>
        <x:v>0</x:v>
      </x:c>
      <x:c r="H4" s="31" t="n">
        <x:f>B4+E4</x:f>
        <x:v>4</x:v>
      </x:c>
      <x:c r="I4" s="31" t="n">
        <x:f>C4+F4</x:f>
        <x:v>0</x:v>
      </x:c>
      <x:c r="J4" s="32" t="n">
        <x:f>IFERROR(I4/H4,0)</x:f>
        <x:v>0</x:v>
      </x:c>
      <x:c r="K4" s="31" t="str">
        <x:v>SUSPEND routine use</x:v>
      </x:c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1+ Hit</x:v>
      </x:c>
      <x:c r="B5" s="31" t="n">
        <x:f>COUNTIFS('Candidate Log'!$H$2:$H$300,$A5,'Candidate Log'!$M$2:$M$300,"BET",'Candidate Log'!$O$2:$O$300,"Win")+COUNTIFS('Candidate Log'!$H$2:$H$300,$A5,'Candidate Log'!$M$2:$M$300,"BET",'Candidate Log'!$O$2:$O$300,"Loss")</x:f>
        <x:v>7</x:v>
      </x:c>
      <x:c r="C5" s="31" t="n">
        <x:f>COUNTIFS('Candidate Log'!$H$2:$H$300,$A5,'Candidate Log'!$M$2:$M$300,"BET",'Candidate Log'!$O$2:$O$300,"Win")</x:f>
        <x:v>3</x:v>
      </x:c>
      <x:c r="D5" s="32" t="n">
        <x:f>IFERROR(C5/B5,0)</x:f>
        <x:v>0.42857142857142855</x:v>
      </x:c>
      <x:c r="E5" s="31" t="n">
        <x:f>COUNTIFS('Candidate Log'!$H$2:$H$300,$A5,'Candidate Log'!$M$2:$M$300,"&lt;&gt;BET",'Candidate Log'!$O$2:$O$300,"Win")+COUNTIFS('Candidate Log'!$H$2:$H$300,$A5,'Candidate Log'!$M$2:$M$300,"&lt;&gt;BET",'Candidate Log'!$O$2:$O$300,"Loss")</x:f>
        <x:v>8</x:v>
      </x:c>
      <x:c r="F5" s="31" t="n">
        <x:f>COUNTIFS('Candidate Log'!$H$2:$H$300,$A5,'Candidate Log'!$M$2:$M$300,"&lt;&gt;BET",'Candidate Log'!$O$2:$O$300,"Win")</x:f>
        <x:v>8</x:v>
      </x:c>
      <x:c r="G5" s="32" t="n">
        <x:f>IFERROR(F5/E5,0)</x:f>
        <x:v>1</x:v>
      </x:c>
      <x:c r="H5" s="31" t="n">
        <x:f>B5+E5</x:f>
        <x:v>15</x:v>
      </x:c>
      <x:c r="I5" s="31" t="n">
        <x:f>C5+F5</x:f>
        <x:v>11</x:v>
      </x:c>
      <x:c r="J5" s="32" t="n">
        <x:f>IFERROR(I5/H5,0)</x:f>
        <x:v>0.7333333333333333</x:v>
      </x:c>
      <x:c r="K5" s="31" t="str">
        <x:v>PRICE DISCIPLINE; no automatic glue</x:v>
      </x:c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2+ Total Bases</x:v>
      </x:c>
      <x:c r="B6" s="31" t="n">
        <x:f>COUNTIFS('Candidate Log'!$H$2:$H$300,$A6,'Candidate Log'!$M$2:$M$300,"BET",'Candidate Log'!$O$2:$O$300,"Win")+COUNTIFS('Candidate Log'!$H$2:$H$300,$A6,'Candidate Log'!$M$2:$M$300,"BET",'Candidate Log'!$O$2:$O$300,"Loss")</x:f>
        <x:v>7</x:v>
      </x:c>
      <x:c r="C6" s="31" t="n">
        <x:f>COUNTIFS('Candidate Log'!$H$2:$H$300,$A6,'Candidate Log'!$M$2:$M$300,"BET",'Candidate Log'!$O$2:$O$300,"Win")</x:f>
        <x:v>1</x:v>
      </x:c>
      <x:c r="D6" s="32" t="n">
        <x:f>IFERROR(C6/B6,0)</x:f>
        <x:v>0.14285714285714285</x:v>
      </x:c>
      <x:c r="E6" s="31" t="n">
        <x:f>COUNTIFS('Candidate Log'!$H$2:$H$300,$A6,'Candidate Log'!$M$2:$M$300,"&lt;&gt;BET",'Candidate Log'!$O$2:$O$300,"Win")+COUNTIFS('Candidate Log'!$H$2:$H$300,$A6,'Candidate Log'!$M$2:$M$300,"&lt;&gt;BET",'Candidate Log'!$O$2:$O$300,"Loss")</x:f>
        <x:v>2</x:v>
      </x:c>
      <x:c r="F6" s="31" t="n">
        <x:f>COUNTIFS('Candidate Log'!$H$2:$H$300,$A6,'Candidate Log'!$M$2:$M$300,"&lt;&gt;BET",'Candidate Log'!$O$2:$O$300,"Win")</x:f>
        <x:v>1</x:v>
      </x:c>
      <x:c r="G6" s="32" t="n">
        <x:f>IFERROR(F6/E6,0)</x:f>
        <x:v>0.5</x:v>
      </x:c>
      <x:c r="H6" s="31" t="n">
        <x:f>B6+E6</x:f>
        <x:v>9</x:v>
      </x:c>
      <x:c r="I6" s="31" t="n">
        <x:f>C6+F6</x:f>
        <x:v>2</x:v>
      </x:c>
      <x:c r="J6" s="32" t="n">
        <x:f>IFERROR(I6/H6,0)</x:f>
        <x:v>0.2222222222222222</x:v>
      </x:c>
      <x:c r="K6" s="31" t="str">
        <x:v>SECONDARY / price-sensitive</x:v>
      </x:c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H+R+RBI</x:v>
      </x:c>
      <x:c r="B7" s="31" t="n">
        <x:f>COUNTIFS('Candidate Log'!$H$2:$H$300,$A7,'Candidate Log'!$M$2:$M$300,"BET",'Candidate Log'!$O$2:$O$300,"Win")+COUNTIFS('Candidate Log'!$H$2:$H$300,$A7,'Candidate Log'!$M$2:$M$300,"BET",'Candidate Log'!$O$2:$O$300,"Loss")</x:f>
        <x:v>5</x:v>
      </x:c>
      <x:c r="C7" s="31" t="n">
        <x:f>COUNTIFS('Candidate Log'!$H$2:$H$300,$A7,'Candidate Log'!$M$2:$M$300,"BET",'Candidate Log'!$O$2:$O$300,"Win")</x:f>
        <x:v>5</x:v>
      </x:c>
      <x:c r="D7" s="32" t="n">
        <x:f>IFERROR(C7/B7,0)</x:f>
        <x:v>1</x:v>
      </x:c>
      <x:c r="E7" s="31" t="n">
        <x:f>COUNTIFS('Candidate Log'!$H$2:$H$300,$A7,'Candidate Log'!$M$2:$M$300,"&lt;&gt;BET",'Candidate Log'!$O$2:$O$300,"Win")+COUNTIFS('Candidate Log'!$H$2:$H$300,$A7,'Candidate Log'!$M$2:$M$300,"&lt;&gt;BET",'Candidate Log'!$O$2:$O$300,"Loss")</x:f>
        <x:v>8</x:v>
      </x:c>
      <x:c r="F7" s="31" t="n">
        <x:f>COUNTIFS('Candidate Log'!$H$2:$H$300,$A7,'Candidate Log'!$M$2:$M$300,"&lt;&gt;BET",'Candidate Log'!$O$2:$O$300,"Win")</x:f>
        <x:v>6</x:v>
      </x:c>
      <x:c r="G7" s="32" t="n">
        <x:f>IFERROR(F7/E7,0)</x:f>
        <x:v>0.75</x:v>
      </x:c>
      <x:c r="H7" s="31" t="n">
        <x:f>B7+E7</x:f>
        <x:v>13</x:v>
      </x:c>
      <x:c r="I7" s="31" t="n">
        <x:f>C7+F7</x:f>
        <x:v>11</x:v>
      </x:c>
      <x:c r="J7" s="32" t="n">
        <x:f>IFERROR(I7/H7,0)</x:f>
        <x:v>0.8461538461538461</x:v>
      </x:c>
      <x:c r="K7" s="31" t="str">
        <x:v>EXPAND; multi-path market</x:v>
      </x:c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HR</x:v>
      </x:c>
      <x:c r="B8" s="31" t="n">
        <x:f>COUNTIFS('Candidate Log'!$H$2:$H$300,$A8,'Candidate Log'!$M$2:$M$300,"BET",'Candidate Log'!$O$2:$O$300,"Win")+COUNTIFS('Candidate Log'!$H$2:$H$300,$A8,'Candidate Log'!$M$2:$M$300,"BET",'Candidate Log'!$O$2:$O$300,"Loss")</x:f>
        <x:v>4</x:v>
      </x:c>
      <x:c r="C8" s="31" t="n">
        <x:f>COUNTIFS('Candidate Log'!$H$2:$H$300,$A8,'Candidate Log'!$M$2:$M$300,"BET",'Candidate Log'!$O$2:$O$300,"Win")</x:f>
        <x:v>0</x:v>
      </x:c>
      <x:c r="D8" s="32" t="n">
        <x:f>IFERROR(C8/B8,0)</x:f>
        <x:v>0</x:v>
      </x:c>
      <x:c r="E8" s="31" t="n">
        <x:f>COUNTIFS('Candidate Log'!$H$2:$H$300,$A8,'Candidate Log'!$M$2:$M$300,"&lt;&gt;BET",'Candidate Log'!$O$2:$O$300,"Win")+COUNTIFS('Candidate Log'!$H$2:$H$300,$A8,'Candidate Log'!$M$2:$M$300,"&lt;&gt;BET",'Candidate Log'!$O$2:$O$300,"Loss")</x:f>
        <x:v>8</x:v>
      </x:c>
      <x:c r="F8" s="31" t="n">
        <x:f>COUNTIFS('Candidate Log'!$H$2:$H$300,$A8,'Candidate Log'!$M$2:$M$300,"&lt;&gt;BET",'Candidate Log'!$O$2:$O$300,"Win")</x:f>
        <x:v>4</x:v>
      </x:c>
      <x:c r="G8" s="32" t="n">
        <x:f>IFERROR(F8/E8,0)</x:f>
        <x:v>0.5</x:v>
      </x:c>
      <x:c r="H8" s="31" t="n">
        <x:f>B8+E8</x:f>
        <x:v>12</x:v>
      </x:c>
      <x:c r="I8" s="31" t="n">
        <x:f>C8+F8</x:f>
        <x:v>4</x:v>
      </x:c>
      <x:c r="J8" s="32" t="n">
        <x:f>IFERROR(I8/H8,0)</x:f>
        <x:v>0.3333333333333333</x:v>
      </x:c>
      <x:c r="K8" s="31" t="str">
        <x:v>SATELLITE only</x:v>
      </x:c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NRFI</x:v>
      </x:c>
      <x:c r="B9" s="31" t="n">
        <x:f>COUNTIFS('Candidate Log'!$H$2:$H$300,$A9,'Candidate Log'!$M$2:$M$300,"BET",'Candidate Log'!$O$2:$O$300,"Win")+COUNTIFS('Candidate Log'!$H$2:$H$300,$A9,'Candidate Log'!$M$2:$M$300,"BET",'Candidate Log'!$O$2:$O$300,"Loss")</x:f>
        <x:v>7</x:v>
      </x:c>
      <x:c r="C9" s="31" t="n">
        <x:f>COUNTIFS('Candidate Log'!$H$2:$H$300,$A9,'Candidate Log'!$M$2:$M$300,"BET",'Candidate Log'!$O$2:$O$300,"Win")</x:f>
        <x:v>2</x:v>
      </x:c>
      <x:c r="D9" s="32" t="n">
        <x:f>IFERROR(C9/B9,0)</x:f>
        <x:v>0.2857142857142857</x:v>
      </x:c>
      <x:c r="E9" s="31" t="n">
        <x:f>COUNTIFS('Candidate Log'!$H$2:$H$300,$A9,'Candidate Log'!$M$2:$M$300,"&lt;&gt;BET",'Candidate Log'!$O$2:$O$300,"Win")+COUNTIFS('Candidate Log'!$H$2:$H$300,$A9,'Candidate Log'!$M$2:$M$300,"&lt;&gt;BET",'Candidate Log'!$O$2:$O$300,"Loss")</x:f>
        <x:v>1</x:v>
      </x:c>
      <x:c r="F9" s="31" t="n">
        <x:f>COUNTIFS('Candidate Log'!$H$2:$H$300,$A9,'Candidate Log'!$M$2:$M$300,"&lt;&gt;BET",'Candidate Log'!$O$2:$O$300,"Win")</x:f>
        <x:v>1</x:v>
      </x:c>
      <x:c r="G9" s="32" t="n">
        <x:f>IFERROR(F9/E9,0)</x:f>
        <x:v>1</x:v>
      </x:c>
      <x:c r="H9" s="31" t="n">
        <x:f>B9+E9</x:f>
        <x:v>8</x:v>
      </x:c>
      <x:c r="I9" s="31" t="n">
        <x:f>C9+F9</x:f>
        <x:v>3</x:v>
      </x:c>
      <x:c r="J9" s="32" t="n">
        <x:f>IFERROR(I9/H9,0)</x:f>
        <x:v>0.375</x:v>
      </x:c>
      <x:c r="K9" s="31" t="str">
        <x:v>SECONDARY; avoid 3-leg backbone</x:v>
      </x:c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Hits Allowed</x:v>
      </x:c>
      <x:c r="B10" s="31" t="n">
        <x:f>COUNTIFS('Candidate Log'!$H$2:$H$300,$A10,'Candidate Log'!$M$2:$M$300,"BET",'Candidate Log'!$O$2:$O$300,"Win")+COUNTIFS('Candidate Log'!$H$2:$H$300,$A10,'Candidate Log'!$M$2:$M$300,"BET",'Candidate Log'!$O$2:$O$300,"Loss")</x:f>
        <x:v>2</x:v>
      </x:c>
      <x:c r="C10" s="31" t="n">
        <x:f>COUNTIFS('Candidate Log'!$H$2:$H$300,$A10,'Candidate Log'!$M$2:$M$300,"BET",'Candidate Log'!$O$2:$O$300,"Win")</x:f>
        <x:v>0</x:v>
      </x:c>
      <x:c r="D10" s="32" t="n">
        <x:f>IFERROR(C10/B10,0)</x:f>
        <x:v>0</x:v>
      </x:c>
      <x:c r="E10" s="31" t="n">
        <x:f>COUNTIFS('Candidate Log'!$H$2:$H$300,$A10,'Candidate Log'!$M$2:$M$300,"&lt;&gt;BET",'Candidate Log'!$O$2:$O$300,"Win")+COUNTIFS('Candidate Log'!$H$2:$H$300,$A10,'Candidate Log'!$M$2:$M$300,"&lt;&gt;BET",'Candidate Log'!$O$2:$O$300,"Loss")</x:f>
        <x:v>0</x:v>
      </x:c>
      <x:c r="F10" s="31" t="n">
        <x:f>COUNTIFS('Candidate Log'!$H$2:$H$300,$A10,'Candidate Log'!$M$2:$M$300,"&lt;&gt;BET",'Candidate Log'!$O$2:$O$300,"Win")</x:f>
        <x:v>0</x:v>
      </x:c>
      <x:c r="G10" s="32" t="n">
        <x:f>IFERROR(F10/E10,0)</x:f>
        <x:v>0</x:v>
      </x:c>
      <x:c r="H10" s="31" t="n">
        <x:f>B10+E10</x:f>
        <x:v>2</x:v>
      </x:c>
      <x:c r="I10" s="31" t="n">
        <x:f>C10+F10</x:f>
        <x:v>0</x:v>
      </x:c>
      <x:c r="J10" s="32" t="n">
        <x:f>IFERROR(I10/H10,0)</x:f>
        <x:v>0</x:v>
      </x:c>
      <x:c r="K10" s="31" t="str">
        <x:v>INSUFFICIENT DATA</x:v>
      </x:c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str">
        <x:v>Spread</x:v>
      </x:c>
      <x:c r="B11" s="31" t="n">
        <x:f>COUNTIFS('Candidate Log'!$H$2:$H$300,$A11,'Candidate Log'!$M$2:$M$300,"BET",'Candidate Log'!$O$2:$O$300,"Win")+COUNTIFS('Candidate Log'!$H$2:$H$300,$A11,'Candidate Log'!$M$2:$M$300,"BET",'Candidate Log'!$O$2:$O$300,"Loss")</x:f>
        <x:v>3</x:v>
      </x:c>
      <x:c r="C11" s="31" t="n">
        <x:f>COUNTIFS('Candidate Log'!$H$2:$H$300,$A11,'Candidate Log'!$M$2:$M$300,"BET",'Candidate Log'!$O$2:$O$300,"Win")</x:f>
        <x:v>1</x:v>
      </x:c>
      <x:c r="D11" s="32" t="n">
        <x:f>IFERROR(C11/B11,0)</x:f>
        <x:v>0.3333333333333333</x:v>
      </x:c>
      <x:c r="E11" s="31" t="n">
        <x:f>COUNTIFS('Candidate Log'!$H$2:$H$300,$A11,'Candidate Log'!$M$2:$M$300,"&lt;&gt;BET",'Candidate Log'!$O$2:$O$300,"Win")+COUNTIFS('Candidate Log'!$H$2:$H$300,$A11,'Candidate Log'!$M$2:$M$300,"&lt;&gt;BET",'Candidate Log'!$O$2:$O$300,"Loss")</x:f>
        <x:v>0</x:v>
      </x:c>
      <x:c r="F11" s="31" t="n">
        <x:f>COUNTIFS('Candidate Log'!$H$2:$H$300,$A11,'Candidate Log'!$M$2:$M$300,"&lt;&gt;BET",'Candidate Log'!$O$2:$O$300,"Win")</x:f>
        <x:v>0</x:v>
      </x:c>
      <x:c r="G11" s="32" t="n">
        <x:f>IFERROR(F11/E11,0)</x:f>
        <x:v>0</x:v>
      </x:c>
      <x:c r="H11" s="31" t="n">
        <x:f>B11+E11</x:f>
        <x:v>3</x:v>
      </x:c>
      <x:c r="I11" s="31" t="n">
        <x:f>C11+F11</x:f>
        <x:v>1</x:v>
      </x:c>
      <x:c r="J11" s="32" t="n">
        <x:f>IFERROR(I11/H11,0)</x:f>
        <x:v>0.3333333333333333</x:v>
      </x:c>
      <x:c r="K11" s="31" t="str">
        <x:v>DE-EMPHASIZE</x:v>
      </x:c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Game Total</x:v>
      </x:c>
      <x:c r="B12" s="31" t="n">
        <x:f>COUNTIFS('Candidate Log'!$H$2:$H$300,$A12,'Candidate Log'!$M$2:$M$300,"BET",'Candidate Log'!$O$2:$O$300,"Win")+COUNTIFS('Candidate Log'!$H$2:$H$300,$A12,'Candidate Log'!$M$2:$M$300,"BET",'Candidate Log'!$O$2:$O$300,"Loss")</x:f>
        <x:v>1</x:v>
      </x:c>
      <x:c r="C12" s="31" t="n">
        <x:f>COUNTIFS('Candidate Log'!$H$2:$H$300,$A12,'Candidate Log'!$M$2:$M$300,"BET",'Candidate Log'!$O$2:$O$300,"Win")</x:f>
        <x:v>1</x:v>
      </x:c>
      <x:c r="D12" s="32" t="n">
        <x:f>IFERROR(C12/B12,0)</x:f>
        <x:v>1</x:v>
      </x:c>
      <x:c r="E12" s="31" t="n">
        <x:f>COUNTIFS('Candidate Log'!$H$2:$H$300,$A12,'Candidate Log'!$M$2:$M$300,"&lt;&gt;BET",'Candidate Log'!$O$2:$O$300,"Win")+COUNTIFS('Candidate Log'!$H$2:$H$300,$A12,'Candidate Log'!$M$2:$M$300,"&lt;&gt;BET",'Candidate Log'!$O$2:$O$300,"Loss")</x:f>
        <x:v>0</x:v>
      </x:c>
      <x:c r="F12" s="31" t="n">
        <x:f>COUNTIFS('Candidate Log'!$H$2:$H$300,$A12,'Candidate Log'!$M$2:$M$300,"&lt;&gt;BET",'Candidate Log'!$O$2:$O$300,"Win")</x:f>
        <x:v>0</x:v>
      </x:c>
      <x:c r="G12" s="32" t="n">
        <x:f>IFERROR(F12/E12,0)</x:f>
        <x:v>0</x:v>
      </x:c>
      <x:c r="H12" s="31" t="n">
        <x:f>B12+E12</x:f>
        <x:v>1</x:v>
      </x:c>
      <x:c r="I12" s="31" t="n">
        <x:f>C12+F12</x:f>
        <x:v>1</x:v>
      </x:c>
      <x:c r="J12" s="32" t="n">
        <x:f>IFERROR(I12/H12,0)</x:f>
        <x:v>1</x:v>
      </x:c>
      <x:c r="K12" s="31" t="str">
        <x:v>INSUFFICIENT DATA</x:v>
      </x:c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str">
        <x:v>WNBA PRA</x:v>
      </x:c>
      <x:c r="B13" s="31" t="n">
        <x:f>COUNTIFS('Candidate Log'!$H$2:$H$300,$A13,'Candidate Log'!$M$2:$M$300,"BET",'Candidate Log'!$O$2:$O$300,"Win")+COUNTIFS('Candidate Log'!$H$2:$H$300,$A13,'Candidate Log'!$M$2:$M$300,"BET",'Candidate Log'!$O$2:$O$300,"Loss")</x:f>
        <x:v>1</x:v>
      </x:c>
      <x:c r="C13" s="31" t="n">
        <x:f>COUNTIFS('Candidate Log'!$H$2:$H$300,$A13,'Candidate Log'!$M$2:$M$300,"BET",'Candidate Log'!$O$2:$O$300,"Win")</x:f>
        <x:v>0</x:v>
      </x:c>
      <x:c r="D13" s="32" t="n">
        <x:f>IFERROR(C13/B13,0)</x:f>
        <x:v>0</x:v>
      </x:c>
      <x:c r="E13" s="31" t="n">
        <x:f>COUNTIFS('Candidate Log'!$H$2:$H$300,$A13,'Candidate Log'!$M$2:$M$300,"&lt;&gt;BET",'Candidate Log'!$O$2:$O$300,"Win")+COUNTIFS('Candidate Log'!$H$2:$H$300,$A13,'Candidate Log'!$M$2:$M$300,"&lt;&gt;BET",'Candidate Log'!$O$2:$O$300,"Loss")</x:f>
        <x:v>1</x:v>
      </x:c>
      <x:c r="F13" s="31" t="n">
        <x:f>COUNTIFS('Candidate Log'!$H$2:$H$300,$A13,'Candidate Log'!$M$2:$M$300,"&lt;&gt;BET",'Candidate Log'!$O$2:$O$300,"Win")</x:f>
        <x:v>0</x:v>
      </x:c>
      <x:c r="G13" s="32" t="n">
        <x:f>IFERROR(F13/E13,0)</x:f>
        <x:v>0</x:v>
      </x:c>
      <x:c r="H13" s="31" t="n">
        <x:f>B13+E13</x:f>
        <x:v>2</x:v>
      </x:c>
      <x:c r="I13" s="31" t="n">
        <x:f>C13+F13</x:f>
        <x:v>0</x:v>
      </x:c>
      <x:c r="J13" s="32" t="n">
        <x:f>IFERROR(I13/H13,0)</x:f>
        <x:v>0</x:v>
      </x:c>
      <x:c r="K13" s="31" t="str">
        <x:v>TIGHTER FILTER</x:v>
      </x:c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str">
        <x:v>WNBA P+R</x:v>
      </x:c>
      <x:c r="B14" s="31" t="n">
        <x:f>COUNTIFS('Candidate Log'!$H$2:$H$300,$A14,'Candidate Log'!$M$2:$M$300,"BET",'Candidate Log'!$O$2:$O$300,"Win")+COUNTIFS('Candidate Log'!$H$2:$H$300,$A14,'Candidate Log'!$M$2:$M$300,"BET",'Candidate Log'!$O$2:$O$300,"Loss")</x:f>
        <x:v>1</x:v>
      </x:c>
      <x:c r="C14" s="31" t="n">
        <x:f>COUNTIFS('Candidate Log'!$H$2:$H$300,$A14,'Candidate Log'!$M$2:$M$300,"BET",'Candidate Log'!$O$2:$O$300,"Win")</x:f>
        <x:v>0</x:v>
      </x:c>
      <x:c r="D14" s="32" t="n">
        <x:f>IFERROR(C14/B14,0)</x:f>
        <x:v>0</x:v>
      </x:c>
      <x:c r="E14" s="31" t="n">
        <x:f>COUNTIFS('Candidate Log'!$H$2:$H$300,$A14,'Candidate Log'!$M$2:$M$300,"&lt;&gt;BET",'Candidate Log'!$O$2:$O$300,"Win")+COUNTIFS('Candidate Log'!$H$2:$H$300,$A14,'Candidate Log'!$M$2:$M$300,"&lt;&gt;BET",'Candidate Log'!$O$2:$O$300,"Loss")</x:f>
        <x:v>1</x:v>
      </x:c>
      <x:c r="F14" s="31" t="n">
        <x:f>COUNTIFS('Candidate Log'!$H$2:$H$300,$A14,'Candidate Log'!$M$2:$M$300,"&lt;&gt;BET",'Candidate Log'!$O$2:$O$300,"Win")</x:f>
        <x:v>1</x:v>
      </x:c>
      <x:c r="G14" s="32" t="n">
        <x:f>IFERROR(F14/E14,0)</x:f>
        <x:v>1</x:v>
      </x:c>
      <x:c r="H14" s="31" t="n">
        <x:f>B14+E14</x:f>
        <x:v>2</x:v>
      </x:c>
      <x:c r="I14" s="31" t="n">
        <x:f>C14+F14</x:f>
        <x:v>1</x:v>
      </x:c>
      <x:c r="J14" s="32" t="n">
        <x:f>IFERROR(I14/H14,0)</x:f>
        <x:v>0.5</x:v>
      </x:c>
      <x:c r="K14" s="31" t="str">
        <x:v>TIGHTER FILTER</x:v>
      </x:c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str">
        <x:v>WNBA R+A</x:v>
      </x:c>
      <x:c r="B15" s="31" t="n">
        <x:f>COUNTIFS('Candidate Log'!$H$2:$H$300,$A15,'Candidate Log'!$M$2:$M$300,"BET",'Candidate Log'!$O$2:$O$300,"Win")+COUNTIFS('Candidate Log'!$H$2:$H$300,$A15,'Candidate Log'!$M$2:$M$300,"BET",'Candidate Log'!$O$2:$O$300,"Loss")</x:f>
        <x:v>0</x:v>
      </x:c>
      <x:c r="C15" s="31" t="n">
        <x:f>COUNTIFS('Candidate Log'!$H$2:$H$300,$A15,'Candidate Log'!$M$2:$M$300,"BET",'Candidate Log'!$O$2:$O$300,"Win")</x:f>
        <x:v>0</x:v>
      </x:c>
      <x:c r="D15" s="32" t="n">
        <x:f>IFERROR(C15/B15,0)</x:f>
        <x:v>0</x:v>
      </x:c>
      <x:c r="E15" s="31" t="n">
        <x:f>COUNTIFS('Candidate Log'!$H$2:$H$300,$A15,'Candidate Log'!$M$2:$M$300,"&lt;&gt;BET",'Candidate Log'!$O$2:$O$300,"Win")+COUNTIFS('Candidate Log'!$H$2:$H$300,$A15,'Candidate Log'!$M$2:$M$300,"&lt;&gt;BET",'Candidate Log'!$O$2:$O$300,"Loss")</x:f>
        <x:v>1</x:v>
      </x:c>
      <x:c r="F15" s="31" t="n">
        <x:f>COUNTIFS('Candidate Log'!$H$2:$H$300,$A15,'Candidate Log'!$M$2:$M$300,"&lt;&gt;BET",'Candidate Log'!$O$2:$O$300,"Win")</x:f>
        <x:v>0</x:v>
      </x:c>
      <x:c r="G15" s="32" t="n">
        <x:f>IFERROR(F15/E15,0)</x:f>
        <x:v>0</x:v>
      </x:c>
      <x:c r="H15" s="31" t="n">
        <x:f>B15+E15</x:f>
        <x:v>1</x:v>
      </x:c>
      <x:c r="I15" s="31" t="n">
        <x:f>C15+F15</x:f>
        <x:v>0</x:v>
      </x:c>
      <x:c r="J15" s="32" t="n">
        <x:f>IFERROR(I15/H15,0)</x:f>
        <x:v>0</x:v>
      </x:c>
      <x:c r="K15" s="31" t="str">
        <x:v>TIGHTER FILTER</x:v>
      </x:c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str">
        <x:v>Points</x:v>
      </x:c>
      <x:c r="B16" s="31" t="n">
        <x:f>COUNTIFS('Candidate Log'!$H$2:$H$300,$A16,'Candidate Log'!$M$2:$M$300,"BET",'Candidate Log'!$O$2:$O$300,"Win")+COUNTIFS('Candidate Log'!$H$2:$H$300,$A16,'Candidate Log'!$M$2:$M$300,"BET",'Candidate Log'!$O$2:$O$300,"Loss")</x:f>
        <x:v>2</x:v>
      </x:c>
      <x:c r="C16" s="31" t="n">
        <x:f>COUNTIFS('Candidate Log'!$H$2:$H$300,$A16,'Candidate Log'!$M$2:$M$300,"BET",'Candidate Log'!$O$2:$O$300,"Win")</x:f>
        <x:v>1</x:v>
      </x:c>
      <x:c r="D16" s="32" t="n">
        <x:f>IFERROR(C16/B16,0)</x:f>
        <x:v>0.5</x:v>
      </x:c>
      <x:c r="E16" s="31" t="n">
        <x:f>COUNTIFS('Candidate Log'!$H$2:$H$300,$A16,'Candidate Log'!$M$2:$M$300,"&lt;&gt;BET",'Candidate Log'!$O$2:$O$300,"Win")+COUNTIFS('Candidate Log'!$H$2:$H$300,$A16,'Candidate Log'!$M$2:$M$300,"&lt;&gt;BET",'Candidate Log'!$O$2:$O$300,"Loss")</x:f>
        <x:v>0</x:v>
      </x:c>
      <x:c r="F16" s="31" t="n">
        <x:f>COUNTIFS('Candidate Log'!$H$2:$H$300,$A16,'Candidate Log'!$M$2:$M$300,"&lt;&gt;BET",'Candidate Log'!$O$2:$O$300,"Win")</x:f>
        <x:v>0</x:v>
      </x:c>
      <x:c r="G16" s="32" t="n">
        <x:f>IFERROR(F16/E16,0)</x:f>
        <x:v>0</x:v>
      </x:c>
      <x:c r="H16" s="31" t="n">
        <x:f>B16+E16</x:f>
        <x:v>2</x:v>
      </x:c>
      <x:c r="I16" s="31" t="n">
        <x:f>C16+F16</x:f>
        <x:v>1</x:v>
      </x:c>
      <x:c r="J16" s="32" t="n">
        <x:f>IFERROR(I16/H16,0)</x:f>
        <x:v>0.5</x:v>
      </x:c>
      <x:c r="K16" s="31" t="str">
        <x:v>TIGHTER FILTER</x:v>
      </x:c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str">
        <x:v>Assists</x:v>
      </x:c>
      <x:c r="B17" s="31" t="n">
        <x:f>COUNTIFS('Candidate Log'!$H$2:$H$300,$A17,'Candidate Log'!$M$2:$M$300,"BET",'Candidate Log'!$O$2:$O$300,"Win")+COUNTIFS('Candidate Log'!$H$2:$H$300,$A17,'Candidate Log'!$M$2:$M$300,"BET",'Candidate Log'!$O$2:$O$300,"Loss")</x:f>
        <x:v>1</x:v>
      </x:c>
      <x:c r="C17" s="31" t="n">
        <x:f>COUNTIFS('Candidate Log'!$H$2:$H$300,$A17,'Candidate Log'!$M$2:$M$300,"BET",'Candidate Log'!$O$2:$O$300,"Win")</x:f>
        <x:v>0</x:v>
      </x:c>
      <x:c r="D17" s="32" t="n">
        <x:f>IFERROR(C17/B17,0)</x:f>
        <x:v>0</x:v>
      </x:c>
      <x:c r="E17" s="31" t="n">
        <x:f>COUNTIFS('Candidate Log'!$H$2:$H$300,$A17,'Candidate Log'!$M$2:$M$300,"&lt;&gt;BET",'Candidate Log'!$O$2:$O$300,"Win")+COUNTIFS('Candidate Log'!$H$2:$H$300,$A17,'Candidate Log'!$M$2:$M$300,"&lt;&gt;BET",'Candidate Log'!$O$2:$O$300,"Loss")</x:f>
        <x:v>1</x:v>
      </x:c>
      <x:c r="F17" s="31" t="n">
        <x:f>COUNTIFS('Candidate Log'!$H$2:$H$300,$A17,'Candidate Log'!$M$2:$M$300,"&lt;&gt;BET",'Candidate Log'!$O$2:$O$300,"Win")</x:f>
        <x:v>0</x:v>
      </x:c>
      <x:c r="G17" s="32" t="n">
        <x:f>IFERROR(F17/E17,0)</x:f>
        <x:v>0</x:v>
      </x:c>
      <x:c r="H17" s="31" t="n">
        <x:f>B17+E17</x:f>
        <x:v>2</x:v>
      </x:c>
      <x:c r="I17" s="31" t="n">
        <x:f>C17+F17</x:f>
        <x:v>0</x:v>
      </x:c>
      <x:c r="J17" s="32" t="n">
        <x:f>IFERROR(I17/H17,0)</x:f>
        <x:v>0</x:v>
      </x:c>
      <x:c r="K17" s="31" t="str">
        <x:v>TIGHTER FILTER</x:v>
      </x:c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 t="str">
        <x:v>Walks</x:v>
      </x:c>
      <x:c r="B18" s="31" t="n">
        <x:f>COUNTIFS('Candidate Log'!$H$2:$H$300,$A18,'Candidate Log'!$M$2:$M$300,"BET",'Candidate Log'!$O$2:$O$300,"Win")+COUNTIFS('Candidate Log'!$H$2:$H$300,$A18,'Candidate Log'!$M$2:$M$300,"BET",'Candidate Log'!$O$2:$O$300,"Loss")</x:f>
        <x:v>0</x:v>
      </x:c>
      <x:c r="C18" s="31" t="n">
        <x:f>COUNTIFS('Candidate Log'!$H$2:$H$300,$A18,'Candidate Log'!$M$2:$M$300,"BET",'Candidate Log'!$O$2:$O$300,"Win")</x:f>
        <x:v>0</x:v>
      </x:c>
      <x:c r="D18" s="32" t="n">
        <x:f>IFERROR(C18/B18,0)</x:f>
        <x:v>0</x:v>
      </x:c>
      <x:c r="E18" s="31" t="n">
        <x:f>COUNTIFS('Candidate Log'!$H$2:$H$300,$A18,'Candidate Log'!$M$2:$M$300,"&lt;&gt;BET",'Candidate Log'!$O$2:$O$300,"Win")+COUNTIFS('Candidate Log'!$H$2:$H$300,$A18,'Candidate Log'!$M$2:$M$300,"&lt;&gt;BET",'Candidate Log'!$O$2:$O$300,"Loss")</x:f>
        <x:v>1</x:v>
      </x:c>
      <x:c r="F18" s="31" t="n">
        <x:f>COUNTIFS('Candidate Log'!$H$2:$H$300,$A18,'Candidate Log'!$M$2:$M$300,"&lt;&gt;BET",'Candidate Log'!$O$2:$O$300,"Win")</x:f>
        <x:v>0</x:v>
      </x:c>
      <x:c r="G18" s="32" t="n">
        <x:f>IFERROR(F18/E18,0)</x:f>
        <x:v>0</x:v>
      </x:c>
      <x:c r="H18" s="31" t="n">
        <x:f>B18+E18</x:f>
        <x:v>1</x:v>
      </x:c>
      <x:c r="I18" s="31" t="n">
        <x:f>C18+F18</x:f>
        <x:v>0</x:v>
      </x:c>
      <x:c r="J18" s="32" t="n">
        <x:f>IFERROR(I18/H18,0)</x:f>
        <x:v>0</x:v>
      </x:c>
      <x:c r="K18" s="31" t="str">
        <x:v>INSUFFICIENT DATA</x:v>
      </x:c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 t="str">
        <x:v>Moneyline</x:v>
      </x:c>
      <x:c r="B19" s="31" t="n">
        <x:f>COUNTIFS('Candidate Log'!$H$2:$H$300,$A19,'Candidate Log'!$M$2:$M$300,"BET",'Candidate Log'!$O$2:$O$300,"Win")+COUNTIFS('Candidate Log'!$H$2:$H$300,$A19,'Candidate Log'!$M$2:$M$300,"BET",'Candidate Log'!$O$2:$O$300,"Loss")</x:f>
        <x:v>1</x:v>
      </x:c>
      <x:c r="C19" s="31" t="n">
        <x:f>COUNTIFS('Candidate Log'!$H$2:$H$300,$A19,'Candidate Log'!$M$2:$M$300,"BET",'Candidate Log'!$O$2:$O$300,"Win")</x:f>
        <x:v>1</x:v>
      </x:c>
      <x:c r="D19" s="31" t="n">
        <x:f>IFERROR(C19/B19,0)</x:f>
        <x:v>1</x:v>
      </x:c>
      <x:c r="E19" s="31" t="n">
        <x:f>COUNTIFS('Candidate Log'!$H$2:$H$300,$A19,'Candidate Log'!$M$2:$M$300,"&lt;&gt;BET",'Candidate Log'!$O$2:$O$300,"Win")+COUNTIFS('Candidate Log'!$H$2:$H$300,$A19,'Candidate Log'!$M$2:$M$300,"&lt;&gt;BET",'Candidate Log'!$O$2:$O$300,"Loss")</x:f>
        <x:v>0</x:v>
      </x:c>
      <x:c r="F19" s="31" t="n">
        <x:f>COUNTIFS('Candidate Log'!$H$2:$H$300,$A19,'Candidate Log'!$M$2:$M$300,"&lt;&gt;BET",'Candidate Log'!$O$2:$O$300,"Win")</x:f>
        <x:v>0</x:v>
      </x:c>
      <x:c r="G19" s="31" t="n">
        <x:f>IFERROR(F19/E19,0)</x:f>
        <x:v>0</x:v>
      </x:c>
      <x:c r="H19" s="31" t="n">
        <x:f>B19+E19</x:f>
        <x:v>1</x:v>
      </x:c>
      <x:c r="I19" s="31" t="n">
        <x:f>C19+F19</x:f>
        <x:v>1</x:v>
      </x:c>
      <x:c r="J19" s="31" t="n">
        <x:f>IFERROR(I19/H19,0)</x:f>
        <x:v>1</x:v>
      </x:c>
      <x:c r="K19" s="31" t="str">
        <x:v>INSUFFICIENT SETTLED DATA</x:v>
      </x:c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 t="str">
        <x:v>WNBA P+A</x:v>
      </x:c>
      <x:c r="B20" s="31" t="n">
        <x:f>COUNTIFS('Candidate Log'!$H$2:$H$300,$A20,'Candidate Log'!$M$2:$M$300,"BET",'Candidate Log'!$O$2:$O$300,"Win")+COUNTIFS('Candidate Log'!$H$2:$H$300,$A20,'Candidate Log'!$M$2:$M$300,"BET",'Candidate Log'!$O$2:$O$300,"Loss")</x:f>
        <x:v>0</x:v>
      </x:c>
      <x:c r="C20" s="31" t="n">
        <x:f>COUNTIFS('Candidate Log'!$H$2:$H$300,$A20,'Candidate Log'!$M$2:$M$300,"BET",'Candidate Log'!$O$2:$O$300,"Win")</x:f>
        <x:v>0</x:v>
      </x:c>
      <x:c r="D20" s="31" t="n">
        <x:f>IFERROR(C20/B20,0)</x:f>
        <x:v>0</x:v>
      </x:c>
      <x:c r="E20" s="31" t="n">
        <x:f>COUNTIFS('Candidate Log'!$H$2:$H$300,$A20,'Candidate Log'!$M$2:$M$300,"&lt;&gt;BET",'Candidate Log'!$O$2:$O$300,"Win")+COUNTIFS('Candidate Log'!$H$2:$H$300,$A20,'Candidate Log'!$M$2:$M$300,"&lt;&gt;BET",'Candidate Log'!$O$2:$O$300,"Loss")</x:f>
        <x:v>0</x:v>
      </x:c>
      <x:c r="F20" s="31" t="n">
        <x:f>COUNTIFS('Candidate Log'!$H$2:$H$300,$A20,'Candidate Log'!$M$2:$M$300,"&lt;&gt;BET",'Candidate Log'!$O$2:$O$300,"Win")</x:f>
        <x:v>0</x:v>
      </x:c>
      <x:c r="G20" s="31" t="n">
        <x:f>IFERROR(F20/E20,0)</x:f>
        <x:v>0</x:v>
      </x:c>
      <x:c r="H20" s="31" t="n">
        <x:f>B20+E20</x:f>
        <x:v>0</x:v>
      </x:c>
      <x:c r="I20" s="31" t="n">
        <x:f>C20+F20</x:f>
        <x:v>0</x:v>
      </x:c>
      <x:c r="J20" s="31" t="n">
        <x:f>IFERROR(I20/H20,0)</x:f>
        <x:v>0</x:v>
      </x:c>
      <x:c r="K20" s="31" t="str">
        <x:v>INSUFFICIENT SETTLED DATA</x:v>
      </x:c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 t="str">
        <x:v>Rebounds</x:v>
      </x:c>
      <x:c r="B21" s="31" t="n">
        <x:f>COUNTIFS('Candidate Log'!$H$2:$H$300,$A21,'Candidate Log'!$M$2:$M$300,"BET",'Candidate Log'!$O$2:$O$300,"Win")+COUNTIFS('Candidate Log'!$H$2:$H$300,$A21,'Candidate Log'!$M$2:$M$300,"BET",'Candidate Log'!$O$2:$O$300,"Loss")</x:f>
        <x:v>0</x:v>
      </x:c>
      <x:c r="C21" s="31" t="n">
        <x:f>COUNTIFS('Candidate Log'!$H$2:$H$300,$A21,'Candidate Log'!$M$2:$M$300,"BET",'Candidate Log'!$O$2:$O$300,"Win")</x:f>
        <x:v>0</x:v>
      </x:c>
      <x:c r="D21" s="31" t="n">
        <x:f>IFERROR(C21/B21,0)</x:f>
        <x:v>0</x:v>
      </x:c>
      <x:c r="E21" s="31" t="n">
        <x:f>COUNTIFS('Candidate Log'!$H$2:$H$300,$A21,'Candidate Log'!$M$2:$M$300,"&lt;&gt;BET",'Candidate Log'!$O$2:$O$300,"Win")+COUNTIFS('Candidate Log'!$H$2:$H$300,$A21,'Candidate Log'!$M$2:$M$300,"&lt;&gt;BET",'Candidate Log'!$O$2:$O$300,"Loss")</x:f>
        <x:v>0</x:v>
      </x:c>
      <x:c r="F21" s="31" t="n">
        <x:f>COUNTIFS('Candidate Log'!$H$2:$H$300,$A21,'Candidate Log'!$M$2:$M$300,"&lt;&gt;BET",'Candidate Log'!$O$2:$O$300,"Win")</x:f>
        <x:v>0</x:v>
      </x:c>
      <x:c r="G21" s="31" t="n">
        <x:f>IFERROR(F21/E21,0)</x:f>
        <x:v>0</x:v>
      </x:c>
      <x:c r="H21" s="31" t="n">
        <x:f>B21+E21</x:f>
        <x:v>0</x:v>
      </x:c>
      <x:c r="I21" s="31" t="n">
        <x:f>C21+F21</x:f>
        <x:v>0</x:v>
      </x:c>
      <x:c r="J21" s="31" t="n">
        <x:f>IFERROR(I21/H21,0)</x:f>
        <x:v>0</x:v>
      </x:c>
      <x:c r="K21" s="31" t="str">
        <x:v>BUILD SAMPLE</x:v>
      </x:c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 t="str">
        <x:v>F5 Moneyline</x:v>
      </x:c>
      <x:c r="B22" s="31" t="n">
        <x:f>COUNTIFS('Candidate Log'!$H$2:$H$300,$A22,'Candidate Log'!$M$2:$M$300,"BET",'Candidate Log'!$O$2:$O$300,"Win")+COUNTIFS('Candidate Log'!$H$2:$H$300,$A22,'Candidate Log'!$M$2:$M$300,"BET",'Candidate Log'!$O$2:$O$300,"Loss")</x:f>
        <x:v>0</x:v>
      </x:c>
      <x:c r="C22" s="31" t="n">
        <x:f>COUNTIFS('Candidate Log'!$H$2:$H$300,$A22,'Candidate Log'!$M$2:$M$300,"BET",'Candidate Log'!$O$2:$O$300,"Win")</x:f>
        <x:v>0</x:v>
      </x:c>
      <x:c r="D22" s="31" t="n">
        <x:f>IFERROR(C22/B22,0)</x:f>
        <x:v>0</x:v>
      </x:c>
      <x:c r="E22" s="31" t="n">
        <x:f>COUNTIFS('Candidate Log'!$H$2:$H$300,$A22,'Candidate Log'!$M$2:$M$300,"&lt;&gt;BET",'Candidate Log'!$O$2:$O$300,"Win")+COUNTIFS('Candidate Log'!$H$2:$H$300,$A22,'Candidate Log'!$M$2:$M$300,"&lt;&gt;BET",'Candidate Log'!$O$2:$O$300,"Loss")</x:f>
        <x:v>0</x:v>
      </x:c>
      <x:c r="F22" s="31" t="n">
        <x:f>COUNTIFS('Candidate Log'!$H$2:$H$300,$A22,'Candidate Log'!$M$2:$M$300,"&lt;&gt;BET",'Candidate Log'!$O$2:$O$300,"Win")</x:f>
        <x:v>0</x:v>
      </x:c>
      <x:c r="G22" s="31" t="n">
        <x:f>IFERROR(F22/E22,0)</x:f>
        <x:v>0</x:v>
      </x:c>
      <x:c r="H22" s="31" t="n">
        <x:f>B22+E22</x:f>
        <x:v>0</x:v>
      </x:c>
      <x:c r="I22" s="31" t="n">
        <x:f>C22+F22</x:f>
        <x:v>0</x:v>
      </x:c>
      <x:c r="J22" s="31" t="n">
        <x:f>IFERROR(I22/H22,0)</x:f>
        <x:v>0</x:v>
      </x:c>
      <x:c r="K22" s="31" t="str">
        <x:v>BUILD SAMPLE</x:v>
      </x:c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 t="str">
        <x:v>Hitter Signal</x:v>
      </x:c>
      <x:c r="B23" s="31" t="n">
        <x:f>COUNTIFS('Candidate Log'!$H$2:$H$300,$A23,'Candidate Log'!$M$2:$M$300,"BET",'Candidate Log'!$O$2:$O$300,"Win")+COUNTIFS('Candidate Log'!$H$2:$H$300,$A23,'Candidate Log'!$M$2:$M$300,"BET",'Candidate Log'!$O$2:$O$300,"Loss")</x:f>
        <x:v>0</x:v>
      </x:c>
      <x:c r="C23" s="31" t="n">
        <x:f>COUNTIFS('Candidate Log'!$H$2:$H$300,$A23,'Candidate Log'!$M$2:$M$300,"BET",'Candidate Log'!$O$2:$O$300,"Win")</x:f>
        <x:v>0</x:v>
      </x:c>
      <x:c r="D23" s="31" t="n">
        <x:f>IFERROR(C23/B23,0)</x:f>
        <x:v>0</x:v>
      </x:c>
      <x:c r="E23" s="31" t="n">
        <x:f>COUNTIFS('Candidate Log'!$H$2:$H$300,$A23,'Candidate Log'!$M$2:$M$300,"&lt;&gt;BET",'Candidate Log'!$O$2:$O$300,"Win")+COUNTIFS('Candidate Log'!$H$2:$H$300,$A23,'Candidate Log'!$M$2:$M$300,"&lt;&gt;BET",'Candidate Log'!$O$2:$O$300,"Loss")</x:f>
        <x:v>0</x:v>
      </x:c>
      <x:c r="F23" s="31" t="n">
        <x:f>COUNTIFS('Candidate Log'!$H$2:$H$300,$A23,'Candidate Log'!$M$2:$M$300,"&lt;&gt;BET",'Candidate Log'!$O$2:$O$300,"Win")</x:f>
        <x:v>0</x:v>
      </x:c>
      <x:c r="G23" s="31" t="n">
        <x:f>IFERROR(F23/E23,0)</x:f>
        <x:v>0</x:v>
      </x:c>
      <x:c r="H23" s="31" t="n">
        <x:f>B23+E23</x:f>
        <x:v>0</x:v>
      </x:c>
      <x:c r="I23" s="31" t="n">
        <x:f>C23+F23</x:f>
        <x:v>0</x:v>
      </x:c>
      <x:c r="J23" s="31" t="n">
        <x:f>IFERROR(I23/H23,0)</x:f>
        <x:v>0</x:v>
      </x:c>
      <x:c r="K23" s="31" t="str">
        <x:v>RESEARCH POOL ONLY</x:v>
      </x:c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 t="str">
        <x:v>Team Target</x:v>
      </x:c>
      <x:c r="B24" s="31" t="n">
        <x:f>COUNTIFS('Candidate Log'!$H$2:$H$300,$A24,'Candidate Log'!$M$2:$M$300,"BET",'Candidate Log'!$O$2:$O$300,"Win")+COUNTIFS('Candidate Log'!$H$2:$H$300,$A24,'Candidate Log'!$M$2:$M$300,"BET",'Candidate Log'!$O$2:$O$300,"Loss")</x:f>
        <x:v>0</x:v>
      </x:c>
      <x:c r="C24" s="31" t="n">
        <x:f>COUNTIFS('Candidate Log'!$H$2:$H$300,$A24,'Candidate Log'!$M$2:$M$300,"BET",'Candidate Log'!$O$2:$O$300,"Win")</x:f>
        <x:v>0</x:v>
      </x:c>
      <x:c r="D24" s="31" t="n">
        <x:f>IFERROR(C24/B24,0)</x:f>
        <x:v>0</x:v>
      </x:c>
      <x:c r="E24" s="31" t="n">
        <x:f>COUNTIFS('Candidate Log'!$H$2:$H$300,$A24,'Candidate Log'!$M$2:$M$300,"&lt;&gt;BET",'Candidate Log'!$O$2:$O$300,"Win")+COUNTIFS('Candidate Log'!$H$2:$H$300,$A24,'Candidate Log'!$M$2:$M$300,"&lt;&gt;BET",'Candidate Log'!$O$2:$O$300,"Loss")</x:f>
        <x:v>0</x:v>
      </x:c>
      <x:c r="F24" s="31" t="n">
        <x:f>COUNTIFS('Candidate Log'!$H$2:$H$300,$A24,'Candidate Log'!$M$2:$M$300,"&lt;&gt;BET",'Candidate Log'!$O$2:$O$300,"Win")</x:f>
        <x:v>0</x:v>
      </x:c>
      <x:c r="G24" s="31" t="n">
        <x:f>IFERROR(F24/E24,0)</x:f>
        <x:v>0</x:v>
      </x:c>
      <x:c r="H24" s="31" t="n">
        <x:f>B24+E24</x:f>
        <x:v>0</x:v>
      </x:c>
      <x:c r="I24" s="31" t="n">
        <x:f>C24+F24</x:f>
        <x:v>0</x:v>
      </x:c>
      <x:c r="J24" s="31" t="n">
        <x:f>IFERROR(I24/H24,0)</x:f>
        <x:v>0</x:v>
      </x:c>
      <x:c r="K24" s="31" t="str">
        <x:v>RESEARCH POOL ONLY</x:v>
      </x:c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D2:D1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069708e005045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0" hidden="0" customWidth="1"/>
    <x:col min="4" max="4" width="12" hidden="0" customWidth="1"/>
    <x:col min="5" max="5" width="44" hidden="0" customWidth="1"/>
  </x:cols>
  <x:sheetData>
    <x:row r="1" ht="28" customHeight="1">
      <x:c r="A1" s="30" t="str">
        <x:v>Decision / Bucket</x:v>
      </x:c>
      <x:c r="B1" s="30" t="str">
        <x:v>Observations</x:v>
      </x:c>
      <x:c r="C1" s="30" t="str">
        <x:v>Wins</x:v>
      </x:c>
      <x:c r="D1" s="30" t="str">
        <x:v>Hit Rate</x:v>
      </x:c>
      <x:c r="E1" s="30" t="str">
        <x:v>Interpretation</x:v>
      </x:c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 t="str">
        <x:v>BET</x:v>
      </x:c>
      <x:c r="B2" s="31" t="n">
        <x:f>COUNTIFS('Candidate Log'!$M$2:$M$200,"BET",'Candidate Log'!$O$2:$O$200,"&lt;&gt;")</x:f>
        <x:v>55</x:v>
      </x:c>
      <x:c r="C2" s="31" t="n">
        <x:f>COUNTIFS('Candidate Log'!$M$2:$M$200,"BET",'Candidate Log'!$O$2:$O$200,"Win")</x:f>
        <x:v>20</x:v>
      </x:c>
      <x:c r="D2" s="32" t="n">
        <x:f>IFERROR(C2/B2,0)</x:f>
        <x:v>0.36363636363636365</x:v>
      </x:c>
      <x:c r="E2" s="31" t="str">
        <x:v>What we actually selected</x:v>
      </x:c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QUALIFIED_NOT_BET</x:v>
      </x:c>
      <x:c r="B3" s="31" t="n">
        <x:f>COUNTIFS('Candidate Log'!$M$2:$M$200,"QUALIFIED_NOT_BET",'Candidate Log'!$O$2:$O$200,"&lt;&gt;")</x:f>
        <x:v>20</x:v>
      </x:c>
      <x:c r="C3" s="31" t="n">
        <x:f>COUNTIFS('Candidate Log'!$M$2:$M$200,"QUALIFIED_NOT_BET",'Candidate Log'!$O$2:$O$200,"Win")</x:f>
        <x:v>17</x:v>
      </x:c>
      <x:c r="D3" s="32" t="n">
        <x:f>IFERROR(C3/B3,0)</x:f>
        <x:v>0.85</x:v>
      </x:c>
      <x:c r="E3" s="31" t="str">
        <x:v>Missed-opportunity / shadow board</x:v>
      </x:c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REJECTED</x:v>
      </x:c>
      <x:c r="B4" s="31" t="n">
        <x:f>COUNTIFS('Candidate Log'!$M$2:$M$200,"REJECTED",'Candidate Log'!$O$2:$O$200,"&lt;&gt;")</x:f>
        <x:v>6</x:v>
      </x:c>
      <x:c r="C4" s="31" t="n">
        <x:f>COUNTIFS('Candidate Log'!$M$2:$M$200,"REJECTED",'Candidate Log'!$O$2:$O$200,"Win")</x:f>
        <x:v>0</x:v>
      </x:c>
      <x:c r="D4" s="32" t="n">
        <x:f>IFERROR(C4/B4,0)</x:f>
        <x:v>0</x:v>
      </x:c>
      <x:c r="E4" s="31" t="str">
        <x:v>Tests whether our filters add value</x:v>
      </x:c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SOURCED placed</x:v>
      </x:c>
      <x:c r="B5" s="31" t="n">
        <x:f>COUNTIFS('Candidate Log'!$C$2:$C$200,"SOURCED",'Candidate Log'!$M$2:$M$200,"BET",'Candidate Log'!$O$2:$O$200,"&lt;&gt;")</x:f>
        <x:v>31</x:v>
      </x:c>
      <x:c r="C5" s="31" t="n">
        <x:f>COUNTIFS('Candidate Log'!$C$2:$C$200,"SOURCED",'Candidate Log'!$M$2:$M$200,"BET",'Candidate Log'!$O$2:$O$200,"Win")</x:f>
        <x:v>8</x:v>
      </x:c>
      <x:c r="D5" s="32" t="n">
        <x:f>IFERROR(C5/B5,0)</x:f>
        <x:v>0.25806451612903225</x:v>
      </x:c>
      <x:c r="E5" s="31" t="str">
        <x:v>Placed propositions whose primary signal came from supplied research</x:v>
      </x:c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DISCOVERED placed</x:v>
      </x:c>
      <x:c r="B6" s="31" t="n">
        <x:f>COUNTIFS('Candidate Log'!$C$2:$C$200,"DISCOVERED",'Candidate Log'!$M$2:$M$200,"BET",'Candidate Log'!$O$2:$O$200,"&lt;&gt;")</x:f>
        <x:v>18</x:v>
      </x:c>
      <x:c r="C6" s="31" t="n">
        <x:f>COUNTIFS('Candidate Log'!$C$2:$C$200,"DISCOVERED",'Candidate Log'!$M$2:$M$200,"BET",'Candidate Log'!$O$2:$O$200,"Win")</x:f>
        <x:v>10</x:v>
      </x:c>
      <x:c r="D6" s="32" t="n">
        <x:f>IFERROR(C6/B6,0)</x:f>
        <x:v>0.5555555555555556</x:v>
      </x:c>
      <x:c r="E6" s="31" t="str">
        <x:v>Placed propositions found through our independent slate scan</x:v>
      </x:c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HYBRID placed</x:v>
      </x:c>
      <x:c r="B7" s="31" t="n">
        <x:f>COUNTIFS('Candidate Log'!$C$2:$C$200,"HYBRID",'Candidate Log'!$M$2:$M$200,"BET",'Candidate Log'!$O$2:$O$200,"&lt;&gt;")</x:f>
        <x:v>4</x:v>
      </x:c>
      <x:c r="C7" s="31" t="n">
        <x:f>COUNTIFS('Candidate Log'!$C$2:$C$200,"HYBRID",'Candidate Log'!$M$2:$M$200,"BET",'Candidate Log'!$O$2:$O$200,"Win")</x:f>
        <x:v>1</x:v>
      </x:c>
      <x:c r="D7" s="32" t="n">
        <x:f>IFERROR(C7/B7,0)</x:f>
        <x:v>0.25</x:v>
      </x:c>
      <x:c r="E7" s="31" t="str">
        <x:v>Placed propositions with source + independent convergence</x:v>
      </x:c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D2:D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4cff5a46bf140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6" hidden="0" customWidth="1"/>
    <x:col min="4" max="4" width="28" hidden="0" customWidth="1"/>
    <x:col min="5" max="5" width="44" hidden="0" customWidth="1"/>
    <x:col min="6" max="6" width="12" hidden="0" customWidth="1"/>
  </x:cols>
  <x:sheetData>
    <x:row r="1" ht="28" customHeight="1">
      <x:c r="A1" s="30" t="str">
        <x:v>Market Model</x:v>
      </x:c>
      <x:c r="B1" s="30" t="str">
        <x:v>Feature</x:v>
      </x:c>
      <x:c r="C1" s="30" t="str">
        <x:v>Initial Test Weight</x:v>
      </x:c>
      <x:c r="D1" s="30" t="str">
        <x:v>Expected Direction</x:v>
      </x:c>
      <x:c r="E1" s="30" t="str">
        <x:v>Why Track It</x:v>
      </x:c>
      <x:c r="F1" s="30" t="str">
        <x:v>Status</x:v>
      </x:c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 t="str">
        <x:v>Pitcher Outs</x:v>
      </x:c>
      <x:c r="B2" s="31" t="str">
        <x:v>Expected pitch count / workload</x:v>
      </x:c>
      <x:c r="C2" s="38" t="n">
        <x:v>25</x:v>
      </x:c>
      <x:c r="D2" s="31" t="str">
        <x:v>Higher workload -&gt; more outs</x:v>
      </x:c>
      <x:c r="E2" s="31" t="str">
        <x:v>Role/manager constraint is foundational</x:v>
      </x:c>
      <x:c r="F2" s="31" t="str">
        <x:v>HYPOTHESIS</x:v>
      </x:c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Pitcher Outs</x:v>
      </x:c>
      <x:c r="B3" s="31" t="str">
        <x:v>Opponent OBP / baserunner rate</x:v>
      </x:c>
      <x:c r="C3" s="38" t="n">
        <x:v>20</x:v>
      </x:c>
      <x:c r="D3" s="31" t="str">
        <x:v>Lower OBP -&gt; more outs</x:v>
      </x:c>
      <x:c r="E3" s="31" t="str">
        <x:v>Fewer long innings and fewer early hooks</x:v>
      </x:c>
      <x:c r="F3" s="31" t="str">
        <x:v>HYPOTHESIS</x:v>
      </x:c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Pitcher Outs</x:v>
      </x:c>
      <x:c r="B4" s="31" t="str">
        <x:v>Pitches per plate appearance</x:v>
      </x:c>
      <x:c r="C4" s="38" t="n">
        <x:v>20</x:v>
      </x:c>
      <x:c r="D4" s="31" t="str">
        <x:v>Lower P/PA -&gt; more outs</x:v>
      </x:c>
      <x:c r="E4" s="31" t="str">
        <x:v>Efficiency drives innings depth</x:v>
      </x:c>
      <x:c r="F4" s="31" t="str">
        <x:v>HYPOTHESIS</x:v>
      </x:c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Pitcher Outs</x:v>
      </x:c>
      <x:c r="B5" s="31" t="str">
        <x:v>Recent innings + season innings/start</x:v>
      </x:c>
      <x:c r="C5" s="38" t="n">
        <x:v>15</x:v>
      </x:c>
      <x:c r="D5" s="31" t="str">
        <x:v>Higher -&gt; more outs</x:v>
      </x:c>
      <x:c r="E5" s="31" t="str">
        <x:v>Workload stability</x:v>
      </x:c>
      <x:c r="F5" s="31" t="str">
        <x:v>HYPOTHESIS</x:v>
      </x:c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Pitcher Outs</x:v>
      </x:c>
      <x:c r="B6" s="31" t="str">
        <x:v>Bullpen fatigue / availability</x:v>
      </x:c>
      <x:c r="C6" s="38" t="n">
        <x:v>10</x:v>
      </x:c>
      <x:c r="D6" s="31" t="str">
        <x:v>More bullpen fatigue -&gt; more outs</x:v>
      </x:c>
      <x:c r="E6" s="31" t="str">
        <x:v>Manager incentive to extend starter</x:v>
      </x:c>
      <x:c r="F6" s="31" t="str">
        <x:v>HYPOTHESIS</x:v>
      </x:c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Pitcher Outs</x:v>
      </x:c>
      <x:c r="B7" s="31" t="str">
        <x:v>Park/weather/game total</x:v>
      </x:c>
      <x:c r="C7" s="38" t="n">
        <x:v>10</x:v>
      </x:c>
      <x:c r="D7" s="31" t="str">
        <x:v>Pitcher-friendly -&gt; more outs</x:v>
      </x:c>
      <x:c r="E7" s="31" t="str">
        <x:v>Run environment modifier</x:v>
      </x:c>
      <x:c r="F7" s="31" t="str">
        <x:v>HYPOTHESIS</x:v>
      </x:c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Pitcher K Over</x:v>
      </x:c>
      <x:c r="B8" s="31" t="str">
        <x:v>Pitcher K%, SwStr%, CSW%</x:v>
      </x:c>
      <x:c r="C8" s="38" t="n">
        <x:v>30</x:v>
      </x:c>
      <x:c r="D8" s="31" t="str">
        <x:v>Higher -&gt; more Ks</x:v>
      </x:c>
      <x:c r="E8" s="31" t="str">
        <x:v>Stable strikeout-skill indicators</x:v>
      </x:c>
      <x:c r="F8" s="31" t="str">
        <x:v>HYPOTHESIS</x:v>
      </x:c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Pitcher K Over</x:v>
      </x:c>
      <x:c r="B9" s="31" t="str">
        <x:v>Opponent K% vs handedness</x:v>
      </x:c>
      <x:c r="C9" s="38" t="n">
        <x:v>25</x:v>
      </x:c>
      <x:c r="D9" s="31" t="str">
        <x:v>Higher -&gt; more Ks</x:v>
      </x:c>
      <x:c r="E9" s="31" t="str">
        <x:v>Matchup opportunity</x:v>
      </x:c>
      <x:c r="F9" s="31" t="str">
        <x:v>HYPOTHESIS</x:v>
      </x:c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Pitcher K Over</x:v>
      </x:c>
      <x:c r="B10" s="31" t="str">
        <x:v>Expected batters faced / outs</x:v>
      </x:c>
      <x:c r="C10" s="38" t="n">
        <x:v>15</x:v>
      </x:c>
      <x:c r="D10" s="31" t="str">
        <x:v>Higher -&gt; more Ks</x:v>
      </x:c>
      <x:c r="E10" s="31" t="str">
        <x:v>More strikeout opportunities</x:v>
      </x:c>
      <x:c r="F10" s="31" t="str">
        <x:v>HYPOTHESIS</x:v>
      </x:c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str">
        <x:v>Pitcher K Over</x:v>
      </x:c>
      <x:c r="B11" s="31" t="str">
        <x:v>Pitch-mix matchup</x:v>
      </x:c>
      <x:c r="C11" s="38" t="n">
        <x:v>15</x:v>
      </x:c>
      <x:c r="D11" s="31" t="str">
        <x:v>Favorable -&gt; more Ks</x:v>
      </x:c>
      <x:c r="E11" s="31" t="str">
        <x:v>Whiff susceptibility by pitch type</x:v>
      </x:c>
      <x:c r="F11" s="31" t="str">
        <x:v>HYPOTHESIS</x:v>
      </x:c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Pitcher K Over</x:v>
      </x:c>
      <x:c r="B12" s="31" t="str">
        <x:v>Umpire called-strike environment</x:v>
      </x:c>
      <x:c r="C12" s="38" t="n">
        <x:v>5</x:v>
      </x:c>
      <x:c r="D12" s="31" t="str">
        <x:v>Pitcher-friendly -&gt; more Ks</x:v>
      </x:c>
      <x:c r="E12" s="31" t="str">
        <x:v>Secondary modifier</x:v>
      </x:c>
      <x:c r="F12" s="31" t="str">
        <x:v>HYPOTHESIS</x:v>
      </x:c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str">
        <x:v>Pitcher K Over</x:v>
      </x:c>
      <x:c r="B13" s="31" t="str">
        <x:v>Recent underlying whiffs (not raw K results)</x:v>
      </x:c>
      <x:c r="C13" s="38" t="n">
        <x:v>10</x:v>
      </x:c>
      <x:c r="D13" s="31" t="str">
        <x:v>Higher -&gt; more Ks</x:v>
      </x:c>
      <x:c r="E13" s="31" t="str">
        <x:v>Recent skill change without result chasing</x:v>
      </x:c>
      <x:c r="F13" s="31" t="str">
        <x:v>HYPOTHESIS</x:v>
      </x:c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str">
        <x:v>Hitter Composite (H+R+RBI)</x:v>
      </x:c>
      <x:c r="B14" s="31" t="str">
        <x:v>Lineup position / expected PA</x:v>
      </x:c>
      <x:c r="C14" s="38" t="n">
        <x:v>20</x:v>
      </x:c>
      <x:c r="D14" s="31" t="str">
        <x:v>Higher in order -&gt; more events</x:v>
      </x:c>
      <x:c r="E14" s="31" t="str">
        <x:v>Opportunity is critical</x:v>
      </x:c>
      <x:c r="F14" s="31" t="str">
        <x:v>HYPOTHESIS</x:v>
      </x:c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str">
        <x:v>Hitter Composite (H+R+RBI)</x:v>
      </x:c>
      <x:c r="B15" s="31" t="str">
        <x:v>Batter OBP + xwOBA</x:v>
      </x:c>
      <x:c r="C15" s="38" t="n">
        <x:v>20</x:v>
      </x:c>
      <x:c r="D15" s="31" t="str">
        <x:v>Higher -&gt; more events</x:v>
      </x:c>
      <x:c r="E15" s="31" t="str">
        <x:v>Supports hits and runs</x:v>
      </x:c>
      <x:c r="F15" s="31" t="str">
        <x:v>HYPOTHESIS</x:v>
      </x:c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str">
        <x:v>Hitter Composite (H+R+RBI)</x:v>
      </x:c>
      <x:c r="B16" s="31" t="str">
        <x:v>Team implied offense / run environment</x:v>
      </x:c>
      <x:c r="C16" s="38" t="n">
        <x:v>20</x:v>
      </x:c>
      <x:c r="D16" s="31" t="str">
        <x:v>Higher -&gt; more events</x:v>
      </x:c>
      <x:c r="E16" s="31" t="str">
        <x:v>Runs/RBI depend on team context</x:v>
      </x:c>
      <x:c r="F16" s="31" t="str">
        <x:v>HYPOTHESIS</x:v>
      </x:c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str">
        <x:v>Hitter Composite (H+R+RBI)</x:v>
      </x:c>
      <x:c r="B17" s="31" t="str">
        <x:v>Pitcher platoon xwOBA/xBA allowed</x:v>
      </x:c>
      <x:c r="C17" s="38" t="n">
        <x:v>15</x:v>
      </x:c>
      <x:c r="D17" s="31" t="str">
        <x:v>Worse pitcher split -&gt; more events</x:v>
      </x:c>
      <x:c r="E17" s="31" t="str">
        <x:v>Direct matchup quality</x:v>
      </x:c>
      <x:c r="F17" s="31" t="str">
        <x:v>HYPOTHESIS</x:v>
      </x:c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 t="str">
        <x:v>Hitter Composite (H+R+RBI)</x:v>
      </x:c>
      <x:c r="B18" s="31" t="str">
        <x:v>Adjacent hitters / lineup quality</x:v>
      </x:c>
      <x:c r="C18" s="38" t="n">
        <x:v>15</x:v>
      </x:c>
      <x:c r="D18" s="31" t="str">
        <x:v>Better context -&gt; more R/RBI</x:v>
      </x:c>
      <x:c r="E18" s="31" t="str">
        <x:v>Multiple paths to clear</x:v>
      </x:c>
      <x:c r="F18" s="31" t="str">
        <x:v>HYPOTHESIS</x:v>
      </x:c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 t="str">
        <x:v>Hitter Composite (H+R+RBI)</x:v>
      </x:c>
      <x:c r="B19" s="31" t="str">
        <x:v>Recent underlying EV/barrels/contact</x:v>
      </x:c>
      <x:c r="C19" s="38" t="n">
        <x:v>10</x:v>
      </x:c>
      <x:c r="D19" s="31" t="str">
        <x:v>Better -&gt; more events</x:v>
      </x:c>
      <x:c r="E19" s="31" t="str">
        <x:v>Use process, not L5 box-score streaks</x:v>
      </x:c>
      <x:c r="F19" s="31" t="str">
        <x:v>HYPOTHESIS</x:v>
      </x:c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 t="str">
        <x:v>2+ Total Bases / HR</x:v>
      </x:c>
      <x:c r="B20" s="31" t="str">
        <x:v>Batter ISO/xSLG/barrel% vs handedness</x:v>
      </x:c>
      <x:c r="C20" s="38" t="n">
        <x:v>25</x:v>
      </x:c>
      <x:c r="D20" s="31" t="str">
        <x:v>Higher -&gt; more TB/HR</x:v>
      </x:c>
      <x:c r="E20" s="31" t="str">
        <x:v>Power skill</x:v>
      </x:c>
      <x:c r="F20" s="31" t="str">
        <x:v>HYPOTHESIS</x:v>
      </x:c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 t="str">
        <x:v>2+ Total Bases / HR</x:v>
      </x:c>
      <x:c r="B21" s="31" t="str">
        <x:v>Pitcher xSLG/barrel allowed vs handedness</x:v>
      </x:c>
      <x:c r="C21" s="38" t="n">
        <x:v>20</x:v>
      </x:c>
      <x:c r="D21" s="31" t="str">
        <x:v>Higher allowed -&gt; more TB/HR</x:v>
      </x:c>
      <x:c r="E21" s="31" t="str">
        <x:v>Opponent contact quality</x:v>
      </x:c>
      <x:c r="F21" s="31" t="str">
        <x:v>HYPOTHESIS</x:v>
      </x:c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 t="str">
        <x:v>2+ Total Bases / HR</x:v>
      </x:c>
      <x:c r="B22" s="31" t="str">
        <x:v>Pitch-type matchup</x:v>
      </x:c>
      <x:c r="C22" s="38" t="n">
        <x:v>20</x:v>
      </x:c>
      <x:c r="D22" s="31" t="str">
        <x:v>Favorable -&gt; more TB/HR</x:v>
      </x:c>
      <x:c r="E22" s="31" t="str">
        <x:v>Swing-path interaction</x:v>
      </x:c>
      <x:c r="F22" s="31" t="str">
        <x:v>HYPOTHESIS</x:v>
      </x:c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 t="str">
        <x:v>2+ Total Bases / HR</x:v>
      </x:c>
      <x:c r="B23" s="31" t="str">
        <x:v>Park + weather</x:v>
      </x:c>
      <x:c r="C23" s="38" t="n">
        <x:v>15</x:v>
      </x:c>
      <x:c r="D23" s="31" t="str">
        <x:v>Hitter-friendly -&gt; more TB/HR</x:v>
      </x:c>
      <x:c r="E23" s="31" t="str">
        <x:v>Power environment</x:v>
      </x:c>
      <x:c r="F23" s="31" t="str">
        <x:v>HYPOTHESIS</x:v>
      </x:c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 t="str">
        <x:v>2+ Total Bases / HR</x:v>
      </x:c>
      <x:c r="B24" s="31" t="str">
        <x:v>Lineup spot / PA</x:v>
      </x:c>
      <x:c r="C24" s="38" t="n">
        <x:v>10</x:v>
      </x:c>
      <x:c r="D24" s="31" t="str">
        <x:v>More PA -&gt; more chances</x:v>
      </x:c>
      <x:c r="E24" s="31" t="str">
        <x:v>Opportunity</x:v>
      </x:c>
      <x:c r="F24" s="31" t="str">
        <x:v>HYPOTHESIS</x:v>
      </x:c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 t="str">
        <x:v>2+ Total Bases / HR</x:v>
      </x:c>
      <x:c r="B25" s="31" t="str">
        <x:v>Recent underlying EV/barrels</x:v>
      </x:c>
      <x:c r="C25" s="38" t="n">
        <x:v>10</x:v>
      </x:c>
      <x:c r="D25" s="31" t="str">
        <x:v>Higher -&gt; more TB/HR</x:v>
      </x:c>
      <x:c r="E25" s="31" t="str">
        <x:v>Avoid overweighting raw L7 results</x:v>
      </x:c>
      <x:c r="F25" s="31" t="str">
        <x:v>HYPOTHESIS</x:v>
      </x:c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 t="str">
        <x:v>NRFI</x:v>
      </x:c>
      <x:c r="B26" s="31" t="str">
        <x:v>Starter first-time-through / first-inning skill</x:v>
      </x:c>
      <x:c r="C26" s="38" t="n">
        <x:v>25</x:v>
      </x:c>
      <x:c r="D26" s="31" t="str">
        <x:v>Better -&gt; NRFI</x:v>
      </x:c>
      <x:c r="E26" s="31" t="str">
        <x:v>Market-specific pitcher ability</x:v>
      </x:c>
      <x:c r="F26" s="31" t="str">
        <x:v>HYPOTHESIS</x:v>
      </x:c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 t="str">
        <x:v>NRFI</x:v>
      </x:c>
      <x:c r="B27" s="31" t="str">
        <x:v>Top-3 hitters wOBA/xwOBA</x:v>
      </x:c>
      <x:c r="C27" s="38" t="n">
        <x:v>25</x:v>
      </x:c>
      <x:c r="D27" s="31" t="str">
        <x:v>Lower -&gt; NRFI</x:v>
      </x:c>
      <x:c r="E27" s="31" t="str">
        <x:v>Only first inning matters</x:v>
      </x:c>
      <x:c r="F27" s="31" t="str">
        <x:v>HYPOTHESIS</x:v>
      </x:c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 t="str">
        <x:v>NRFI</x:v>
      </x:c>
      <x:c r="B28" s="31" t="str">
        <x:v>Starter HR + BB vulnerability</x:v>
      </x:c>
      <x:c r="C28" s="38" t="n">
        <x:v>20</x:v>
      </x:c>
      <x:c r="D28" s="31" t="str">
        <x:v>Lower -&gt; NRFI</x:v>
      </x:c>
      <x:c r="E28" s="31" t="str">
        <x:v>One mistake can kill bet</x:v>
      </x:c>
      <x:c r="F28" s="31" t="str">
        <x:v>HYPOTHESIS</x:v>
      </x:c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 t="str">
        <x:v>NRFI</x:v>
      </x:c>
      <x:c r="B29" s="31" t="str">
        <x:v>Top-order platoon/pitch mix</x:v>
      </x:c>
      <x:c r="C29" s="38" t="n">
        <x:v>15</x:v>
      </x:c>
      <x:c r="D29" s="31" t="str">
        <x:v>Pitcher advantage -&gt; NRFI</x:v>
      </x:c>
      <x:c r="E29" s="31" t="str">
        <x:v>First-inning matchup</x:v>
      </x:c>
      <x:c r="F29" s="31" t="str">
        <x:v>HYPOTHESIS</x:v>
      </x:c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 t="str">
        <x:v>NRFI</x:v>
      </x:c>
      <x:c r="B30" s="31" t="str">
        <x:v>Park/weather</x:v>
      </x:c>
      <x:c r="C30" s="38" t="n">
        <x:v>10</x:v>
      </x:c>
      <x:c r="D30" s="31" t="str">
        <x:v>Pitcher-friendly -&gt; NRFI</x:v>
      </x:c>
      <x:c r="E30" s="31" t="str">
        <x:v>Run environment</x:v>
      </x:c>
      <x:c r="F30" s="31" t="str">
        <x:v>HYPOTHESIS</x:v>
      </x:c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 t="str">
        <x:v>NRFI</x:v>
      </x:c>
      <x:c r="B31" s="31" t="str">
        <x:v>First-inning sample results</x:v>
      </x:c>
      <x:c r="C31" s="38" t="n">
        <x:v>5</x:v>
      </x:c>
      <x:c r="D31" s="31" t="str">
        <x:v>Context only</x:v>
      </x:c>
      <x:c r="E31" s="31" t="str">
        <x:v>Noisy; should receive low weight</x:v>
      </x:c>
      <x:c r="F31" s="31" t="str">
        <x:v>HYPOTHESIS</x:v>
      </x:c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4d42d481559a48d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6" hidden="0" customWidth="1"/>
    <x:col min="3" max="3" width="38" hidden="0" customWidth="1"/>
    <x:col min="4" max="4" width="28" hidden="0" customWidth="1"/>
  </x:cols>
  <x:sheetData>
    <x:row r="1" ht="28" customHeight="1">
      <x:c r="A1" s="30" t="str">
        <x:v>Stage</x:v>
      </x:c>
      <x:c r="B1" s="30" t="str">
        <x:v>What We Will Do</x:v>
      </x:c>
      <x:c r="C1" s="30" t="str">
        <x:v>Output / Metric</x:v>
      </x:c>
      <x:c r="D1" s="30" t="str">
        <x:v>When It Becomes Trustworthy</x:v>
      </x:c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 t="str">
        <x:v>1. Daily capture</x:v>
      </x:c>
      <x:c r="B2" s="31" t="str">
        <x:v>Log every supplied candidate + every independently discovered candidate, even when not bet.</x:v>
      </x:c>
      <x:c r="C2" s="31" t="str">
        <x:v>Candidate universe, decision, outcome, price, source</x:v>
      </x:c>
      <x:c r="D2" s="31" t="str">
        <x:v>Start now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2. Shadow board</x:v>
      </x:c>
      <x:c r="B3" s="31" t="str">
        <x:v>Keep qualified-but-unbet plays and rejected plays.</x:v>
      </x:c>
      <x:c r="C3" s="31" t="str">
        <x:v>Missed-opportunity hit rate; rejection hit rate</x:v>
      </x:c>
      <x:c r="D3" s="31" t="str">
        <x:v>50+ shadow outcomes</x:v>
      </x:c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3. Market conversion</x:v>
      </x:c>
      <x:c r="B4" s="31" t="str">
        <x:v>For the same player/matchup, log alternate markets (hit, TB, HRR, HR; K vs outs).</x:v>
      </x:c>
      <x:c r="C4" s="31" t="str">
        <x:v>Which market expression produces best ROI / calibration</x:v>
      </x:c>
      <x:c r="D4" s="31" t="str">
        <x:v>100+ comparable player-market sets</x:v>
      </x:c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4. Price tracking</x:v>
      </x:c>
      <x:c r="B5" s="31" t="str">
        <x:v>Record research price, our entry, and closing price.</x:v>
      </x:c>
      <x:c r="C5" s="31" t="str">
        <x:v>CLV and price deterioration</x:v>
      </x:c>
      <x:c r="D5" s="31" t="str">
        <x:v>50+ priced bets</x:v>
      </x:c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5. Feature capture</x:v>
      </x:c>
      <x:c r="B6" s="31" t="str">
        <x:v>Store pregame stats by market model using Feature Weights sheet.</x:v>
      </x:c>
      <x:c r="C6" s="31" t="str">
        <x:v>Feature importance / coefficient stability</x:v>
      </x:c>
      <x:c r="D6" s="31" t="str">
        <x:v>200+ candidate observations</x:v>
      </x:c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6. Simple model</x:v>
      </x:c>
      <x:c r="B7" s="31" t="str">
        <x:v>Fit regularized logistic regression separately by market.</x:v>
      </x:c>
      <x:c r="C7" s="31" t="str">
        <x:v>Predicted probability, calibration, Brier/log loss</x:v>
      </x:c>
      <x:c r="D7" s="31" t="str">
        <x:v>300-500+ observations</x:v>
      </x:c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7. Model comparison</x:v>
      </x:c>
      <x:c r="B8" s="31" t="str">
        <x:v>Compare logistic baseline vs gradient-boosted model.</x:v>
      </x:c>
      <x:c r="C8" s="31" t="str">
        <x:v>Out-of-sample ROI + calibration, not in-sample accuracy</x:v>
      </x:c>
      <x:c r="D8" s="31" t="str">
        <x:v>500-1,000+ observations</x:v>
      </x:c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8. Portfolio simulation</x:v>
      </x:c>
      <x:c r="B9" s="31" t="str">
        <x:v>Simulate singles/2-leg/3-leg structures with correlation caps.</x:v>
      </x:c>
      <x:c r="C9" s="31" t="str">
        <x:v>Expected growth, drawdown, bust probability</x:v>
      </x:c>
      <x:c r="D9" s="31" t="str">
        <x:v>After probabilities are reasonably calibrated</x:v>
      </x:c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9. Historical backfill</x:v>
      </x:c>
      <x:c r="B10" s="31" t="str">
        <x:v>Reconstruct old slates using only data available pregame.</x:v>
      </x:c>
      <x:c r="C10" s="31" t="str">
        <x:v>True backtest without hindsight leakage</x:v>
      </x:c>
      <x:c r="D10" s="31" t="str">
        <x:v>Can accelerate sample size substantially</x:v>
      </x:c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485d54f9411d429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0" hidden="0" customWidth="1"/>
    <x:col min="8" max="8" width="10" hidden="0" customWidth="1"/>
    <x:col min="9" max="9" width="14" hidden="0" customWidth="1"/>
    <x:col min="10" max="10" width="44" hidden="0" customWidth="1"/>
  </x:cols>
  <x:sheetData>
    <x:row r="1" ht="28" customHeight="1">
      <x:c r="A1" s="30" t="str">
        <x:v>Date</x:v>
      </x:c>
      <x:c r="B1" s="30" t="str">
        <x:v>Starting Bankroll</x:v>
      </x:c>
      <x:c r="C1" s="30" t="str">
        <x:v>Risked</x:v>
      </x:c>
      <x:c r="D1" s="30" t="str">
        <x:v>Payout</x:v>
      </x:c>
      <x:c r="E1" s="30" t="str">
        <x:v>P/L</x:v>
      </x:c>
      <x:c r="F1" s="30" t="str">
        <x:v>Ending Bankroll</x:v>
      </x:c>
      <x:c r="G1" s="30" t="str">
        <x:v>Tickets</x:v>
      </x:c>
      <x:c r="H1" s="30" t="str">
        <x:v>Wins</x:v>
      </x:c>
      <x:c r="I1" s="30" t="str">
        <x:v>Ticket Win Rate</x:v>
      </x:c>
      <x:c r="J1" s="30" t="str">
        <x:v>Notes</x:v>
      </x:c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 t="str">
        <x:v>2026-08-24</x:v>
      </x:c>
      <x:c r="B2" s="33" t="n">
        <x:v>55.51</x:v>
      </x:c>
      <x:c r="C2" s="33" t="n">
        <x:v>45.51</x:v>
      </x:c>
      <x:c r="D2" s="33" t="n">
        <x:v>0</x:v>
      </x:c>
      <x:c r="E2" s="33" t="n">
        <x:v>-45.51</x:v>
      </x:c>
      <x:c r="F2" s="33" t="n">
        <x:v>10</x:v>
      </x:c>
      <x:c r="G2" s="31" t="n">
        <x:v>12</x:v>
      </x:c>
      <x:c r="H2" s="31" t="n">
        <x:v>0</x:v>
      </x:c>
      <x:c r="I2" s="32" t="n">
        <x:v>0</x:v>
      </x:c>
      <x:c r="J2" s="31" t="str">
        <x:v>Roller = $25.62; MLB promo had +$3 accidental stake.</x:v>
      </x:c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2026-08-25</x:v>
      </x:c>
      <x:c r="B3" s="33" t="n">
        <x:v>10</x:v>
      </x:c>
      <x:c r="C3" s="33" t="n">
        <x:v>10</x:v>
      </x:c>
      <x:c r="D3" s="33" t="n">
        <x:v>7.14</x:v>
      </x:c>
      <x:c r="E3" s="33" t="n">
        <x:v>-2.86</x:v>
      </x:c>
      <x:c r="F3" s="33" t="n">
        <x:v>7.14</x:v>
      </x:c>
      <x:c r="G3" s="31" t="n">
        <x:v>10</x:v>
      </x:c>
      <x:c r="H3" s="31" t="n">
        <x:v>3</x:v>
      </x:c>
      <x:c r="I3" s="32" t="n">
        <x:v>0.3</x:v>
      </x:c>
      <x:c r="J3" s="31" t="str">
        <x:v>All 10 bets were $1; process improved but ticket construction still weak.</x:v>
      </x:c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2026-08-22</x:v>
      </x:c>
      <x:c r="B4" s="33" t="str"/>
      <x:c r="C4" s="33" t="str"/>
      <x:c r="D4" s="33" t="str"/>
      <x:c r="E4" s="33" t="str"/>
      <x:c r="F4" s="33" t="str"/>
      <x:c r="G4" s="31" t="n">
        <x:v>10</x:v>
      </x:c>
      <x:c r="H4" s="31" t="str"/>
      <x:c r="I4" s="32" t="str"/>
      <x:c r="J4" s="31" t="str">
        <x:v>Partial backfill: core non-soccer ticket inventory captured; exact day P&amp;L/outcomes still need screenshot reconciliation.</x:v>
      </x:c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2026-08-23</x:v>
      </x:c>
      <x:c r="B5" s="33" t="str"/>
      <x:c r="C5" s="33" t="str"/>
      <x:c r="D5" s="33" t="str"/>
      <x:c r="E5" s="33" t="str"/>
      <x:c r="F5" s="33" t="n">
        <x:v>55.51</x:v>
      </x:c>
      <x:c r="G5" s="31" t="n">
        <x:v>11</x:v>
      </x:c>
      <x:c r="H5" s="31" t="str"/>
      <x:c r="I5" s="32" t="str"/>
      <x:c r="J5" s="31" t="str">
        <x:v>Partial backfill: project note records 14 wins / 23 resolved legs; exact full ticket P&amp;L still incomplete. Ending bankroll before Aug. 24 was $55.51.</x:v>
      </x:c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2026-08-26</x:v>
      </x:c>
      <x:c r="B6" s="33" t="n">
        <x:v>7.14</x:v>
      </x:c>
      <x:c r="C6" s="33" t="n">
        <x:v>6</x:v>
      </x:c>
      <x:c r="D6" s="33" t="n">
        <x:v>6</x:v>
      </x:c>
      <x:c r="E6" s="33" t="n">
        <x:v>-0.49</x:v>
      </x:c>
      <x:c r="F6" s="33" t="n">
        <x:v>6.65</x:v>
      </x:c>
      <x:c r="G6" s="31" t="n">
        <x:v>6</x:v>
      </x:c>
      <x:c r="H6" s="31" t="n">
        <x:v>3</x:v>
      </x:c>
      <x:c r="I6" s="32" t="n">
        <x:v>0.5</x:v>
      </x:c>
      <x:c r="J6" s="31" t="str">
        <x:v>FINAL: 3-3 tickets (50%). 6/9 individual legs (66.7%). Singles 3-1 for +$1.51; parlays 0-2 for -$2.00. Net -$0.49. Main misses: Madrid corner market selection, Yordan TB threshold by one base, Dobnak workload handicap.</x:v>
      </x:c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2026-08-27</x:v>
      </x:c>
      <x:c r="B7" s="33" t="n">
        <x:v>6.65</x:v>
      </x:c>
      <x:c r="C7" s="33" t="n">
        <x:v>4</x:v>
      </x:c>
      <x:c r="D7" s="33" t="n">
        <x:v>15.44</x:v>
      </x:c>
      <x:c r="E7" s="33" t="n">
        <x:v>11.44</x:v>
      </x:c>
      <x:c r="F7" s="33" t="n">
        <x:v>18.09</x:v>
      </x:c>
      <x:c r="G7" s="31" t="n">
        <x:v>4</x:v>
      </x:c>
      <x:c r="H7" s="31" t="n">
        <x:v>4</x:v>
      </x:c>
      <x:c r="I7" s="32" t="n">
        <x:v>1</x:v>
      </x:c>
      <x:c r="J7" s="31" t="str">
        <x:v>FINAL: 4-0 tickets, 8-0 individual legs. Singles 2-0 for +$1.69; parlays 2-0 for +$9.75. Net +$11.44. Boosts added about $2.93 incremental payout vs raw prices. Thomas won exactly at 8 AST; Hughes under won exactly at 15 outs.</x:v>
      </x:c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2026-08-28</x:v>
      </x:c>
      <x:c r="B8" s="33" t="n">
        <x:v>18.49</x:v>
      </x:c>
      <x:c r="C8" s="33" t="n">
        <x:v>4</x:v>
      </x:c>
      <x:c r="D8" s="33" t="n">
        <x:v>3.36</x:v>
      </x:c>
      <x:c r="E8" s="33" t="n">
        <x:v>-0.64</x:v>
      </x:c>
      <x:c r="F8" s="33" t="n">
        <x:v>17.85</x:v>
      </x:c>
      <x:c r="G8" s="31" t="n">
        <x:v>4</x:v>
      </x:c>
      <x:c r="H8" s="31" t="n">
        <x:v>1</x:v>
      </x:c>
      <x:c r="I8" s="32" t="n">
        <x:v>0.25</x:v>
      </x:c>
      <x:c r="J8" s="31" t="str">
        <x:v>FINAL: 1-3 tickets (25%) but 6/10 individual real legs (60%). Singles 0-1 for -$1.00; parlays 1-2 for +$0.36. Soccer 3/3. WNBA 1/3 (Hillmon W; Young/Hamby L). MLB SGPx 2/3 (Cease/Sugano W; Olson TB L). Olson HR also lost. Flat $1 sizing limited the day to -$0.64.</x:v>
      </x:c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2026-08-29</x:v>
      </x:c>
      <x:c r="B9" s="33" t="n">
        <x:v>17.85</x:v>
      </x:c>
      <x:c r="C9" s="33" t="n">
        <x:v>6</x:v>
      </x:c>
      <x:c r="D9" s="33" t="n">
        <x:v>1</x:v>
      </x:c>
      <x:c r="E9" s="33" t="n">
        <x:v>5</x:v>
      </x:c>
      <x:c r="F9" s="33" t="n">
        <x:v>6</x:v>
      </x:c>
      <x:c r="G9" s="31" t="n">
        <x:v>9</x:v>
      </x:c>
      <x:c r="H9" s="31" t="n">
        <x:v>-2.99</x:v>
      </x:c>
      <x:c r="I9" s="32" t="n">
        <x:v>14.86</x:v>
      </x:c>
      <x:c r="J9" s="31" t="str">
        <x:v>FINAL: 1-5 real tickets, 6-9 real legs, -$2.99. The MIA/WSH + KC/CLE NRFI 2-leg (+201) was the only real winning ticket, but the omitted SEA/TOR NRFI also won, so the intact source 3-leg NRFI would have cashed too. Four real 3-leg parlays went 1/3 each. Root causes: weak-leg contamination, unvalidated market substitutions, CFB conflict/uncertainty, and excess raw promo odds not converted into safer thresholds. Positive signals: EMU, Miller 60+, Caminero HRR, all three paper NRFIs.</x:v>
      </x:c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2026-08-30</x:v>
      </x:c>
      <x:c r="B10" s="33" t="n">
        <x:v>14.86</x:v>
      </x:c>
      <x:c r="C10" s="33" t="n">
        <x:v>7</x:v>
      </x:c>
      <x:c r="D10" s="33" t="n">
        <x:v>6.13</x:v>
      </x:c>
      <x:c r="E10" s="33" t="n">
        <x:v>-0.87</x:v>
      </x:c>
      <x:c r="F10" s="33" t="n">
        <x:v>13.99</x:v>
      </x:c>
      <x:c r="G10" s="31" t="n">
        <x:v>7</x:v>
      </x:c>
      <x:c r="H10" s="31" t="n">
        <x:v>3</x:v>
      </x:c>
      <x:c r="I10" s="32" t="n">
        <x:v>0.42857142857142855</x:v>
      </x:c>
      <x:c r="J10" s="31" t="str">
        <x:v>FINAL aggregate recovered from project EOD: 7 $1 tickets, 3-4, net -$0.87. Singles 2-1 (+$0.39); parlays 1-3 (-$1.26); individual legs 9-6. Exact economics for some parlays were not recoverable, so ticket rows preserve W/L without fabricated payout.</x:v>
      </x:c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str">
        <x:v>2026-09-01</x:v>
      </x:c>
      <x:c r="B11" s="31" t="n">
        <x:v>12.11</x:v>
      </x:c>
      <x:c r="C11" s="31" t="n">
        <x:v>2</x:v>
      </x:c>
      <x:c r="D11" s="31" t="n">
        <x:v>10.95</x:v>
      </x:c>
      <x:c r="E11" s="31" t="n">
        <x:v>8.95</x:v>
      </x:c>
      <x:c r="F11" s="31" t="n">
        <x:v>21.06</x:v>
      </x:c>
      <x:c r="G11" s="31" t="n">
        <x:v>2</x:v>
      </x:c>
      <x:c r="H11" s="31" t="n">
        <x:v>2</x:v>
      </x:c>
      <x:c r="I11" s="31" t="n">
        <x:v>1</x:v>
      </x:c>
      <x:c r="J11" s="31" t="str">
        <x:v>FINAL: 2-0 real tickets. Boosted SGPx raw +302 -&gt; +454 paid $5.54; boosted Jordan Walker HR raw +294 -&gt; +441 paid $5.41. $2 risked, $10.95 returned, +$8.95 net. Ending bankroll screenshot $21.06.</x:v>
      </x:c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2026-09-02</x:v>
      </x:c>
      <x:c r="B12" s="31" t="n">
        <x:v>21.06</x:v>
      </x:c>
      <x:c r="C12" s="31" t="n">
        <x:v>6</x:v>
      </x:c>
      <x:c r="D12" s="31" t="n">
        <x:v>7.84</x:v>
      </x:c>
      <x:c r="E12" s="31" t="n">
        <x:v>1.84</x:v>
      </x:c>
      <x:c r="F12" s="31" t="n">
        <x:v>22.9</x:v>
      </x:c>
      <x:c r="G12" s="31" t="n">
        <x:v>6</x:v>
      </x:c>
      <x:c r="H12" s="31" t="n">
        <x:v>2</x:v>
      </x:c>
      <x:c r="I12" s="31" t="n">
        <x:v>0.3333333333333333</x:v>
      </x:c>
      <x:c r="J12" s="31" t="str">
        <x:v>FINAL: 6 real tickets, 2-4 (33.3%), 8 real legs with 4 wins (50%). $6 risked, $7.84 returned, +$1.84 net; bankroll $21.06 -&gt; $22.90. Five singles went 1-4 and returned $1.95 on $5 risk (-$3.05). The boosted +325 -&gt; +489 SGPx won all 3 legs and contributed +$4.89, fully driving the profitable day. Key misses: Cease K market-expression miss (6 scoreless IP but 4 K; outs arm won), Misiorowski workload handicap failure (4 IP/12 outs), Caminero broad handicap failure (0 H), Alonso normal HR variance. Grand Slam qualifier skip was validated: only Devers among tracked HR candidates homered, and it was a solo HR rather than a grand slam.</x:v>
      </x:c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str">
        <x:v>2026-09-03</x:v>
      </x:c>
      <x:c r="B13" s="31" t="n">
        <x:v>22.9</x:v>
      </x:c>
      <x:c r="C13" s="31" t="n">
        <x:v>3</x:v>
      </x:c>
      <x:c r="D13" s="31" t="n">
        <x:v>1.89</x:v>
      </x:c>
      <x:c r="E13" s="31" t="n">
        <x:v>-1.11</x:v>
      </x:c>
      <x:c r="F13" s="31" t="n">
        <x:v>21.79</x:v>
      </x:c>
      <x:c r="G13" s="31" t="n">
        <x:v>3</x:v>
      </x:c>
      <x:c r="H13" s="31" t="n">
        <x:v>1</x:v>
      </x:c>
      <x:c r="I13" s="31" t="n">
        <x:v>0.3333333333333333</x:v>
      </x:c>
      <x:c r="J13" s="31" t="str">
        <x:v>FINAL: 1-2 tickets and 2-3 individual legs. Yordan Alvarez 2+ TB lost, Jake Bennett over 16.5 outs won, and the SGPx lost when Chourio and Contreras missed while Kade Anderson under 16.5 outs won. The two singles were nearly breakeven; the full -$1.00 SGPx stake drove most of the daily loss.</x:v>
      </x:c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str">
        <x:v>2026-09-04</x:v>
      </x:c>
      <x:c r="B14" s="31" t="n">
        <x:v>21.79</x:v>
      </x:c>
      <x:c r="C14" s="31" t="n">
        <x:v>4</x:v>
      </x:c>
      <x:c r="D14" s="31" t="n">
        <x:v>0</x:v>
      </x:c>
      <x:c r="E14" s="31" t="n">
        <x:v>-4</x:v>
      </x:c>
      <x:c r="F14" s="31" t="n">
        <x:v>17.79</x:v>
      </x:c>
      <x:c r="G14" s="31" t="n">
        <x:v>4</x:v>
      </x:c>
      <x:c r="H14" s="31" t="n">
        <x:v>0</x:v>
      </x:c>
      <x:c r="I14" s="31" t="n">
        <x:v>0</x:v>
      </x:c>
      <x:c r="J14" s="31" t="str">
        <x:v>FINAL: 0-4 tickets and 3-9 individual legs. Soccer lost when Liverpool stopped at 2 team goals and Real Madrid scored 0; Como ML won. CFB lost when Fresno State +22.5 fell 39-0; Miami -24.5 won 45-6. MLB SGPx lost when Lane Thomas 1+ hit and Hunter Goodman 2+ total bases missed; Ozzie Albies 1+ hit won. Yordan Alvarez HR lost. User-provided DraftKings screenshots show $4 risked, $0 returned, and bankroll $21.79 -&gt; $17.79. Postmortem: weak-leg contamination, shared matchup exposure mistaken for causal correlation, fragile player props chosen over broader expressions, and aggressive promo-driven thresholds. Immediate controls: Standalone YES before any parlay; label pair relationships; compare broad markets first; show safe/base/aggressive thresholds; max one HR satellite that ranks first on independent value; require an explicit cover path for large CFB underdogs.</x:v>
      </x:c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str">
        <x:v>2026-09-06</x:v>
      </x:c>
      <x:c r="B15" s="31" t="n">
        <x:v>31.69</x:v>
      </x:c>
      <x:c r="C15" s="31" t="n">
        <x:v>5</x:v>
      </x:c>
      <x:c r="D15" s="31" t="n">
        <x:v>4.44</x:v>
      </x:c>
      <x:c r="E15" s="31" t="n">
        <x:v>-0.56</x:v>
      </x:c>
      <x:c r="F15" s="31" t="n">
        <x:v>31.13</x:v>
      </x:c>
      <x:c r="G15" s="31" t="n">
        <x:v>5</x:v>
      </x:c>
      <x:c r="H15" s="31" t="n">
        <x:v>2</x:v>
      </x:c>
      <x:c r="I15" s="31" t="n">
        <x:v>0.4</x:v>
      </x:c>
      <x:c r="J15" s="31" t="str">
        <x:v>FINAL from user-submitted DraftKings results: 2-3 tickets, $5 risked, $4.44 returned, -$0.56 net. Arsenal ML + over 1.5 and Gavin Williams 9+ Ks won. Singer hits allowed lost through market expression despite a correct broad fade; both three-leg soccer parlays went 2-for-3, exposing weak-leg contamination.</x:v>
      </x:c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str">
        <x:v>2026-09-09</x:v>
      </x:c>
      <x:c r="B16" s="31" t="n">
        <x:v>36.14</x:v>
      </x:c>
      <x:c r="C16" s="31" t="n">
        <x:v>8</x:v>
      </x:c>
      <x:c r="D16" s="31" t="n">
        <x:v>9.59</x:v>
      </x:c>
      <x:c r="E16" s="31" t="n">
        <x:v>1.59</x:v>
      </x:c>
      <x:c r="F16" s="31" t="n">
        <x:v>37.73</x:v>
      </x:c>
      <x:c r="G16" s="31" t="n">
        <x:v>8</x:v>
      </x:c>
      <x:c r="H16" s="31" t="n">
        <x:v>4</x:v>
      </x:c>
      <x:c r="I16" s="31" t="n">
        <x:v>0.5714285714285714</x:v>
      </x:c>
      <x:c r="J16" s="31" t="str">
        <x:v>FINAL: The seven-ticket main slate went 4-3, returning $8.50 on $7 risked (+$1.50). Wins: Liverpool ML, A.J. Brown 5+ first-quarter receiving yards, either Brown or Smith-Njigba TD, and Stevenson 4+ receptions. Losses: Isak 2+ shots on target, the Brown/Smith-Njigba 50+ receiving parlay, and Sugano over 5.5 hits allowed. A separate accidental live over 26.5 was cashed out for +$0.09; it is an execution error, not a model win. Full day: $8 risked, $9.59 returned, +$1.59; bankroll $36.14 to $37.73. Postmortem: preserve the independent under read, require a final side-and-threshold readback before submitting live bets, and distinguish correct broad theses from losing market expressions.</x:v>
      </x:c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str">
        <x:v>2026-09-10</x:v>
      </x:c>
      <x:c r="B17" s="31" t="n">
        <x:v>37.73</x:v>
      </x:c>
      <x:c r="C17" s="31" t="n">
        <x:v>5</x:v>
      </x:c>
      <x:c r="D17" s="31" t="n">
        <x:v>3.76</x:v>
      </x:c>
      <x:c r="E17" s="31" t="n">
        <x:v>-1.24</x:v>
      </x:c>
      <x:c r="F17" s="31" t="n">
        <x:v>36.49</x:v>
      </x:c>
      <x:c r="G17" s="31" t="n">
        <x:v>5</x:v>
      </x:c>
      <x:c r="H17" s="31" t="n">
        <x:v>2</x:v>
      </x:c>
      <x:c r="I17" s="31" t="n">
        <x:v>0.4</x:v>
      </x:c>
      <x:c r="J17" s="31" t="str">
        <x:v>FINAL: 2-3 tickets, $5 risked, $3.76 returned, -$1.24; bankroll $37.73 to $36.49. CMC first-quarter reception and Yankees F5 team total won. Miami team-total under, Jones outs under and the live CMC/Kyren SGP lost. Postmortems: rotation did not suppress Miami scoring; Jones required a workload-regime reset; broad Yankees team expression succeeded; early-season Kyren carry-share uncertainty was understated. The verified paper subset showed the Jones strikeout arm winning while the outs under lost.</x:v>
      </x:c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 t="str">
        <x:v>2026-09-11</x:v>
      </x:c>
      <x:c r="B18" s="31" t="n">
        <x:v>36.49</x:v>
      </x:c>
      <x:c r="C18" s="31" t="n">
        <x:v>6</x:v>
      </x:c>
      <x:c r="D18" s="31" t="n">
        <x:v>7.75</x:v>
      </x:c>
      <x:c r="E18" s="31" t="n">
        <x:v>1.75</x:v>
      </x:c>
      <x:c r="F18" s="31" t="n">
        <x:v>38.24</x:v>
      </x:c>
      <x:c r="G18" s="31" t="n">
        <x:v>6</x:v>
      </x:c>
      <x:c r="H18" s="31" t="n">
        <x:v>4</x:v>
      </x:c>
      <x:c r="I18" s="31" t="n">
        <x:v>0.6666666666666666</x:v>
      </x:c>
      <x:c r="J18" s="31" t="str">
        <x:v>FINAL: 4-2 tickets, $6 risked, $7.75 returned, +$1.75; bankroll $36.49 to $38.24. Wins: Roberts 40+ first-half rushing yards, Cavalli 7+ strikeouts, Acuña 2+ total bases and Gore over 1.5 walks. Losses: Bassitt and Liberatore over 2.5 earned runs. Postmortem: lower-threshold role protection and command-risk markets converted; both earned-run overs missed when the starters exited at exactly 2 earned runs, reinforcing the need to compare hits, outs and earned-run expressions before entry.</x:v>
      </x:c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  <x:row r="201">
      <x:c r="A201"/>
      <x:c r="B201"/>
      <x:c r="C201"/>
      <x:c r="D201"/>
      <x:c r="E201"/>
      <x:c r="F201"/>
      <x:c r="G201"/>
      <x:c r="H201"/>
      <x:c r="I201"/>
      <x:c r="J201"/>
    </x:row>
  </x:sheetData>
  <x:pageMargins left="0.7" right="0.7" top="0.75" bottom="0.75" header="0.3" footer="0.3"/>
  <x:tableParts count="1">
    <x:tablePart xmlns:r="http://schemas.openxmlformats.org/officeDocument/2006/relationships" r:id="R1cf36343d0894b3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0" hidden="0" customWidth="1"/>
    <x:col min="5" max="5" width="24" hidden="0" customWidth="1"/>
    <x:col min="6" max="6" width="10" hidden="0" customWidth="1"/>
    <x:col min="7" max="7" width="48" hidden="0" customWidth="1"/>
    <x:col min="8" max="8" width="56" hidden="0" customWidth="1"/>
  </x:cols>
  <x:sheetData>
    <x:row r="1">
      <x:c r="A1" s="30" t="str">
        <x:v>Date</x:v>
      </x:c>
      <x:c r="B1" s="30" t="str">
        <x:v>Candidate ID</x:v>
      </x:c>
      <x:c r="C1" s="30" t="str">
        <x:v>Entity</x:v>
      </x:c>
      <x:c r="D1" s="30" t="str">
        <x:v>Market</x:v>
      </x:c>
      <x:c r="E1" s="30" t="str">
        <x:v>Bet</x:v>
      </x:c>
      <x:c r="F1" s="30" t="str">
        <x:v>Result</x:v>
      </x:c>
      <x:c r="G1" s="30" t="str">
        <x:v>Why It Matters</x:v>
      </x:c>
      <x:c r="H1" s="30" t="str">
        <x:v>Caution</x:v>
      </x:c>
    </x:row>
    <x:row r="2">
      <x:c r="A2" s="31" t="str">
        <x:v>2026-08-24</x:v>
      </x:c>
      <x:c r="B2" s="31" t="str">
        <x:v>A24-S01</x:v>
      </x:c>
      <x:c r="C2" s="31" t="str">
        <x:v>Kevin Gausman</x:v>
      </x:c>
      <x:c r="D2" s="31" t="str">
        <x:v>Pitcher Outs</x:v>
      </x:c>
      <x:c r="E2" s="31" t="str">
        <x:v>Over 16.5 outs</x:v>
      </x:c>
      <x:c r="F2" s="31" t="str">
        <x:v>Win</x:v>
      </x:c>
      <x:c r="G2" s="31" t="str">
        <x:v>MISSED OPPORTUNITY: sourced leg won and should have been considered independently</x:v>
      </x:c>
      <x:c r="H2" s="31" t="str">
        <x:v>Backfill is incomplete: this sheet currently contains only qualified candidates whose outcomes were explicitly verified/discussed.</x:v>
      </x:c>
    </x:row>
    <x:row r="3">
      <x:c r="A3" s="31" t="str">
        <x:v>2026-08-24</x:v>
      </x:c>
      <x:c r="B3" s="31" t="str">
        <x:v>A24-S02</x:v>
      </x:c>
      <x:c r="C3" s="31" t="str">
        <x:v>Kumar Rocker</x:v>
      </x:c>
      <x:c r="D3" s="31" t="str">
        <x:v>Pitcher K Over</x:v>
      </x:c>
      <x:c r="E3" s="31" t="str">
        <x:v>Over 4.5 Ks</x:v>
      </x:c>
      <x:c r="F3" s="31" t="str">
        <x:v>Win</x:v>
      </x:c>
      <x:c r="G3" s="31" t="str">
        <x:v>MISSED OPPORTUNITY: strong sourced K signal</x:v>
      </x:c>
      <x:c r="H3" s="31" t="str">
        <x:v>Backfill is incomplete: this sheet currently contains only qualified candidates whose outcomes were explicitly verified/discussed.</x:v>
      </x:c>
    </x:row>
    <x:row r="4">
      <x:c r="A4" s="31" t="str">
        <x:v>2026-08-24</x:v>
      </x:c>
      <x:c r="B4" s="31" t="str">
        <x:v>A24-S03</x:v>
      </x:c>
      <x:c r="C4" s="31" t="str">
        <x:v>Naz Hillmon</x:v>
      </x:c>
      <x:c r="D4" s="31" t="str">
        <x:v>WNBA P+R</x:v>
      </x:c>
      <x:c r="E4" s="31" t="str">
        <x:v>Over 13.5 P+R</x:v>
      </x:c>
      <x:c r="F4" s="31" t="str">
        <x:v>Win</x:v>
      </x:c>
      <x:c r="G4" s="31" t="str">
        <x:v>MISSED OPPORTUNITY: source leg won</x:v>
      </x:c>
      <x:c r="H4" s="31" t="str">
        <x:v>Backfill is incomplete: this sheet currently contains only qualified candidates whose outcomes were explicitly verified/discussed.</x:v>
      </x:c>
    </x:row>
    <x:row r="5">
      <x:c r="A5" s="31" t="str">
        <x:v>2026-08-24</x:v>
      </x:c>
      <x:c r="B5" s="31" t="str">
        <x:v>A24-S04</x:v>
      </x:c>
      <x:c r="C5" s="31" t="str">
        <x:v>Chandler Simpson</x:v>
      </x:c>
      <x:c r="D5" s="31" t="str">
        <x:v>1+ Hit</x:v>
      </x:c>
      <x:c r="E5" s="31" t="str">
        <x:v>1+ hit</x:v>
      </x:c>
      <x:c r="F5" s="31" t="str">
        <x:v>Win</x:v>
      </x:c>
      <x:c r="G5" s="31" t="str">
        <x:v>MISSED OPPORTUNITY: source hit candidate cleared</x:v>
      </x:c>
      <x:c r="H5" s="31" t="str">
        <x:v>Backfill is incomplete: this sheet currently contains only qualified candidates whose outcomes were explicitly verified/discussed.</x:v>
      </x:c>
    </x:row>
    <x:row r="6">
      <x:c r="A6" s="31" t="str">
        <x:v>2026-08-24</x:v>
      </x:c>
      <x:c r="B6" s="31" t="str">
        <x:v>A24-S05</x:v>
      </x:c>
      <x:c r="C6" s="31" t="str">
        <x:v>Connor Norby</x:v>
      </x:c>
      <x:c r="D6" s="31" t="str">
        <x:v>1+ Hit</x:v>
      </x:c>
      <x:c r="E6" s="31" t="str">
        <x:v>1+ hit</x:v>
      </x:c>
      <x:c r="F6" s="31" t="str">
        <x:v>Win</x:v>
      </x:c>
      <x:c r="G6" s="31" t="str">
        <x:v>MISSED OPPORTUNITY: we identified Norby as weak leg but he cleared</x:v>
      </x:c>
      <x:c r="H6" s="31" t="str">
        <x:v>Backfill is incomplete: this sheet currently contains only qualified candidates whose outcomes were explicitly verified/discussed.</x:v>
      </x:c>
    </x:row>
    <x:row r="7">
      <x:c r="A7" s="31" t="str">
        <x:v>2026-08-24</x:v>
      </x:c>
      <x:c r="B7" s="31" t="str">
        <x:v>A24-S07</x:v>
      </x:c>
      <x:c r="C7" s="31" t="str">
        <x:v>Fernando Tatis Jr.</x:v>
      </x:c>
      <x:c r="D7" s="31" t="str">
        <x:v>H+R+RBI</x:v>
      </x:c>
      <x:c r="E7" s="31" t="str">
        <x:v>Over 1.5 H+R+RBI</x:v>
      </x:c>
      <x:c r="F7" s="31" t="str">
        <x:v>Loss</x:v>
      </x:c>
      <x:c r="G7" s="31" t="str">
        <x:v>No missed value; sourced signal failed</x:v>
      </x:c>
      <x:c r="H7" s="31" t="str">
        <x:v>Backfill is incomplete: this sheet currently contains only qualified candidates whose outcomes were explicitly verified/discussed.</x:v>
      </x:c>
    </x:row>
    <x:row r="8">
      <x:c r="A8" s="31" t="str">
        <x:v>2026-08-25</x:v>
      </x:c>
      <x:c r="B8" s="31" t="str">
        <x:v>A25-S06</x:v>
      </x:c>
      <x:c r="C8" s="31" t="str">
        <x:v>BOS/MIA</x:v>
      </x:c>
      <x:c r="D8" s="31" t="str">
        <x:v>NRFI</x:v>
      </x:c>
      <x:c r="E8" s="31" t="str">
        <x:v>NRFI</x:v>
      </x:c>
      <x:c r="F8" s="31" t="str">
        <x:v>Win</x:v>
      </x:c>
      <x:c r="G8" s="31" t="str">
        <x:v>MISSED OPPORTUNITY: removed from sourced NRFI card and it cleared</x:v>
      </x:c>
      <x:c r="H8" s="31" t="str">
        <x:v>Backfill is incomplete: this sheet currently contains only qualified candidates whose outcomes were explicitly verified/discussed.</x:v>
      </x:c>
    </x:row>
    <x:row r="9">
      <x:c r="A9" s="31" t="str">
        <x:v>2026-08-25</x:v>
      </x:c>
      <x:c r="B9" s="31" t="str">
        <x:v>A25-S07</x:v>
      </x:c>
      <x:c r="C9" s="31" t="str">
        <x:v>Pete Alonso</x:v>
      </x:c>
      <x:c r="D9" s="31" t="str">
        <x:v>1+ Hit</x:v>
      </x:c>
      <x:c r="E9" s="31" t="str">
        <x:v>1+ hit</x:v>
      </x:c>
      <x:c r="F9" s="31" t="str">
        <x:v>Win</x:v>
      </x:c>
      <x:c r="G9" s="31" t="str">
        <x:v>MISSED OPPORTUNITY: hit-sheet candidate outperformed selected hit legs</x:v>
      </x:c>
      <x:c r="H9" s="31" t="str">
        <x:v>Backfill is incomplete: this sheet currently contains only qualified candidates whose outcomes were explicitly verified/discussed.</x:v>
      </x:c>
    </x:row>
    <x:row r="10">
      <x:c r="A10" s="31" t="str">
        <x:v>2026-08-25</x:v>
      </x:c>
      <x:c r="B10" s="31" t="str">
        <x:v>A25-S08</x:v>
      </x:c>
      <x:c r="C10" s="31" t="str">
        <x:v>Cody Bellinger</x:v>
      </x:c>
      <x:c r="D10" s="31" t="str">
        <x:v>1+ Hit</x:v>
      </x:c>
      <x:c r="E10" s="31" t="str">
        <x:v>1+ hit</x:v>
      </x:c>
      <x:c r="F10" s="31" t="str">
        <x:v>Win</x:v>
      </x:c>
      <x:c r="G10" s="31" t="str">
        <x:v>MISSED OPPORTUNITY: hit-sheet candidate cleared</x:v>
      </x:c>
      <x:c r="H10" s="31" t="str">
        <x:v>Backfill is incomplete: this sheet currently contains only qualified candidates whose outcomes were explicitly verified/discussed.</x:v>
      </x:c>
    </x:row>
    <x:row r="11">
      <x:c r="A11" s="31" t="str">
        <x:v>2026-08-25</x:v>
      </x:c>
      <x:c r="B11" s="31" t="str">
        <x:v>A25-S09</x:v>
      </x:c>
      <x:c r="C11" s="31" t="str">
        <x:v>Xavier Edwards</x:v>
      </x:c>
      <x:c r="D11" s="31" t="str">
        <x:v>1+ Hit</x:v>
      </x:c>
      <x:c r="E11" s="31" t="str">
        <x:v>1+ hit</x:v>
      </x:c>
      <x:c r="F11" s="31" t="str">
        <x:v>Win</x:v>
      </x:c>
      <x:c r="G11" s="31" t="str">
        <x:v>MISSED OPPORTUNITY: hit-sheet candidate cleared</x:v>
      </x:c>
      <x:c r="H11" s="31" t="str">
        <x:v>Backfill is incomplete: this sheet currently contains only qualified candidates whose outcomes were explicitly verified/discussed.</x:v>
      </x:c>
    </x:row>
    <x:row r="12">
      <x:c r="A12" s="31" t="str">
        <x:v>2026-08-25</x:v>
      </x:c>
      <x:c r="B12" s="31" t="str">
        <x:v>A25-S10</x:v>
      </x:c>
      <x:c r="C12" s="31" t="str">
        <x:v>Oneil Cruz</x:v>
      </x:c>
      <x:c r="D12" s="31" t="str">
        <x:v>HR</x:v>
      </x:c>
      <x:c r="E12" s="31" t="str">
        <x:v>HR</x:v>
      </x:c>
      <x:c r="F12" s="31" t="str">
        <x:v>Win</x:v>
      </x:c>
      <x:c r="G12" s="31" t="str">
        <x:v>MISSED OPPORTUNITY: source HR candidate homered</x:v>
      </x:c>
      <x:c r="H12" s="31" t="str">
        <x:v>Backfill is incomplete: this sheet currently contains only qualified candidates whose outcomes were explicitly verified/discussed.</x:v>
      </x:c>
    </x:row>
    <x:row r="13">
      <x:c r="A13" s="31" t="str">
        <x:v>2026-08-25</x:v>
      </x:c>
      <x:c r="B13" s="31" t="str">
        <x:v>A25-S11</x:v>
      </x:c>
      <x:c r="C13" s="31" t="str">
        <x:v>Rafael Devers</x:v>
      </x:c>
      <x:c r="D13" s="31" t="str">
        <x:v>HR</x:v>
      </x:c>
      <x:c r="E13" s="31" t="str">
        <x:v>HR</x:v>
      </x:c>
      <x:c r="F13" s="31" t="str">
        <x:v>Win</x:v>
      </x:c>
      <x:c r="G13" s="31" t="str">
        <x:v>MISSED OPPORTUNITY: source HR candidate homered</x:v>
      </x:c>
      <x:c r="H13" s="31" t="str">
        <x:v>Backfill is incomplete: this sheet currently contains only qualified candidates whose outcomes were explicitly verified/discussed.</x:v>
      </x:c>
    </x:row>
    <x:row r="14">
      <x:c r="A14" s="31" t="str">
        <x:v>2026-08-25</x:v>
      </x:c>
      <x:c r="B14" s="31" t="str">
        <x:v>A25-S12</x:v>
      </x:c>
      <x:c r="C14" s="31" t="str">
        <x:v>Yordan Alvarez</x:v>
      </x:c>
      <x:c r="D14" s="31" t="str">
        <x:v>HR</x:v>
      </x:c>
      <x:c r="E14" s="31" t="str">
        <x:v>HR</x:v>
      </x:c>
      <x:c r="F14" s="31" t="str">
        <x:v>Loss</x:v>
      </x:c>
      <x:c r="G14" s="31" t="str">
        <x:v>Market-conversion win: HR missed while our 2+ TB won</x:v>
      </x:c>
      <x:c r="H14" s="31" t="str">
        <x:v>Backfill is incomplete: this sheet currently contains only qualified candidates whose outcomes were explicitly verified/discussed.</x:v>
      </x:c>
    </x:row>
    <x:row r="15">
      <x:c r="A15" s="31" t="str">
        <x:v>2026-08-27</x:v>
      </x:c>
      <x:c r="B15" s="31" t="str">
        <x:v>A27-R37</x:v>
      </x:c>
      <x:c r="C15" s="31" t="str">
        <x:v>Andrew Vaughn</x:v>
      </x:c>
      <x:c r="D15" s="31" t="str">
        <x:v>2+ H+R+RBI</x:v>
      </x:c>
      <x:c r="E15" s="31" t="str">
        <x:v>2+ HRR</x:v>
      </x:c>
      <x:c r="F15" s="31" t="str">
        <x:v>Win</x:v>
      </x:c>
      <x:c r="G15" s="31" t="str">
        <x:v>Original MLB promo candidate cleared with 3 HRR</x:v>
      </x:c>
      <x:c r="H15" s="31" t="str">
        <x:v>Adjustment did not improve hit outcome; Vaughn was removed mainly because valid SGPx structure required a same-game core.</x:v>
      </x:c>
    </x:row>
    <x:row r="16">
      <x:c r="A16" s="31" t="str">
        <x:v>2026-08-27</x:v>
      </x:c>
      <x:c r="B16" s="31" t="str">
        <x:v>A27-R46</x:v>
      </x:c>
      <x:c r="C16" s="31" t="str">
        <x:v>Gabriel Moreno</x:v>
      </x:c>
      <x:c r="D16" s="31" t="str">
        <x:v>2+ H+R+RBI</x:v>
      </x:c>
      <x:c r="E16" s="31" t="str">
        <x:v>2+ HRR</x:v>
      </x:c>
      <x:c r="F16" s="31" t="str">
        <x:v>Win</x:v>
      </x:c>
      <x:c r="G16" s="31" t="str">
        <x:v>Original MLB promo candidate cleared with 3 HRR</x:v>
      </x:c>
      <x:c r="H16" s="31" t="str">
        <x:v>Same lesson: preserve original selection quality separately from promo-structure correction.</x:v>
      </x:c>
    </x:row>
    <x:row r="17">
      <x:c r="A17" s="31" t="str">
        <x:v>2026-08-27</x:v>
      </x:c>
      <x:c r="B17" s="31" t="str">
        <x:v>A27-R03</x:v>
      </x:c>
      <x:c r="C17" s="31" t="str">
        <x:v>Alec Burleson</x:v>
      </x:c>
      <x:c r="D17" s="31" t="str">
        <x:v>1+ Hit</x:v>
      </x:c>
      <x:c r="E17" s="31" t="str">
        <x:v>1+ hit</x:v>
      </x:c>
      <x:c r="F17" s="31" t="str">
        <x:v>Win</x:v>
      </x:c>
      <x:c r="G17" s="31" t="str">
        <x:v>Source hit candidate won despite platoon downgrade</x:v>
      </x:c>
      <x:c r="H17" s="31" t="str">
        <x:v>Do not turn platoon adjustment into binary rejection; price/probability still matter.</x:v>
      </x:c>
    </x:row>
    <x:row r="18">
      <x:c r="A18" s="31" t="str">
        <x:v>2026-08-27</x:v>
      </x:c>
      <x:c r="B18" s="31" t="str">
        <x:v>A27-R13</x:v>
      </x:c>
      <x:c r="C18" s="31" t="str">
        <x:v>Jeremy Peña</x:v>
      </x:c>
      <x:c r="D18" s="31" t="str">
        <x:v>HR</x:v>
      </x:c>
      <x:c r="E18" s="31" t="str">
        <x:v>HR +591</x:v>
      </x:c>
      <x:c r="F18" s="31" t="str">
        <x:v>Win</x:v>
      </x:c>
      <x:c r="G18" s="31" t="str">
        <x:v>Source HR model caught a longshot that matchup filtering downgraded</x:v>
      </x:c>
      <x:c r="H18" s="31" t="str">
        <x:v>Single HR outcome is very high variance; keep source model in paper/control rather than blindly tailing.</x:v>
      </x:c>
    </x:row>
    <x:row r="19">
      <x:c r="A19" s="31" t="str">
        <x:v>2026-08-27</x:v>
      </x:c>
      <x:c r="B19" s="31" t="str">
        <x:v>A27-R17</x:v>
      </x:c>
      <x:c r="C19" s="31" t="str">
        <x:v>Barcelona</x:v>
      </x:c>
      <x:c r="D19" s="31" t="str">
        <x:v>7+ Team SOT</x:v>
      </x:c>
      <x:c r="E19" s="31" t="str">
        <x:v>7+ SOT -125</x:v>
      </x:c>
      <x:c r="F19" s="31" t="str">
        <x:v>Win</x:v>
      </x:c>
      <x:c r="G19" s="31" t="str">
        <x:v>Source POTD reached 10 SOT</x:v>
      </x:c>
      <x:c r="H19" s="31" t="str">
        <x:v>A winning paper does not prove -125 was +EV; continue price-adjusted sampling.</x:v>
      </x:c>
    </x:row>
    <x:row r="20">
      <x:c r="A20" s="31"/>
      <x:c r="B20" s="31"/>
      <x:c r="C20" s="31"/>
      <x:c r="D20" s="31"/>
      <x:c r="E20" s="31"/>
      <x:c r="F20" s="31"/>
      <x:c r="G20" s="31"/>
      <x:c r="H20" s="31"/>
    </x:row>
    <x:row r="21">
      <x:c r="A21" s="31"/>
      <x:c r="B21" s="31"/>
      <x:c r="C21" s="31"/>
      <x:c r="D21" s="31"/>
      <x:c r="E21" s="31"/>
      <x:c r="F21" s="31"/>
      <x:c r="G21" s="31"/>
      <x:c r="H21" s="31"/>
    </x:row>
    <x:row r="22">
      <x:c r="A22" s="31"/>
      <x:c r="B22" s="31"/>
      <x:c r="C22" s="31"/>
      <x:c r="D22" s="31"/>
      <x:c r="E22" s="31"/>
      <x:c r="F22" s="31"/>
      <x:c r="G22" s="31"/>
      <x:c r="H22" s="31"/>
    </x:row>
    <x:row r="23">
      <x:c r="A23" s="31"/>
      <x:c r="B23" s="31"/>
      <x:c r="C23" s="31"/>
      <x:c r="D23" s="31"/>
      <x:c r="E23" s="31"/>
      <x:c r="F23" s="31"/>
      <x:c r="G23" s="31"/>
      <x:c r="H23" s="31"/>
    </x:row>
    <x:row r="24">
      <x:c r="A24" s="31"/>
      <x:c r="B24" s="31"/>
      <x:c r="C24" s="31"/>
      <x:c r="D24" s="31"/>
      <x:c r="E24" s="31"/>
      <x:c r="F24" s="31"/>
      <x:c r="G24" s="31"/>
      <x:c r="H24" s="31"/>
    </x:row>
    <x:row r="25">
      <x:c r="A25" s="31"/>
      <x:c r="B25" s="31"/>
      <x:c r="C25" s="31"/>
      <x:c r="D25" s="31"/>
      <x:c r="E25" s="31"/>
      <x:c r="F25" s="31"/>
      <x:c r="G25" s="31"/>
      <x:c r="H25" s="31"/>
    </x:row>
    <x:row r="26">
      <x:c r="A26" s="31"/>
      <x:c r="B26" s="31"/>
      <x:c r="C26" s="31"/>
      <x:c r="D26" s="31"/>
      <x:c r="E26" s="31"/>
      <x:c r="F26" s="31"/>
      <x:c r="G26" s="31"/>
      <x:c r="H26" s="31"/>
    </x:row>
    <x:row r="27">
      <x:c r="A27" s="31"/>
      <x:c r="B27" s="31"/>
      <x:c r="C27" s="31"/>
      <x:c r="D27" s="31"/>
      <x:c r="E27" s="31"/>
      <x:c r="F27" s="31"/>
      <x:c r="G27" s="31"/>
      <x:c r="H27" s="31"/>
    </x:row>
    <x:row r="28">
      <x:c r="A28" s="31"/>
      <x:c r="B28" s="31"/>
      <x:c r="C28" s="31"/>
      <x:c r="D28" s="31"/>
      <x:c r="E28" s="31"/>
      <x:c r="F28" s="31"/>
      <x:c r="G28" s="31"/>
      <x:c r="H28" s="31"/>
    </x:row>
    <x:row r="29">
      <x:c r="A29" s="31"/>
      <x:c r="B29" s="31"/>
      <x:c r="C29" s="31"/>
      <x:c r="D29" s="31"/>
      <x:c r="E29" s="31"/>
      <x:c r="F29" s="31"/>
      <x:c r="G29" s="31"/>
      <x:c r="H29" s="31"/>
    </x:row>
    <x:row r="30">
      <x:c r="A30" s="31"/>
      <x:c r="B30" s="31"/>
      <x:c r="C30" s="31"/>
      <x:c r="D30" s="31"/>
      <x:c r="E30" s="31"/>
      <x:c r="F30" s="31"/>
      <x:c r="G30" s="31"/>
      <x:c r="H30" s="31"/>
    </x:row>
    <x:row r="31">
      <x:c r="A31" s="31"/>
      <x:c r="B31" s="31"/>
      <x:c r="C31" s="31"/>
      <x:c r="D31" s="31"/>
      <x:c r="E31" s="31"/>
      <x:c r="F31" s="31"/>
      <x:c r="G31" s="31"/>
      <x:c r="H31" s="31"/>
    </x:row>
    <x:row r="32">
      <x:c r="A32" s="31"/>
      <x:c r="B32" s="31"/>
      <x:c r="C32" s="31"/>
      <x:c r="D32" s="31"/>
      <x:c r="E32" s="31"/>
      <x:c r="F32" s="31"/>
      <x:c r="G32" s="31"/>
      <x:c r="H32" s="31"/>
    </x:row>
    <x:row r="33">
      <x:c r="A33" s="31"/>
      <x:c r="B33" s="31"/>
      <x:c r="C33" s="31"/>
      <x:c r="D33" s="31"/>
      <x:c r="E33" s="31"/>
      <x:c r="F33" s="31"/>
      <x:c r="G33" s="31"/>
      <x:c r="H33" s="31"/>
    </x:row>
    <x:row r="34">
      <x:c r="A34" s="31"/>
      <x:c r="B34" s="31"/>
      <x:c r="C34" s="31"/>
      <x:c r="D34" s="31"/>
      <x:c r="E34" s="31"/>
      <x:c r="F34" s="31"/>
      <x:c r="G34" s="31"/>
      <x:c r="H34" s="31"/>
    </x:row>
    <x:row r="35">
      <x:c r="A35" s="31"/>
      <x:c r="B35" s="31"/>
      <x:c r="C35" s="31"/>
      <x:c r="D35" s="31"/>
      <x:c r="E35" s="31"/>
      <x:c r="F35" s="31"/>
      <x:c r="G35" s="31"/>
      <x:c r="H35" s="31"/>
    </x:row>
    <x:row r="36">
      <x:c r="A36" s="31"/>
      <x:c r="B36" s="31"/>
      <x:c r="C36" s="31"/>
      <x:c r="D36" s="31"/>
      <x:c r="E36" s="31"/>
      <x:c r="F36" s="31"/>
      <x:c r="G36" s="31"/>
      <x:c r="H36" s="31"/>
    </x:row>
    <x:row r="37">
      <x:c r="A37" s="31"/>
      <x:c r="B37" s="31"/>
      <x:c r="C37" s="31"/>
      <x:c r="D37" s="31"/>
      <x:c r="E37" s="31"/>
      <x:c r="F37" s="31"/>
      <x:c r="G37" s="31"/>
      <x:c r="H37" s="31"/>
    </x:row>
    <x:row r="38">
      <x:c r="A38" s="31"/>
      <x:c r="B38" s="31"/>
      <x:c r="C38" s="31"/>
      <x:c r="D38" s="31"/>
      <x:c r="E38" s="31"/>
      <x:c r="F38" s="31"/>
      <x:c r="G38" s="31"/>
      <x:c r="H38" s="31"/>
    </x:row>
    <x:row r="39">
      <x:c r="A39" s="31"/>
      <x:c r="B39" s="31"/>
      <x:c r="C39" s="31"/>
      <x:c r="D39" s="31"/>
      <x:c r="E39" s="31"/>
      <x:c r="F39" s="31"/>
      <x:c r="G39" s="31"/>
      <x:c r="H39" s="31"/>
    </x:row>
    <x:row r="40">
      <x:c r="A40" s="31"/>
      <x:c r="B40" s="31"/>
      <x:c r="C40" s="31"/>
      <x:c r="D40" s="31"/>
      <x:c r="E40" s="31"/>
      <x:c r="F40" s="31"/>
      <x:c r="G40" s="31"/>
      <x:c r="H40" s="31"/>
    </x:row>
    <x:row r="41">
      <x:c r="A41" s="31"/>
      <x:c r="B41" s="31"/>
      <x:c r="C41" s="31"/>
      <x:c r="D41" s="31"/>
      <x:c r="E41" s="31"/>
      <x:c r="F41" s="31"/>
      <x:c r="G41" s="31"/>
      <x:c r="H41" s="31"/>
    </x:row>
    <x:row r="42">
      <x:c r="A42" s="31"/>
      <x:c r="B42" s="31"/>
      <x:c r="C42" s="31"/>
      <x:c r="D42" s="31"/>
      <x:c r="E42" s="31"/>
      <x:c r="F42" s="31"/>
      <x:c r="G42" s="31"/>
      <x:c r="H42" s="31"/>
    </x:row>
    <x:row r="43">
      <x:c r="A43" s="31"/>
      <x:c r="B43" s="31"/>
      <x:c r="C43" s="31"/>
      <x:c r="D43" s="31"/>
      <x:c r="E43" s="31"/>
      <x:c r="F43" s="31"/>
      <x:c r="G43" s="31"/>
      <x:c r="H43" s="31"/>
    </x:row>
    <x:row r="44">
      <x:c r="A44" s="31"/>
      <x:c r="B44" s="31"/>
      <x:c r="C44" s="31"/>
      <x:c r="D44" s="31"/>
      <x:c r="E44" s="31"/>
      <x:c r="F44" s="31"/>
      <x:c r="G44" s="31"/>
      <x:c r="H44" s="31"/>
    </x:row>
    <x:row r="45">
      <x:c r="A45" s="31"/>
      <x:c r="B45" s="31"/>
      <x:c r="C45" s="31"/>
      <x:c r="D45" s="31"/>
      <x:c r="E45" s="31"/>
      <x:c r="F45" s="31"/>
      <x:c r="G45" s="31"/>
      <x:c r="H45" s="31"/>
    </x:row>
    <x:row r="46">
      <x:c r="A46" s="31"/>
      <x:c r="B46" s="31"/>
      <x:c r="C46" s="31"/>
      <x:c r="D46" s="31"/>
      <x:c r="E46" s="31"/>
      <x:c r="F46" s="31"/>
      <x:c r="G46" s="31"/>
      <x:c r="H46" s="31"/>
    </x:row>
    <x:row r="47">
      <x:c r="A47" s="31"/>
      <x:c r="B47" s="31"/>
      <x:c r="C47" s="31"/>
      <x:c r="D47" s="31"/>
      <x:c r="E47" s="31"/>
      <x:c r="F47" s="31"/>
      <x:c r="G47" s="31"/>
      <x:c r="H47" s="31"/>
    </x:row>
    <x:row r="48">
      <x:c r="A48" s="31"/>
      <x:c r="B48" s="31"/>
      <x:c r="C48" s="31"/>
      <x:c r="D48" s="31"/>
      <x:c r="E48" s="31"/>
      <x:c r="F48" s="31"/>
      <x:c r="G48" s="31"/>
      <x:c r="H48" s="31"/>
    </x:row>
    <x:row r="49">
      <x:c r="A49" s="31"/>
      <x:c r="B49" s="31"/>
      <x:c r="C49" s="31"/>
      <x:c r="D49" s="31"/>
      <x:c r="E49" s="31"/>
      <x:c r="F49" s="31"/>
      <x:c r="G49" s="31"/>
      <x:c r="H49" s="31"/>
    </x:row>
    <x:row r="50">
      <x:c r="A50" s="31"/>
      <x:c r="B50" s="31"/>
      <x:c r="C50" s="31"/>
      <x:c r="D50" s="31"/>
      <x:c r="E50" s="31"/>
      <x:c r="F50" s="31"/>
      <x:c r="G50" s="31"/>
      <x:c r="H50" s="31"/>
    </x:row>
    <x:row r="51">
      <x:c r="A51" s="31"/>
      <x:c r="B51" s="31"/>
      <x:c r="C51" s="31"/>
      <x:c r="D51" s="31"/>
      <x:c r="E51" s="31"/>
      <x:c r="F51" s="31"/>
      <x:c r="G51" s="31"/>
      <x:c r="H51" s="31"/>
    </x:row>
    <x:row r="52">
      <x:c r="A52" s="31"/>
      <x:c r="B52" s="31"/>
      <x:c r="C52" s="31"/>
      <x:c r="D52" s="31"/>
      <x:c r="E52" s="31"/>
      <x:c r="F52" s="31"/>
      <x:c r="G52" s="31"/>
      <x:c r="H52" s="31"/>
    </x:row>
    <x:row r="53">
      <x:c r="A53" s="31"/>
      <x:c r="B53" s="31"/>
      <x:c r="C53" s="31"/>
      <x:c r="D53" s="31"/>
      <x:c r="E53" s="31"/>
      <x:c r="F53" s="31"/>
      <x:c r="G53" s="31"/>
      <x:c r="H53" s="31"/>
    </x:row>
    <x:row r="54">
      <x:c r="A54" s="31"/>
      <x:c r="B54" s="31"/>
      <x:c r="C54" s="31"/>
      <x:c r="D54" s="31"/>
      <x:c r="E54" s="31"/>
      <x:c r="F54" s="31"/>
      <x:c r="G54" s="31"/>
      <x:c r="H54" s="31"/>
    </x:row>
    <x:row r="55">
      <x:c r="A55" s="31"/>
      <x:c r="B55" s="31"/>
      <x:c r="C55" s="31"/>
      <x:c r="D55" s="31"/>
      <x:c r="E55" s="31"/>
      <x:c r="F55" s="31"/>
      <x:c r="G55" s="31"/>
      <x:c r="H55" s="31"/>
    </x:row>
    <x:row r="56">
      <x:c r="A56" s="31"/>
      <x:c r="B56" s="31"/>
      <x:c r="C56" s="31"/>
      <x:c r="D56" s="31"/>
      <x:c r="E56" s="31"/>
      <x:c r="F56" s="31"/>
      <x:c r="G56" s="31"/>
      <x:c r="H56" s="31"/>
    </x:row>
    <x:row r="57">
      <x:c r="A57" s="31"/>
      <x:c r="B57" s="31"/>
      <x:c r="C57" s="31"/>
      <x:c r="D57" s="31"/>
      <x:c r="E57" s="31"/>
      <x:c r="F57" s="31"/>
      <x:c r="G57" s="31"/>
      <x:c r="H57" s="31"/>
    </x:row>
    <x:row r="58">
      <x:c r="A58" s="31"/>
      <x:c r="B58" s="31"/>
      <x:c r="C58" s="31"/>
      <x:c r="D58" s="31"/>
      <x:c r="E58" s="31"/>
      <x:c r="F58" s="31"/>
      <x:c r="G58" s="31"/>
      <x:c r="H58" s="31"/>
    </x:row>
    <x:row r="59">
      <x:c r="A59" s="31"/>
      <x:c r="B59" s="31"/>
      <x:c r="C59" s="31"/>
      <x:c r="D59" s="31"/>
      <x:c r="E59" s="31"/>
      <x:c r="F59" s="31"/>
      <x:c r="G59" s="31"/>
      <x:c r="H59" s="31"/>
    </x:row>
    <x:row r="60">
      <x:c r="A60" s="31"/>
      <x:c r="B60" s="31"/>
      <x:c r="C60" s="31"/>
      <x:c r="D60" s="31"/>
      <x:c r="E60" s="31"/>
      <x:c r="F60" s="31"/>
      <x:c r="G60" s="31"/>
      <x:c r="H60" s="31"/>
    </x:row>
    <x:row r="61">
      <x:c r="A61" s="31"/>
      <x:c r="B61" s="31"/>
      <x:c r="C61" s="31"/>
      <x:c r="D61" s="31"/>
      <x:c r="E61" s="31"/>
      <x:c r="F61" s="31"/>
      <x:c r="G61" s="31"/>
      <x:c r="H61" s="31"/>
    </x:row>
    <x:row r="62">
      <x:c r="A62" s="31"/>
      <x:c r="B62" s="31"/>
      <x:c r="C62" s="31"/>
      <x:c r="D62" s="31"/>
      <x:c r="E62" s="31"/>
      <x:c r="F62" s="31"/>
      <x:c r="G62" s="31"/>
      <x:c r="H62" s="31"/>
    </x:row>
    <x:row r="63">
      <x:c r="A63" s="31"/>
      <x:c r="B63" s="31"/>
      <x:c r="C63" s="31"/>
      <x:c r="D63" s="31"/>
      <x:c r="E63" s="31"/>
      <x:c r="F63" s="31"/>
      <x:c r="G63" s="31"/>
      <x:c r="H63" s="31"/>
    </x:row>
    <x:row r="64">
      <x:c r="A64" s="31"/>
      <x:c r="B64" s="31"/>
      <x:c r="C64" s="31"/>
      <x:c r="D64" s="31"/>
      <x:c r="E64" s="31"/>
      <x:c r="F64" s="31"/>
      <x:c r="G64" s="31"/>
      <x:c r="H64" s="31"/>
    </x:row>
    <x:row r="65">
      <x:c r="A65" s="31"/>
      <x:c r="B65" s="31"/>
      <x:c r="C65" s="31"/>
      <x:c r="D65" s="31"/>
      <x:c r="E65" s="31"/>
      <x:c r="F65" s="31"/>
      <x:c r="G65" s="31"/>
      <x:c r="H65" s="31"/>
    </x:row>
    <x:row r="66">
      <x:c r="A66" s="31"/>
      <x:c r="B66" s="31"/>
      <x:c r="C66" s="31"/>
      <x:c r="D66" s="31"/>
      <x:c r="E66" s="31"/>
      <x:c r="F66" s="31"/>
      <x:c r="G66" s="31"/>
      <x:c r="H66" s="31"/>
    </x:row>
    <x:row r="67">
      <x:c r="A67" s="31"/>
      <x:c r="B67" s="31"/>
      <x:c r="C67" s="31"/>
      <x:c r="D67" s="31"/>
      <x:c r="E67" s="31"/>
      <x:c r="F67" s="31"/>
      <x:c r="G67" s="31"/>
      <x:c r="H67" s="31"/>
    </x:row>
    <x:row r="68">
      <x:c r="A68" s="31"/>
      <x:c r="B68" s="31"/>
      <x:c r="C68" s="31"/>
      <x:c r="D68" s="31"/>
      <x:c r="E68" s="31"/>
      <x:c r="F68" s="31"/>
      <x:c r="G68" s="31"/>
      <x:c r="H68" s="31"/>
    </x:row>
    <x:row r="69">
      <x:c r="A69" s="31"/>
      <x:c r="B69" s="31"/>
      <x:c r="C69" s="31"/>
      <x:c r="D69" s="31"/>
      <x:c r="E69" s="31"/>
      <x:c r="F69" s="31"/>
      <x:c r="G69" s="31"/>
      <x:c r="H69" s="31"/>
    </x:row>
    <x:row r="70">
      <x:c r="A70" s="31"/>
      <x:c r="B70" s="31"/>
      <x:c r="C70" s="31"/>
      <x:c r="D70" s="31"/>
      <x:c r="E70" s="31"/>
      <x:c r="F70" s="31"/>
      <x:c r="G70" s="31"/>
      <x:c r="H70" s="31"/>
    </x:row>
    <x:row r="71">
      <x:c r="A71" s="31"/>
      <x:c r="B71" s="31"/>
      <x:c r="C71" s="31"/>
      <x:c r="D71" s="31"/>
      <x:c r="E71" s="31"/>
      <x:c r="F71" s="31"/>
      <x:c r="G71" s="31"/>
      <x:c r="H71" s="31"/>
    </x:row>
    <x:row r="72">
      <x:c r="A72" s="31"/>
      <x:c r="B72" s="31"/>
      <x:c r="C72" s="31"/>
      <x:c r="D72" s="31"/>
      <x:c r="E72" s="31"/>
      <x:c r="F72" s="31"/>
      <x:c r="G72" s="31"/>
      <x:c r="H72" s="31"/>
    </x:row>
    <x:row r="73">
      <x:c r="A73" s="31"/>
      <x:c r="B73" s="31"/>
      <x:c r="C73" s="31"/>
      <x:c r="D73" s="31"/>
      <x:c r="E73" s="31"/>
      <x:c r="F73" s="31"/>
      <x:c r="G73" s="31"/>
      <x:c r="H73" s="31"/>
    </x:row>
    <x:row r="74">
      <x:c r="A74" s="31"/>
      <x:c r="B74" s="31"/>
      <x:c r="C74" s="31"/>
      <x:c r="D74" s="31"/>
      <x:c r="E74" s="31"/>
      <x:c r="F74" s="31"/>
      <x:c r="G74" s="31"/>
      <x:c r="H74" s="31"/>
    </x:row>
    <x:row r="75">
      <x:c r="A75" s="31"/>
      <x:c r="B75" s="31"/>
      <x:c r="C75" s="31"/>
      <x:c r="D75" s="31"/>
      <x:c r="E75" s="31"/>
      <x:c r="F75" s="31"/>
      <x:c r="G75" s="31"/>
      <x:c r="H75" s="31"/>
    </x:row>
    <x:row r="76">
      <x:c r="A76" s="31"/>
      <x:c r="B76" s="31"/>
      <x:c r="C76" s="31"/>
      <x:c r="D76" s="31"/>
      <x:c r="E76" s="31"/>
      <x:c r="F76" s="31"/>
      <x:c r="G76" s="31"/>
      <x:c r="H76" s="31"/>
    </x:row>
    <x:row r="77">
      <x:c r="A77" s="31"/>
      <x:c r="B77" s="31"/>
      <x:c r="C77" s="31"/>
      <x:c r="D77" s="31"/>
      <x:c r="E77" s="31"/>
      <x:c r="F77" s="31"/>
      <x:c r="G77" s="31"/>
      <x:c r="H77" s="31"/>
    </x:row>
    <x:row r="78">
      <x:c r="A78" s="31"/>
      <x:c r="B78" s="31"/>
      <x:c r="C78" s="31"/>
      <x:c r="D78" s="31"/>
      <x:c r="E78" s="31"/>
      <x:c r="F78" s="31"/>
      <x:c r="G78" s="31"/>
      <x:c r="H78" s="31"/>
    </x:row>
    <x:row r="79">
      <x:c r="A79" s="31"/>
      <x:c r="B79" s="31"/>
      <x:c r="C79" s="31"/>
      <x:c r="D79" s="31"/>
      <x:c r="E79" s="31"/>
      <x:c r="F79" s="31"/>
      <x:c r="G79" s="31"/>
      <x:c r="H79" s="31"/>
    </x:row>
    <x:row r="80">
      <x:c r="A80" s="31"/>
      <x:c r="B80" s="31"/>
      <x:c r="C80" s="31"/>
      <x:c r="D80" s="31"/>
      <x:c r="E80" s="31"/>
      <x:c r="F80" s="31"/>
      <x:c r="G80" s="31"/>
      <x:c r="H80" s="31"/>
    </x:row>
    <x:row r="81">
      <x:c r="A81" s="31"/>
      <x:c r="B81" s="31"/>
      <x:c r="C81" s="31"/>
      <x:c r="D81" s="31"/>
      <x:c r="E81" s="31"/>
      <x:c r="F81" s="31"/>
      <x:c r="G81" s="31"/>
      <x:c r="H81" s="31"/>
    </x:row>
    <x:row r="82">
      <x:c r="A82" s="31"/>
      <x:c r="B82" s="31"/>
      <x:c r="C82" s="31"/>
      <x:c r="D82" s="31"/>
      <x:c r="E82" s="31"/>
      <x:c r="F82" s="31"/>
      <x:c r="G82" s="31"/>
      <x:c r="H82" s="31"/>
    </x:row>
    <x:row r="83">
      <x:c r="A83" s="31"/>
      <x:c r="B83" s="31"/>
      <x:c r="C83" s="31"/>
      <x:c r="D83" s="31"/>
      <x:c r="E83" s="31"/>
      <x:c r="F83" s="31"/>
      <x:c r="G83" s="31"/>
      <x:c r="H83" s="31"/>
    </x:row>
    <x:row r="84">
      <x:c r="A84" s="31"/>
      <x:c r="B84" s="31"/>
      <x:c r="C84" s="31"/>
      <x:c r="D84" s="31"/>
      <x:c r="E84" s="31"/>
      <x:c r="F84" s="31"/>
      <x:c r="G84" s="31"/>
      <x:c r="H84" s="31"/>
    </x:row>
    <x:row r="85">
      <x:c r="A85" s="31"/>
      <x:c r="B85" s="31"/>
      <x:c r="C85" s="31"/>
      <x:c r="D85" s="31"/>
      <x:c r="E85" s="31"/>
      <x:c r="F85" s="31"/>
      <x:c r="G85" s="31"/>
      <x:c r="H85" s="31"/>
    </x:row>
    <x:row r="86">
      <x:c r="A86" s="31"/>
      <x:c r="B86" s="31"/>
      <x:c r="C86" s="31"/>
      <x:c r="D86" s="31"/>
      <x:c r="E86" s="31"/>
      <x:c r="F86" s="31"/>
      <x:c r="G86" s="31"/>
      <x:c r="H86" s="31"/>
    </x:row>
    <x:row r="87">
      <x:c r="A87" s="31"/>
      <x:c r="B87" s="31"/>
      <x:c r="C87" s="31"/>
      <x:c r="D87" s="31"/>
      <x:c r="E87" s="31"/>
      <x:c r="F87" s="31"/>
      <x:c r="G87" s="31"/>
      <x:c r="H87" s="31"/>
    </x:row>
    <x:row r="88">
      <x:c r="A88" s="31"/>
      <x:c r="B88" s="31"/>
      <x:c r="C88" s="31"/>
      <x:c r="D88" s="31"/>
      <x:c r="E88" s="31"/>
      <x:c r="F88" s="31"/>
      <x:c r="G88" s="31"/>
      <x:c r="H88" s="31"/>
    </x:row>
    <x:row r="89">
      <x:c r="A89" s="31"/>
      <x:c r="B89" s="31"/>
      <x:c r="C89" s="31"/>
      <x:c r="D89" s="31"/>
      <x:c r="E89" s="31"/>
      <x:c r="F89" s="31"/>
      <x:c r="G89" s="31"/>
      <x:c r="H89" s="31"/>
    </x:row>
    <x:row r="90">
      <x:c r="A90" s="31"/>
      <x:c r="B90" s="31"/>
      <x:c r="C90" s="31"/>
      <x:c r="D90" s="31"/>
      <x:c r="E90" s="31"/>
      <x:c r="F90" s="31"/>
      <x:c r="G90" s="31"/>
      <x:c r="H90" s="31"/>
    </x:row>
    <x:row r="91">
      <x:c r="A91" s="31"/>
      <x:c r="B91" s="31"/>
      <x:c r="C91" s="31"/>
      <x:c r="D91" s="31"/>
      <x:c r="E91" s="31"/>
      <x:c r="F91" s="31"/>
      <x:c r="G91" s="31"/>
      <x:c r="H91" s="31"/>
    </x:row>
    <x:row r="92">
      <x:c r="A92" s="31"/>
      <x:c r="B92" s="31"/>
      <x:c r="C92" s="31"/>
      <x:c r="D92" s="31"/>
      <x:c r="E92" s="31"/>
      <x:c r="F92" s="31"/>
      <x:c r="G92" s="31"/>
      <x:c r="H92" s="31"/>
    </x:row>
    <x:row r="93">
      <x:c r="A93" s="31"/>
      <x:c r="B93" s="31"/>
      <x:c r="C93" s="31"/>
      <x:c r="D93" s="31"/>
      <x:c r="E93" s="31"/>
      <x:c r="F93" s="31"/>
      <x:c r="G93" s="31"/>
      <x:c r="H93" s="31"/>
    </x:row>
    <x:row r="94">
      <x:c r="A94" s="31"/>
      <x:c r="B94" s="31"/>
      <x:c r="C94" s="31"/>
      <x:c r="D94" s="31"/>
      <x:c r="E94" s="31"/>
      <x:c r="F94" s="31"/>
      <x:c r="G94" s="31"/>
      <x:c r="H94" s="31"/>
    </x:row>
    <x:row r="95">
      <x:c r="A95" s="31"/>
      <x:c r="B95" s="31"/>
      <x:c r="C95" s="31"/>
      <x:c r="D95" s="31"/>
      <x:c r="E95" s="31"/>
      <x:c r="F95" s="31"/>
      <x:c r="G95" s="31"/>
      <x:c r="H95" s="31"/>
    </x:row>
    <x:row r="96">
      <x:c r="A96" s="31"/>
      <x:c r="B96" s="31"/>
      <x:c r="C96" s="31"/>
      <x:c r="D96" s="31"/>
      <x:c r="E96" s="31"/>
      <x:c r="F96" s="31"/>
      <x:c r="G96" s="31"/>
      <x:c r="H96" s="31"/>
    </x:row>
    <x:row r="97">
      <x:c r="A97" s="31"/>
      <x:c r="B97" s="31"/>
      <x:c r="C97" s="31"/>
      <x:c r="D97" s="31"/>
      <x:c r="E97" s="31"/>
      <x:c r="F97" s="31"/>
      <x:c r="G97" s="31"/>
      <x:c r="H97" s="31"/>
    </x:row>
    <x:row r="98">
      <x:c r="A98" s="31"/>
      <x:c r="B98" s="31"/>
      <x:c r="C98" s="31"/>
      <x:c r="D98" s="31"/>
      <x:c r="E98" s="31"/>
      <x:c r="F98" s="31"/>
      <x:c r="G98" s="31"/>
      <x:c r="H98" s="31"/>
    </x:row>
    <x:row r="99">
      <x:c r="A99" s="31"/>
      <x:c r="B99" s="31"/>
      <x:c r="C99" s="31"/>
      <x:c r="D99" s="31"/>
      <x:c r="E99" s="31"/>
      <x:c r="F99" s="31"/>
      <x:c r="G99" s="31"/>
      <x:c r="H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</x:row>
  </x:sheetData>
  <x:conditionalFormatting sqref="F2:F14">
    <x:cfRule type="expression" dxfId="4" priority="1">
      <x:formula>F2="Win"</x:formula>
    </x:cfRule>
    <x:cfRule type="expression" dxfId="5" priority="2">
      <x:formula>F2="Loss"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41998477db461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30" hidden="0" customWidth="1"/>
    <x:col min="5" max="5" width="26" hidden="0" customWidth="1"/>
    <x:col min="6" max="6" width="42" hidden="0" customWidth="1"/>
  </x:cols>
  <x:sheetData>
    <x:row r="1">
      <x:c r="A1" s="71" t="str">
        <x:v>Date</x:v>
      </x:c>
      <x:c r="B1" s="71" t="str">
        <x:v>Candidate Inventory</x:v>
      </x:c>
      <x:c r="C1" s="71" t="str">
        <x:v>Ticket Inventory</x:v>
      </x:c>
      <x:c r="D1" s="71" t="str">
        <x:v>Outcome Coverage</x:v>
      </x:c>
      <x:c r="E1" s="71" t="str">
        <x:v>Usable for Market Hit Rates?</x:v>
      </x:c>
      <x:c r="F1" s="71" t="str">
        <x:v>Next Action</x:v>
      </x:c>
    </x:row>
    <x:row r="2">
      <x:c r="A2" s="31" t="str">
        <x:v>2026-08-22</x:v>
      </x:c>
      <x:c r="B2" s="31" t="str">
        <x:v>Captured from project history</x:v>
      </x:c>
      <x:c r="C2" s="31" t="str">
        <x:v>Captured core card</x:v>
      </x:c>
      <x:c r="D2" s="31" t="str">
        <x:v>Incomplete</x:v>
      </x:c>
      <x:c r="E2" s="31" t="str">
        <x:v>Verified rows only</x:v>
      </x:c>
      <x:c r="F2" s="31" t="str">
        <x:v>Reconcile old result screenshots / exact matchups</x:v>
      </x:c>
    </x:row>
    <x:row r="3">
      <x:c r="A3" s="31" t="str">
        <x:v>2026-08-23</x:v>
      </x:c>
      <x:c r="B3" s="31" t="str">
        <x:v>Captured from project history</x:v>
      </x:c>
      <x:c r="C3" s="31" t="str">
        <x:v>Captured MLB/WNBA core card</x:v>
      </x:c>
      <x:c r="D3" s="31" t="str">
        <x:v>Partial; multiple exact leg outcomes known</x:v>
      </x:c>
      <x:c r="E3" s="31" t="str">
        <x:v>Yes, verified rows only</x:v>
      </x:c>
      <x:c r="F3" s="31" t="str">
        <x:v>Fill remaining outcomes and exact WNBA/ATL-MIL markets</x:v>
      </x:c>
    </x:row>
    <x:row r="4">
      <x:c r="A4" s="31" t="str">
        <x:v>2026-08-24</x:v>
      </x:c>
      <x:c r="B4" s="31" t="str">
        <x:v>Complete</x:v>
      </x:c>
      <x:c r="C4" s="31" t="str">
        <x:v>Complete</x:v>
      </x:c>
      <x:c r="D4" s="31" t="str">
        <x:v>Complete</x:v>
      </x:c>
      <x:c r="E4" s="31" t="str">
        <x:v>Yes</x:v>
      </x:c>
      <x:c r="F4" s="31" t="str">
        <x:v>Use as full retrospective sample</x:v>
      </x:c>
    </x:row>
    <x:row r="5">
      <x:c r="A5" s="31" t="str">
        <x:v>2026-08-25</x:v>
      </x:c>
      <x:c r="B5" s="31" t="str">
        <x:v>Complete</x:v>
      </x:c>
      <x:c r="C5" s="31" t="str">
        <x:v>Complete</x:v>
      </x:c>
      <x:c r="D5" s="31" t="str">
        <x:v>Complete</x:v>
      </x:c>
      <x:c r="E5" s="31" t="str">
        <x:v>Yes</x:v>
      </x:c>
      <x:c r="F5" s="31" t="str">
        <x:v>Use as full retrospective sample</x:v>
      </x:c>
    </x:row>
    <x:row r="6">
      <x:c r="A6" s="31" t="str">
        <x:v>Policy</x:v>
      </x:c>
      <x:c r="B6" s="31" t="str">
        <x:v>Never infer unknown historical results</x:v>
      </x:c>
      <x:c r="C6" s="31"/>
      <x:c r="D6" s="31"/>
      <x:c r="E6" s="31"/>
      <x:c r="F6" s="31" t="str">
        <x:v>Prospective shadow board from next slate removes backfill bias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1" hidden="0" customWidth="1"/>
    <x:col min="5" max="5" width="9" hidden="0" customWidth="1"/>
    <x:col min="6" max="6" width="16" hidden="0" customWidth="1"/>
    <x:col min="7" max="7" width="20" hidden="0" customWidth="1"/>
    <x:col min="8" max="8" width="18" hidden="0" customWidth="1"/>
    <x:col min="9" max="9" width="26" hidden="0" customWidth="1"/>
    <x:col min="10" max="10" width="12" hidden="0" customWidth="1"/>
    <x:col min="11" max="11" width="12" hidden="0" customWidth="1"/>
    <x:col min="12" max="12" width="10" hidden="0" customWidth="1"/>
    <x:col min="13" max="13" width="38" hidden="0" customWidth="1"/>
    <x:col min="14" max="14" width="12" hidden="0" customWidth="1"/>
    <x:col min="15" max="15" width="10" hidden="0" customWidth="1"/>
    <x:col min="16" max="16" width="9" hidden="0" customWidth="1"/>
    <x:col min="17" max="17" width="11" hidden="0" customWidth="1"/>
    <x:col min="18" max="18" width="10" hidden="0" customWidth="1"/>
    <x:col min="19" max="19" width="12" hidden="0" customWidth="1"/>
    <x:col min="20" max="20" width="14" hidden="0" customWidth="1"/>
    <x:col min="21" max="21" width="34" hidden="0" customWidth="1"/>
    <x:col min="22" max="22" width="20" hidden="0" customWidth="1"/>
    <x:col min="23" max="23" width="13" hidden="0" customWidth="1"/>
    <x:col min="24" max="24" width="22" hidden="0" customWidth="1"/>
    <x:col min="25" max="25" width="18" hidden="0" customWidth="1"/>
    <x:col min="26" max="26" width="42" hidden="0" customWidth="1"/>
    <x:col min="27" max="27" width="42" hidden="0" customWidth="1"/>
    <x:col min="28" max="28" width="42" hidden="0" customWidth="1"/>
  </x:cols>
  <x:sheetData>
    <x:row r="1">
      <x:c r="A1" s="78" t="str">
        <x:v>Date</x:v>
      </x:c>
      <x:c r="B1" s="78" t="str">
        <x:v>Paper ID</x:v>
      </x:c>
      <x:c r="C1" s="78" t="str">
        <x:v>Candidate ID</x:v>
      </x:c>
      <x:c r="D1" s="78" t="str">
        <x:v>Portfolio</x:v>
      </x:c>
      <x:c r="E1" s="78" t="str">
        <x:v>Sport</x:v>
      </x:c>
      <x:c r="F1" s="78" t="str">
        <x:v>Game</x:v>
      </x:c>
      <x:c r="G1" s="78" t="str">
        <x:v>Entity</x:v>
      </x:c>
      <x:c r="H1" s="78" t="str">
        <x:v>Market Family</x:v>
      </x:c>
      <x:c r="I1" s="78" t="str">
        <x:v>Proposition</x:v>
      </x:c>
      <x:c r="J1" s="78" t="str">
        <x:v>Odds (American)</x:v>
      </x:c>
      <x:c r="K1" s="78" t="str">
        <x:v>Source Bucket</x:v>
      </x:c>
      <x:c r="L1" s="78" t="str">
        <x:v>Model Tier</x:v>
      </x:c>
      <x:c r="M1" s="78" t="str">
        <x:v>Why Qualified</x:v>
      </x:c>
      <x:c r="N1" s="78" t="str">
        <x:v>Actually Bet?</x:v>
      </x:c>
      <x:c r="O1" s="78" t="str">
        <x:v>Result</x:v>
      </x:c>
      <x:c r="P1" s="78" t="str">
        <x:v>Win</x:v>
      </x:c>
      <x:c r="Q1" s="78" t="str">
        <x:v>$1 Payout</x:v>
      </x:c>
      <x:c r="R1" s="78" t="str">
        <x:v>$1 P/L</x:v>
      </x:c>
      <x:c r="S1" s="78" t="str">
        <x:v>Closing Odds</x:v>
      </x:c>
      <x:c r="T1" s="78" t="str">
        <x:v>CLV (Imp Prob Δ)</x:v>
      </x:c>
      <x:c r="U1" s="78" t="str">
        <x:v>Notes</x:v>
      </x:c>
      <x:c r="V1" s="98" t="str">
        <x:v>Paper Pick Type</x:v>
      </x:c>
      <x:c r="W1" s="98" t="str">
        <x:v>Experiment ID</x:v>
      </x:c>
      <x:c r="X1" s="98" t="str">
        <x:v>Hypothesis Test Arm</x:v>
      </x:c>
      <x:c r="Y1" s="98" t="str">
        <x:v>Paired Candidate ID</x:v>
      </x:c>
      <x:c r="Z1" s="98" t="str">
        <x:v>Pre-Game Hypothesis</x:v>
      </x:c>
      <x:c r="AA1" s="98" t="str">
        <x:v>What Would Falsify It?</x:v>
      </x:c>
      <x:c r="AB1" s="98" t="str">
        <x:v>Post-Game Learning</x:v>
      </x:c>
    </x:row>
    <x:row r="2">
      <x:c r="A2" s="79" t="str">
        <x:v>2026-08-26</x:v>
      </x:c>
      <x:c r="B2" s="31" t="str">
        <x:v>P26-001</x:v>
      </x:c>
      <x:c r="C2" s="31" t="str">
        <x:v>A26-R04</x:v>
      </x:c>
      <x:c r="D2" s="31" t="str">
        <x:v>PAPER</x:v>
      </x:c>
      <x:c r="E2" s="31" t="str">
        <x:v>MLB</x:v>
      </x:c>
      <x:c r="F2" s="31" t="str">
        <x:v>TEX @ CHW</x:v>
      </x:c>
      <x:c r="G2" s="31" t="str">
        <x:v>Sean Burke</x:v>
      </x:c>
      <x:c r="H2" s="31" t="str">
        <x:v>Pitcher Outs</x:v>
      </x:c>
      <x:c r="I2" s="31" t="str">
        <x:v>Over 17.5 outs</x:v>
      </x:c>
      <x:c r="J2" s="80" t="str"/>
      <x:c r="K2" s="31" t="str">
        <x:v>SOURCED</x:v>
      </x:c>
      <x:c r="L2" s="31" t="str">
        <x:v>WATCH</x:v>
      </x:c>
      <x:c r="M2" s="31" t="str">
        <x:v>Test whether strong workload/quality signal is better expressed through outs.</x:v>
      </x:c>
      <x:c r="N2" s="31" t="str">
        <x:v>N</x:v>
      </x:c>
      <x:c r="O2" s="31" t="str">
        <x:v>Pending</x:v>
      </x:c>
      <x:c r="P2" s="31" t="str"/>
      <x:c r="Q2" s="33" t="str"/>
      <x:c r="R2" s="33" t="str"/>
      <x:c r="S2" s="31" t="str"/>
      <x:c r="T2" s="32" t="str"/>
      <x:c r="U2" s="31" t="str">
        <x:v>Odds/paired alternatives will be filled from DK before first pitch.</x:v>
      </x:c>
      <x:c r="V2" s="31" t="str">
        <x:v>HYPOTHESIS_TEST</x:v>
      </x:c>
      <x:c r="W2" s="31" t="str">
        <x:v>EXP-01</x:v>
      </x:c>
      <x:c r="X2" s="31" t="str">
        <x:v>OUTS ARM</x:v>
      </x:c>
      <x:c r="Y2" s="31" t="str"/>
      <x:c r="Z2" s="31" t="str">
        <x:v>Workload/efficiency edge will make O17.5 outs a better expression than a comparable K prop.</x:v>
      </x:c>
      <x:c r="AA2" s="31" t="str">
        <x:v>Burke has a short leash / poor efficiency or outs underperform a similarly priced K alternative.</x:v>
      </x:c>
      <x:c r="AB2" s="31" t="str"/>
    </x:row>
    <x:row r="3">
      <x:c r="A3" s="79" t="str">
        <x:v>2026-08-26</x:v>
      </x:c>
      <x:c r="B3" s="31" t="str">
        <x:v>P26-002</x:v>
      </x:c>
      <x:c r="C3" s="31" t="str">
        <x:v>A26-R05</x:v>
      </x:c>
      <x:c r="D3" s="31" t="str">
        <x:v>PAPER</x:v>
      </x:c>
      <x:c r="E3" s="31" t="str">
        <x:v>MLB</x:v>
      </x:c>
      <x:c r="F3" s="31" t="str">
        <x:v>CHC @ ARI</x:v>
      </x:c>
      <x:c r="G3" s="31" t="str">
        <x:v>Eduardo Rodríguez</x:v>
      </x:c>
      <x:c r="H3" s="31" t="str">
        <x:v>Pitcher K Under</x:v>
      </x:c>
      <x:c r="I3" s="31" t="str">
        <x:v>Under 4.5 Ks</x:v>
      </x:c>
      <x:c r="J3" s="80" t="str"/>
      <x:c r="K3" s="31" t="str">
        <x:v>SOURCED</x:v>
      </x:c>
      <x:c r="L3" s="31" t="str">
        <x:v>WATCH</x:v>
      </x:c>
      <x:c r="M3" s="31" t="str">
        <x:v>Directly stress-test our current skepticism of routine K unders.</x:v>
      </x:c>
      <x:c r="N3" s="31" t="str">
        <x:v>N</x:v>
      </x:c>
      <x:c r="O3" s="31" t="str">
        <x:v>Loss</x:v>
      </x:c>
      <x:c r="P3" s="31" t="n">
        <x:v>0</x:v>
      </x:c>
      <x:c r="Q3" s="33" t="str"/>
      <x:c r="R3" s="33" t="str"/>
      <x:c r="S3" s="31" t="str"/>
      <x:c r="T3" s="32" t="str"/>
      <x:c r="U3" s="31" t="str">
        <x:v>Need DK K market and outs alternative if available.</x:v>
      </x:c>
      <x:c r="V3" s="31" t="str">
        <x:v>HYPOTHESIS_TEST</x:v>
      </x:c>
      <x:c r="W3" s="31" t="str">
        <x:v>EXP-02</x:v>
      </x:c>
      <x:c r="X3" s="31" t="str">
        <x:v>K UNDER ARM</x:v>
      </x:c>
      <x:c r="Y3" s="31" t="str"/>
      <x:c r="Z3" s="31" t="str">
        <x:v>Routine K unders are structurally fragile even when matchup arguments exist.</x:v>
      </x:c>
      <x:c r="AA3" s="31" t="str">
        <x:v>K under shows positive CLV/ROI over a meaningful sample after workload controls.</x:v>
      </x:c>
      <x:c r="AB3" s="31" t="str">
        <x:v>K-under arm failed badly: Eduardo Rodríguez struck out 9 in 7 scoreless innings. Strong support for keeping routine K unders suspended.</x:v>
      </x:c>
    </x:row>
    <x:row r="4">
      <x:c r="A4" s="79" t="str">
        <x:v>2026-08-26</x:v>
      </x:c>
      <x:c r="B4" s="31" t="str">
        <x:v>P26-003</x:v>
      </x:c>
      <x:c r="C4" s="31" t="str">
        <x:v>A26-R06</x:v>
      </x:c>
      <x:c r="D4" s="31" t="str">
        <x:v>PAPER</x:v>
      </x:c>
      <x:c r="E4" s="31" t="str">
        <x:v>MLB</x:v>
      </x:c>
      <x:c r="F4" s="31" t="str">
        <x:v>BAL @ STL</x:v>
      </x:c>
      <x:c r="G4" s="31" t="str">
        <x:v>Alec Burleson</x:v>
      </x:c>
      <x:c r="H4" s="31" t="str">
        <x:v>H+R+RBI</x:v>
      </x:c>
      <x:c r="I4" s="31" t="str">
        <x:v>Over 1.5 H+R+RBI</x:v>
      </x:c>
      <x:c r="J4" s="80" t="str"/>
      <x:c r="K4" s="31" t="str">
        <x:v>SOURCED</x:v>
      </x:c>
      <x:c r="L4" s="31" t="str">
        <x:v>WATCH</x:v>
      </x:c>
      <x:c r="M4" s="31" t="str">
        <x:v>Test composite hitter market vs hit/TB alternatives once prices are collected.</x:v>
      </x:c>
      <x:c r="N4" s="31" t="str">
        <x:v>N</x:v>
      </x:c>
      <x:c r="O4" s="31" t="str">
        <x:v>Win</x:v>
      </x:c>
      <x:c r="P4" s="31" t="n">
        <x:v>1</x:v>
      </x:c>
      <x:c r="Q4" s="33" t="str"/>
      <x:c r="R4" s="33" t="str"/>
      <x:c r="S4" s="31" t="str"/>
      <x:c r="T4" s="32" t="str"/>
      <x:c r="U4" s="31" t="str">
        <x:v>Need DK hit/TB/HRR menu for paired market-conversion test.</x:v>
      </x:c>
      <x:c r="V4" s="31" t="str">
        <x:v>ALT_MARKET_TEST</x:v>
      </x:c>
      <x:c r="W4" s="31" t="str">
        <x:v>EXP-03</x:v>
      </x:c>
      <x:c r="X4" s="31" t="str">
        <x:v>HRR ARM</x:v>
      </x:c>
      <x:c r="Y4" s="31" t="str"/>
      <x:c r="Z4" s="31" t="str">
        <x:v>A broad offensive matchup is better monetized through H+R+RBI than 2+ TB when the hitter has multiple scoring paths.</x:v>
      </x:c>
      <x:c r="AA4" s="31" t="str">
        <x:v>TB consistently produces better price-adjusted outcomes on comparable broad-edge hitters.</x:v>
      </x:c>
      <x:c r="AB4" s="31" t="str">
        <x:v>HRR arm won; supports composite-market hypothesis for this single paired observation.</x:v>
      </x:c>
    </x:row>
    <x:row r="5">
      <x:c r="A5" s="79" t="str">
        <x:v>2026-08-26</x:v>
      </x:c>
      <x:c r="B5" s="31" t="str">
        <x:v>P26-004</x:v>
      </x:c>
      <x:c r="C5" s="31" t="str">
        <x:v>A26-R01;R02;R03</x:v>
      </x:c>
      <x:c r="D5" s="31" t="str">
        <x:v>PAPER</x:v>
      </x:c>
      <x:c r="E5" s="31" t="str">
        <x:v>MLB</x:v>
      </x:c>
      <x:c r="F5" s="31" t="str">
        <x:v>3 games</x:v>
      </x:c>
      <x:c r="G5" s="31" t="str">
        <x:v>Source NRFI Trio</x:v>
      </x:c>
      <x:c r="H5" s="31" t="str">
        <x:v>NRFI</x:v>
      </x:c>
      <x:c r="I5" s="31" t="str">
        <x:v>CIN/SF + PHI/SEA + BOS/MIA NRFI</x:v>
      </x:c>
      <x:c r="J5" s="80" t="n">
        <x:v>386</x:v>
      </x:c>
      <x:c r="K5" s="31" t="str">
        <x:v>SOURCED</x:v>
      </x:c>
      <x:c r="L5" s="31" t="str">
        <x:v>WATCH</x:v>
      </x:c>
      <x:c r="M5" s="31" t="str">
        <x:v>Construction experiment: preserve source 3-leg while we compare singles and 2-leg variants.</x:v>
      </x:c>
      <x:c r="N5" s="31" t="str">
        <x:v>N</x:v>
      </x:c>
      <x:c r="O5" s="31" t="str">
        <x:v>Loss</x:v>
      </x:c>
      <x:c r="P5" s="31" t="n">
        <x:v>0</x:v>
      </x:c>
      <x:c r="Q5" s="33" t="n">
        <x:v>0</x:v>
      </x:c>
      <x:c r="R5" s="33" t="str"/>
      <x:c r="S5" s="31" t="str"/>
      <x:c r="T5" s="32" t="str"/>
      <x:c r="U5" s="31" t="str">
        <x:v>Source screenshot showed +386 raw and +501 after a 30% boost; our account promo set is different.</x:v>
      </x:c>
      <x:c r="V5" s="31" t="str">
        <x:v>CONSTRUCTION_TEST</x:v>
      </x:c>
      <x:c r="W5" s="31" t="str">
        <x:v>EXP-10</x:v>
      </x:c>
      <x:c r="X5" s="31" t="str">
        <x:v>3-LEG NRFI ARM</x:v>
      </x:c>
      <x:c r="Y5" s="31" t="str"/>
      <x:c r="Z5" s="31" t="str">
        <x:v>The source 3-leg NRFI will carry more variance than singles/2-leg combinations of the same candidates.</x:v>
      </x:c>
      <x:c r="AA5" s="31" t="str">
        <x:v>3-leg combinations outperform the component singles/2-legs on price-adjusted ROI over sample.</x:v>
      </x:c>
      <x:c r="AB5" s="31" t="str">
        <x:v>Source NRFI trio finished 1/3: CIN/SF NRFI won; PHI/SEA lost on Bryce Harper 2-run HR in top 1; BOS/MIA lost on Heriberto Hernández RBI single in bottom 1.</x:v>
      </x:c>
    </x:row>
    <x:row r="6">
      <x:c r="A6" s="79" t="str">
        <x:v>2026-08-26</x:v>
      </x:c>
      <x:c r="B6" s="31" t="str">
        <x:v>P26-005</x:v>
      </x:c>
      <x:c r="C6" s="31" t="str">
        <x:v>A26-R23</x:v>
      </x:c>
      <x:c r="D6" s="31" t="str">
        <x:v>PAPER</x:v>
      </x:c>
      <x:c r="E6" s="31" t="str">
        <x:v>MLB</x:v>
      </x:c>
      <x:c r="F6" s="31" t="str">
        <x:v>BAL @ STL</x:v>
      </x:c>
      <x:c r="G6" s="31" t="str">
        <x:v>Jordan Walker</x:v>
      </x:c>
      <x:c r="H6" s="31" t="str">
        <x:v>H+R+RBI</x:v>
      </x:c>
      <x:c r="I6" s="31" t="str">
        <x:v>2+ H+R+RBI</x:v>
      </x:c>
      <x:c r="J6" s="80" t="str"/>
      <x:c r="K6" s="31" t="str">
        <x:v>SOURCED</x:v>
      </x:c>
      <x:c r="L6" s="31" t="str">
        <x:v>WATCH</x:v>
      </x:c>
      <x:c r="M6" s="31" t="str">
        <x:v>Market-conversion test: compare HRR to Walker hit/TB once DK prices are available.</x:v>
      </x:c>
      <x:c r="N6" s="31" t="str">
        <x:v>N</x:v>
      </x:c>
      <x:c r="O6" s="31" t="str">
        <x:v>Win</x:v>
      </x:c>
      <x:c r="P6" s="31" t="n">
        <x:v>1</x:v>
      </x:c>
      <x:c r="Q6" s="33" t="str"/>
      <x:c r="R6" s="33" t="str"/>
      <x:c r="S6" s="31" t="str"/>
      <x:c r="T6" s="32" t="str"/>
      <x:c r="U6" s="31" t="str">
        <x:v>Collect Walker 1+ hit, 2+ TB and HRR prices before game.</x:v>
      </x:c>
      <x:c r="V6" s="31" t="str">
        <x:v>ALT_MARKET_TEST</x:v>
      </x:c>
      <x:c r="W6" s="31" t="str">
        <x:v>EXP-03</x:v>
      </x:c>
      <x:c r="X6" s="31" t="str">
        <x:v>HRR ARM</x:v>
      </x:c>
      <x:c r="Y6" s="31" t="str"/>
      <x:c r="Z6" s="31" t="str">
        <x:v>If the matchup is broadly favorable, HRR should monetize Walker’s opportunity better than TB/HR.</x:v>
      </x:c>
      <x:c r="AA6" s="31" t="str">
        <x:v>Walker’s TB/hit alternative shows stronger price-adjusted ROI over repeated paired samples.</x:v>
      </x:c>
      <x:c r="AB6" s="31" t="str">
        <x:v>Walker HRR arm won; user also reports 2+ TB, so both market expressions cleared in this game.</x:v>
      </x:c>
    </x:row>
    <x:row r="7">
      <x:c r="A7" s="79" t="str">
        <x:v>2026-08-26</x:v>
      </x:c>
      <x:c r="B7" s="31" t="str">
        <x:v>P26-006</x:v>
      </x:c>
      <x:c r="C7" s="31" t="str">
        <x:v>A26-R37</x:v>
      </x:c>
      <x:c r="D7" s="31" t="str">
        <x:v>PAPER</x:v>
      </x:c>
      <x:c r="E7" s="31" t="str">
        <x:v>MLB</x:v>
      </x:c>
      <x:c r="F7" s="31" t="str">
        <x:v>BAL game</x:v>
      </x:c>
      <x:c r="G7" s="31" t="str">
        <x:v>Pete Alonso</x:v>
      </x:c>
      <x:c r="H7" s="31" t="str">
        <x:v>2+ Total Bases</x:v>
      </x:c>
      <x:c r="I7" s="31" t="str">
        <x:v>Over 1.5 TB</x:v>
      </x:c>
      <x:c r="J7" s="80" t="str"/>
      <x:c r="K7" s="31" t="str">
        <x:v>SOURCED</x:v>
      </x:c>
      <x:c r="L7" s="31" t="str">
        <x:v>WATCH</x:v>
      </x:c>
      <x:c r="M7" s="31" t="str">
        <x:v>Recent-form stress test: paper-track because source rationale is heavily L6/L17 outcome based.</x:v>
      </x:c>
      <x:c r="N7" s="31" t="str">
        <x:v>N</x:v>
      </x:c>
      <x:c r="O7" s="31" t="str">
        <x:v>Win</x:v>
      </x:c>
      <x:c r="P7" s="31" t="n">
        <x:v>1</x:v>
      </x:c>
      <x:c r="Q7" s="33" t="str"/>
      <x:c r="R7" s="33" t="str"/>
      <x:c r="S7" s="31" t="str"/>
      <x:c r="T7" s="32" t="str"/>
      <x:c r="U7" s="31" t="str">
        <x:v>Verify exact TB line/price and record recent underlying EV/barrel trend separately.</x:v>
      </x:c>
      <x:c r="V7" s="31" t="str">
        <x:v>HYPOTHESIS_TEST</x:v>
      </x:c>
      <x:c r="W7" s="31" t="str">
        <x:v>EXP-04</x:v>
      </x:c>
      <x:c r="X7" s="31" t="str">
        <x:v>RAW RECENT FORM ARM</x:v>
      </x:c>
      <x:c r="Y7" s="31" t="str"/>
      <x:c r="Z7" s="31" t="str">
        <x:v>A hot L6 total-base run alone should not receive large predictive weight without supporting EV/barrel/contact changes.</x:v>
      </x:c>
      <x:c r="AA7" s="31" t="str">
        <x:v>Recent raw hit-rate candidates outperform underlying-metric candidates after enough paired tests.</x:v>
      </x:c>
      <x:c r="AB7" s="31" t="str">
        <x:v>Alonso TB won via HR. This is a positive result for the recent-form arm, but one game does not validate raw L6/L10 weighting.</x:v>
      </x:c>
    </x:row>
    <x:row r="8">
      <x:c r="A8" s="79" t="str">
        <x:v>2026-08-26</x:v>
      </x:c>
      <x:c r="B8" s="31" t="str">
        <x:v>P26-007</x:v>
      </x:c>
      <x:c r="C8" s="31" t="str">
        <x:v>A26-R22</x:v>
      </x:c>
      <x:c r="D8" s="31" t="str">
        <x:v>PAPER</x:v>
      </x:c>
      <x:c r="E8" s="31" t="str">
        <x:v>WNBA</x:v>
      </x:c>
      <x:c r="F8" s="31" t="str">
        <x:v>SEA vs TOR</x:v>
      </x:c>
      <x:c r="G8" s="31" t="str">
        <x:v>Dominique Malonga</x:v>
      </x:c>
      <x:c r="H8" s="31" t="str">
        <x:v>Rebounds</x:v>
      </x:c>
      <x:c r="I8" s="31" t="str">
        <x:v>Over 9.5 rebounds</x:v>
      </x:c>
      <x:c r="J8" s="80" t="str"/>
      <x:c r="K8" s="31" t="str">
        <x:v>SOURCED</x:v>
      </x:c>
      <x:c r="L8" s="31" t="str">
        <x:v>WATCH</x:v>
      </x:c>
      <x:c r="M8" s="31" t="str">
        <x:v>Test opponent rebound environment/frontcourt absences against raw recent-form signal.</x:v>
      </x:c>
      <x:c r="N8" s="31" t="str">
        <x:v>N</x:v>
      </x:c>
      <x:c r="O8" s="31" t="str">
        <x:v>Pending</x:v>
      </x:c>
      <x:c r="P8" s="31" t="str"/>
      <x:c r="Q8" s="33" t="str"/>
      <x:c r="R8" s="33" t="str"/>
      <x:c r="S8" s="31" t="str"/>
      <x:c r="T8" s="32" t="str"/>
      <x:c r="U8" s="31" t="str">
        <x:v>Verify Malonga minutes, rebound chances and Toronto frontcourt injuries before decision.</x:v>
      </x:c>
      <x:c r="V8" s="31" t="str">
        <x:v>HYPOTHESIS_TEST</x:v>
      </x:c>
      <x:c r="W8" s="31" t="str">
        <x:v>EXP-12</x:v>
      </x:c>
      <x:c r="X8" s="31" t="str">
        <x:v>MATCHUP + INJURY ARM</x:v>
      </x:c>
      <x:c r="Y8" s="31" t="str"/>
      <x:c r="Z8" s="31" t="str">
        <x:v>High opponent rebound allowance plus missing frontcourt rebounders should raise Malonga’s rebound expectation beyond baseline.</x:v>
      </x:c>
      <x:c r="AA8" s="31" t="str">
        <x:v>Minutes/rebound chances fail to rise and the matchup/injury bucket does not outperform baseline over sample.</x:v>
      </x:c>
      <x:c r="AB8" s="31" t="str"/>
    </x:row>
    <x:row r="9">
      <x:c r="A9" s="79" t="str">
        <x:v>2026-08-26</x:v>
      </x:c>
      <x:c r="B9" s="31" t="str">
        <x:v>P26-008</x:v>
      </x:c>
      <x:c r="C9" s="31" t="str">
        <x:v>A26-R24;R25;R26;R27</x:v>
      </x:c>
      <x:c r="D9" s="31" t="str">
        <x:v>PAPER</x:v>
      </x:c>
      <x:c r="E9" s="31" t="str">
        <x:v>MLB</x:v>
      </x:c>
      <x:c r="F9" s="31" t="str">
        <x:v>4 games</x:v>
      </x:c>
      <x:c r="G9" s="31" t="str">
        <x:v>F5 Source Quartet</x:v>
      </x:c>
      <x:c r="H9" s="31" t="str">
        <x:v>F5 Moneyline</x:v>
      </x:c>
      <x:c r="I9" s="31" t="str">
        <x:v>SF + CLE + BOS + LAD F5 ML</x:v>
      </x:c>
      <x:c r="J9" s="80" t="n">
        <x:v>886</x:v>
      </x:c>
      <x:c r="K9" s="31" t="str">
        <x:v>SOURCED</x:v>
      </x:c>
      <x:c r="L9" s="31" t="str">
        <x:v>WATCH</x:v>
      </x:c>
      <x:c r="M9" s="31" t="str">
        <x:v>Construction test and Early Win candidate generator; preserve source card while grading each leg individually.</x:v>
      </x:c>
      <x:c r="N9" s="31" t="str">
        <x:v>N</x:v>
      </x:c>
      <x:c r="O9" s="31" t="str">
        <x:v>Loss</x:v>
      </x:c>
      <x:c r="P9" s="31" t="n">
        <x:v>0</x:v>
      </x:c>
      <x:c r="Q9" s="33" t="n">
        <x:v>0</x:v>
      </x:c>
      <x:c r="R9" s="33" t="str"/>
      <x:c r="S9" s="31" t="str"/>
      <x:c r="T9" s="32" t="str"/>
      <x:c r="U9" s="31" t="str">
        <x:v>Source card raw +886; compare each team's full-game ML and whether it ever leads by 2.</x:v>
      </x:c>
      <x:c r="V9" s="31" t="str">
        <x:v>CONSTRUCTION_TEST</x:v>
      </x:c>
      <x:c r="W9" s="31" t="str">
        <x:v>EXP-11</x:v>
      </x:c>
      <x:c r="X9" s="31" t="str">
        <x:v>F5 SOURCE ARM</x:v>
      </x:c>
      <x:c r="Y9" s="31" t="str"/>
      <x:c r="Z9" s="31" t="str">
        <x:v>Strong F5 favorites may also be strong 2-runs-up Early Win candidates because early starter edge can trigger cashout before bullpen variance.</x:v>
      </x:c>
      <x:c r="AA9" s="31" t="str">
        <x:v>F5 signal does not improve two-run trigger rate or full-game boosted ROI over generic ML selection.</x:v>
      </x:c>
      <x:c r="AB9" s="31" t="str">
        <x:v>F5 quartet finished 1/4: SF led 4-2 after 5; CLE trailed 3-1; BOS trailed 2-0; LAD trailed ATL 4-3 after 5. Source construction performed poorly.</x:v>
      </x:c>
    </x:row>
    <x:row r="10">
      <x:c r="A10" s="79" t="str">
        <x:v>2026-08-26</x:v>
      </x:c>
      <x:c r="B10" s="31" t="str">
        <x:v>P26-009</x:v>
      </x:c>
      <x:c r="C10" s="31" t="str">
        <x:v>A26-D01</x:v>
      </x:c>
      <x:c r="D10" s="31" t="str">
        <x:v>PAPER</x:v>
      </x:c>
      <x:c r="E10" s="31" t="str">
        <x:v>MLB</x:v>
      </x:c>
      <x:c r="F10" s="31" t="str">
        <x:v>PHI @ SEA</x:v>
      </x:c>
      <x:c r="G10" s="31" t="str">
        <x:v>Jesús Luzardo</x:v>
      </x:c>
      <x:c r="H10" s="31" t="str">
        <x:v>Pitcher K Over</x:v>
      </x:c>
      <x:c r="I10" s="31" t="str">
        <x:v>Over 8.5 Ks</x:v>
      </x:c>
      <x:c r="J10" s="80" t="n">
        <x:v>116</x:v>
      </x:c>
      <x:c r="K10" s="31" t="str">
        <x:v>DISCOVERED</x:v>
      </x:c>
      <x:c r="L10" s="31" t="str">
        <x:v>WATCH</x:v>
      </x:c>
      <x:c r="M10" s="31" t="str">
        <x:v>Price/threshold movement test: determine whether moving from 7.5 to 8.5 removes the edge.</x:v>
      </x:c>
      <x:c r="N10" s="31" t="str">
        <x:v>N</x:v>
      </x:c>
      <x:c r="O10" s="31" t="str">
        <x:v>Win</x:v>
      </x:c>
      <x:c r="P10" s="31" t="n">
        <x:v>1</x:v>
      </x:c>
      <x:c r="Q10" s="33" t="n">
        <x:v>2.16</x:v>
      </x:c>
      <x:c r="R10" s="33" t="n">
        <x:v>1.1600000000000001</x:v>
      </x:c>
      <x:c r="S10" s="31" t="str"/>
      <x:c r="T10" s="32" t="str"/>
      <x:c r="U10" s="31" t="str">
        <x:v>Earlier market: Luzardo O7.5 -149; now O8.5 +116. Track as EXP-05/06 threshold/price movement.</x:v>
      </x:c>
      <x:c r="V10" s="31" t="str">
        <x:v>PRICE_TEST</x:v>
      </x:c>
      <x:c r="W10" s="31" t="str">
        <x:v>EXP-05</x:v>
      </x:c>
      <x:c r="X10" s="31" t="str">
        <x:v>MOVED-LINE ARM</x:v>
      </x:c>
      <x:c r="Y10" s="31" t="str">
        <x:v>A26-D02</x:v>
      </x:c>
      <x:c r="Z10" s="31" t="str">
        <x:v>A one-strikeout threshold increase can erase edge even when price improves.</x:v>
      </x:c>
      <x:c r="AA10" s="31" t="str">
        <x:v>9+ Ks still beats the alternative K candidate on price-adjusted ROI over repeated moved-line cases.</x:v>
      </x:c>
      <x:c r="AB10" s="31" t="str">
        <x:v>Luzardo 9+ paper threshold won with 9; today the extra strikeout did not cost the bet.</x:v>
      </x:c>
    </x:row>
    <x:row r="11">
      <x:c r="A11" s="79" t="str">
        <x:v>2026-08-26</x:v>
      </x:c>
      <x:c r="B11" s="31" t="str">
        <x:v>P26-010</x:v>
      </x:c>
      <x:c r="C11" s="31" t="str">
        <x:v>A26-D02</x:v>
      </x:c>
      <x:c r="D11" s="31" t="str">
        <x:v>PAPER</x:v>
      </x:c>
      <x:c r="E11" s="31" t="str">
        <x:v>MLB</x:v>
      </x:c>
      <x:c r="F11" s="31" t="str">
        <x:v>PIT @ SD</x:v>
      </x:c>
      <x:c r="G11" s="31" t="str">
        <x:v>Bubba Chandler</x:v>
      </x:c>
      <x:c r="H11" s="31" t="str">
        <x:v>Pitcher K Over</x:v>
      </x:c>
      <x:c r="I11" s="31" t="str">
        <x:v>5+ Ks</x:v>
      </x:c>
      <x:c r="J11" s="80" t="n">
        <x:v>122</x:v>
      </x:c>
      <x:c r="K11" s="31" t="str">
        <x:v>HYBRID</x:v>
      </x:c>
      <x:c r="L11" s="31" t="str">
        <x:v>A</x:v>
      </x:c>
      <x:c r="M11" s="31" t="str">
        <x:v>Alternative real-boost candidate after Luzardo threshold moved.</x:v>
      </x:c>
      <x:c r="N11" s="31" t="str">
        <x:v>N</x:v>
      </x:c>
      <x:c r="O11" s="31" t="str">
        <x:v>Loss</x:v>
      </x:c>
      <x:c r="P11" s="31" t="n">
        <x:v>0</x:v>
      </x:c>
      <x:c r="Q11" s="33" t="n">
        <x:v>0</x:v>
      </x:c>
      <x:c r="R11" s="33" t="str"/>
      <x:c r="S11" s="31" t="str"/>
      <x:c r="T11" s="32" t="str"/>
      <x:c r="U11" s="31" t="str">
        <x:v>If selected for real 50% K boost, mark Actually Bet = Y and preserve unboosted +122 as base price.</x:v>
      </x:c>
      <x:c r="V11" s="31" t="str">
        <x:v>HYPOTHESIS_TEST</x:v>
      </x:c>
      <x:c r="W11" s="31" t="str">
        <x:v>EXP-02</x:v>
      </x:c>
      <x:c r="X11" s="31" t="str">
        <x:v>K OVER REPLACEMENT ARM</x:v>
      </x:c>
      <x:c r="Y11" s="31" t="str">
        <x:v>A26-D01</x:v>
      </x:c>
      <x:c r="Z11" s="31" t="str">
        <x:v>A lower K threshold with similar boosted payout is preferable to chasing a steamed ace threshold.</x:v>
      </x:c>
      <x:c r="AA11" s="31" t="str">
        <x:v>Luzardo 9+ consistently outperforms comparable 5+/6+ alternatives after price adjustment.</x:v>
      </x:c>
      <x:c r="AB11" s="31" t="str">
        <x:v>Chandler finished with 3 Ks in 5 2/3 innings; lower threshold did not beat the moved Luzardo line.</x:v>
      </x:c>
    </x:row>
    <x:row r="12">
      <x:c r="A12" s="79" t="str">
        <x:v>2026-08-26</x:v>
      </x:c>
      <x:c r="B12" s="31" t="str">
        <x:v>P26-011</x:v>
      </x:c>
      <x:c r="C12" s="31" t="str">
        <x:v>A26-D09</x:v>
      </x:c>
      <x:c r="D12" s="31" t="str">
        <x:v>PAPER</x:v>
      </x:c>
      <x:c r="E12" s="31" t="str">
        <x:v>MLB</x:v>
      </x:c>
      <x:c r="F12" s="31" t="str">
        <x:v>KC @ TOR</x:v>
      </x:c>
      <x:c r="G12" s="31" t="str">
        <x:v>Randy Dobnak</x:v>
      </x:c>
      <x:c r="H12" s="31" t="str">
        <x:v>Pitcher Outs</x:v>
      </x:c>
      <x:c r="I12" s="31" t="str">
        <x:v>Under 16.5 outs</x:v>
      </x:c>
      <x:c r="J12" s="80" t="n">
        <x:v>-119</x:v>
      </x:c>
      <x:c r="K12" s="31" t="str">
        <x:v>DISCOVERED</x:v>
      </x:c>
      <x:c r="L12" s="31" t="str">
        <x:v>A</x:v>
      </x:c>
      <x:c r="M12" s="31" t="str">
        <x:v>Workload model: five-inning profile and high pitch cost make 17+ outs vulnerable.</x:v>
      </x:c>
      <x:c r="N12" s="31" t="str">
        <x:v>N</x:v>
      </x:c>
      <x:c r="O12" s="31" t="str">
        <x:v>Loss</x:v>
      </x:c>
      <x:c r="P12" s="31" t="n">
        <x:v>0</x:v>
      </x:c>
      <x:c r="Q12" s="33" t="n">
        <x:v>0</x:v>
      </x:c>
      <x:c r="R12" s="33" t="str"/>
      <x:c r="S12" s="31" t="str"/>
      <x:c r="T12" s="32" t="str"/>
      <x:c r="U12" s="31" t="str">
        <x:v>Alternative threshold retained as paper: U16.5 -119 vs real U15.5 -101.</x:v>
      </x:c>
      <x:c r="V12" s="31" t="str">
        <x:v>THRESHOLD_TEST</x:v>
      </x:c>
      <x:c r="W12" s="31" t="str">
        <x:v>EXP-06</x:v>
      </x:c>
      <x:c r="X12" s="31" t="str">
        <x:v>SAFER-LINE ARM</x:v>
      </x:c>
      <x:c r="Y12" s="31" t="str">
        <x:v>A26-D09</x:v>
      </x:c>
      <x:c r="Z12" s="31" t="str">
        <x:v>The tighter U15.5 at near-even money may have better long-run value than paying extra juice for U16.5.</x:v>
      </x:c>
      <x:c r="AA12" s="31" t="str">
        <x:v>The extra protection at 16 outs materially improves ROI enough to justify the worse price.</x:v>
      </x:c>
      <x:c r="AB12" s="31" t="str">
        <x:v>Dobnak reached 18 outs, so both real U15.5 and paper U16.5 lost. The workload thesis was wrong; price/threshold choice was not the cause.</x:v>
      </x:c>
    </x:row>
    <x:row r="13">
      <x:c r="A13" s="79" t="str">
        <x:v>2026-08-26</x:v>
      </x:c>
      <x:c r="B13" s="31" t="str">
        <x:v>P26-012</x:v>
      </x:c>
      <x:c r="C13" s="31" t="str">
        <x:v>A26-D10</x:v>
      </x:c>
      <x:c r="D13" s="31" t="str">
        <x:v>PAPER</x:v>
      </x:c>
      <x:c r="E13" s="31" t="str">
        <x:v>WNBA</x:v>
      </x:c>
      <x:c r="F13" s="31" t="str">
        <x:v>TOR @ SEA</x:v>
      </x:c>
      <x:c r="G13" s="31" t="str">
        <x:v>Dominique Malonga</x:v>
      </x:c>
      <x:c r="H13" s="31" t="str">
        <x:v>Rebounds</x:v>
      </x:c>
      <x:c r="I13" s="31" t="str">
        <x:v>10+ rebounds</x:v>
      </x:c>
      <x:c r="J13" s="80" t="n">
        <x:v>-152</x:v>
      </x:c>
      <x:c r="K13" s="31" t="str">
        <x:v>HYBRID</x:v>
      </x:c>
      <x:c r="L13" s="31" t="str">
        <x:v>A</x:v>
      </x:c>
      <x:c r="M13" s="31" t="str">
        <x:v>Rebound matchup + depleted Toronto frontcourt; compare to raw recent hit rate.</x:v>
      </x:c>
      <x:c r="N13" s="31" t="str">
        <x:v>N</x:v>
      </x:c>
      <x:c r="O13" s="31" t="str">
        <x:v>Pending</x:v>
      </x:c>
      <x:c r="P13" s="31" t="str"/>
      <x:c r="Q13" s="33" t="n">
        <x:v>0</x:v>
      </x:c>
      <x:c r="R13" s="33" t="str"/>
      <x:c r="S13" s="31" t="str"/>
      <x:c r="T13" s="32" t="str"/>
      <x:c r="U13" s="31" t="str">
        <x:v>If DK offers O9.5 instead of 10+, capture exact price.</x:v>
      </x:c>
      <x:c r="V13" s="31" t="str">
        <x:v>HYPOTHESIS_TEST</x:v>
      </x:c>
      <x:c r="W13" s="31" t="str">
        <x:v>EXP-12</x:v>
      </x:c>
      <x:c r="X13" s="31" t="str">
        <x:v>MATCHUP + INJURY ARM</x:v>
      </x:c>
      <x:c r="Y13" s="31" t="str"/>
      <x:c r="Z13" s="31" t="str">
        <x:v>Toronto's depleted frontcourt increases Malonga rebound chances.</x:v>
      </x:c>
      <x:c r="AA13" s="31" t="str">
        <x:v>Matchup bucket underperforms baseline after sample grows.</x:v>
      </x:c>
      <x:c r="AB13" s="31" t="str"/>
    </x:row>
    <x:row r="14">
      <x:c r="A14" s="79" t="str">
        <x:v>2026-08-26</x:v>
      </x:c>
      <x:c r="B14" s="31" t="str">
        <x:v>P26-013</x:v>
      </x:c>
      <x:c r="C14" s="31" t="str">
        <x:v>A26-D11</x:v>
      </x:c>
      <x:c r="D14" s="31" t="str">
        <x:v>PAPER</x:v>
      </x:c>
      <x:c r="E14" s="31" t="str">
        <x:v>MLB</x:v>
      </x:c>
      <x:c r="F14" s="31" t="str">
        <x:v>TEX @ CHW</x:v>
      </x:c>
      <x:c r="G14" s="31" t="str">
        <x:v>MacKenzie Gore</x:v>
      </x:c>
      <x:c r="H14" s="31" t="str">
        <x:v>Pitcher K Over</x:v>
      </x:c>
      <x:c r="I14" s="31" t="str">
        <x:v>Over 6.5 Ks</x:v>
      </x:c>
      <x:c r="J14" s="80" t="n">
        <x:v>114</x:v>
      </x:c>
      <x:c r="K14" s="31" t="str">
        <x:v>DISCOVERED</x:v>
      </x:c>
      <x:c r="L14" s="31" t="str">
        <x:v>B</x:v>
      </x:c>
      <x:c r="M14" s="31" t="str">
        <x:v>Late K-over test: recent K/whiff surge versus high-K White Sox.</x:v>
      </x:c>
      <x:c r="N14" s="31" t="str">
        <x:v>N</x:v>
      </x:c>
      <x:c r="O14" s="31" t="str">
        <x:v>Pending</x:v>
      </x:c>
      <x:c r="P14" s="31" t="str"/>
      <x:c r="Q14" s="33" t="n">
        <x:v>0</x:v>
      </x:c>
      <x:c r="R14" s="33" t="str"/>
      <x:c r="S14" s="31" t="str"/>
      <x:c r="T14" s="32" t="str"/>
      <x:c r="U14" s="31" t="str">
        <x:v>Paper due existing real K exposure.</x:v>
      </x:c>
      <x:c r="V14" s="31" t="str">
        <x:v>HYPOTHESIS_TEST</x:v>
      </x:c>
      <x:c r="W14" s="31" t="str">
        <x:v>EXP-02</x:v>
      </x:c>
      <x:c r="X14" s="31" t="str">
        <x:v>K OVER ARM</x:v>
      </x:c>
      <x:c r="Y14" s="31" t="str"/>
      <x:c r="Z14" s="31" t="str">
        <x:v>Recent whiff/K surge plus opponent K profile finds plus-money K overs.</x:v>
      </x:c>
      <x:c r="AA14" s="31" t="str">
        <x:v>Recent-form K signals underperform workload-adjusted baseline.</x:v>
      </x:c>
      <x:c r="AB14" s="31" t="str"/>
    </x:row>
    <x:row r="15">
      <x:c r="A15" s="79" t="str">
        <x:v>2026-08-26</x:v>
      </x:c>
      <x:c r="B15" s="31" t="str">
        <x:v>P26-014</x:v>
      </x:c>
      <x:c r="C15" s="31" t="str">
        <x:v>A26-D12</x:v>
      </x:c>
      <x:c r="D15" s="31" t="str">
        <x:v>PAPER</x:v>
      </x:c>
      <x:c r="E15" s="31" t="str">
        <x:v>WNBA</x:v>
      </x:c>
      <x:c r="F15" s="31" t="str">
        <x:v>TOR @ SEA</x:v>
      </x:c>
      <x:c r="G15" s="31" t="str">
        <x:v>TOR/SEA</x:v>
      </x:c>
      <x:c r="H15" s="31" t="str">
        <x:v>Game Total</x:v>
      </x:c>
      <x:c r="I15" s="31" t="str">
        <x:v>Under 176.5</x:v>
      </x:c>
      <x:c r="J15" s="80" t="n">
        <x:v>-108</x:v>
      </x:c>
      <x:c r="K15" s="31" t="str">
        <x:v>DISCOVERED</x:v>
      </x:c>
      <x:c r="L15" s="31" t="str">
        <x:v>B</x:v>
      </x:c>
      <x:c r="M15" s="31" t="str">
        <x:v>Injury-driven low-offense game-environment test.</x:v>
      </x:c>
      <x:c r="N15" s="31" t="str">
        <x:v>N</x:v>
      </x:c>
      <x:c r="O15" s="31" t="str">
        <x:v>Pending</x:v>
      </x:c>
      <x:c r="P15" s="31" t="str"/>
      <x:c r="Q15" s="33" t="n">
        <x:v>0</x:v>
      </x:c>
      <x:c r="R15" s="33" t="str"/>
      <x:c r="S15" s="31" t="str"/>
      <x:c r="T15" s="32" t="str"/>
      <x:c r="U15" s="31" t="str">
        <x:v>Compare total outcome with Malonga rebound prop.</x:v>
      </x:c>
      <x:c r="V15" s="31" t="str">
        <x:v>HYPOTHESIS_TEST</x:v>
      </x:c>
      <x:c r="W15" s="31" t="str">
        <x:v>EXP-04</x:v>
      </x:c>
      <x:c r="X15" s="31" t="str">
        <x:v>GAME ENVIRONMENT ARM</x:v>
      </x:c>
      <x:c r="Y15" s="31" t="str"/>
      <x:c r="Z15" s="31" t="str">
        <x:v>Injuries create a stable total-under edge.</x:v>
      </x:c>
      <x:c r="AA15" s="31" t="str">
        <x:v>Scoring remains efficient despite missing creators.</x:v>
      </x:c>
      <x:c r="AB15" s="31" t="str"/>
    </x:row>
    <x:row r="16">
      <x:c r="A16" s="79" t="str">
        <x:v>2026-08-26</x:v>
      </x:c>
      <x:c r="B16" s="31" t="str">
        <x:v>P26-015</x:v>
      </x:c>
      <x:c r="C16" s="31" t="str">
        <x:v>A26-D08</x:v>
      </x:c>
      <x:c r="D16" s="31" t="str">
        <x:v>PAPER</x:v>
      </x:c>
      <x:c r="E16" s="31" t="str">
        <x:v>Soccer</x:v>
      </x:c>
      <x:c r="F16" s="31" t="str">
        <x:v>RMA vs RSO</x:v>
      </x:c>
      <x:c r="G16" s="31" t="str">
        <x:v>Real Madrid SGP alt</x:v>
      </x:c>
      <x:c r="H16" s="31" t="str">
        <x:v>Soccer SGP</x:v>
      </x:c>
      <x:c r="I16" s="31" t="str">
        <x:v>RMA ML + qualifying third leg + Over 10.5 total corners</x:v>
      </x:c>
      <x:c r="J16" s="80" t="str"/>
      <x:c r="K16" s="31" t="str">
        <x:v>HYBRID</x:v>
      </x:c>
      <x:c r="L16" s="31" t="str">
        <x:v>WATCH</x:v>
      </x:c>
      <x:c r="M16" s="31" t="str">
        <x:v>Pregame alternative we rejected in favor of Real Madrid O6.5 team corners.</x:v>
      </x:c>
      <x:c r="N16" s="31" t="str">
        <x:v>N</x:v>
      </x:c>
      <x:c r="O16" s="31" t="str">
        <x:v>Win</x:v>
      </x:c>
      <x:c r="P16" s="31" t="n">
        <x:v>1</x:v>
      </x:c>
      <x:c r="Q16" s="33" t="str"/>
      <x:c r="R16" s="33" t="str"/>
      <x:c r="S16" s="31" t="str"/>
      <x:c r="T16" s="32" t="str"/>
      <x:c r="U16" s="31" t="str">
        <x:v>User confirmed O10.5 total corners would have cashed while RMA O6.5 team corners failed.</x:v>
      </x:c>
      <x:c r="V16" s="31" t="str">
        <x:v>ALT_MARKET_TEST</x:v>
      </x:c>
      <x:c r="W16" s="31" t="str">
        <x:v>EXP-13</x:v>
      </x:c>
      <x:c r="X16" s="31" t="str">
        <x:v>TOTAL-CORNERS ARM</x:v>
      </x:c>
      <x:c r="Y16" s="31" t="str">
        <x:v>A26-D08</x:v>
      </x:c>
      <x:c r="Z16" s="31" t="str">
        <x:v>Total corners may be a more robust expression of territorial/game pressure than favorite-team corners because the trailing opponent can contribute.</x:v>
      </x:c>
      <x:c r="AA16" s="31" t="str">
        <x:v>Favorite-team corners consistently outperform total corners in comparable dominant-favorite scripts.</x:v>
      </x:c>
      <x:c r="AB16" s="31" t="str">
        <x:v>Total-corners arm won while RMA team-corners arm lost. With the 4-1 final, Madrid ML and BTTS also cleared, so the earlier +360 ML + BTTS + O10.5 construction would have cashed.</x:v>
      </x:c>
    </x:row>
    <x:row r="17">
      <x:c r="A17" s="79" t="str">
        <x:v>2026-08-27</x:v>
      </x:c>
      <x:c r="B17" s="31" t="str">
        <x:v>P27-001</x:v>
      </x:c>
      <x:c r="C17" s="31" t="str">
        <x:v>A27-R01</x:v>
      </x:c>
      <x:c r="D17" s="31" t="str">
        <x:v>PAPER</x:v>
      </x:c>
      <x:c r="E17" s="31" t="str">
        <x:v>WNBA</x:v>
      </x:c>
      <x:c r="F17" s="31" t="str">
        <x:v>WSH @ PHX</x:v>
      </x:c>
      <x:c r="G17" s="31" t="str">
        <x:v>Alyssa Thomas</x:v>
      </x:c>
      <x:c r="H17" s="31" t="str">
        <x:v>WNBA PRA</x:v>
      </x:c>
      <x:c r="I17" s="31" t="str">
        <x:v>Over 30.5 PRA</x:v>
      </x:c>
      <x:c r="J17" s="80" t="n">
        <x:v>-112</x:v>
      </x:c>
      <x:c r="K17" s="31" t="str">
        <x:v>SOURCED</x:v>
      </x:c>
      <x:c r="L17" s="31" t="str">
        <x:v>A</x:v>
      </x:c>
      <x:c r="M17" s="31" t="str">
        <x:v>Source PRA thesis; compare to non-scoring composites because scoring is her most volatile component.</x:v>
      </x:c>
      <x:c r="N17" s="31" t="str">
        <x:v>N</x:v>
      </x:c>
      <x:c r="O17" s="31" t="str">
        <x:v>Loss</x:v>
      </x:c>
      <x:c r="P17" s="31" t="n">
        <x:v>0</x:v>
      </x:c>
      <x:c r="Q17" s="33" t="n">
        <x:v>0</x:v>
      </x:c>
      <x:c r="R17" s="33" t="n">
        <x:v>-1</x:v>
      </x:c>
      <x:c r="S17" s="31" t="str"/>
      <x:c r="T17" s="32" t="str"/>
      <x:c r="U17" s="31" t="str">
        <x:v>Need DK R+A/P+A alternatives before lock.</x:v>
      </x:c>
      <x:c r="V17" s="31" t="str">
        <x:v>ALT_MARKET_TEST</x:v>
      </x:c>
      <x:c r="W17" s="31" t="str">
        <x:v>EXP-14</x:v>
      </x:c>
      <x:c r="X17" s="31" t="str">
        <x:v>PRA ARM</x:v>
      </x:c>
      <x:c r="Y17" s="31" t="str"/>
      <x:c r="Z17" s="31" t="str">
        <x:v>Alyssa Thomas broad role edge may be better expressed via PRA or R+A depending scoring volatility.</x:v>
      </x:c>
      <x:c r="AA17" s="31" t="str">
        <x:v>R+A/PA consistently beats PRA on price-adjusted ROI in similar point-forward roles.</x:v>
      </x:c>
      <x:c r="AB17" s="31" t="str">
        <x:v>Thomas: 4 PTS + 10 REB + 8 AST = 22 PRA. PRA lost while assist-only arm won.</x:v>
      </x:c>
    </x:row>
    <x:row r="18">
      <x:c r="A18" s="79" t="str">
        <x:v>2026-08-27</x:v>
      </x:c>
      <x:c r="B18" s="31" t="str">
        <x:v>P27-002</x:v>
      </x:c>
      <x:c r="C18" s="31" t="str">
        <x:v>A27-R16</x:v>
      </x:c>
      <x:c r="D18" s="31" t="str">
        <x:v>PAPER</x:v>
      </x:c>
      <x:c r="E18" s="31" t="str">
        <x:v>MLB</x:v>
      </x:c>
      <x:c r="F18" s="31" t="str">
        <x:v>COL @ WSH</x:v>
      </x:c>
      <x:c r="G18" s="31" t="str">
        <x:v>COL/WSH</x:v>
      </x:c>
      <x:c r="H18" s="31" t="str">
        <x:v>F5 Team Runs</x:v>
      </x:c>
      <x:c r="I18" s="31" t="str">
        <x:v>Both teams 2+ runs F5</x:v>
      </x:c>
      <x:c r="J18" s="80" t="str"/>
      <x:c r="K18" s="31" t="str">
        <x:v>SOURCED</x:v>
      </x:c>
      <x:c r="L18" s="31" t="str">
        <x:v>B</x:v>
      </x:c>
      <x:c r="M18" s="31" t="str">
        <x:v>Game-environment test with a restrictive each-team condition.</x:v>
      </x:c>
      <x:c r="N18" s="31" t="str">
        <x:v>N</x:v>
      </x:c>
      <x:c r="O18" s="31" t="str">
        <x:v>Loss</x:v>
      </x:c>
      <x:c r="P18" s="31" t="n">
        <x:v>0</x:v>
      </x:c>
      <x:c r="Q18" s="33" t="str"/>
      <x:c r="R18" s="33" t="str"/>
      <x:c r="S18" s="31" t="str"/>
      <x:c r="T18" s="32" t="str"/>
      <x:c r="U18" s="31" t="str">
        <x:v>Need exact DK price; preserve source look regardless of real-bet decision.</x:v>
      </x:c>
      <x:c r="V18" s="31" t="str">
        <x:v>HYPOTHESIS_TEST</x:v>
      </x:c>
      <x:c r="W18" s="31" t="str">
        <x:v>EXP-15</x:v>
      </x:c>
      <x:c r="X18" s="31" t="str">
        <x:v>BOTH-TEAMS ARM</x:v>
      </x:c>
      <x:c r="Y18" s="31" t="str"/>
      <x:c r="Z18" s="31" t="str">
        <x:v>Two weak starters can support both teams reaching 2 runs by the end of 5.</x:v>
      </x:c>
      <x:c r="AA18" s="31" t="str">
        <x:v>F5 over/team-total alternatives consistently outperform the each-team condition.</x:v>
      </x:c>
      <x:c r="AB18" s="31" t="str">
        <x:v>F5: COL 1, WSH 4. Both-teams 2+ failed because Colorado had only one run.</x:v>
      </x:c>
    </x:row>
    <x:row r="19">
      <x:c r="A19" s="79" t="str">
        <x:v>2026-08-27</x:v>
      </x:c>
      <x:c r="B19" s="31" t="str">
        <x:v>P27-003</x:v>
      </x:c>
      <x:c r="C19" s="31" t="str">
        <x:v>A27-R16</x:v>
      </x:c>
      <x:c r="D19" s="31" t="str">
        <x:v>PAPER</x:v>
      </x:c>
      <x:c r="E19" s="31" t="str">
        <x:v>MLB</x:v>
      </x:c>
      <x:c r="F19" s="31" t="str">
        <x:v>COL @ WSH</x:v>
      </x:c>
      <x:c r="G19" s="31" t="str">
        <x:v>COL/WSH</x:v>
      </x:c>
      <x:c r="H19" s="31" t="str">
        <x:v>F5 Game Total</x:v>
      </x:c>
      <x:c r="I19" s="31" t="str">
        <x:v>F5 Over 4.5 runs</x:v>
      </x:c>
      <x:c r="J19" s="80" t="str"/>
      <x:c r="K19" s="31" t="str">
        <x:v>DISCOVERED</x:v>
      </x:c>
      <x:c r="L19" s="31" t="str">
        <x:v>WATCH</x:v>
      </x:c>
      <x:c r="M19" s="31" t="str">
        <x:v>Paired alternative to both-teams-2+; tests whether looser environment expression is superior.</x:v>
      </x:c>
      <x:c r="N19" s="31" t="str">
        <x:v>N</x:v>
      </x:c>
      <x:c r="O19" s="31" t="str">
        <x:v>Win</x:v>
      </x:c>
      <x:c r="P19" s="31" t="n">
        <x:v>1</x:v>
      </x:c>
      <x:c r="Q19" s="33" t="str"/>
      <x:c r="R19" s="33" t="str"/>
      <x:c r="S19" s="31" t="str"/>
      <x:c r="T19" s="32" t="str"/>
      <x:c r="U19" s="31" t="str">
        <x:v>Need exact DK F5 O4.5 price for paired comparison.</x:v>
      </x:c>
      <x:c r="V19" s="31" t="str">
        <x:v>ALT_MARKET_TEST</x:v>
      </x:c>
      <x:c r="W19" s="31" t="str">
        <x:v>EXP-15</x:v>
      </x:c>
      <x:c r="X19" s="31" t="str">
        <x:v>F5-OVER ARM</x:v>
      </x:c>
      <x:c r="Y19" s="31" t="str">
        <x:v>A27-R16</x:v>
      </x:c>
      <x:c r="Z19" s="31" t="str">
        <x:v>A broad high-run environment is better expressed by F5 over than requiring both offenses to contribute 2+.</x:v>
      </x:c>
      <x:c r="AA19" s="31" t="str">
        <x:v>Both-teams 2+ has superior ROI after comparable pricing.</x:v>
      </x:c>
      <x:c r="AB19" s="31" t="str">
        <x:v>F5 total finished exactly 5 runs (WSH 4, COL 1), so O4.5 won. Strong EXP-15 market-expression result.</x:v>
      </x:c>
    </x:row>
    <x:row r="20">
      <x:c r="A20" s="79" t="str">
        <x:v>2026-08-27</x:v>
      </x:c>
      <x:c r="B20" s="31" t="str">
        <x:v>P27-004</x:v>
      </x:c>
      <x:c r="C20" s="31" t="str">
        <x:v>A27-D01</x:v>
      </x:c>
      <x:c r="D20" s="31" t="str">
        <x:v>PAPER</x:v>
      </x:c>
      <x:c r="E20" s="31" t="str">
        <x:v>MLB</x:v>
      </x:c>
      <x:c r="F20" s="31" t="str">
        <x:v>COL @ WSH</x:v>
      </x:c>
      <x:c r="G20" s="31" t="str">
        <x:v>Hunter Goodman</x:v>
      </x:c>
      <x:c r="H20" s="31" t="str">
        <x:v>HR</x:v>
      </x:c>
      <x:c r="I20" s="31" t="str">
        <x:v>HR</x:v>
      </x:c>
      <x:c r="J20" s="80" t="n">
        <x:v>256</x:v>
      </x:c>
      <x:c r="K20" s="31" t="str">
        <x:v>DISCOVERED</x:v>
      </x:c>
      <x:c r="L20" s="31" t="str">
        <x:v>A</x:v>
      </x:c>
      <x:c r="M20" s="31" t="str">
        <x:v>Independent HR candidate outside source board; tests whether full-slate discovery adds value.</x:v>
      </x:c>
      <x:c r="N20" s="31" t="str">
        <x:v>N</x:v>
      </x:c>
      <x:c r="O20" s="31" t="str">
        <x:v>Loss</x:v>
      </x:c>
      <x:c r="P20" s="31" t="n">
        <x:v>0</x:v>
      </x:c>
      <x:c r="Q20" s="33" t="n">
        <x:v>0</x:v>
      </x:c>
      <x:c r="R20" s="33" t="n">
        <x:v>-1</x:v>
      </x:c>
      <x:c r="S20" s="31" t="str"/>
      <x:c r="T20" s="32" t="str"/>
      <x:c r="U20" s="31" t="str">
        <x:v>Current independent source price +256; confirm DK.</x:v>
      </x:c>
      <x:c r="V20" s="31" t="str">
        <x:v>HYPOTHESIS_TEST</x:v>
      </x:c>
      <x:c r="W20" s="31" t="str">
        <x:v>EXP-07</x:v>
      </x:c>
      <x:c r="X20" s="31" t="str">
        <x:v>INDEPENDENT HR ARM</x:v>
      </x:c>
      <x:c r="Y20" s="31" t="str"/>
      <x:c r="Z20" s="31" t="str">
        <x:v>Full-slate independent scans can surface profitable HR candidates missing from source boards.</x:v>
      </x:c>
      <x:c r="AA20" s="31" t="str">
        <x:v>Source-only HR candidates outperform independent additions after price adjustment.</x:v>
      </x:c>
      <x:c r="AB20" s="31" t="str">
        <x:v>Hunter Goodman did not homer.</x:v>
      </x:c>
    </x:row>
    <x:row r="21">
      <x:c r="A21" s="79" t="str">
        <x:v>2026-08-27</x:v>
      </x:c>
      <x:c r="B21" s="31" t="str">
        <x:v>P27-005</x:v>
      </x:c>
      <x:c r="C21" s="31" t="str">
        <x:v>A27-R06</x:v>
      </x:c>
      <x:c r="D21" s="31" t="str">
        <x:v>PAPER</x:v>
      </x:c>
      <x:c r="E21" s="31" t="str">
        <x:v>MLB</x:v>
      </x:c>
      <x:c r="F21" s="31" t="str">
        <x:v>COL @ WSH</x:v>
      </x:c>
      <x:c r="G21" s="31" t="str">
        <x:v>CJ Abrams</x:v>
      </x:c>
      <x:c r="H21" s="31" t="str">
        <x:v>HR</x:v>
      </x:c>
      <x:c r="I21" s="31" t="str">
        <x:v>HR</x:v>
      </x:c>
      <x:c r="J21" s="80" t="n">
        <x:v>345</x:v>
      </x:c>
      <x:c r="K21" s="31" t="str">
        <x:v>SOURCED</x:v>
      </x:c>
      <x:c r="L21" s="31" t="str">
        <x:v>A</x:v>
      </x:c>
      <x:c r="M21" s="31" t="str">
        <x:v>Source-model HR candidate with favorable model-vs-price gap.</x:v>
      </x:c>
      <x:c r="N21" s="31" t="str">
        <x:v>N</x:v>
      </x:c>
      <x:c r="O21" s="31" t="str">
        <x:v>Loss</x:v>
      </x:c>
      <x:c r="P21" s="31" t="n">
        <x:v>0</x:v>
      </x:c>
      <x:c r="Q21" s="33" t="n">
        <x:v>0</x:v>
      </x:c>
      <x:c r="R21" s="33" t="n">
        <x:v>-1</x:v>
      </x:c>
      <x:c r="S21" s="31" t="str"/>
      <x:c r="T21" s="32" t="str"/>
      <x:c r="U21" s="31" t="str">
        <x:v>Source DK +345; confirm current price.</x:v>
      </x:c>
      <x:c r="V21" s="31" t="str">
        <x:v>PRICE_TEST</x:v>
      </x:c>
      <x:c r="W21" s="31" t="str">
        <x:v>EXP-16</x:v>
      </x:c>
      <x:c r="X21" s="31" t="str">
        <x:v>SOURCE HR VALUE ARM</x:v>
      </x:c>
      <x:c r="Y21" s="31" t="str"/>
      <x:c r="Z21" s="31" t="str">
        <x:v>Large model-vs-market HR gaps retain value after matchup/lineup adjustments.</x:v>
      </x:c>
      <x:c r="AA21" s="31" t="str">
        <x:v>Raw model gaps disappear after matchup and closing-price controls.</x:v>
      </x:c>
      <x:c r="AB21" s="31" t="str">
        <x:v>CJ Abrams did not homer.</x:v>
      </x:c>
    </x:row>
    <x:row r="22">
      <x:c r="A22" s="79" t="str">
        <x:v>2026-08-27</x:v>
      </x:c>
      <x:c r="B22" s="31" t="str">
        <x:v>P27-006</x:v>
      </x:c>
      <x:c r="C22" s="31" t="str">
        <x:v>A27-R08</x:v>
      </x:c>
      <x:c r="D22" s="31" t="str">
        <x:v>PAPER</x:v>
      </x:c>
      <x:c r="E22" s="31" t="str">
        <x:v>MLB</x:v>
      </x:c>
      <x:c r="F22" s="31" t="str">
        <x:v>LAD @ ATL</x:v>
      </x:c>
      <x:c r="G22" s="31" t="str">
        <x:v>Shohei Ohtani</x:v>
      </x:c>
      <x:c r="H22" s="31" t="str">
        <x:v>HR</x:v>
      </x:c>
      <x:c r="I22" s="31" t="str">
        <x:v>HR</x:v>
      </x:c>
      <x:c r="J22" s="80" t="n">
        <x:v>439</x:v>
      </x:c>
      <x:c r="K22" s="31" t="str">
        <x:v>SOURCED</x:v>
      </x:c>
      <x:c r="L22" s="31" t="str">
        <x:v>A</x:v>
      </x:c>
      <x:c r="M22" s="31" t="str">
        <x:v>Large source model-vs-price discrepancy; compare to matchup-adjusted fair price.</x:v>
      </x:c>
      <x:c r="N22" s="31" t="str">
        <x:v>N</x:v>
      </x:c>
      <x:c r="O22" s="31" t="str">
        <x:v>Loss</x:v>
      </x:c>
      <x:c r="P22" s="31" t="n">
        <x:v>0</x:v>
      </x:c>
      <x:c r="Q22" s="33" t="n">
        <x:v>0</x:v>
      </x:c>
      <x:c r="R22" s="33" t="n">
        <x:v>-1</x:v>
      </x:c>
      <x:c r="S22" s="31" t="str"/>
      <x:c r="T22" s="32" t="str"/>
      <x:c r="U22" s="31" t="str">
        <x:v>Source DK +439; confirm current price.</x:v>
      </x:c>
      <x:c r="V22" s="31" t="str">
        <x:v>PRICE_TEST</x:v>
      </x:c>
      <x:c r="W22" s="31" t="str">
        <x:v>EXP-16</x:v>
      </x:c>
      <x:c r="X22" s="31" t="str">
        <x:v>SOURCE HR VALUE ARM</x:v>
      </x:c>
      <x:c r="Y22" s="31" t="str"/>
      <x:c r="Z22" s="31" t="str">
        <x:v>Large model-vs-market HR gaps retain value after matchup/lineup adjustments.</x:v>
      </x:c>
      <x:c r="AA22" s="31" t="str">
        <x:v>Raw model gaps disappear after matchup and closing-price controls.</x:v>
      </x:c>
      <x:c r="AB22" s="31" t="str">
        <x:v>Ohtani did not homer in Atlanta's 1-0 win.</x:v>
      </x:c>
    </x:row>
    <x:row r="23">
      <x:c r="A23" s="79" t="str">
        <x:v>2026-08-27</x:v>
      </x:c>
      <x:c r="B23" s="31" t="str">
        <x:v>P27-007</x:v>
      </x:c>
      <x:c r="C23" s="31" t="str">
        <x:v>A27-R13</x:v>
      </x:c>
      <x:c r="D23" s="31" t="str">
        <x:v>PAPER</x:v>
      </x:c>
      <x:c r="E23" s="31" t="str">
        <x:v>MLB</x:v>
      </x:c>
      <x:c r="F23" s="31" t="str">
        <x:v>HOU @ NYY</x:v>
      </x:c>
      <x:c r="G23" s="31" t="str">
        <x:v>Jeremy Peña</x:v>
      </x:c>
      <x:c r="H23" s="31" t="str">
        <x:v>HR</x:v>
      </x:c>
      <x:c r="I23" s="31" t="str">
        <x:v>HR</x:v>
      </x:c>
      <x:c r="J23" s="80" t="n">
        <x:v>591</x:v>
      </x:c>
      <x:c r="K23" s="31" t="str">
        <x:v>SOURCED</x:v>
      </x:c>
      <x:c r="L23" s="31" t="str">
        <x:v>B</x:v>
      </x:c>
      <x:c r="M23" s="31" t="str">
        <x:v>Large raw model-price gap but difficult opposing pitcher; tests whether matchup adjustment filters false value.</x:v>
      </x:c>
      <x:c r="N23" s="31" t="str">
        <x:v>N</x:v>
      </x:c>
      <x:c r="O23" s="31" t="str">
        <x:v>Win</x:v>
      </x:c>
      <x:c r="P23" s="31" t="n">
        <x:v>1</x:v>
      </x:c>
      <x:c r="Q23" s="33" t="n">
        <x:v>6.91</x:v>
      </x:c>
      <x:c r="R23" s="33" t="n">
        <x:v>5.91</x:v>
      </x:c>
      <x:c r="S23" s="31" t="str"/>
      <x:c r="T23" s="32" t="str"/>
      <x:c r="U23" s="31" t="str">
        <x:v>Source DK +591; confirm current price.</x:v>
      </x:c>
      <x:c r="V23" s="31" t="str">
        <x:v>PRICE_TEST</x:v>
      </x:c>
      <x:c r="W23" s="31" t="str">
        <x:v>EXP-16</x:v>
      </x:c>
      <x:c r="X23" s="31" t="str">
        <x:v>MATCHUP-FILTER ARM</x:v>
      </x:c>
      <x:c r="Y23" s="31" t="str"/>
      <x:c r="Z23" s="31" t="str">
        <x:v>Large raw model edge should be downgraded when opposing pitcher quality is elite.</x:v>
      </x:c>
      <x:c r="AA23" s="31" t="str">
        <x:v>Unfiltered large-gap candidates outperform matchup-adjusted rankings.</x:v>
      </x:c>
      <x:c r="AB23" s="31" t="str">
        <x:v>Jeremy Peña homered. Source longshot model hit despite matchup downgrade vs Gerrit Cole; keep source controls intact.</x:v>
      </x:c>
    </x:row>
    <x:row r="24">
      <x:c r="A24" s="79" t="str">
        <x:v>2026-08-27</x:v>
      </x:c>
      <x:c r="B24" s="31" t="str">
        <x:v>P27-008</x:v>
      </x:c>
      <x:c r="C24" s="31" t="str">
        <x:v>A27-R03</x:v>
      </x:c>
      <x:c r="D24" s="31" t="str">
        <x:v>PAPER</x:v>
      </x:c>
      <x:c r="E24" s="31" t="str">
        <x:v>MLB</x:v>
      </x:c>
      <x:c r="F24" s="31" t="str">
        <x:v>BAL @ STL</x:v>
      </x:c>
      <x:c r="G24" s="31" t="str">
        <x:v>Alec Burleson</x:v>
      </x:c>
      <x:c r="H24" s="31" t="str">
        <x:v>1+ Hit</x:v>
      </x:c>
      <x:c r="I24" s="31" t="str">
        <x:v>1+ hit</x:v>
      </x:c>
      <x:c r="J24" s="80" t="n">
        <x:v>-195</x:v>
      </x:c>
      <x:c r="K24" s="31" t="str">
        <x:v>SOURCED</x:v>
      </x:c>
      <x:c r="L24" s="31" t="str">
        <x:v>WATCH</x:v>
      </x:c>
      <x:c r="M24" s="31" t="str">
        <x:v>Test whether hot-form sourced hit leg survives a severe platoon downgrade.</x:v>
      </x:c>
      <x:c r="N24" s="31" t="str">
        <x:v>N</x:v>
      </x:c>
      <x:c r="O24" s="31" t="str">
        <x:v>Win</x:v>
      </x:c>
      <x:c r="P24" s="31" t="n">
        <x:v>1</x:v>
      </x:c>
      <x:c r="Q24" s="33" t="n">
        <x:v>1.5128205128205128</x:v>
      </x:c>
      <x:c r="R24" s="33" t="n">
        <x:v>0.5128205128205128</x:v>
      </x:c>
      <x:c r="S24" s="31" t="str"/>
      <x:c r="T24" s="32" t="str"/>
      <x:c r="U24" s="31" t="str">
        <x:v>Burleson vs LHP is materially weaker; compare Jordan Walker markets.</x:v>
      </x:c>
      <x:c r="V24" s="31" t="str">
        <x:v>HYPOTHESIS_TEST</x:v>
      </x:c>
      <x:c r="W24" s="31" t="str">
        <x:v>EXP-08</x:v>
      </x:c>
      <x:c r="X24" s="31" t="str">
        <x:v>SOURCE-HIT PLATOON ARM</x:v>
      </x:c>
      <x:c r="Y24" s="31" t="str">
        <x:v>A27-D03</x:v>
      </x:c>
      <x:c r="Z24" s="31" t="str">
        <x:v>Recent-form hit sheets should not override a meaningful platoon disadvantage.</x:v>
      </x:c>
      <x:c r="AA24" s="31" t="str">
        <x:v>Sourced hot-form hit legs maintain edge even against poor platoon matchups.</x:v>
      </x:c>
      <x:c r="AB24" s="31" t="str">
        <x:v>Burleson went 2-for-4. Platoon downgrade was directionally reasonable but not a binary veto.</x:v>
      </x:c>
    </x:row>
    <x:row r="25">
      <x:c r="A25" s="79" t="str">
        <x:v>2026-08-27</x:v>
      </x:c>
      <x:c r="B25" s="31" t="str">
        <x:v>P27-009</x:v>
      </x:c>
      <x:c r="C25" s="31" t="str">
        <x:v>A27-R17</x:v>
      </x:c>
      <x:c r="D25" s="31" t="str">
        <x:v>PAPER</x:v>
      </x:c>
      <x:c r="E25" s="31" t="str">
        <x:v>Soccer</x:v>
      </x:c>
      <x:c r="F25" s="31" t="str">
        <x:v>BAR vs ATH</x:v>
      </x:c>
      <x:c r="G25" s="31" t="str">
        <x:v>Barcelona</x:v>
      </x:c>
      <x:c r="H25" s="31" t="str">
        <x:v>Team Shots on Target</x:v>
      </x:c>
      <x:c r="I25" s="31" t="str">
        <x:v>7+ team SOT</x:v>
      </x:c>
      <x:c r="J25" s="80" t="n">
        <x:v>-125</x:v>
      </x:c>
      <x:c r="K25" s="31" t="str">
        <x:v>SOURCED</x:v>
      </x:c>
      <x:c r="L25" s="31" t="str">
        <x:v>B</x:v>
      </x:c>
      <x:c r="M25" s="31" t="str">
        <x:v>Source POTD; threshold is expensive relative to broader recent SOT baseline.</x:v>
      </x:c>
      <x:c r="N25" s="31" t="str">
        <x:v>N</x:v>
      </x:c>
      <x:c r="O25" s="31" t="str">
        <x:v>Win</x:v>
      </x:c>
      <x:c r="P25" s="31" t="n">
        <x:v>1</x:v>
      </x:c>
      <x:c r="Q25" s="33" t="n">
        <x:v>1.8</x:v>
      </x:c>
      <x:c r="R25" s="33" t="n">
        <x:v>0.8</x:v>
      </x:c>
      <x:c r="S25" s="31" t="str"/>
      <x:c r="T25" s="32" t="str"/>
      <x:c r="U25" s="31" t="str">
        <x:v>Barcelona had 7 SOT in opener, but 7+ at -125 needs &gt;55% and independent baseline looks lower; paper first.</x:v>
      </x:c>
      <x:c r="V25" s="31" t="str">
        <x:v>HYPOTHESIS_TEST</x:v>
      </x:c>
      <x:c r="W25" s="31" t="str">
        <x:v>EXP-17</x:v>
      </x:c>
      <x:c r="X25" s="31" t="str">
        <x:v>7+ SOT ARM</x:v>
      </x:c>
      <x:c r="Y25" s="31" t="str"/>
      <x:c r="Z25" s="31" t="str">
        <x:v>Team-shot props need matchup-adjusted SOT volume, not just favorite strength.</x:v>
      </x:c>
      <x:c r="AA25" s="31" t="str">
        <x:v>Barcelona 7+ consistently beats implied probability across similar home-favorite spots.</x:v>
      </x:c>
      <x:c r="AB25" s="31" t="str">
        <x:v>Barcelona recorded 10 SOT. Source 7+ threshold cleared comfortably.</x:v>
      </x:c>
    </x:row>
    <x:row r="26">
      <x:c r="A26" s="79" t="str">
        <x:v>2026-08-27</x:v>
      </x:c>
      <x:c r="B26" s="31" t="str">
        <x:v>P27-010</x:v>
      </x:c>
      <x:c r="C26" s="31" t="str">
        <x:v>A27-R43</x:v>
      </x:c>
      <x:c r="D26" s="31" t="str">
        <x:v>PAPER</x:v>
      </x:c>
      <x:c r="E26" s="31" t="str">
        <x:v>MLB</x:v>
      </x:c>
      <x:c r="F26" s="31" t="str">
        <x:v>MIL @ NYM</x:v>
      </x:c>
      <x:c r="G26" s="31" t="str">
        <x:v>Jacob Misiorowski</x:v>
      </x:c>
      <x:c r="H26" s="31" t="str">
        <x:v>Pitcher K Over</x:v>
      </x:c>
      <x:c r="I26" s="31" t="str">
        <x:v>Over 8.5 Ks</x:v>
      </x:c>
      <x:c r="J26" s="80" t="n">
        <x:v>-115</x:v>
      </x:c>
      <x:c r="K26" s="31" t="str">
        <x:v>SOURCED</x:v>
      </x:c>
      <x:c r="L26" s="31" t="str">
        <x:v>WATCH</x:v>
      </x:c>
      <x:c r="M26" s="31" t="str">
        <x:v>Aggressive source K threshold despite 6+ floor sheet.</x:v>
      </x:c>
      <x:c r="N26" s="31" t="str">
        <x:v>N</x:v>
      </x:c>
      <x:c r="O26" s="31" t="str">
        <x:v>Loss</x:v>
      </x:c>
      <x:c r="P26" s="31" t="n">
        <x:v>0</x:v>
      </x:c>
      <x:c r="Q26" s="33" t="n">
        <x:v>0</x:v>
      </x:c>
      <x:c r="R26" s="33" t="n">
        <x:v>-1</x:v>
      </x:c>
      <x:c r="S26" s="31" t="str"/>
      <x:c r="T26" s="32" t="str"/>
      <x:c r="U26" s="31" t="str">
        <x:v>Source over arm.</x:v>
      </x:c>
      <x:c r="V26" s="31" t="str">
        <x:v>THRESHOLD_TEST</x:v>
      </x:c>
      <x:c r="W26" s="31" t="str">
        <x:v>EXP-02</x:v>
      </x:c>
      <x:c r="X26" s="31" t="str">
        <x:v>HIGH-K THRESHOLD ARM</x:v>
      </x:c>
      <x:c r="Y26" s="31" t="str">
        <x:v>A27-R30</x:v>
      </x:c>
      <x:c r="Z26" s="31" t="str">
        <x:v>Recent floor hit rate does not justify jumping from 6+ to 9+ Ks.</x:v>
      </x:c>
      <x:c r="AA26" s="31" t="str">
        <x:v>High K threshold produces superior price-adjusted ROI.</x:v>
      </x:c>
      <x:c r="AB26" s="31" t="str">
        <x:v>Misiorowski struck out 6 in 6 IP. Aggressive O8.5 threshold failed.</x:v>
      </x:c>
    </x:row>
    <x:row r="27">
      <x:c r="A27" s="79" t="str">
        <x:v>2026-08-27</x:v>
      </x:c>
      <x:c r="B27" s="31" t="str">
        <x:v>P27-011</x:v>
      </x:c>
      <x:c r="C27" s="31" t="str">
        <x:v>A27-R43</x:v>
      </x:c>
      <x:c r="D27" s="31" t="str">
        <x:v>PAPER</x:v>
      </x:c>
      <x:c r="E27" s="31" t="str">
        <x:v>MLB</x:v>
      </x:c>
      <x:c r="F27" s="31" t="str">
        <x:v>MIL @ NYM</x:v>
      </x:c>
      <x:c r="G27" s="31" t="str">
        <x:v>Jacob Misiorowski</x:v>
      </x:c>
      <x:c r="H27" s="31" t="str">
        <x:v>Pitcher K Under</x:v>
      </x:c>
      <x:c r="I27" s="31" t="str">
        <x:v>Under 8.5 Ks</x:v>
      </x:c>
      <x:c r="J27" s="80" t="n">
        <x:v>-108</x:v>
      </x:c>
      <x:c r="K27" s="31" t="str">
        <x:v>DISCOVERED</x:v>
      </x:c>
      <x:c r="L27" s="31" t="str">
        <x:v>A</x:v>
      </x:c>
      <x:c r="M27" s="31" t="str">
        <x:v>Independent opposing thesis: workload management + 7.55 K projection.</x:v>
      </x:c>
      <x:c r="N27" s="31" t="str">
        <x:v>N</x:v>
      </x:c>
      <x:c r="O27" s="31" t="str">
        <x:v>Win</x:v>
      </x:c>
      <x:c r="P27" s="31" t="n">
        <x:v>1</x:v>
      </x:c>
      <x:c r="Q27" s="33" t="n">
        <x:v>1.925925925925926</x:v>
      </x:c>
      <x:c r="R27" s="33" t="n">
        <x:v>0.925925925925926</x:v>
      </x:c>
      <x:c r="S27" s="31" t="str"/>
      <x:c r="T27" s="32" t="str"/>
      <x:c r="U27" s="31" t="str">
        <x:v>Covers projection: 91 pitches, 7.55 Ks; failed to reach 7 Ks in each of last two starts despite long leash.</x:v>
      </x:c>
      <x:c r="V27" s="31" t="str">
        <x:v>THRESHOLD_TEST</x:v>
      </x:c>
      <x:c r="W27" s="31" t="str">
        <x:v>EXP-02</x:v>
      </x:c>
      <x:c r="X27" s="31" t="str">
        <x:v>UNDER-8.5 ARM</x:v>
      </x:c>
      <x:c r="Y27" s="31" t="str">
        <x:v>A27-R43</x:v>
      </x:c>
      <x:c r="Z27" s="31" t="str">
        <x:v>Workload management and projection make 9+ too aggressive.</x:v>
      </x:c>
      <x:c r="AA27" s="31" t="str">
        <x:v>Misiorowski repeatedly clears 9+ despite similar workload context.</x:v>
      </x:c>
      <x:c r="AB27" s="31" t="str">
        <x:v>Misiorowski finished with 6 Ks; U8.5 opposing thesis won.</x:v>
      </x:c>
    </x:row>
    <x:row r="28">
      <x:c r="A28" s="79" t="str">
        <x:v>2026-08-27</x:v>
      </x:c>
      <x:c r="B28" s="31" t="str">
        <x:v>P27-012</x:v>
      </x:c>
      <x:c r="C28" s="31" t="str">
        <x:v>A27-R45</x:v>
      </x:c>
      <x:c r="D28" s="31" t="str">
        <x:v>PAPER</x:v>
      </x:c>
      <x:c r="E28" s="31" t="str">
        <x:v>WNBA</x:v>
      </x:c>
      <x:c r="F28" s="31" t="str">
        <x:v>WSH @ PHX</x:v>
      </x:c>
      <x:c r="G28" s="31" t="str">
        <x:v>Alyssa Thomas</x:v>
      </x:c>
      <x:c r="H28" s="31" t="str">
        <x:v>Assists</x:v>
      </x:c>
      <x:c r="I28" s="31" t="str">
        <x:v>Over 7.5 assists</x:v>
      </x:c>
      <x:c r="J28" s="80" t="n">
        <x:v>-147</x:v>
      </x:c>
      <x:c r="K28" s="31" t="str">
        <x:v>SOURCED</x:v>
      </x:c>
      <x:c r="L28" s="31" t="str">
        <x:v>A</x:v>
      </x:c>
      <x:c r="M28" s="31" t="str">
        <x:v>Role-driven assist thesis; pair against PRA.</x:v>
      </x:c>
      <x:c r="N28" s="31" t="str">
        <x:v>Y</x:v>
      </x:c>
      <x:c r="O28" s="31" t="str">
        <x:v>Win</x:v>
      </x:c>
      <x:c r="P28" s="31" t="n">
        <x:v>1</x:v>
      </x:c>
      <x:c r="Q28" s="33" t="n">
        <x:v>1.6802721088435373</x:v>
      </x:c>
      <x:c r="R28" s="33" t="n">
        <x:v>0.6802721088435373</x:v>
      </x:c>
      <x:c r="S28" s="31" t="str"/>
      <x:c r="T28" s="32" t="str"/>
      <x:c r="U28" s="31" t="str">
        <x:v>Raw DK -147; 30% boost produced final -112. Real-money bet used 8+ assists; 9+ +112 kept as separate paper threshold arm.</x:v>
      </x:c>
      <x:c r="V28" s="31" t="str">
        <x:v>ALT_MARKET_TEST</x:v>
      </x:c>
      <x:c r="W28" s="31" t="str">
        <x:v>EXP-14</x:v>
      </x:c>
      <x:c r="X28" s="31" t="str">
        <x:v>ASSISTS ARM</x:v>
      </x:c>
      <x:c r="Y28" s="31" t="str">
        <x:v>A27-R01</x:v>
      </x:c>
      <x:c r="Z28" s="31" t="str">
        <x:v>Thomas' playmaking role may be more stable than PRA because points add volatility.</x:v>
      </x:c>
      <x:c r="AA28" s="31" t="str">
        <x:v>PRA outperforms assist/R+A expressions on price-adjusted ROI.</x:v>
      </x:c>
      <x:c r="AB28" s="31" t="str">
        <x:v>Thomas finished exactly 8 assists. Real boosted 8+ won.</x:v>
      </x:c>
    </x:row>
    <x:row r="29">
      <x:c r="A29" s="79" t="str">
        <x:v>2026-08-27</x:v>
      </x:c>
      <x:c r="B29" s="31" t="str">
        <x:v>P27-013</x:v>
      </x:c>
      <x:c r="C29" s="31" t="str">
        <x:v>A27-R46</x:v>
      </x:c>
      <x:c r="D29" s="31" t="str">
        <x:v>PAPER</x:v>
      </x:c>
      <x:c r="E29" s="31" t="str">
        <x:v>MLB</x:v>
      </x:c>
      <x:c r="F29" s="31" t="str">
        <x:v>ARI @ SF</x:v>
      </x:c>
      <x:c r="G29" s="31" t="str">
        <x:v>Gabriel Moreno</x:v>
      </x:c>
      <x:c r="H29" s="31" t="str">
        <x:v>H+R+RBI</x:v>
      </x:c>
      <x:c r="I29" s="31" t="str">
        <x:v>2+ H+R+RBI</x:v>
      </x:c>
      <x:c r="J29" s="80" t="str"/>
      <x:c r="K29" s="31" t="str">
        <x:v>SOURCED</x:v>
      </x:c>
      <x:c r="L29" s="31" t="str">
        <x:v>A</x:v>
      </x:c>
      <x:c r="M29" s="31" t="str">
        <x:v>Direct test of our HRR market emphasis.</x:v>
      </x:c>
      <x:c r="N29" s="31" t="str">
        <x:v>N</x:v>
      </x:c>
      <x:c r="O29" s="31" t="str">
        <x:v>Win</x:v>
      </x:c>
      <x:c r="P29" s="31" t="n">
        <x:v>1</x:v>
      </x:c>
      <x:c r="Q29" s="33" t="str"/>
      <x:c r="R29" s="33" t="str"/>
      <x:c r="S29" s="31" t="str"/>
      <x:c r="T29" s="32" t="str"/>
      <x:c r="U29" s="31" t="str">
        <x:v>Need exact DK HRR price and confirmed lineup.</x:v>
      </x:c>
      <x:c r="V29" s="31" t="str">
        <x:v>ALT_MARKET_TEST</x:v>
      </x:c>
      <x:c r="W29" s="31" t="str">
        <x:v>EXP-03</x:v>
      </x:c>
      <x:c r="X29" s="31" t="str">
        <x:v>HRR ARM</x:v>
      </x:c>
      <x:c r="Y29" s="31" t="str"/>
      <x:c r="Z29" s="31" t="str">
        <x:v>Moreno's broad offensive edge is better expressed with HRR than TB/HR.</x:v>
      </x:c>
      <x:c r="AA29" s="31" t="str">
        <x:v>Hit/TB alternatives outperform HRR after pricing.</x:v>
      </x:c>
      <x:c r="AB29" s="31" t="str">
        <x:v>Moreno: 1 H + 1 R + 1 RBI = 3 HRR; also homered.</x:v>
      </x:c>
    </x:row>
    <x:row r="30">
      <x:c r="A30" s="79" t="str">
        <x:v>2026-08-27</x:v>
      </x:c>
      <x:c r="B30" s="31" t="str">
        <x:v>P27-014</x:v>
      </x:c>
      <x:c r="C30" s="31" t="str">
        <x:v>A27-R37</x:v>
      </x:c>
      <x:c r="D30" s="31" t="str">
        <x:v>PAPER</x:v>
      </x:c>
      <x:c r="E30" s="31" t="str">
        <x:v>MLB</x:v>
      </x:c>
      <x:c r="F30" s="31" t="str">
        <x:v>MIL @ NYM</x:v>
      </x:c>
      <x:c r="G30" s="31" t="str">
        <x:v>Andrew Vaughn</x:v>
      </x:c>
      <x:c r="H30" s="31" t="str">
        <x:v>H+R+RBI</x:v>
      </x:c>
      <x:c r="I30" s="31" t="str">
        <x:v>2+ H+R+RBI</x:v>
      </x:c>
      <x:c r="J30" s="80" t="str"/>
      <x:c r="K30" s="31" t="str">
        <x:v>SOURCED</x:v>
      </x:c>
      <x:c r="L30" s="31" t="str">
        <x:v>A</x:v>
      </x:c>
      <x:c r="M30" s="31" t="str">
        <x:v>Pair against 1+ hit sheet candidate.</x:v>
      </x:c>
      <x:c r="N30" s="31" t="str">
        <x:v>N</x:v>
      </x:c>
      <x:c r="O30" s="31" t="str">
        <x:v>Win</x:v>
      </x:c>
      <x:c r="P30" s="31" t="n">
        <x:v>1</x:v>
      </x:c>
      <x:c r="Q30" s="33" t="str"/>
      <x:c r="R30" s="33" t="str"/>
      <x:c r="S30" s="31" t="str"/>
      <x:c r="T30" s="32" t="str"/>
      <x:c r="U30" s="31" t="str">
        <x:v>Need exact DK price.</x:v>
      </x:c>
      <x:c r="V30" s="31" t="str">
        <x:v>ALT_MARKET_TEST</x:v>
      </x:c>
      <x:c r="W30" s="31" t="str">
        <x:v>EXP-03</x:v>
      </x:c>
      <x:c r="X30" s="31" t="str">
        <x:v>HRR ARM</x:v>
      </x:c>
      <x:c r="Y30" s="31" t="str">
        <x:v>A27-R23</x:v>
      </x:c>
      <x:c r="Z30" s="31" t="str">
        <x:v>Vaughn's strong contact/matchup signal may monetize better through 2+ HRR.</x:v>
      </x:c>
      <x:c r="AA30" s="31" t="str">
        <x:v>1+ hit wins more efficiently after price adjustment.</x:v>
      </x:c>
      <x:c r="AB30" s="31" t="str">
        <x:v>Vaughn: 2 H + 0 R + 1 RBI = 3 HRR.</x:v>
      </x:c>
    </x:row>
    <x:row r="31">
      <x:c r="A31" s="79" t="str">
        <x:v>2026-08-27</x:v>
      </x:c>
      <x:c r="B31" s="31" t="str">
        <x:v>P27-015</x:v>
      </x:c>
      <x:c r="C31" s="31" t="str">
        <x:v>A27-R23</x:v>
      </x:c>
      <x:c r="D31" s="31" t="str">
        <x:v>PAPER</x:v>
      </x:c>
      <x:c r="E31" s="31" t="str">
        <x:v>MLB</x:v>
      </x:c>
      <x:c r="F31" s="31" t="str">
        <x:v>MIL @ NYM</x:v>
      </x:c>
      <x:c r="G31" s="31" t="str">
        <x:v>Andrew Vaughn</x:v>
      </x:c>
      <x:c r="H31" s="31" t="str">
        <x:v>1+ Hit</x:v>
      </x:c>
      <x:c r="I31" s="31" t="str">
        <x:v>1+ hit</x:v>
      </x:c>
      <x:c r="J31" s="80" t="str"/>
      <x:c r="K31" s="31" t="str">
        <x:v>SOURCED</x:v>
      </x:c>
      <x:c r="L31" s="31" t="str">
        <x:v>A</x:v>
      </x:c>
      <x:c r="M31" s="31" t="str">
        <x:v>Paired floor-market arm vs Vaughn HRR.</x:v>
      </x:c>
      <x:c r="N31" s="31" t="str">
        <x:v>N</x:v>
      </x:c>
      <x:c r="O31" s="31" t="str">
        <x:v>Win</x:v>
      </x:c>
      <x:c r="P31" s="31" t="n">
        <x:v>1</x:v>
      </x:c>
      <x:c r="Q31" s="33" t="str"/>
      <x:c r="R31" s="33" t="str"/>
      <x:c r="S31" s="31" t="str"/>
      <x:c r="T31" s="32" t="str"/>
      <x:c r="U31" s="31" t="str">
        <x:v>Need exact DK price.</x:v>
      </x:c>
      <x:c r="V31" s="31" t="str">
        <x:v>ALT_MARKET_TEST</x:v>
      </x:c>
      <x:c r="W31" s="31" t="str">
        <x:v>EXP-03</x:v>
      </x:c>
      <x:c r="X31" s="31" t="str">
        <x:v>HIT ARM</x:v>
      </x:c>
      <x:c r="Y31" s="31" t="str">
        <x:v>A27-R37</x:v>
      </x:c>
      <x:c r="Z31" s="31" t="str">
        <x:v>Vaughn 1+ hit is the safer expression of the same underlying hitter edge.</x:v>
      </x:c>
      <x:c r="AA31" s="31" t="str">
        <x:v>HRR outperforms after pricing.</x:v>
      </x:c>
      <x:c r="AB31" s="31" t="str">
        <x:v>Vaughn went 2-for-4. Both paired market expressions won; price determines long-run preference.</x:v>
      </x:c>
    </x:row>
    <x:row r="32">
      <x:c r="A32" s="79" t="str">
        <x:v>2026-08-27</x:v>
      </x:c>
      <x:c r="B32" s="31" t="str">
        <x:v>P27-016</x:v>
      </x:c>
      <x:c r="C32" s="31" t="str">
        <x:v>A27-R18</x:v>
      </x:c>
      <x:c r="D32" s="31" t="str">
        <x:v>PAPER</x:v>
      </x:c>
      <x:c r="E32" s="31" t="str">
        <x:v>MLB</x:v>
      </x:c>
      <x:c r="F32" s="31" t="str">
        <x:v>BAL @ STL</x:v>
      </x:c>
      <x:c r="G32" s="31" t="str">
        <x:v>Alec Burleson</x:v>
      </x:c>
      <x:c r="H32" s="31" t="str">
        <x:v>1+ Hit</x:v>
      </x:c>
      <x:c r="I32" s="31" t="str">
        <x:v>1+ hit</x:v>
      </x:c>
      <x:c r="J32" s="80" t="str"/>
      <x:c r="K32" s="31" t="str">
        <x:v>SOURCED</x:v>
      </x:c>
      <x:c r="L32" s="31" t="str">
        <x:v>WATCH</x:v>
      </x:c>
      <x:c r="M32" s="31" t="str">
        <x:v>Stress-test L10 hit-rate against left-on-left platoon disadvantage.</x:v>
      </x:c>
      <x:c r="N32" s="31" t="str">
        <x:v>N</x:v>
      </x:c>
      <x:c r="O32" s="31" t="str">
        <x:v>Win</x:v>
      </x:c>
      <x:c r="P32" s="31" t="n">
        <x:v>1</x:v>
      </x:c>
      <x:c r="Q32" s="33" t="str"/>
      <x:c r="R32" s="33" t="str"/>
      <x:c r="S32" s="31" t="str"/>
      <x:c r="T32" s="32" t="str"/>
      <x:c r="U32" s="31" t="str">
        <x:v>Compare to Jordan Walker 1+ hit/HRR due better platoon fit.</x:v>
      </x:c>
      <x:c r="V32" s="31" t="str">
        <x:v>HYPOTHESIS_TEST</x:v>
      </x:c>
      <x:c r="W32" s="31" t="str">
        <x:v>EXP-08</x:v>
      </x:c>
      <x:c r="X32" s="31" t="str">
        <x:v>RECENT-FORM ARM</x:v>
      </x:c>
      <x:c r="Y32" s="31" t="str">
        <x:v>A27-R24</x:v>
      </x:c>
      <x:c r="Z32" s="31" t="str">
        <x:v>A 100% L10 streak should not override platoon disadvantage.</x:v>
      </x:c>
      <x:c r="AA32" s="31" t="str">
        <x:v>Hot-form sourced hits remain profitable even after poor split adjustments.</x:v>
      </x:c>
      <x:c r="AB32" s="31" t="str">
        <x:v>Burleson went 2-for-4. Recent-form arm survived the platoon downgrade in this observation.</x:v>
      </x:c>
    </x:row>
    <x:row r="33">
      <x:c r="A33" s="79" t="str">
        <x:v>2026-08-27</x:v>
      </x:c>
      <x:c r="B33" s="31" t="str">
        <x:v>P27-017</x:v>
      </x:c>
      <x:c r="C33" s="31" t="str">
        <x:v>A27-D04</x:v>
      </x:c>
      <x:c r="D33" s="31" t="str">
        <x:v>PAPER</x:v>
      </x:c>
      <x:c r="E33" s="31" t="str">
        <x:v>MLB</x:v>
      </x:c>
      <x:c r="F33" s="31" t="str">
        <x:v>SGPx</x:v>
      </x:c>
      <x:c r="G33" s="31" t="str">
        <x:v>Walker + Vaughn + Moreno</x:v>
      </x:c>
      <x:c r="H33" s="31" t="str">
        <x:v>3-leg HRR SGPx</x:v>
      </x:c>
      <x:c r="I33" s="31" t="str">
        <x:v>Walker 2+ HRR + Vaughn 2+ HRR + Moreno 2+ HRR</x:v>
      </x:c>
      <x:c r="J33" s="80" t="n">
        <x:v>500</x:v>
      </x:c>
      <x:c r="K33" s="31" t="str">
        <x:v>HYBRID</x:v>
      </x:c>
      <x:c r="L33" s="31" t="str">
        <x:v>A</x:v>
      </x:c>
      <x:c r="M33" s="31" t="str">
        <x:v>Prospective promo construction; all three legs selected independently before results.</x:v>
      </x:c>
      <x:c r="N33" s="31" t="str">
        <x:v>N</x:v>
      </x:c>
      <x:c r="O33" s="31" t="str">
        <x:v>Win</x:v>
      </x:c>
      <x:c r="P33" s="31" t="n">
        <x:v>1</x:v>
      </x:c>
      <x:c r="Q33" s="33" t="str"/>
      <x:c r="R33" s="33" t="str"/>
      <x:c r="S33" s="31" t="str"/>
      <x:c r="T33" s="32" t="str"/>
      <x:c r="U33" s="31" t="str">
        <x:v>Raw estimated +500 from current DK leg prices; confirm displayed SGPx price before placement.</x:v>
      </x:c>
      <x:c r="V33" s="31" t="str">
        <x:v>TICKET_CONSTRUCTION</x:v>
      </x:c>
      <x:c r="W33" s="31" t="str">
        <x:v>EXP-18</x:v>
      </x:c>
      <x:c r="X33" s="31" t="str">
        <x:v>3-HRR PROMO ARM</x:v>
      </x:c>
      <x:c r="Y33" s="31" t="str"/>
      <x:c r="Z33" s="31" t="str">
        <x:v>Three independently qualified HRR legs across different games can satisfy +300 promo without a weak filler leg.</x:v>
      </x:c>
      <x:c r="AA33" s="31" t="str">
        <x:v>One or more HRR legs fail often enough that a mixed-market construction produces better price-adjusted ROI.</x:v>
      </x:c>
      <x:c r="AB33" s="31" t="str">
        <x:v>Walker/Vaughn/Moreno all cleared 2+ HRR. Analytical selection was 3/3, but construction was not promo-valid SGPx without a same-game core.</x:v>
      </x:c>
    </x:row>
    <x:row r="34">
      <x:c r="A34" s="79" t="str">
        <x:v>2026-08-27</x:v>
      </x:c>
      <x:c r="B34" s="31" t="str">
        <x:v>P27-018</x:v>
      </x:c>
      <x:c r="C34" s="31" t="str">
        <x:v>A27-D11</x:v>
      </x:c>
      <x:c r="D34" s="31" t="str">
        <x:v>PAPER</x:v>
      </x:c>
      <x:c r="E34" s="31" t="str">
        <x:v>MLB</x:v>
      </x:c>
      <x:c r="F34" s="31" t="str">
        <x:v>KC @ TOR</x:v>
      </x:c>
      <x:c r="G34" s="31" t="str">
        <x:v>Spencer Arrighetti</x:v>
      </x:c>
      <x:c r="H34" s="31" t="str">
        <x:v>Pitcher Outs</x:v>
      </x:c>
      <x:c r="I34" s="31" t="str">
        <x:v>Under 13.5 outs</x:v>
      </x:c>
      <x:c r="J34" s="80" t="n">
        <x:v>-102</x:v>
      </x:c>
      <x:c r="K34" s="31" t="str">
        <x:v>DISCOVERED</x:v>
      </x:c>
      <x:c r="L34" s="31" t="str">
        <x:v>B</x:v>
      </x:c>
      <x:c r="M34" s="31" t="str">
        <x:v>Prospective test of a medium/soft workload under without a confirmed hard cap.</x:v>
      </x:c>
      <x:c r="N34" s="31" t="str">
        <x:v>N</x:v>
      </x:c>
      <x:c r="O34" s="31" t="str">
        <x:v>Win</x:v>
      </x:c>
      <x:c r="P34" s="31" t="n">
        <x:v>1</x:v>
      </x:c>
      <x:c r="Q34" s="33" t="n">
        <x:v>1.9803921568627452</x:v>
      </x:c>
      <x:c r="R34" s="33" t="n">
        <x:v>0.9803921568627452</x:v>
      </x:c>
      <x:c r="S34" s="31" t="str"/>
      <x:c r="T34" s="32" t="str"/>
      <x:c r="U34" s="31" t="str">
        <x:v>Recent return: 61 pitches / 10 outs. Deliberately paper-only after hard-vs-soft workload audit.</x:v>
      </x:c>
      <x:c r="V34" s="31" t="str">
        <x:v>HYPOTHESIS_TEST</x:v>
      </x:c>
      <x:c r="W34" s="31" t="str">
        <x:v>EXP-01</x:v>
      </x:c>
      <x:c r="X34" s="31" t="str">
        <x:v>SOFT-WORKLOAD UNDER ARM</x:v>
      </x:c>
      <x:c r="Y34" s="31" t="str">
        <x:v>A27-R35</x:v>
      </x:c>
      <x:c r="Z34" s="31" t="str">
        <x:v>A recent short outing can create an outs-under edge, but without a hard cap the edge may be too fragile for real money.</x:v>
      </x:c>
      <x:c r="AA34" s="31" t="str">
        <x:v>Arrighetti receives a normal starter leash and clears 14 outs despite the recent short return.</x:v>
      </x:c>
      <x:c r="AB34" s="31" t="str">
        <x:v>Arrighetti: 4 IP / 12 outs / 79 pitches, 4 R (3 ER). Under won; treat as soft workload + performance, not hard cap.</x:v>
      </x:c>
    </x:row>
    <x:row r="35">
      <x:c r="A35" s="79" t="str">
        <x:v>2026-08-27</x:v>
      </x:c>
      <x:c r="B35" s="31" t="str">
        <x:v>P27-019</x:v>
      </x:c>
      <x:c r="C35" s="31" t="str">
        <x:v>A27-D12</x:v>
      </x:c>
      <x:c r="D35" s="31" t="str">
        <x:v>PAPER</x:v>
      </x:c>
      <x:c r="E35" s="31" t="str">
        <x:v>WNBA</x:v>
      </x:c>
      <x:c r="F35" s="31" t="str">
        <x:v>WSH @ PHX</x:v>
      </x:c>
      <x:c r="G35" s="31" t="str">
        <x:v>Alyssa Thomas</x:v>
      </x:c>
      <x:c r="H35" s="31" t="str">
        <x:v>Assists</x:v>
      </x:c>
      <x:c r="I35" s="31" t="str">
        <x:v>9+ assists</x:v>
      </x:c>
      <x:c r="J35" s="80" t="n">
        <x:v>112</x:v>
      </x:c>
      <x:c r="K35" s="31" t="str">
        <x:v>DISCOVERED</x:v>
      </x:c>
      <x:c r="L35" s="31" t="str">
        <x:v>A</x:v>
      </x:c>
      <x:c r="M35" s="31" t="str">
        <x:v>Threshold arm against the actual 8+ assists boosted single.</x:v>
      </x:c>
      <x:c r="N35" s="31" t="str">
        <x:v>N</x:v>
      </x:c>
      <x:c r="O35" s="31" t="str">
        <x:v>Loss</x:v>
      </x:c>
      <x:c r="P35" s="31" t="n">
        <x:v>0</x:v>
      </x:c>
      <x:c r="Q35" s="33" t="n">
        <x:v>0</x:v>
      </x:c>
      <x:c r="R35" s="33" t="n">
        <x:v>-1</x:v>
      </x:c>
      <x:c r="S35" s="31" t="str"/>
      <x:c r="T35" s="32" t="str"/>
      <x:c r="U35" s="31" t="str">
        <x:v>Prospectively declared at +112 before game; do not backfill if result known later.</x:v>
      </x:c>
      <x:c r="V35" s="31" t="str">
        <x:v>THRESHOLD_TEST</x:v>
      </x:c>
      <x:c r="W35" s="31" t="str">
        <x:v>EXP-06</x:v>
      </x:c>
      <x:c r="X35" s="31" t="str">
        <x:v>9+ AST AGGRESSIVE ARM</x:v>
      </x:c>
      <x:c r="Y35" s="31" t="str">
        <x:v>A27-R45</x:v>
      </x:c>
      <x:c r="Z35" s="31" t="str">
        <x:v>The 8+ real-money threshold should provide better bankroll utility by preserving exactly-eight outcomes, while 9+ tests whether the extra payout compensates.</x:v>
      </x:c>
      <x:c r="AA35" s="31" t="str">
        <x:v>9+ consistently produces superior price-adjusted ROI over the safer 8+ threshold in comparable spots.</x:v>
      </x:c>
      <x:c r="AB35" s="31" t="str">
        <x:v>Thomas had exactly 8 assists. 9+ lost while real 8+ won — threshold discipline directly saved the ticket.</x:v>
      </x:c>
    </x:row>
    <x:row r="36">
      <x:c r="A36" s="79" t="str">
        <x:v>2026-08-27</x:v>
      </x:c>
      <x:c r="B36" s="31" t="str">
        <x:v>P27-020</x:v>
      </x:c>
      <x:c r="C36" s="31" t="str">
        <x:v>A27-R11</x:v>
      </x:c>
      <x:c r="D36" s="31" t="str">
        <x:v>PAPER</x:v>
      </x:c>
      <x:c r="E36" s="31" t="str">
        <x:v>MLB</x:v>
      </x:c>
      <x:c r="F36" s="31" t="str">
        <x:v>KC @ TOR</x:v>
      </x:c>
      <x:c r="G36" s="31" t="str">
        <x:v>Jac Caglianone</x:v>
      </x:c>
      <x:c r="H36" s="31" t="str">
        <x:v>HR</x:v>
      </x:c>
      <x:c r="I36" s="31" t="str">
        <x:v>Home Run</x:v>
      </x:c>
      <x:c r="J36" s="80" t="n">
        <x:v>390</x:v>
      </x:c>
      <x:c r="K36" s="31" t="str">
        <x:v>HYBRID</x:v>
      </x:c>
      <x:c r="L36" s="31" t="str">
        <x:v>B</x:v>
      </x:c>
      <x:c r="M36" s="31" t="str">
        <x:v>Compare the sourced HR signal with the real 2+ HRR market conversion.</x:v>
      </x:c>
      <x:c r="N36" s="31" t="str">
        <x:v>N</x:v>
      </x:c>
      <x:c r="O36" s="31" t="str">
        <x:v>Win</x:v>
      </x:c>
      <x:c r="P36" s="31" t="n">
        <x:v>1</x:v>
      </x:c>
      <x:c r="Q36" s="33" t="n">
        <x:v>4.9</x:v>
      </x:c>
      <x:c r="R36" s="33" t="n">
        <x:v>3.9000000000000004</x:v>
      </x:c>
      <x:c r="S36" s="31" t="str"/>
      <x:c r="T36" s="32" t="str"/>
      <x:c r="U36" s="31" t="str">
        <x:v>Current DK HR price +390 vs earlier sourced +350; real-money exposure uses 2+ HRR -120 instead.</x:v>
      </x:c>
      <x:c r="V36" s="31" t="str">
        <x:v>ALT_MARKET_TEST</x:v>
      </x:c>
      <x:c r="W36" s="31" t="str">
        <x:v>EXP-03</x:v>
      </x:c>
      <x:c r="X36" s="31" t="str">
        <x:v>HR ARM</x:v>
      </x:c>
      <x:c r="Y36" s="31" t="str">
        <x:v>A27-D09</x:v>
      </x:c>
      <x:c r="Z36" s="31" t="str">
        <x:v>The broad hitter edge should monetize more reliably through 2+ HRR than a single-event HR, even when the HR model likes the player.</x:v>
      </x:c>
      <x:c r="AA36" s="31" t="str">
        <x:v>The HR arm produces better price-adjusted ROI than HRR across comparable model-identified hitters.</x:v>
      </x:c>
      <x:c r="AB36" s="31" t="str">
        <x:v>Caglianone homered and smashed the HRR line too. This game does not separate HR vs HRR quality; both expressions won.</x:v>
      </x:c>
    </x:row>
    <x:row r="37">
      <x:c r="A37" s="79" t="str">
        <x:v>2026-08-27</x:v>
      </x:c>
      <x:c r="B37" s="31" t="str">
        <x:v>P27-021</x:v>
      </x:c>
      <x:c r="C37" s="31" t="str">
        <x:v>A27-D13</x:v>
      </x:c>
      <x:c r="D37" s="31" t="str">
        <x:v>PAPER</x:v>
      </x:c>
      <x:c r="E37" s="31" t="str">
        <x:v>MLB</x:v>
      </x:c>
      <x:c r="F37" s="31" t="str">
        <x:v>ARI @ SF</x:v>
      </x:c>
      <x:c r="G37" s="31" t="str">
        <x:v>Landen Roupp</x:v>
      </x:c>
      <x:c r="H37" s="31" t="str">
        <x:v>Pitcher K Over</x:v>
      </x:c>
      <x:c r="I37" s="31" t="str">
        <x:v>Over 4.5 Ks</x:v>
      </x:c>
      <x:c r="J37" s="80" t="n">
        <x:v>116</x:v>
      </x:c>
      <x:c r="K37" s="31" t="str">
        <x:v>DISCOVERED</x:v>
      </x:c>
      <x:c r="L37" s="31" t="str">
        <x:v>WATCH</x:v>
      </x:c>
      <x:c r="M37" s="31" t="str">
        <x:v>Plus-money K-over hypothesis versus an opponent profile that suppresses strikeouts.</x:v>
      </x:c>
      <x:c r="N37" s="31" t="str">
        <x:v>N</x:v>
      </x:c>
      <x:c r="O37" s="31" t="str">
        <x:v>Loss</x:v>
      </x:c>
      <x:c r="P37" s="31" t="n">
        <x:v>0</x:v>
      </x:c>
      <x:c r="Q37" s="33" t="n">
        <x:v>0</x:v>
      </x:c>
      <x:c r="R37" s="33" t="n">
        <x:v>-1</x:v>
      </x:c>
      <x:c r="S37" s="31" t="str"/>
      <x:c r="T37" s="32" t="str"/>
      <x:c r="U37" s="31" t="str">
        <x:v>Prospectively declared at +116; kept off real card because Arizona's low-K profile creates meaningful conflict.</x:v>
      </x:c>
      <x:c r="V37" s="31" t="str">
        <x:v>HYPOTHESIS_TEST</x:v>
      </x:c>
      <x:c r="W37" s="31" t="str">
        <x:v>EXP-02</x:v>
      </x:c>
      <x:c r="X37" s="31" t="str">
        <x:v>ROUpp K OVER ARM</x:v>
      </x:c>
      <x:c r="Y37" s="31" t="str"/>
      <x:c r="Z37" s="31" t="str">
        <x:v>A pitcher-specific whiff/K signal can still beat a low-K opponent at a plus-money threshold.</x:v>
      </x:c>
      <x:c r="AA37" s="31" t="str">
        <x:v>Arizona's contact profile suppresses Roupp below 5 Ks often enough that the pitcher signal has no price-adjusted edge.</x:v>
      </x:c>
      <x:c r="AB37" s="31" t="str">
        <x:v>Roupp recorded 3 Ks in 5 IP. Low-K opponent profile won this opposing-thesis test.</x:v>
      </x:c>
    </x:row>
    <x:row r="38">
      <x:c r="A38" s="79" t="str">
        <x:v>2026-08-27</x:v>
      </x:c>
      <x:c r="B38" s="31" t="str">
        <x:v>P27-022</x:v>
      </x:c>
      <x:c r="C38" s="31" t="str">
        <x:v>A27-D04;A27-D09;A27-D10</x:v>
      </x:c>
      <x:c r="D38" s="31" t="str">
        <x:v>PAPER/REAL</x:v>
      </x:c>
      <x:c r="E38" s="31" t="str">
        <x:v>MLB</x:v>
      </x:c>
      <x:c r="F38" s="31" t="str">
        <x:v>SGPx</x:v>
      </x:c>
      <x:c r="G38" s="31" t="str">
        <x:v>Walker + Witt + Caglianone</x:v>
      </x:c>
      <x:c r="H38" s="31" t="str">
        <x:v>3-leg HRR SGPx</x:v>
      </x:c>
      <x:c r="I38" s="31" t="str">
        <x:v>Walker 2+ HRR + Witt 2+ HRR + Caglianone 2+ HRR</x:v>
      </x:c>
      <x:c r="J38" s="80" t="n">
        <x:v>378</x:v>
      </x:c>
      <x:c r="K38" s="31" t="str">
        <x:v>HYBRID</x:v>
      </x:c>
      <x:c r="L38" s="31" t="str">
        <x:v>A</x:v>
      </x:c>
      <x:c r="M38" s="31" t="str">
        <x:v>Actual promo construction: valid 2-leg KC/TOR SGP core plus Walker outside, exactly 3 legs and +300+ raw.</x:v>
      </x:c>
      <x:c r="N38" s="31" t="str">
        <x:v>Y</x:v>
      </x:c>
      <x:c r="O38" s="31" t="str">
        <x:v>Win</x:v>
      </x:c>
      <x:c r="P38" s="31" t="n">
        <x:v>1</x:v>
      </x:c>
      <x:c r="Q38" s="33" t="n">
        <x:v>4.779999999999999</x:v>
      </x:c>
      <x:c r="R38" s="33" t="n">
        <x:v>3.7799999999999994</x:v>
      </x:c>
      <x:c r="S38" s="31" t="str"/>
      <x:c r="T38" s="32" t="str"/>
      <x:c r="U38" s="31" t="str">
        <x:v>$1 real bet. Raw +378, 50% boost to +568. Keep P27-017 intact as the original Walker/Vaughn/Moreno control.</x:v>
      </x:c>
      <x:c r="V38" s="31" t="str">
        <x:v>TICKET_CONSTRUCTION</x:v>
      </x:c>
      <x:c r="W38" s="31" t="str">
        <x:v>EXP-18</x:v>
      </x:c>
      <x:c r="X38" s="31" t="str">
        <x:v>ACTUAL VALID SGPx ARM</x:v>
      </x:c>
      <x:c r="Y38" s="31" t="str"/>
      <x:c r="Z38" s="31" t="str">
        <x:v>A valid same-game core plus a strong outside HRR leg can satisfy the promo without filler while preserving independent edge quality.</x:v>
      </x:c>
      <x:c r="AA38" s="31" t="str">
        <x:v>The same-market concentration causes repeated ticket failure and a mixed-market construction produces better price-adjusted results.</x:v>
      </x:c>
      <x:c r="AB38" s="31" t="str">
        <x:v>Actual valid SGPx won 3/3. Raw +378 paper benchmark; actual 50% boost paid +568 / $6.68 total.</x:v>
      </x:c>
    </x:row>
    <x:row r="39">
      <x:c r="A39" s="79" t="str">
        <x:v>2026-08-28</x:v>
      </x:c>
      <x:c r="B39" s="31" t="str">
        <x:v>P28-001</x:v>
      </x:c>
      <x:c r="C39" s="31" t="str">
        <x:v>A28-R87;A28-R88;A28-R89</x:v>
      </x:c>
      <x:c r="D39" s="31" t="str">
        <x:v>PAPER</x:v>
      </x:c>
      <x:c r="E39" s="31" t="str">
        <x:v>WNBA</x:v>
      </x:c>
      <x:c r="F39" s="31" t="str">
        <x:v>3-game parlay</x:v>
      </x:c>
      <x:c r="G39" s="31" t="str">
        <x:v>Young + Hillmon + Hamby</x:v>
      </x:c>
      <x:c r="H39" s="31" t="str">
        <x:v>Aggressive promo threshold arm</x:v>
      </x:c>
      <x:c r="I39" s="31" t="str">
        <x:v>Young 5+ REB + Hillmon O14.5 P+R + Hamby 20+ P+R</x:v>
      </x:c>
      <x:c r="J39" s="80" t="n">
        <x:v>595</x:v>
      </x:c>
      <x:c r="K39" s="31" t="str">
        <x:v>HYBRID</x:v>
      </x:c>
      <x:c r="L39" s="31" t="str">
        <x:v>A</x:v>
      </x:c>
      <x:c r="M39" s="31" t="str">
        <x:v>Original high-payout construction before threshold optimization.</x:v>
      </x:c>
      <x:c r="N39" s="31" t="str">
        <x:v>N</x:v>
      </x:c>
      <x:c r="O39" s="31" t="str">
        <x:v>Loss</x:v>
      </x:c>
      <x:c r="P39" s="31" t="n">
        <x:v>0</x:v>
      </x:c>
      <x:c r="Q39" s="33" t="n">
        <x:v>0</x:v>
      </x:c>
      <x:c r="R39" s="33" t="n">
        <x:v>-1</x:v>
      </x:c>
      <x:c r="S39" s="31" t="str"/>
      <x:c r="T39" s="32" t="str"/>
      <x:c r="U39" s="31" t="str">
        <x:v>Raw +595 screenshot before placement. Prospectively preserved; compare to real +355 build. | FINAL: Young 4 REB; Hillmon 19 P+R; Hamby 13 P+R</x:v>
      </x:c>
      <x:c r="V39" s="31" t="str">
        <x:v>THRESHOLD_TEST</x:v>
      </x:c>
      <x:c r="W39" s="31" t="str">
        <x:v>EXP-06</x:v>
      </x:c>
      <x:c r="X39" s="31" t="str">
        <x:v>AGGRESSIVE +595 ARM</x:v>
      </x:c>
      <x:c r="Y39" s="31" t="str">
        <x:v>A28-T01</x:v>
      </x:c>
      <x:c r="Z39" s="31" t="str">
        <x:v>Using the extra promo odds cushion to lower a weaker leg should improve ticket survival without sacrificing qualification.</x:v>
      </x:c>
      <x:c r="AA39" s="31" t="str">
        <x:v>Aggressive thresholds outperform lower-threshold promo builds on price-adjusted ROI.</x:v>
      </x:c>
      <x:c r="AB39" s="31" t="str">
        <x:v>Aggressive +595 arm failed on Young and Hamby. More payout did not compensate for weak thresholds.</x:v>
      </x:c>
    </x:row>
    <x:row r="40">
      <x:c r="A40" s="79" t="str">
        <x:v>2026-08-28</x:v>
      </x:c>
      <x:c r="B40" s="31" t="str">
        <x:v>P28-002</x:v>
      </x:c>
      <x:c r="C40" s="31" t="str">
        <x:v>A28-R87;A28-R88;A28-R89</x:v>
      </x:c>
      <x:c r="D40" s="31" t="str">
        <x:v>PAPER</x:v>
      </x:c>
      <x:c r="E40" s="31" t="str">
        <x:v>WNBA</x:v>
      </x:c>
      <x:c r="F40" s="31" t="str">
        <x:v>3-game parlay</x:v>
      </x:c>
      <x:c r="G40" s="31" t="str">
        <x:v>Young + Hillmon + Hamby</x:v>
      </x:c>
      <x:c r="H40" s="31" t="str">
        <x:v>Alternate threshold allocation</x:v>
      </x:c>
      <x:c r="I40" s="31" t="str">
        <x:v>Young 5+ REB + Hillmon 10+ P+R + Hamby 20+ P+R</x:v>
      </x:c>
      <x:c r="J40" s="80" t="n">
        <x:v>313</x:v>
      </x:c>
      <x:c r="K40" s="31" t="str">
        <x:v>HYBRID</x:v>
      </x:c>
      <x:c r="L40" s="31" t="str">
        <x:v>A</x:v>
      </x:c>
      <x:c r="M40" s="31" t="str">
        <x:v>Exact alternate that barely cleared +300 but shifted harder threshold onto Hamby.</x:v>
      </x:c>
      <x:c r="N40" s="31" t="str">
        <x:v>N</x:v>
      </x:c>
      <x:c r="O40" s="31" t="str">
        <x:v>Loss</x:v>
      </x:c>
      <x:c r="P40" s="31" t="n">
        <x:v>0</x:v>
      </x:c>
      <x:c r="Q40" s="33" t="n">
        <x:v>0</x:v>
      </x:c>
      <x:c r="R40" s="33" t="n">
        <x:v>-1</x:v>
      </x:c>
      <x:c r="S40" s="31" t="str"/>
      <x:c r="T40" s="32" t="str"/>
      <x:c r="U40" s="31" t="str">
        <x:v>Raw +313 screenshot. Compare to real +355 allocation. | FINAL: Young 4 REB; Hillmon cleared 10+; Hamby missed 20+ P+R</x:v>
      </x:c>
      <x:c r="V40" s="31" t="str">
        <x:v>THRESHOLD_TEST</x:v>
      </x:c>
      <x:c r="W40" s="31" t="str">
        <x:v>EXP-19</x:v>
      </x:c>
      <x:c r="X40" s="31" t="str">
        <x:v>HARDER-HAMBY ARM</x:v>
      </x:c>
      <x:c r="Y40" s="31" t="str">
        <x:v>A28-T01</x:v>
      </x:c>
      <x:c r="Z40" s="31" t="str">
        <x:v>When only one leg must carry a harder threshold, allocate it to the player with the stronger role/matchup edge.</x:v>
      </x:c>
      <x:c r="AA40" s="31" t="str">
        <x:v>Hamby 20+ outperforms Hillmon 15+ often enough to justify the weaker-thesis allocation.</x:v>
      </x:c>
      <x:c r="AB40" s="31" t="str">
        <x:v>Harder-Hamby +313 arm also failed. Young failed in every construction.</x:v>
      </x:c>
    </x:row>
    <x:row r="41">
      <x:c r="A41" s="79" t="str">
        <x:v>2026-08-28</x:v>
      </x:c>
      <x:c r="B41" s="31" t="str">
        <x:v>P28-003</x:v>
      </x:c>
      <x:c r="C41" s="31" t="str">
        <x:v>A28-R87;A28-R88;A28-R89</x:v>
      </x:c>
      <x:c r="D41" s="31" t="str">
        <x:v>PAPER</x:v>
      </x:c>
      <x:c r="E41" s="31" t="str">
        <x:v>WNBA</x:v>
      </x:c>
      <x:c r="F41" s="31" t="str">
        <x:v>3-game parlay</x:v>
      </x:c>
      <x:c r="G41" s="31" t="str">
        <x:v>Young + Hillmon + Hamby</x:v>
      </x:c>
      <x:c r="H41" s="31" t="str">
        <x:v>All-lowered non-qualifying control</x:v>
      </x:c>
      <x:c r="I41" s="31" t="str">
        <x:v>Young 5+ REB + Hillmon 10+ P+R + Hamby 15+ P+R</x:v>
      </x:c>
      <x:c r="J41" s="80" t="n">
        <x:v>173</x:v>
      </x:c>
      <x:c r="K41" s="31" t="str">
        <x:v>HYBRID</x:v>
      </x:c>
      <x:c r="L41" s="31" t="str">
        <x:v>WATCH</x:v>
      </x:c>
      <x:c r="M41" s="31" t="str">
        <x:v>Safest available thresholds, but failed +300 promo requirement.</x:v>
      </x:c>
      <x:c r="N41" s="31" t="str">
        <x:v>N</x:v>
      </x:c>
      <x:c r="O41" s="31" t="str">
        <x:v>Loss</x:v>
      </x:c>
      <x:c r="P41" s="31" t="n">
        <x:v>0</x:v>
      </x:c>
      <x:c r="Q41" s="33" t="n">
        <x:v>0</x:v>
      </x:c>
      <x:c r="R41" s="33" t="n">
        <x:v>-1</x:v>
      </x:c>
      <x:c r="S41" s="31" t="str"/>
      <x:c r="T41" s="32" t="str"/>
      <x:c r="U41" s="31" t="str">
        <x:v>Raw +173 screenshot. This is not promo-eligible; track only as threshold-survival control. | FINAL: Young 4 REB; Hillmon cleared 10+; Hamby 13 P+R</x:v>
      </x:c>
      <x:c r="V41" s="31" t="str">
        <x:v>THRESHOLD_TEST</x:v>
      </x:c>
      <x:c r="W41" s="31" t="str">
        <x:v>EXP-19</x:v>
      </x:c>
      <x:c r="X41" s="31" t="str">
        <x:v>SAFE +173 CONTROL</x:v>
      </x:c>
      <x:c r="Y41" s="31" t="str">
        <x:v>A28-T01</x:v>
      </x:c>
      <x:c r="Z41" s="31" t="str">
        <x:v>Promo constraints create avoidable threshold risk relative to the safest three-player construction.</x:v>
      </x:c>
      <x:c r="AA41" s="31" t="str">
        <x:v>Promo-qualified builds retain enough extra payout to offset their higher miss rate.</x:v>
      </x:c>
      <x:c r="AB41" s="31" t="str">
        <x:v>Even the +173 safest control failed; this was not only a promo-threshold problem.</x:v>
      </x:c>
    </x:row>
    <x:row r="42">
      <x:c r="A42" s="79" t="str">
        <x:v>2026-08-28</x:v>
      </x:c>
      <x:c r="B42" s="31" t="str">
        <x:v>P28-004</x:v>
      </x:c>
      <x:c r="C42" s="31" t="str">
        <x:v>A28-R01</x:v>
      </x:c>
      <x:c r="D42" s="31" t="str">
        <x:v>PAPER</x:v>
      </x:c>
      <x:c r="E42" s="31" t="str">
        <x:v>WNBA</x:v>
      </x:c>
      <x:c r="F42" s="31" t="str">
        <x:v>WAS @ LA</x:v>
      </x:c>
      <x:c r="G42" s="31" t="str">
        <x:v>Dearica Hamby</x:v>
      </x:c>
      <x:c r="H42" s="31" t="str">
        <x:v>PRA</x:v>
      </x:c>
      <x:c r="I42" s="31" t="str">
        <x:v>Over 21.5 PRA</x:v>
      </x:c>
      <x:c r="J42" s="80" t="n">
        <x:v>-115</x:v>
      </x:c>
      <x:c r="K42" s="31" t="str">
        <x:v>SOURCED</x:v>
      </x:c>
      <x:c r="L42" s="31" t="str">
        <x:v>A</x:v>
      </x:c>
      <x:c r="M42" s="31" t="str">
        <x:v>Source POTD market versus real lower-threshold P+R expression.</x:v>
      </x:c>
      <x:c r="N42" s="31" t="str">
        <x:v>N</x:v>
      </x:c>
      <x:c r="O42" s="31" t="str">
        <x:v>Loss</x:v>
      </x:c>
      <x:c r="P42" s="31" t="n">
        <x:v>0</x:v>
      </x:c>
      <x:c r="Q42" s="33" t="n">
        <x:v>0</x:v>
      </x:c>
      <x:c r="R42" s="33" t="n">
        <x:v>-1</x:v>
      </x:c>
      <x:c r="S42" s="31" t="str"/>
      <x:c r="T42" s="32" t="str"/>
      <x:c r="U42" s="31" t="str">
        <x:v>Direct EXP-14 paired market test against actual Hamby 15+ P+R leg. | FINAL: Hamby had 13 P+R and did not reach 22 PRA</x:v>
      </x:c>
      <x:c r="V42" s="31" t="str">
        <x:v>ALT_MARKET_TEST</x:v>
      </x:c>
      <x:c r="W42" s="31" t="str">
        <x:v>EXP-14</x:v>
      </x:c>
      <x:c r="X42" s="31" t="str">
        <x:v>HAMBY PRA ARM</x:v>
      </x:c>
      <x:c r="Y42" s="31" t="str">
        <x:v>A28-R89</x:v>
      </x:c>
      <x:c r="Z42" s="31" t="str">
        <x:v>Removing assists and lowering the threshold should create a more stable expression than PRA for Hamby today.</x:v>
      </x:c>
      <x:c r="AA42" s="31" t="str">
        <x:v>PRA produces better price-adjusted ROI than P+R on comparable forward profiles.</x:v>
      </x:c>
      <x:c r="AB42" s="31" t="str">
        <x:v>PRA arm failed along with P+R. The broad Hamby thesis was poor today, not merely the selected market.</x:v>
      </x:c>
    </x:row>
    <x:row r="43">
      <x:c r="A43" s="79" t="str">
        <x:v>2026-08-28</x:v>
      </x:c>
      <x:c r="B43" s="31" t="str">
        <x:v>P28-005</x:v>
      </x:c>
      <x:c r="C43" s="31" t="str">
        <x:v>A28-R16</x:v>
      </x:c>
      <x:c r="D43" s="31" t="str">
        <x:v>PAPER</x:v>
      </x:c>
      <x:c r="E43" s="31" t="str">
        <x:v>WNBA</x:v>
      </x:c>
      <x:c r="F43" s="31" t="str">
        <x:v>CON @ IND</x:v>
      </x:c>
      <x:c r="G43" s="31" t="str">
        <x:v>Kelsey Mitchell</x:v>
      </x:c>
      <x:c r="H43" s="31" t="str">
        <x:v>Points</x:v>
      </x:c>
      <x:c r="I43" s="31" t="str">
        <x:v>25+ points</x:v>
      </x:c>
      <x:c r="J43" s="80" t="str"/>
      <x:c r="K43" s="31" t="str">
        <x:v>SOURCED</x:v>
      </x:c>
      <x:c r="L43" s="31" t="str">
        <x:v>A</x:v>
      </x:c>
      <x:c r="M43" s="31" t="str">
        <x:v>Strong sourced candidate excluded only because game is unavailable on user's DK.</x:v>
      </x:c>
      <x:c r="N43" s="31" t="str">
        <x:v>N</x:v>
      </x:c>
      <x:c r="O43" s="31" t="str">
        <x:v>Win</x:v>
      </x:c>
      <x:c r="P43" s="31" t="n">
        <x:v>1</x:v>
      </x:c>
      <x:c r="Q43" s="33" t="str"/>
      <x:c r="R43" s="33" t="str"/>
      <x:c r="S43" s="31" t="str"/>
      <x:c r="T43" s="32" t="str"/>
      <x:c r="U43" s="31" t="str">
        <x:v>Track source validity separately from platform eligibility; no DK price available. | FINAL: Kelsey Mitchell scored 34 points</x:v>
      </x:c>
      <x:c r="V43" s="31" t="str">
        <x:v>HYPOTHESIS_TEST</x:v>
      </x:c>
      <x:c r="W43" s="31" t="str">
        <x:v>EXP-08</x:v>
      </x:c>
      <x:c r="X43" s="31" t="str">
        <x:v>UNAVAILABLE A-TIER CONTROL</x:v>
      </x:c>
      <x:c r="Y43" s="31" t="str"/>
      <x:c r="Z43" s="31" t="str">
        <x:v>Platform availability should not erase a strong candidate from source-quality evaluation.</x:v>
      </x:c>
      <x:c r="AA43" s="31" t="str">
        <x:v>Unavailable source candidates underperform the available-card ranking enough to ignore.</x:v>
      </x:c>
      <x:c r="AB43" s="31" t="str">
        <x:v>Unavailable-on-DK A-tier source control won; platform eligibility should stay separate from source-quality grading.</x:v>
      </x:c>
    </x:row>
    <x:row r="44">
      <x:c r="A44" s="79" t="str">
        <x:v>2026-08-28</x:v>
      </x:c>
      <x:c r="B44" s="31" t="str">
        <x:v>P28-006</x:v>
      </x:c>
      <x:c r="C44" s="31" t="str">
        <x:v>A28-R38;A28-R39;A28-R40</x:v>
      </x:c>
      <x:c r="D44" s="31" t="str">
        <x:v>PAPER</x:v>
      </x:c>
      <x:c r="E44" s="31" t="str">
        <x:v>MLB</x:v>
      </x:c>
      <x:c r="F44" s="31" t="str">
        <x:v>NRFI 3-pack</x:v>
      </x:c>
      <x:c r="G44" s="31" t="str">
        <x:v>LAD/DET + HOU/NYM + SEA/TOR</x:v>
      </x:c>
      <x:c r="H44" s="31" t="str">
        <x:v>3-leg NRFI parlay</x:v>
      </x:c>
      <x:c r="I44" s="31" t="str">
        <x:v>Three NRFI legs</x:v>
      </x:c>
      <x:c r="J44" s="80" t="n">
        <x:v>365</x:v>
      </x:c>
      <x:c r="K44" s="31" t="str">
        <x:v>SOURCED</x:v>
      </x:c>
      <x:c r="L44" s="31" t="str">
        <x:v>B</x:v>
      </x:c>
      <x:c r="M44" s="31" t="str">
        <x:v>Source 3-leg NRFI construction; real backbone remains suspended.</x:v>
      </x:c>
      <x:c r="N44" s="31" t="str">
        <x:v>N</x:v>
      </x:c>
      <x:c r="O44" s="31" t="str">
        <x:v>Loss</x:v>
      </x:c>
      <x:c r="P44" s="31" t="n">
        <x:v>0</x:v>
      </x:c>
      <x:c r="Q44" s="33" t="n">
        <x:v>0</x:v>
      </x:c>
      <x:c r="R44" s="33" t="n">
        <x:v>-1</x:v>
      </x:c>
      <x:c r="S44" s="31" t="str"/>
      <x:c r="T44" s="32" t="str"/>
      <x:c r="U44" s="31" t="str">
        <x:v>Components: -150 / -132 / -170; displayed source parlay +365. | FINAL: SEA/TOR NRFI failed after Toronto scored 3 in the 1st inning</x:v>
      </x:c>
      <x:c r="V44" s="31" t="str">
        <x:v>CONSTRUCTION_TEST</x:v>
      </x:c>
      <x:c r="W44" s="31" t="str">
        <x:v>EXP-10</x:v>
      </x:c>
      <x:c r="X44" s="31" t="str">
        <x:v>3-LEG NRFI ARM</x:v>
      </x:c>
      <x:c r="Y44" s="31" t="str"/>
      <x:c r="Z44" s="31" t="str">
        <x:v>Three-leg NRFI cards carry too much one-inning variance compared with singles/2-leg expressions.</x:v>
      </x:c>
      <x:c r="AA44" s="31" t="str">
        <x:v>3-leg NRFI price-adjusted ROI beats singles/2-legs over sample.</x:v>
      </x:c>
      <x:c r="AB44" s="31" t="str">
        <x:v>Three-leg NRFI source card lost; one inning failure again killed the entire construction.</x:v>
      </x:c>
    </x:row>
    <x:row r="45">
      <x:c r="A45" s="79" t="str">
        <x:v>2026-08-28</x:v>
      </x:c>
      <x:c r="B45" s="31" t="str">
        <x:v>P28-007</x:v>
      </x:c>
      <x:c r="C45" s="31" t="str">
        <x:v>A28-R60;A28-R61;A28-R62</x:v>
      </x:c>
      <x:c r="D45" s="31" t="str">
        <x:v>PAPER</x:v>
      </x:c>
      <x:c r="E45" s="31" t="str">
        <x:v>MLB</x:v>
      </x:c>
      <x:c r="F45" s="31" t="str">
        <x:v>3-pack</x:v>
      </x:c>
      <x:c r="G45" s="31" t="str">
        <x:v>Devers + Witt + Hancock</x:v>
      </x:c>
      <x:c r="H45" s="31" t="str">
        <x:v>UDLR mixed 3-pack</x:v>
      </x:c>
      <x:c r="I45" s="31" t="str">
        <x:v>Devers O1.5 TB + Witt O1.5 HRR + Hancock O3.5 K</x:v>
      </x:c>
      <x:c r="J45" s="80" t="str"/>
      <x:c r="K45" s="31" t="str">
        <x:v>SOURCED</x:v>
      </x:c>
      <x:c r="L45" s="31" t="str">
        <x:v>B</x:v>
      </x:c>
      <x:c r="M45" s="31" t="str">
        <x:v>Preserve source ticket intact before any independent filtering.</x:v>
      </x:c>
      <x:c r="N45" s="31" t="str">
        <x:v>N</x:v>
      </x:c>
      <x:c r="O45" s="31" t="str">
        <x:v>Loss</x:v>
      </x:c>
      <x:c r="P45" s="31" t="n">
        <x:v>0</x:v>
      </x:c>
      <x:c r="Q45" s="33" t="str"/>
      <x:c r="R45" s="33" t="str"/>
      <x:c r="S45" s="31" t="str"/>
      <x:c r="T45" s="32" t="str"/>
      <x:c r="U45" s="31" t="str">
        <x:v>Component source prices: Devers +152, Witt -120, Hancock -140. | FINAL: Hancock O3.5 K failed with 1 K</x:v>
      </x:c>
      <x:c r="V45" s="31" t="str">
        <x:v>CONSTRUCTION_TEST</x:v>
      </x:c>
      <x:c r="W45" s="31" t="str">
        <x:v>EXP-08</x:v>
      </x:c>
      <x:c r="X45" s="31" t="str">
        <x:v>SOURCE TICKET CONTROL</x:v>
      </x:c>
      <x:c r="Y45" s="31" t="str"/>
      <x:c r="Z45" s="31" t="str">
        <x:v>Preserving original source tickets lets us measure whether our adjustments actually add value.</x:v>
      </x:c>
      <x:c r="AA45" s="31" t="str">
        <x:v>Adjusted/created cards consistently outperform intact source tickets after price control.</x:v>
      </x:c>
      <x:c r="AB45" s="31" t="str">
        <x:v>Intact UDLR source ticket lost; preserving it avoids hindsight when comparing source vs adjusted cards.</x:v>
      </x:c>
    </x:row>
    <x:row r="46">
      <x:c r="A46" s="79" t="str">
        <x:v>2026-08-28</x:v>
      </x:c>
      <x:c r="B46" s="31" t="str">
        <x:v>P28-008</x:v>
      </x:c>
      <x:c r="C46" s="31" t="str">
        <x:v>A28-R56</x:v>
      </x:c>
      <x:c r="D46" s="31" t="str">
        <x:v>PAPER</x:v>
      </x:c>
      <x:c r="E46" s="31" t="str">
        <x:v>MLB</x:v>
      </x:c>
      <x:c r="F46" s="31" t="str">
        <x:v>KC @ CLE</x:v>
      </x:c>
      <x:c r="G46" s="31" t="str">
        <x:v>Jac Caglianone</x:v>
      </x:c>
      <x:c r="H46" s="31" t="str">
        <x:v>HR</x:v>
      </x:c>
      <x:c r="I46" s="31" t="str">
        <x:v>Home Run</x:v>
      </x:c>
      <x:c r="J46" s="80" t="n">
        <x:v>390</x:v>
      </x:c>
      <x:c r="K46" s="31" t="str">
        <x:v>SOURCED</x:v>
      </x:c>
      <x:c r="L46" s="31" t="str">
        <x:v>A</x:v>
      </x:c>
      <x:c r="M46" s="31" t="str">
        <x:v>Top alternative to Olson HR boost; tests whether avoiding yesterday-winner recency bias was correct.</x:v>
      </x:c>
      <x:c r="N46" s="31" t="str">
        <x:v>N</x:v>
      </x:c>
      <x:c r="O46" s="31" t="str">
        <x:v>Loss</x:v>
      </x:c>
      <x:c r="P46" s="31" t="n">
        <x:v>0</x:v>
      </x:c>
      <x:c r="Q46" s="33" t="n">
        <x:v>0</x:v>
      </x:c>
      <x:c r="R46" s="33" t="n">
        <x:v>-1</x:v>
      </x:c>
      <x:c r="S46" s="31" t="str"/>
      <x:c r="T46" s="32" t="str"/>
      <x:c r="U46" s="31" t="str">
        <x:v>Toad source price +390. Prospectively retained as alternate HR-boost arm. | FINAL: Caglianone had no HR</x:v>
      </x:c>
      <x:c r="V46" s="31" t="str">
        <x:v>PRICE_TEST</x:v>
      </x:c>
      <x:c r="W46" s="31" t="str">
        <x:v>EXP-16</x:v>
      </x:c>
      <x:c r="X46" s="31" t="str">
        <x:v>CAGLIANONE HR ALT</x:v>
      </x:c>
      <x:c r="Y46" s="31" t="str">
        <x:v>A28-R96</x:v>
      </x:c>
      <x:c r="Z46" s="31" t="str">
        <x:v>Olson's matchup/convergence advantage should outperform simply returning to yesterday's winning HR name.</x:v>
      </x:c>
      <x:c r="AA46" s="31" t="str">
        <x:v>Caglianone's source-model edge remains stronger after matchup and price adjustment.</x:v>
      </x:c>
      <x:c r="AB46" s="31" t="str">
        <x:v>Repeat-HR alternative lost; avoiding yesterday-winner recency chasing was correct on this observation.</x:v>
      </x:c>
    </x:row>
    <x:row r="47">
      <x:c r="A47" s="79" t="str">
        <x:v>2026-08-28</x:v>
      </x:c>
      <x:c r="B47" s="31" t="str">
        <x:v>P28-009</x:v>
      </x:c>
      <x:c r="C47" s="31" t="str">
        <x:v>A28-R51</x:v>
      </x:c>
      <x:c r="D47" s="31" t="str">
        <x:v>PAPER</x:v>
      </x:c>
      <x:c r="E47" s="31" t="str">
        <x:v>MLB</x:v>
      </x:c>
      <x:c r="F47" s="31" t="str">
        <x:v>CHC @ CIN</x:v>
      </x:c>
      <x:c r="G47" s="31" t="str">
        <x:v>Pete Crow-Armstrong</x:v>
      </x:c>
      <x:c r="H47" s="31" t="str">
        <x:v>HR</x:v>
      </x:c>
      <x:c r="I47" s="31" t="str">
        <x:v>Home Run</x:v>
      </x:c>
      <x:c r="J47" s="80" t="n">
        <x:v>316</x:v>
      </x:c>
      <x:c r="K47" s="31" t="str">
        <x:v>SOURCED</x:v>
      </x:c>
      <x:c r="L47" s="31" t="str">
        <x:v>A</x:v>
      </x:c>
      <x:c r="M47" s="31" t="str">
        <x:v>High source-model probability alternative to Olson.</x:v>
      </x:c>
      <x:c r="N47" s="31" t="str">
        <x:v>N</x:v>
      </x:c>
      <x:c r="O47" s="31" t="str">
        <x:v>Loss</x:v>
      </x:c>
      <x:c r="P47" s="31" t="n">
        <x:v>0</x:v>
      </x:c>
      <x:c r="Q47" s="33" t="n">
        <x:v>0</x:v>
      </x:c>
      <x:c r="R47" s="33" t="n">
        <x:v>-1</x:v>
      </x:c>
      <x:c r="S47" s="31" t="str"/>
      <x:c r="T47" s="32" t="str"/>
      <x:c r="U47" s="31" t="str">
        <x:v>Toad source price +316. | FINAL: PCA had no HR</x:v>
      </x:c>
      <x:c r="V47" s="31" t="str">
        <x:v>PRICE_TEST</x:v>
      </x:c>
      <x:c r="W47" s="31" t="str">
        <x:v>EXP-16</x:v>
      </x:c>
      <x:c r="X47" s="31" t="str">
        <x:v>PCA HR ALT</x:v>
      </x:c>
      <x:c r="Y47" s="31" t="str">
        <x:v>A28-R96</x:v>
      </x:c>
      <x:c r="Z47" s="31" t="str">
        <x:v>Olson's audited price/matchup edge should beat the highest raw source-model alternatives.</x:v>
      </x:c>
      <x:c r="AA47" s="31" t="str">
        <x:v>Raw model rank outperforms matchup-adjusted ranking.</x:v>
      </x:c>
      <x:c r="AB47" s="31" t="str">
        <x:v>High raw HR-model probability did not convert; continue matchup/price adjustment.</x:v>
      </x:c>
    </x:row>
    <x:row r="48">
      <x:c r="A48" s="79" t="str">
        <x:v>2026-08-28</x:v>
      </x:c>
      <x:c r="B48" s="31" t="str">
        <x:v>P28-010</x:v>
      </x:c>
      <x:c r="C48" s="31" t="str">
        <x:v>A28-R50</x:v>
      </x:c>
      <x:c r="D48" s="31" t="str">
        <x:v>PAPER</x:v>
      </x:c>
      <x:c r="E48" s="31" t="str">
        <x:v>MLB</x:v>
      </x:c>
      <x:c r="F48" s="31" t="str">
        <x:v>COL @ ATL</x:v>
      </x:c>
      <x:c r="G48" s="31" t="str">
        <x:v>Hunter Goodman</x:v>
      </x:c>
      <x:c r="H48" s="31" t="str">
        <x:v>HR</x:v>
      </x:c>
      <x:c r="I48" s="31" t="str">
        <x:v>Home Run</x:v>
      </x:c>
      <x:c r="J48" s="80" t="n">
        <x:v>320</x:v>
      </x:c>
      <x:c r="K48" s="31" t="str">
        <x:v>SOURCED</x:v>
      </x:c>
      <x:c r="L48" s="31" t="str">
        <x:v>B</x:v>
      </x:c>
      <x:c r="M48" s="31" t="str">
        <x:v>Repeat independent/source HR candidate after yesterday's miss; prevents outcome-chasing either direction.</x:v>
      </x:c>
      <x:c r="N48" s="31" t="str">
        <x:v>N</x:v>
      </x:c>
      <x:c r="O48" s="31" t="str">
        <x:v>Loss</x:v>
      </x:c>
      <x:c r="P48" s="31" t="n">
        <x:v>0</x:v>
      </x:c>
      <x:c r="Q48" s="33" t="n">
        <x:v>0</x:v>
      </x:c>
      <x:c r="R48" s="33" t="n">
        <x:v>-1</x:v>
      </x:c>
      <x:c r="S48" s="31" t="str"/>
      <x:c r="T48" s="32" t="str"/>
      <x:c r="U48" s="31" t="str">
        <x:v>Toad/FanDuel source price +320. | FINAL: Goodman had no HR</x:v>
      </x:c>
      <x:c r="V48" s="31" t="str">
        <x:v>HYPOTHESIS_TEST</x:v>
      </x:c>
      <x:c r="W48" s="31" t="str">
        <x:v>EXP-07</x:v>
      </x:c>
      <x:c r="X48" s="31" t="str">
        <x:v>GOODMAN REPEAT ARM</x:v>
      </x:c>
      <x:c r="Y48" s="31" t="str"/>
      <x:c r="Z48" s="31" t="str">
        <x:v>A prior one-game miss should not materially downgrade a still-qualified independent HR thesis.</x:v>
      </x:c>
      <x:c r="AA48" s="31" t="str">
        <x:v>Recent result materially improves predictive ranking beyond underlying matchup metrics.</x:v>
      </x:c>
      <x:c r="AB48" s="31" t="str">
        <x:v>Goodman HR arm lost again; keep process-based grading rather than outcome-chasing.</x:v>
      </x:c>
    </x:row>
    <x:row r="49">
      <x:c r="A49" s="79" t="str">
        <x:v>2026-08-28</x:v>
      </x:c>
      <x:c r="B49" s="31" t="str">
        <x:v>P28-011</x:v>
      </x:c>
      <x:c r="C49" s="31" t="str">
        <x:v>A28-R47</x:v>
      </x:c>
      <x:c r="D49" s="31" t="str">
        <x:v>PAPER</x:v>
      </x:c>
      <x:c r="E49" s="31" t="str">
        <x:v>MLB</x:v>
      </x:c>
      <x:c r="F49" s="31" t="str">
        <x:v>ARI @ SF</x:v>
      </x:c>
      <x:c r="G49" s="31" t="str">
        <x:v>Blade Tidwell</x:v>
      </x:c>
      <x:c r="H49" s="31" t="str">
        <x:v>Pitcher Outs</x:v>
      </x:c>
      <x:c r="I49" s="31" t="str">
        <x:v>Over 15.5 outs</x:v>
      </x:c>
      <x:c r="J49" s="80" t="str"/>
      <x:c r="K49" s="31" t="str">
        <x:v>SOURCED</x:v>
      </x:c>
      <x:c r="L49" s="31" t="str">
        <x:v>B</x:v>
      </x:c>
      <x:c r="M49" s="31" t="str">
        <x:v>Length/outs source lead without hard workload signal.</x:v>
      </x:c>
      <x:c r="N49" s="31" t="str">
        <x:v>N</x:v>
      </x:c>
      <x:c r="O49" s="31" t="str">
        <x:v>Pending</x:v>
      </x:c>
      <x:c r="P49" s="31" t="str"/>
      <x:c r="Q49" s="33" t="str"/>
      <x:c r="R49" s="33" t="str"/>
      <x:c r="S49" s="31" t="str"/>
      <x:c r="T49" s="32" t="str"/>
      <x:c r="U49" s="31" t="str">
        <x:v>No exact price provided. Track result and workload/efficiency separately.</x:v>
      </x:c>
      <x:c r="V49" s="31" t="str">
        <x:v>HYPOTHESIS_TEST</x:v>
      </x:c>
      <x:c r="W49" s="31" t="str">
        <x:v>EXP-01</x:v>
      </x:c>
      <x:c r="X49" s="31" t="str">
        <x:v>SOFT OUTS-OVER ARM</x:v>
      </x:c>
      <x:c r="Y49" s="31" t="str"/>
      <x:c r="Z49" s="31" t="str">
        <x:v>Soft recent-length signals alone are insufficient for A-tier pitcher-outs bets.</x:v>
      </x:c>
      <x:c r="AA49" s="31" t="str">
        <x:v>Tidwell clears 16+ under normal workload often enough that soft length trends have predictive value.</x:v>
      </x:c>
      <x:c r="AB49" s="31" t="str">
        <x:v>PENDING: ARI/SF was still live when the EOD snapshot was frozen. Do not grade until final.</x:v>
      </x:c>
    </x:row>
    <x:row r="50">
      <x:c r="A50" s="79" t="str">
        <x:v>2026-08-28</x:v>
      </x:c>
      <x:c r="B50" s="31" t="str">
        <x:v>P28-012</x:v>
      </x:c>
      <x:c r="C50" s="31" t="str">
        <x:v>A28-R49</x:v>
      </x:c>
      <x:c r="D50" s="31" t="str">
        <x:v>PAPER</x:v>
      </x:c>
      <x:c r="E50" s="31" t="str">
        <x:v>MLB</x:v>
      </x:c>
      <x:c r="F50" s="31" t="str">
        <x:v>CWS @ MIN</x:v>
      </x:c>
      <x:c r="G50" s="31" t="str">
        <x:v>Tristan Peters</x:v>
      </x:c>
      <x:c r="H50" s="31" t="str">
        <x:v>Total Bases</x:v>
      </x:c>
      <x:c r="I50" s="31" t="str">
        <x:v>2+ total bases</x:v>
      </x:c>
      <x:c r="J50" s="80" t="str"/>
      <x:c r="K50" s="31" t="str">
        <x:v>SOURCED</x:v>
      </x:c>
      <x:c r="L50" s="31" t="str">
        <x:v>WATCH</x:v>
      </x:c>
      <x:c r="M50" s="31" t="str">
        <x:v>Five-game power heater/raw-form stress test.</x:v>
      </x:c>
      <x:c r="N50" s="31" t="str">
        <x:v>N</x:v>
      </x:c>
      <x:c r="O50" s="31" t="str">
        <x:v>Loss</x:v>
      </x:c>
      <x:c r="P50" s="31" t="n">
        <x:v>0</x:v>
      </x:c>
      <x:c r="Q50" s="33" t="str"/>
      <x:c r="R50" s="33" t="str"/>
      <x:c r="S50" s="31" t="str"/>
      <x:c r="T50" s="32" t="str"/>
      <x:c r="U50" s="31" t="str">
        <x:v>Source graphic: .556 AVG, 10 H, 5 HR, 7 XBH, 27 TB over last five. | FINAL: Tristan Peters had one single = 1 TB</x:v>
      </x:c>
      <x:c r="V50" s="31" t="str">
        <x:v>HYPOTHESIS_TEST</x:v>
      </x:c>
      <x:c r="W50" s="31" t="str">
        <x:v>EXP-04</x:v>
      </x:c>
      <x:c r="X50" s="31" t="str">
        <x:v>RAW HEATER ARM</x:v>
      </x:c>
      <x:c r="Y50" s="31" t="str"/>
      <x:c r="Z50" s="31" t="str">
        <x:v>Extreme recent raw production should be heavily regressed unless underlying contact quality and matchup also support it.</x:v>
      </x:c>
      <x:c r="AA50" s="31" t="str">
        <x:v>Raw heater candidates outperform underlying-metric screens out of sample.</x:v>
      </x:c>
      <x:c r="AB50" s="31" t="str">
        <x:v>Extreme five-game heater regressed immediately; useful EXP-04 evidence against overweighting raw recency.</x:v>
      </x:c>
    </x:row>
    <x:row r="51">
      <x:c r="A51" s="79" t="str">
        <x:v>2026-08-28</x:v>
      </x:c>
      <x:c r="B51" s="31" t="str">
        <x:v>P28-013</x:v>
      </x:c>
      <x:c r="C51" s="31" t="str">
        <x:v>A28-R48</x:v>
      </x:c>
      <x:c r="D51" s="31" t="str">
        <x:v>PAPER</x:v>
      </x:c>
      <x:c r="E51" s="31" t="str">
        <x:v>MLB</x:v>
      </x:c>
      <x:c r="F51" s="31" t="str">
        <x:v>BAL @ ATH</x:v>
      </x:c>
      <x:c r="G51" s="31" t="str">
        <x:v>Lawrence Butler</x:v>
      </x:c>
      <x:c r="H51" s="31" t="str">
        <x:v>H+R+RBI</x:v>
      </x:c>
      <x:c r="I51" s="31" t="str">
        <x:v>2+ H+R+RBI</x:v>
      </x:c>
      <x:c r="J51" s="80" t="str"/>
      <x:c r="K51" s="31" t="str">
        <x:v>SOURCED</x:v>
      </x:c>
      <x:c r="L51" s="31" t="str">
        <x:v>A</x:v>
      </x:c>
      <x:c r="M51" s="31" t="str">
        <x:v>Top unbet HRR control from source + independent matchup agreement.</x:v>
      </x:c>
      <x:c r="N51" s="31" t="str">
        <x:v>N</x:v>
      </x:c>
      <x:c r="O51" s="31" t="str">
        <x:v>Pending</x:v>
      </x:c>
      <x:c r="P51" s="31" t="str"/>
      <x:c r="Q51" s="33" t="str"/>
      <x:c r="R51" s="33" t="str"/>
      <x:c r="S51" s="31" t="str"/>
      <x:c r="T51" s="32" t="str"/>
      <x:c r="U51" s="31" t="str">
        <x:v>Use as EXP-08 missed-opportunity control if it grades above any placed leg at close.</x:v>
      </x:c>
      <x:c r="V51" s="31" t="str">
        <x:v>HYPOTHESIS_TEST</x:v>
      </x:c>
      <x:c r="W51" s="31" t="str">
        <x:v>EXP-08</x:v>
      </x:c>
      <x:c r="X51" s="31" t="str">
        <x:v>TOP UNBET HRR CONTROL</x:v>
      </x:c>
      <x:c r="Y51" s="31" t="str"/>
      <x:c r="Z51" s="31" t="str">
        <x:v>Top qualified unbet candidates should be tracked to test whether card-slot decisions are costing value.</x:v>
      </x:c>
      <x:c r="AA51" s="31" t="str">
        <x:v>Actual selected card consistently outperforms top unbet controls.</x:v>
      </x:c>
      <x:c r="AB51" s="31" t="str">
        <x:v>PENDING: BAL/ATH was still live when the EOD snapshot was frozen. Do not grade until final.</x:v>
      </x:c>
    </x:row>
    <x:row r="52">
      <x:c r="A52" s="79" t="str">
        <x:v>2026-08-28</x:v>
      </x:c>
      <x:c r="B52" s="31" t="str">
        <x:v>P28-014</x:v>
      </x:c>
      <x:c r="C52" s="31" t="str">
        <x:v>A28-R83</x:v>
      </x:c>
      <x:c r="D52" s="31" t="str">
        <x:v>PAPER</x:v>
      </x:c>
      <x:c r="E52" s="31" t="str">
        <x:v>Soccer</x:v>
      </x:c>
      <x:c r="F52" s="31" t="str">
        <x:v>Bayern vs Stuttgart</x:v>
      </x:c>
      <x:c r="G52" s="31" t="str">
        <x:v>Bayern/Stuttgart</x:v>
      </x:c>
      <x:c r="H52" s="31" t="str">
        <x:v>Total Corners</x:v>
      </x:c>
      <x:c r="I52" s="31" t="str">
        <x:v>10+ total corners</x:v>
      </x:c>
      <x:c r="J52" s="80" t="n">
        <x:v>-113</x:v>
      </x:c>
      <x:c r="K52" s="31" t="str">
        <x:v>SOURCED</x:v>
      </x:c>
      <x:c r="L52" s="31" t="str">
        <x:v>B</x:v>
      </x:c>
      <x:c r="M52" s="31" t="str">
        <x:v>Secondary soccer market that survived first audit but was not used on primary ticket.</x:v>
      </x:c>
      <x:c r="N52" s="31" t="str">
        <x:v>N</x:v>
      </x:c>
      <x:c r="O52" s="31" t="str">
        <x:v>Win</x:v>
      </x:c>
      <x:c r="P52" s="31" t="n">
        <x:v>1</x:v>
      </x:c>
      <x:c r="Q52" s="33" t="n">
        <x:v>1.8849557522123894</x:v>
      </x:c>
      <x:c r="R52" s="33" t="n">
        <x:v>0.8849557522123894</x:v>
      </x:c>
      <x:c r="S52" s="31" t="str"/>
      <x:c r="T52" s="32" t="str"/>
      <x:c r="U52" s="31" t="str">
        <x:v>Exact source line -113. | FINAL: Bayern/Stuttgart produced 12 total corners</x:v>
      </x:c>
      <x:c r="V52" s="31" t="str">
        <x:v>HYPOTHESIS_TEST</x:v>
      </x:c>
      <x:c r="W52" s="31" t="str">
        <x:v>EXP-13</x:v>
      </x:c>
      <x:c r="X52" s="31" t="str">
        <x:v>BAYERN TOTAL-CORNERS ARM</x:v>
      </x:c>
      <x:c r="Y52" s="31" t="str"/>
      <x:c r="Z52" s="31" t="str">
        <x:v>Total corners can be a robust high-tempo expression without requiring the favorite to generate every corner.</x:v>
      </x:c>
      <x:c r="AA52" s="31" t="str">
        <x:v>Favorite-team/other match expressions outperform total corners after price adjustment.</x:v>
      </x:c>
      <x:c r="AB52" s="31" t="str">
        <x:v>Total-corners arm cleared; another positive EXP-13 observation.</x:v>
      </x:c>
    </x:row>
    <x:row r="53">
      <x:c r="A53" s="79" t="str">
        <x:v>2026-08-28</x:v>
      </x:c>
      <x:c r="B53" s="31" t="str">
        <x:v>P28-015</x:v>
      </x:c>
      <x:c r="C53" s="31" t="str">
        <x:v>A28-R84</x:v>
      </x:c>
      <x:c r="D53" s="31" t="str">
        <x:v>PAPER</x:v>
      </x:c>
      <x:c r="E53" s="31" t="str">
        <x:v>Soccer</x:v>
      </x:c>
      <x:c r="F53" s="31" t="str">
        <x:v>Crystal Palace vs Man City</x:v>
      </x:c>
      <x:c r="G53" s="31" t="str">
        <x:v>Erling Haaland</x:v>
      </x:c>
      <x:c r="H53" s="31" t="str">
        <x:v>Anytime Goalscorer</x:v>
      </x:c>
      <x:c r="I53" s="31" t="str">
        <x:v>Anytime scorer</x:v>
      </x:c>
      <x:c r="J53" s="80" t="n">
        <x:v>-105</x:v>
      </x:c>
      <x:c r="K53" s="31" t="str">
        <x:v>SOURCED</x:v>
      </x:c>
      <x:c r="L53" s="31" t="str">
        <x:v>B</x:v>
      </x:c>
      <x:c r="M53" s="31" t="str">
        <x:v>Aggressive City expression excluded to avoid duplicating Man City ML exposure.</x:v>
      </x:c>
      <x:c r="N53" s="31" t="str">
        <x:v>N</x:v>
      </x:c>
      <x:c r="O53" s="31" t="str">
        <x:v>Win</x:v>
      </x:c>
      <x:c r="P53" s="31" t="n">
        <x:v>1</x:v>
      </x:c>
      <x:c r="Q53" s="33" t="n">
        <x:v>1.9523809523809523</x:v>
      </x:c>
      <x:c r="R53" s="33" t="n">
        <x:v>0.9523809523809523</x:v>
      </x:c>
      <x:c r="S53" s="31" t="str"/>
      <x:c r="T53" s="32" t="str"/>
      <x:c r="U53" s="31" t="str">
        <x:v>Exact source line -105. | FINAL: Haaland scored twice</x:v>
      </x:c>
      <x:c r="V53" s="31" t="str">
        <x:v>HYPOTHESIS_TEST</x:v>
      </x:c>
      <x:c r="W53" s="31" t="str">
        <x:v>EXP-09</x:v>
      </x:c>
      <x:c r="X53" s="31" t="str">
        <x:v>HAALAND SATELLITE ARM</x:v>
      </x:c>
      <x:c r="Y53" s="31" t="str">
        <x:v>A28-T02</x:v>
      </x:c>
      <x:c r="Z53" s="31" t="str">
        <x:v>Avoiding duplicate player/team exposure can reduce correlated ticket damage even when a satellite leg is individually qualified.</x:v>
      </x:c>
      <x:c r="AA53" s="31" t="str">
        <x:v>Duplicated exposure materially increases total portfolio ROI enough to justify correlation.</x:v>
      </x:c>
      <x:c r="AB53" s="31" t="str">
        <x:v>Qualified City scorer satellite won; paper-only still avoided duplicate real City exposure.</x:v>
      </x:c>
    </x:row>
    <x:row r="54">
      <x:c r="A54" s="79" t="str">
        <x:v>2026-08-28</x:v>
      </x:c>
      <x:c r="B54" s="31" t="str">
        <x:v>P28-016</x:v>
      </x:c>
      <x:c r="C54" s="31" t="str">
        <x:v>A28-R86</x:v>
      </x:c>
      <x:c r="D54" s="31" t="str">
        <x:v>PAPER</x:v>
      </x:c>
      <x:c r="E54" s="31" t="str">
        <x:v>Soccer</x:v>
      </x:c>
      <x:c r="F54" s="31" t="str">
        <x:v>Lille vs PSG</x:v>
      </x:c>
      <x:c r="G54" s="31" t="str">
        <x:v>PSG</x:v>
      </x:c>
      <x:c r="H54" s="31" t="str">
        <x:v>Moneyline</x:v>
      </x:c>
      <x:c r="I54" s="31" t="str">
        <x:v>PSG ML</x:v>
      </x:c>
      <x:c r="J54" s="80" t="str"/>
      <x:c r="K54" s="31" t="str">
        <x:v>SOURCED</x:v>
      </x:c>
      <x:c r="L54" s="31" t="str">
        <x:v>B</x:v>
      </x:c>
      <x:c r="M54" s="31" t="str">
        <x:v>Original favorite expression replaced by BTTS after independent audit.</x:v>
      </x:c>
      <x:c r="N54" s="31" t="str">
        <x:v>N</x:v>
      </x:c>
      <x:c r="O54" s="31" t="str">
        <x:v>Loss</x:v>
      </x:c>
      <x:c r="P54" s="31" t="n">
        <x:v>0</x:v>
      </x:c>
      <x:c r="Q54" s="33" t="str"/>
      <x:c r="R54" s="33" t="str"/>
      <x:c r="S54" s="31" t="str"/>
      <x:c r="T54" s="32" t="str"/>
      <x:c r="U54" s="31" t="str">
        <x:v>Outcome-only control unless exact DK price is recovered. | FINAL: PSG drew Lille 2-2</x:v>
      </x:c>
      <x:c r="V54" s="31" t="str">
        <x:v>ALT_MARKET_TEST</x:v>
      </x:c>
      <x:c r="W54" s="31" t="str">
        <x:v>EXP-08</x:v>
      </x:c>
      <x:c r="X54" s="31" t="str">
        <x:v>PSG ML CONTROL</x:v>
      </x:c>
      <x:c r="Y54" s="31" t="str">
        <x:v>A28-R92</x:v>
      </x:c>
      <x:c r="Z54" s="31" t="str">
        <x:v>Market-expression changes should be evaluated against the original source/favorite thesis, not only the final ticket result.</x:v>
      </x:c>
      <x:c r="AA54" s="31" t="str">
        <x:v>PSG ML produces superior price-adjusted outcomes to Lille/PSG BTTS in comparable spots.</x:v>
      </x:c>
      <x:c r="AB54" s="31" t="str">
        <x:v>Original PSG ML lost while actual BTTS won — clear market-conversion win.</x:v>
      </x:c>
    </x:row>
    <x:row r="55">
      <x:c r="A55" s="79" t="str">
        <x:v>2026-08-28</x:v>
      </x:c>
      <x:c r="B55" s="31" t="str">
        <x:v>P28-017</x:v>
      </x:c>
      <x:c r="C55" s="31" t="str">
        <x:v>A28-R83;A28-R84;A28-R86</x:v>
      </x:c>
      <x:c r="D55" s="31" t="str">
        <x:v>PAPER</x:v>
      </x:c>
      <x:c r="E55" s="31" t="str">
        <x:v>Soccer</x:v>
      </x:c>
      <x:c r="F55" s="31" t="str">
        <x:v>3-game secondary parlay</x:v>
      </x:c>
      <x:c r="G55" s="31" t="str">
        <x:v>Bayern/STU + PSG + City</x:v>
      </x:c>
      <x:c r="H55" s="31" t="str">
        <x:v>Secondary soccer parlay</x:v>
      </x:c>
      <x:c r="I55" s="31" t="str">
        <x:v>Bayern/STU 10+ corners + PSG ML + Haaland anytime</x:v>
      </x:c>
      <x:c r="J55" s="80" t="str"/>
      <x:c r="K55" s="31" t="str">
        <x:v>HYBRID</x:v>
      </x:c>
      <x:c r="L55" s="31" t="str">
        <x:v>B</x:v>
      </x:c>
      <x:c r="M55" s="31" t="str">
        <x:v>Second soccer ticket candidate deliberately left off real card pending XI/price discipline.</x:v>
      </x:c>
      <x:c r="N55" s="31" t="str">
        <x:v>N</x:v>
      </x:c>
      <x:c r="O55" s="31" t="str">
        <x:v>Loss</x:v>
      </x:c>
      <x:c r="P55" s="31" t="n">
        <x:v>0</x:v>
      </x:c>
      <x:c r="Q55" s="33" t="str"/>
      <x:c r="R55" s="33" t="str"/>
      <x:c r="S55" s="31" t="str"/>
      <x:c r="T55" s="32" t="str"/>
      <x:c r="U55" s="31" t="str">
        <x:v>Prospective portfolio-control ticket. Do not convert to a win retrospectively if not placed. | FINAL: Corners W; Haaland scorer W; PSG ML L</x:v>
      </x:c>
      <x:c r="V55" s="31" t="str">
        <x:v>CONSTRUCTION_TEST</x:v>
      </x:c>
      <x:c r="W55" s="31" t="str">
        <x:v>EXP-09</x:v>
      </x:c>
      <x:c r="X55" s="31" t="str">
        <x:v>SECOND SOCCER CARD CONTROL</x:v>
      </x:c>
      <x:c r="Y55" s="31" t="str">
        <x:v>A28-T02</x:v>
      </x:c>
      <x:c r="Z55" s="31" t="str">
        <x:v>One primary soccer ticket may outperform adding a second partially overlapping ticket once duplicated exposure is considered.</x:v>
      </x:c>
      <x:c r="AA55" s="31" t="str">
        <x:v>Second differentiated soccer tickets add positive ROI without materially increasing drawdown.</x:v>
      </x:c>
      <x:c r="AB55" s="31" t="str">
        <x:v>Secondary soccer ticket went 2/3 and died only on PSG ML. Not placing it saved $1.</x:v>
      </x:c>
    </x:row>
    <x:row r="56">
      <x:c r="A56" s="79" t="str">
        <x:v>2026-08-28</x:v>
      </x:c>
      <x:c r="B56" s="31" t="str">
        <x:v>P28-018</x:v>
      </x:c>
      <x:c r="C56" s="31" t="str">
        <x:v>A28-R94;A28-R96</x:v>
      </x:c>
      <x:c r="D56" s="31" t="str">
        <x:v>PAPER/REAL</x:v>
      </x:c>
      <x:c r="E56" s="31" t="str">
        <x:v>MLB</x:v>
      </x:c>
      <x:c r="F56" s="31" t="str">
        <x:v>COL @ ATL</x:v>
      </x:c>
      <x:c r="G56" s="31" t="str">
        <x:v>Matt Olson</x:v>
      </x:c>
      <x:c r="H56" s="31" t="str">
        <x:v>Paired hitter-market exposure</x:v>
      </x:c>
      <x:c r="I56" s="31" t="str">
        <x:v>2+ TB real leg + HR real single</x:v>
      </x:c>
      <x:c r="J56" s="80" t="str"/>
      <x:c r="K56" s="31" t="str">
        <x:v>HYBRID</x:v>
      </x:c>
      <x:c r="L56" s="31" t="str">
        <x:v>A</x:v>
      </x:c>
      <x:c r="M56" s="31" t="str">
        <x:v>Both market expressions are actually bet; use as a paired market-conversion observation.</x:v>
      </x:c>
      <x:c r="N56" s="31" t="str">
        <x:v>Y</x:v>
      </x:c>
      <x:c r="O56" s="31" t="str">
        <x:v>Loss</x:v>
      </x:c>
      <x:c r="P56" s="31" t="n">
        <x:v>0</x:v>
      </x:c>
      <x:c r="Q56" s="33" t="str"/>
      <x:c r="R56" s="33" t="str"/>
      <x:c r="S56" s="31" t="str"/>
      <x:c r="T56" s="32" t="str"/>
      <x:c r="U56" s="31" t="str">
        <x:v>Olson finished 1-for-5 with 1 TB and no HR. Both real Olson expressions lost. | FINAL: Olson 1 TB and no HR</x:v>
      </x:c>
      <x:c r="V56" s="31" t="str">
        <x:v>ALT_MARKET_TEST</x:v>
      </x:c>
      <x:c r="W56" s="31" t="str">
        <x:v>EXP-03</x:v>
      </x:c>
      <x:c r="X56" s="31" t="str">
        <x:v>OLSON TB-vs-HR PAIRED REAL</x:v>
      </x:c>
      <x:c r="Y56" s="31" t="str">
        <x:v>A28-T03;A28-T04</x:v>
      </x:c>
      <x:c r="Z56" s="31" t="str">
        <x:v>Both player-specific expressions failed while the broader team-contact thesis succeeded.</x:v>
      </x:c>
      <x:c r="AA56" s="31" t="str">
        <x:v>Need broader team/pitcher-fade markets to reduce dependence on one hitter when the team thesis is stronger than the individual thesis.</x:v>
      </x:c>
      <x:c r="AB56" s="31" t="str">
        <x:v>Both Olson-specific expressions failed while broad Sugano/Atlanta contact thesis won.</x:v>
      </x:c>
    </x:row>
    <x:row r="57">
      <x:c r="A57" s="79" t="str">
        <x:v>2026-08-28</x:v>
      </x:c>
      <x:c r="B57" s="31" t="str">
        <x:v>P28-019</x:v>
      </x:c>
      <x:c r="C57" s="31" t="str">
        <x:v>A28-R87</x:v>
      </x:c>
      <x:c r="D57" s="31" t="str">
        <x:v>PAPER</x:v>
      </x:c>
      <x:c r="E57" s="31" t="str">
        <x:v>WNBA</x:v>
      </x:c>
      <x:c r="F57" s="31" t="str">
        <x:v>TOR @ LV</x:v>
      </x:c>
      <x:c r="G57" s="31" t="str">
        <x:v>Jackie Young</x:v>
      </x:c>
      <x:c r="H57" s="31" t="str">
        <x:v>Shadow Single</x:v>
      </x:c>
      <x:c r="I57" s="31" t="str">
        <x:v>5+ rebounds</x:v>
      </x:c>
      <x:c r="J57" s="80" t="n">
        <x:v>-107</x:v>
      </x:c>
      <x:c r="K57" s="31" t="str">
        <x:v>DISCOVERED</x:v>
      </x:c>
      <x:c r="L57" s="31" t="str">
        <x:v>A</x:v>
      </x:c>
      <x:c r="M57" s="31" t="str">
        <x:v>Real parlay leg tracked as a standalone shadow single to separate leg quality from ticket construction.</x:v>
      </x:c>
      <x:c r="N57" s="31" t="str">
        <x:v>N</x:v>
      </x:c>
      <x:c r="O57" s="31" t="str">
        <x:v>Loss</x:v>
      </x:c>
      <x:c r="P57" s="31" t="n">
        <x:v>0</x:v>
      </x:c>
      <x:c r="Q57" s="33" t="n">
        <x:v>0</x:v>
      </x:c>
      <x:c r="R57" s="33" t="n">
        <x:v>-1</x:v>
      </x:c>
      <x:c r="S57" s="31" t="str"/>
      <x:c r="T57" s="32" t="str"/>
      <x:c r="U57" s="31" t="str">
        <x:v>Exact DK leg price -107 from placed WNBA ticket. | FINAL: Jackie Young 4 rebounds</x:v>
      </x:c>
      <x:c r="V57" s="31" t="str">
        <x:v>SINGLE_VS_PARLAY</x:v>
      </x:c>
      <x:c r="W57" s="31" t="str">
        <x:v>EXP-20</x:v>
      </x:c>
      <x:c r="X57" s="31" t="str">
        <x:v>YOUNG SHADOW SINGLE</x:v>
      </x:c>
      <x:c r="Y57" s="31" t="str">
        <x:v>A28-T01</x:v>
      </x:c>
      <x:c r="Z57" s="31" t="str">
        <x:v>Qualified parlay legs may retain more stable bankroll value as singles than when multiplied into 3-leg tickets.</x:v>
      </x:c>
      <x:c r="AA57" s="31" t="str">
        <x:v>Three-leg promo construction outperforms the corresponding singles portfolio after accounting for boost value.</x:v>
      </x:c>
      <x:c r="AB57" s="31" t="str">
        <x:v>Shadow single confirms Young was a bad leg, not merely a parlay casualty; availability gating must improve.</x:v>
      </x:c>
    </x:row>
    <x:row r="58">
      <x:c r="A58" s="79" t="str">
        <x:v>2026-08-28</x:v>
      </x:c>
      <x:c r="B58" s="31" t="str">
        <x:v>P28-020</x:v>
      </x:c>
      <x:c r="C58" s="31" t="str">
        <x:v>A28-R88</x:v>
      </x:c>
      <x:c r="D58" s="31" t="str">
        <x:v>PAPER</x:v>
      </x:c>
      <x:c r="E58" s="31" t="str">
        <x:v>WNBA</x:v>
      </x:c>
      <x:c r="F58" s="31" t="str">
        <x:v>POR @ ATL</x:v>
      </x:c>
      <x:c r="G58" s="31" t="str">
        <x:v>Naz Hillmon</x:v>
      </x:c>
      <x:c r="H58" s="31" t="str">
        <x:v>Shadow Single</x:v>
      </x:c>
      <x:c r="I58" s="31" t="str">
        <x:v>Over 14.5 P+R</x:v>
      </x:c>
      <x:c r="J58" s="80" t="n">
        <x:v>-104</x:v>
      </x:c>
      <x:c r="K58" s="31" t="str">
        <x:v>HYBRID</x:v>
      </x:c>
      <x:c r="L58" s="31" t="str">
        <x:v>A</x:v>
      </x:c>
      <x:c r="M58" s="31" t="str">
        <x:v>Real parlay leg tracked standalone; tests role-driven edge independent of WNBA promo construction.</x:v>
      </x:c>
      <x:c r="N58" s="31" t="str">
        <x:v>N</x:v>
      </x:c>
      <x:c r="O58" s="31" t="str">
        <x:v>Win</x:v>
      </x:c>
      <x:c r="P58" s="31" t="n">
        <x:v>1</x:v>
      </x:c>
      <x:c r="Q58" s="33" t="n">
        <x:v>1.9615384615384617</x:v>
      </x:c>
      <x:c r="R58" s="33" t="n">
        <x:v>0.9615384615384616</x:v>
      </x:c>
      <x:c r="S58" s="31" t="str"/>
      <x:c r="T58" s="32" t="str"/>
      <x:c r="U58" s="31" t="str">
        <x:v>Exact DK leg price -104 from placed WNBA ticket. | FINAL: Naz Hillmon 10 PTS + 9 REB = 19 P+R</x:v>
      </x:c>
      <x:c r="V58" s="31" t="str">
        <x:v>SINGLE_VS_PARLAY</x:v>
      </x:c>
      <x:c r="W58" s="31" t="str">
        <x:v>EXP-20</x:v>
      </x:c>
      <x:c r="X58" s="31" t="str">
        <x:v>HILLMON SHADOW SINGLE</x:v>
      </x:c>
      <x:c r="Y58" s="31" t="str">
        <x:v>A28-T01</x:v>
      </x:c>
      <x:c r="Z58" s="31" t="str">
        <x:v>Hillmon's role/injury thesis should stand on its own even if another promo leg fails.</x:v>
      </x:c>
      <x:c r="AA58" s="31" t="str">
        <x:v>The leg only adds value inside the boosted parlay and lacks standalone edge.</x:v>
      </x:c>
      <x:c r="AB58" s="31" t="str">
        <x:v>Shadow single won; role/injury thesis held independently of failed promo ticket.</x:v>
      </x:c>
    </x:row>
    <x:row r="59">
      <x:c r="A59" s="79" t="str">
        <x:v>2026-08-28</x:v>
      </x:c>
      <x:c r="B59" s="31" t="str">
        <x:v>P28-021</x:v>
      </x:c>
      <x:c r="C59" s="31" t="str">
        <x:v>A28-R89</x:v>
      </x:c>
      <x:c r="D59" s="31" t="str">
        <x:v>PAPER</x:v>
      </x:c>
      <x:c r="E59" s="31" t="str">
        <x:v>WNBA</x:v>
      </x:c>
      <x:c r="F59" s="31" t="str">
        <x:v>WAS @ LA</x:v>
      </x:c>
      <x:c r="G59" s="31" t="str">
        <x:v>Dearica Hamby</x:v>
      </x:c>
      <x:c r="H59" s="31" t="str">
        <x:v>Shadow Single</x:v>
      </x:c>
      <x:c r="I59" s="31" t="str">
        <x:v>15+ P+R</x:v>
      </x:c>
      <x:c r="J59" s="80" t="n">
        <x:v>-498</x:v>
      </x:c>
      <x:c r="K59" s="31" t="str">
        <x:v>HYBRID</x:v>
      </x:c>
      <x:c r="L59" s="31" t="str">
        <x:v>B</x:v>
      </x:c>
      <x:c r="M59" s="31" t="str">
        <x:v>Very safe real parlay leg tracked standalone; useful for measuring the cost of expensive glue.</x:v>
      </x:c>
      <x:c r="N59" s="31" t="str">
        <x:v>N</x:v>
      </x:c>
      <x:c r="O59" s="31" t="str">
        <x:v>Loss</x:v>
      </x:c>
      <x:c r="P59" s="31" t="n">
        <x:v>0</x:v>
      </x:c>
      <x:c r="Q59" s="33" t="n">
        <x:v>0</x:v>
      </x:c>
      <x:c r="R59" s="33" t="n">
        <x:v>-1</x:v>
      </x:c>
      <x:c r="S59" s="31" t="str"/>
      <x:c r="T59" s="32" t="str"/>
      <x:c r="U59" s="31" t="str">
        <x:v>Exact DK leg price -498 from placed WNBA ticket. | FINAL: Dearica Hamby 13 P+R</x:v>
      </x:c>
      <x:c r="V59" s="31" t="str">
        <x:v>SINGLE_VS_PARLAY</x:v>
      </x:c>
      <x:c r="W59" s="31" t="str">
        <x:v>EXP-20</x:v>
      </x:c>
      <x:c r="X59" s="31" t="str">
        <x:v>HAMBY 15+ SHADOW SINGLE</x:v>
      </x:c>
      <x:c r="Y59" s="31" t="str">
        <x:v>A28-T01</x:v>
      </x:c>
      <x:c r="Z59" s="31" t="str">
        <x:v>Low-threshold glue can improve promo survival but may be poor standalone value at extreme juice.</x:v>
      </x:c>
      <x:c r="AA59" s="31" t="str">
        <x:v>Expensive floor legs generate enough hit-rate improvement to justify standalone price.</x:v>
      </x:c>
      <x:c r="AB59" s="31" t="str">
        <x:v>Even -498 floor glue failed. Safe-looking alternates still add real failure risk.</x:v>
      </x:c>
    </x:row>
    <x:row r="60">
      <x:c r="A60" s="79" t="str">
        <x:v>2026-08-28</x:v>
      </x:c>
      <x:c r="B60" s="31" t="str">
        <x:v>P28-022</x:v>
      </x:c>
      <x:c r="C60" s="31" t="str">
        <x:v>A28-R90</x:v>
      </x:c>
      <x:c r="D60" s="31" t="str">
        <x:v>PAPER</x:v>
      </x:c>
      <x:c r="E60" s="31" t="str">
        <x:v>Soccer</x:v>
      </x:c>
      <x:c r="F60" s="31" t="str">
        <x:v>Crystal Palace vs Man City</x:v>
      </x:c>
      <x:c r="G60" s="31" t="str">
        <x:v>Manchester City</x:v>
      </x:c>
      <x:c r="H60" s="31" t="str">
        <x:v>Shadow Single</x:v>
      </x:c>
      <x:c r="I60" s="31" t="str">
        <x:v>Man City ML</x:v>
      </x:c>
      <x:c r="J60" s="80" t="n">
        <x:v>-155</x:v>
      </x:c>
      <x:c r="K60" s="31" t="str">
        <x:v>HYBRID</x:v>
      </x:c>
      <x:c r="L60" s="31" t="str">
        <x:v>A</x:v>
      </x:c>
      <x:c r="M60" s="31" t="str">
        <x:v>Real soccer-parlay leg tracked as a single.</x:v>
      </x:c>
      <x:c r="N60" s="31" t="str">
        <x:v>N</x:v>
      </x:c>
      <x:c r="O60" s="31" t="str">
        <x:v>Win</x:v>
      </x:c>
      <x:c r="P60" s="31" t="n">
        <x:v>1</x:v>
      </x:c>
      <x:c r="Q60" s="33" t="n">
        <x:v>1.6451612903225805</x:v>
      </x:c>
      <x:c r="R60" s="33" t="n">
        <x:v>0.6451612903225806</x:v>
      </x:c>
      <x:c r="S60" s="31" t="str"/>
      <x:c r="T60" s="32" t="str"/>
      <x:c r="U60" s="31" t="str">
        <x:v>Exact DK price -155 from placed soccer ticket. | FINAL: Manchester City won 4-1</x:v>
      </x:c>
      <x:c r="V60" s="31" t="str">
        <x:v>SINGLE_VS_PARLAY</x:v>
      </x:c>
      <x:c r="W60" s="31" t="str">
        <x:v>EXP-20</x:v>
      </x:c>
      <x:c r="X60" s="31" t="str">
        <x:v>CITY ML SHADOW SINGLE</x:v>
      </x:c>
      <x:c r="Y60" s="31" t="str">
        <x:v>A28-T02</x:v>
      </x:c>
      <x:c r="Z60" s="31" t="str">
        <x:v>Strong favorite legs may be better bankroll anchors as singles than as repeated parlay components.</x:v>
      </x:c>
      <x:c r="AA60" s="31" t="str">
        <x:v>Parlay packaging adds enough payout without excessive failure probability.</x:v>
      </x:c>
      <x:c r="AB60" s="31" t="str">
        <x:v>City ML shadow won; standalone leg had merit.</x:v>
      </x:c>
    </x:row>
    <x:row r="61">
      <x:c r="A61" s="79" t="str">
        <x:v>2026-08-28</x:v>
      </x:c>
      <x:c r="B61" s="31" t="str">
        <x:v>P28-023</x:v>
      </x:c>
      <x:c r="C61" s="31" t="str">
        <x:v>A28-R91</x:v>
      </x:c>
      <x:c r="D61" s="31" t="str">
        <x:v>PAPER</x:v>
      </x:c>
      <x:c r="E61" s="31" t="str">
        <x:v>Soccer</x:v>
      </x:c>
      <x:c r="F61" s="31" t="str">
        <x:v>Bayern vs Stuttgart</x:v>
      </x:c>
      <x:c r="G61" s="31" t="str">
        <x:v>Bayern Munich</x:v>
      </x:c>
      <x:c r="H61" s="31" t="str">
        <x:v>Shadow Single</x:v>
      </x:c>
      <x:c r="I61" s="31" t="str">
        <x:v>Bayern ML</x:v>
      </x:c>
      <x:c r="J61" s="80" t="n">
        <x:v>-475</x:v>
      </x:c>
      <x:c r="K61" s="31" t="str">
        <x:v>HYBRID</x:v>
      </x:c>
      <x:c r="L61" s="31" t="str">
        <x:v>B</x:v>
      </x:c>
      <x:c r="M61" s="31" t="str">
        <x:v>Real soccer-parlay leg tracked as a single; specifically tests heavily juiced favorite glue.</x:v>
      </x:c>
      <x:c r="N61" s="31" t="str">
        <x:v>N</x:v>
      </x:c>
      <x:c r="O61" s="31" t="str">
        <x:v>Win</x:v>
      </x:c>
      <x:c r="P61" s="31" t="n">
        <x:v>1</x:v>
      </x:c>
      <x:c r="Q61" s="33" t="n">
        <x:v>1.2105263157894737</x:v>
      </x:c>
      <x:c r="R61" s="33" t="n">
        <x:v>0.21052631578947367</x:v>
      </x:c>
      <x:c r="S61" s="31" t="str"/>
      <x:c r="T61" s="32" t="str"/>
      <x:c r="U61" s="31" t="str">
        <x:v>Exact DK price -475 from placed soccer ticket. | FINAL: Bayern won 5-1</x:v>
      </x:c>
      <x:c r="V61" s="31" t="str">
        <x:v>SINGLE_VS_PARLAY</x:v>
      </x:c>
      <x:c r="W61" s="31" t="str">
        <x:v>EXP-20</x:v>
      </x:c>
      <x:c r="X61" s="31" t="str">
        <x:v>BAYERN ML SHADOW SINGLE</x:v>
      </x:c>
      <x:c r="Y61" s="31" t="str">
        <x:v>A28-T02</x:v>
      </x:c>
      <x:c r="Z61" s="31" t="str">
        <x:v>Extremely juiced ML glue may add too little payout relative to added leg risk.</x:v>
      </x:c>
      <x:c r="AA61" s="31" t="str">
        <x:v>Heavy-favorite glue improves parlay survival enough to justify its inclusion.</x:v>
      </x:c>
      <x:c r="AB61" s="31" t="str">
        <x:v>Bayern ML shadow won; price efficiency remains separate from handicap quality.</x:v>
      </x:c>
    </x:row>
    <x:row r="62">
      <x:c r="A62" s="79" t="str">
        <x:v>2026-08-28</x:v>
      </x:c>
      <x:c r="B62" s="31" t="str">
        <x:v>P28-024</x:v>
      </x:c>
      <x:c r="C62" s="31" t="str">
        <x:v>A28-R92</x:v>
      </x:c>
      <x:c r="D62" s="31" t="str">
        <x:v>PAPER</x:v>
      </x:c>
      <x:c r="E62" s="31" t="str">
        <x:v>Soccer</x:v>
      </x:c>
      <x:c r="F62" s="31" t="str">
        <x:v>Lille vs PSG</x:v>
      </x:c>
      <x:c r="G62" s="31" t="str">
        <x:v>Lille/PSG</x:v>
      </x:c>
      <x:c r="H62" s="31" t="str">
        <x:v>Shadow Single</x:v>
      </x:c>
      <x:c r="I62" s="31" t="str">
        <x:v>BTTS Yes</x:v>
      </x:c>
      <x:c r="J62" s="80" t="n">
        <x:v>-145</x:v>
      </x:c>
      <x:c r="K62" s="31" t="str">
        <x:v>HYBRID</x:v>
      </x:c>
      <x:c r="L62" s="31" t="str">
        <x:v>A</x:v>
      </x:c>
      <x:c r="M62" s="31" t="str">
        <x:v>Actual market-conversion leg tracked standalone against the unbet PSG ML control.</x:v>
      </x:c>
      <x:c r="N62" s="31" t="str">
        <x:v>N</x:v>
      </x:c>
      <x:c r="O62" s="31" t="str">
        <x:v>Win</x:v>
      </x:c>
      <x:c r="P62" s="31" t="n">
        <x:v>1</x:v>
      </x:c>
      <x:c r="Q62" s="33" t="n">
        <x:v>1.6896551724137931</x:v>
      </x:c>
      <x:c r="R62" s="33" t="n">
        <x:v>0.6896551724137931</x:v>
      </x:c>
      <x:c r="S62" s="31" t="str"/>
      <x:c r="T62" s="32" t="str"/>
      <x:c r="U62" s="31" t="str">
        <x:v>Exact DK price -145 from placed soccer ticket. | FINAL: Lille/PSG finished 2-2</x:v>
      </x:c>
      <x:c r="V62" s="31" t="str">
        <x:v>SINGLE_VS_PARLAY</x:v>
      </x:c>
      <x:c r="W62" s="31" t="str">
        <x:v>EXP-20</x:v>
      </x:c>
      <x:c r="X62" s="31" t="str">
        <x:v>LILLE/PSG BTTS SHADOW</x:v>
      </x:c>
      <x:c r="Y62" s="31" t="str">
        <x:v>A28-T02</x:v>
      </x:c>
      <x:c r="Z62" s="31" t="str">
        <x:v>The independently audited BTTS expression should have standalone merit, not merely serve as parlay price.</x:v>
      </x:c>
      <x:c r="AA62" s="31" t="str">
        <x:v>PSG ML proves the better price-adjusted standalone expression.</x:v>
      </x:c>
      <x:c r="AB62" s="31" t="str">
        <x:v>BTTS shadow won while PSG ML control lost — clean adjustment evidence.</x:v>
      </x:c>
    </x:row>
    <x:row r="63">
      <x:c r="A63" s="79" t="str">
        <x:v>2026-08-28</x:v>
      </x:c>
      <x:c r="B63" s="31" t="str">
        <x:v>P28-025</x:v>
      </x:c>
      <x:c r="C63" s="31" t="str">
        <x:v>A28-R93</x:v>
      </x:c>
      <x:c r="D63" s="31" t="str">
        <x:v>PAPER</x:v>
      </x:c>
      <x:c r="E63" s="31" t="str">
        <x:v>MLB</x:v>
      </x:c>
      <x:c r="F63" s="31" t="str">
        <x:v>SEA @ TOR</x:v>
      </x:c>
      <x:c r="G63" s="31" t="str">
        <x:v>Dylan Cease</x:v>
      </x:c>
      <x:c r="H63" s="31" t="str">
        <x:v>Shadow Single</x:v>
      </x:c>
      <x:c r="I63" s="31" t="str">
        <x:v>Over 7.5 Ks</x:v>
      </x:c>
      <x:c r="J63" s="80" t="n">
        <x:v>-145</x:v>
      </x:c>
      <x:c r="K63" s="31" t="str">
        <x:v>HYBRID</x:v>
      </x:c>
      <x:c r="L63" s="31" t="str">
        <x:v>A</x:v>
      </x:c>
      <x:c r="M63" s="31" t="str">
        <x:v>Strongest pitcher-prop leg tracked standalone to compare promo packaging vs single use.</x:v>
      </x:c>
      <x:c r="N63" s="31" t="str">
        <x:v>N</x:v>
      </x:c>
      <x:c r="O63" s="31" t="str">
        <x:v>Win</x:v>
      </x:c>
      <x:c r="P63" s="31" t="n">
        <x:v>1</x:v>
      </x:c>
      <x:c r="Q63" s="33" t="n">
        <x:v>1.6896551724137931</x:v>
      </x:c>
      <x:c r="R63" s="33" t="n">
        <x:v>0.6896551724137931</x:v>
      </x:c>
      <x:c r="S63" s="31" t="str"/>
      <x:c r="T63" s="32" t="str"/>
      <x:c r="U63" s="31" t="str">
        <x:v>Exact DK price -145 from placed MLB SGPx. | FINAL: Dylan Cease recorded 8 strikeouts</x:v>
      </x:c>
      <x:c r="V63" s="31" t="str">
        <x:v>SINGLE_VS_PARLAY</x:v>
      </x:c>
      <x:c r="W63" s="31" t="str">
        <x:v>EXP-20</x:v>
      </x:c>
      <x:c r="X63" s="31" t="str">
        <x:v>CEASE K SHADOW SINGLE</x:v>
      </x:c>
      <x:c r="Y63" s="31" t="str">
        <x:v>A28-T03</x:v>
      </x:c>
      <x:c r="Z63" s="31" t="str">
        <x:v>A-tier K overs may deserve standalone deployment even when also useful as a promo outside leg.</x:v>
      </x:c>
      <x:c r="AA63" s="31" t="str">
        <x:v>Boosted-parlay use dominates single deployment over sample.</x:v>
      </x:c>
      <x:c r="AB63" s="31" t="str">
        <x:v>Cease shadow single won exactly over the line; strong EXP-20 construction evidence.</x:v>
      </x:c>
    </x:row>
    <x:row r="64">
      <x:c r="A64" s="79" t="str">
        <x:v>2026-08-28</x:v>
      </x:c>
      <x:c r="B64" s="31" t="str">
        <x:v>P28-026</x:v>
      </x:c>
      <x:c r="C64" s="31" t="str">
        <x:v>A28-R94</x:v>
      </x:c>
      <x:c r="D64" s="31" t="str">
        <x:v>PAPER</x:v>
      </x:c>
      <x:c r="E64" s="31" t="str">
        <x:v>MLB</x:v>
      </x:c>
      <x:c r="F64" s="31" t="str">
        <x:v>COL @ ATL</x:v>
      </x:c>
      <x:c r="G64" s="31" t="str">
        <x:v>Matt Olson</x:v>
      </x:c>
      <x:c r="H64" s="31" t="str">
        <x:v>Shadow Single</x:v>
      </x:c>
      <x:c r="I64" s="31" t="str">
        <x:v>2+ total bases</x:v>
      </x:c>
      <x:c r="J64" s="80" t="str"/>
      <x:c r="K64" s="31" t="str">
        <x:v>HYBRID</x:v>
      </x:c>
      <x:c r="L64" s="31" t="str">
        <x:v>A</x:v>
      </x:c>
      <x:c r="M64" s="31" t="str">
        <x:v>Real SGP-core leg tracked as a standalone shadow single.</x:v>
      </x:c>
      <x:c r="N64" s="31" t="str">
        <x:v>N</x:v>
      </x:c>
      <x:c r="O64" s="31" t="str">
        <x:v>Loss</x:v>
      </x:c>
      <x:c r="P64" s="31" t="n">
        <x:v>0</x:v>
      </x:c>
      <x:c r="Q64" s="33" t="str"/>
      <x:c r="R64" s="33" t="str"/>
      <x:c r="S64" s="31" t="str"/>
      <x:c r="T64" s="32" t="str"/>
      <x:c r="U64" s="31" t="str">
        <x:v>Olson recorded exactly 1 total base (1-for-5 single). | FINAL: Matt Olson had 1 total base</x:v>
      </x:c>
      <x:c r="V64" s="31" t="str">
        <x:v>SINGLE_VS_PARLAY</x:v>
      </x:c>
      <x:c r="W64" s="31" t="str">
        <x:v>EXP-20</x:v>
      </x:c>
      <x:c r="X64" s="31" t="str">
        <x:v>OLSON TB SHADOW SINGLE</x:v>
      </x:c>
      <x:c r="Y64" s="31" t="str">
        <x:v>A28-T03</x:v>
      </x:c>
      <x:c r="Z64" s="31" t="str">
        <x:v>Standalone outcome also lost; this was a player-specific miss, not just parlay packaging.</x:v>
      </x:c>
      <x:c r="AA64" s="31" t="str">
        <x:v>A broader Braves-contact single may have expressed the thesis better.</x:v>
      </x:c>
      <x:c r="AB64" s="31" t="str">
        <x:v>Olson TB shadow lost; player-specific selection was the failure.</x:v>
      </x:c>
    </x:row>
    <x:row r="65">
      <x:c r="A65" s="79" t="str">
        <x:v>2026-08-28</x:v>
      </x:c>
      <x:c r="B65" s="31" t="str">
        <x:v>P28-027</x:v>
      </x:c>
      <x:c r="C65" s="31" t="str">
        <x:v>A28-R95</x:v>
      </x:c>
      <x:c r="D65" s="31" t="str">
        <x:v>PAPER</x:v>
      </x:c>
      <x:c r="E65" s="31" t="str">
        <x:v>MLB</x:v>
      </x:c>
      <x:c r="F65" s="31" t="str">
        <x:v>COL @ ATL</x:v>
      </x:c>
      <x:c r="G65" s="31" t="str">
        <x:v>Tomoyuki Sugano</x:v>
      </x:c>
      <x:c r="H65" s="31" t="str">
        <x:v>Shadow Single</x:v>
      </x:c>
      <x:c r="I65" s="31" t="str">
        <x:v>Over 5.5 hits allowed</x:v>
      </x:c>
      <x:c r="J65" s="80" t="str"/>
      <x:c r="K65" s="31" t="str">
        <x:v>HYBRID</x:v>
      </x:c>
      <x:c r="L65" s="31" t="str">
        <x:v>A</x:v>
      </x:c>
      <x:c r="M65" s="31" t="str">
        <x:v>Real SGP-core pitcher-fade leg tracked standalone.</x:v>
      </x:c>
      <x:c r="N65" s="31" t="str">
        <x:v>N</x:v>
      </x:c>
      <x:c r="O65" s="31" t="str">
        <x:v>Win</x:v>
      </x:c>
      <x:c r="P65" s="31" t="n">
        <x:v>1</x:v>
      </x:c>
      <x:c r="Q65" s="33" t="str"/>
      <x:c r="R65" s="33" t="str"/>
      <x:c r="S65" s="31" t="str"/>
      <x:c r="T65" s="32" t="str"/>
      <x:c r="U65" s="31" t="str">
        <x:v>Sugano allowed 10 hits in 4.0 IP, clearing 6+ comfortably. | FINAL: Sugano allowed 10 hits in 4.0 IP</x:v>
      </x:c>
      <x:c r="V65" s="31" t="str">
        <x:v>SINGLE_VS_PARLAY</x:v>
      </x:c>
      <x:c r="W65" s="31" t="str">
        <x:v>EXP-20</x:v>
      </x:c>
      <x:c r="X65" s="31" t="str">
        <x:v>SUGANO HA SHADOW SINGLE</x:v>
      </x:c>
      <x:c r="Y65" s="31" t="str">
        <x:v>A28-T03</x:v>
      </x:c>
      <x:c r="Z65" s="31" t="str">
        <x:v>Pitcher hits-allowed successfully captured the broad Atlanta contact thesis without relying on one hitter.</x:v>
      </x:c>
      <x:c r="AA65" s="31" t="str">
        <x:v>Continue testing pitcher-fade / team-contact markets against hitter-specific props.</x:v>
      </x:c>
      <x:c r="AB65" s="31" t="str">
        <x:v>Sugano hits-allowed shadow won comfortably and best captured the team-contact thesis.</x:v>
      </x:c>
    </x:row>
    <x:row r="66">
      <x:c r="A66" s="79" t="str">
        <x:v>2026-08-28</x:v>
      </x:c>
      <x:c r="B66" s="31" t="str">
        <x:v>P28-028</x:v>
      </x:c>
      <x:c r="C66" s="31" t="str">
        <x:v>A28-R36</x:v>
      </x:c>
      <x:c r="D66" s="31" t="str">
        <x:v>PAPER</x:v>
      </x:c>
      <x:c r="E66" s="31" t="str">
        <x:v>WNBA</x:v>
      </x:c>
      <x:c r="F66" s="31" t="str">
        <x:v>WAS @ LA</x:v>
      </x:c>
      <x:c r="G66" s="31" t="str">
        <x:v>Shakira Austin</x:v>
      </x:c>
      <x:c r="H66" s="31" t="str">
        <x:v>Rebounds</x:v>
      </x:c>
      <x:c r="I66" s="31" t="str">
        <x:v>8+ rebounds</x:v>
      </x:c>
      <x:c r="J66" s="80" t="str"/>
      <x:c r="K66" s="31" t="str">
        <x:v>SOURCED</x:v>
      </x:c>
      <x:c r="L66" s="31" t="str">
        <x:v>B+</x:v>
      </x:c>
      <x:c r="M66" s="31" t="str">
        <x:v>Top WNBA backup after the unavailable Indiana game; safer alternate to O9.5.</x:v>
      </x:c>
      <x:c r="N66" s="31" t="str">
        <x:v>N</x:v>
      </x:c>
      <x:c r="O66" s="31" t="str">
        <x:v>Win</x:v>
      </x:c>
      <x:c r="P66" s="31" t="n">
        <x:v>1</x:v>
      </x:c>
      <x:c r="Q66" s="33" t="str"/>
      <x:c r="R66" s="33" t="str"/>
      <x:c r="S66" s="31" t="str"/>
      <x:c r="T66" s="32" t="str"/>
      <x:c r="U66" s="31" t="str">
        <x:v>Prospective backup single/leg; exact DK price not captured. | FINAL: Shakira Austin recorded a double-double and cleared 8+ rebounds</x:v>
      </x:c>
      <x:c r="V66" s="31" t="str">
        <x:v>HYPOTHESIS_TEST</x:v>
      </x:c>
      <x:c r="W66" s="31" t="str">
        <x:v>EXP-12</x:v>
      </x:c>
      <x:c r="X66" s="31" t="str">
        <x:v>AUSTIN 8+ REB BACKUP</x:v>
      </x:c>
      <x:c r="Y66" s="31" t="str"/>
      <x:c r="Z66" s="31" t="str">
        <x:v>Role/minutes plus matchup context should outperform raw recent hit-rate alone on rebound alternates.</x:v>
      </x:c>
      <x:c r="AA66" s="31" t="str">
        <x:v>Recent-hit-rate floor alone is sufficient and matchup weighting adds little.</x:v>
      </x:c>
      <x:c r="AB66" s="31" t="str">
        <x:v>Austin backup won; compare directly with failed Young rebound under EXP-12.</x:v>
      </x:c>
    </x:row>
    <x:row r="67">
      <x:c r="A67" s="79" t="str">
        <x:v>2026-08-28</x:v>
      </x:c>
      <x:c r="B67" s="31" t="str">
        <x:v>P28-029</x:v>
      </x:c>
      <x:c r="C67" s="31" t="str">
        <x:v>A28-R26</x:v>
      </x:c>
      <x:c r="D67" s="31" t="str">
        <x:v>PAPER</x:v>
      </x:c>
      <x:c r="E67" s="31" t="str">
        <x:v>WNBA</x:v>
      </x:c>
      <x:c r="F67" s="31" t="str">
        <x:v>WAS @ LA</x:v>
      </x:c>
      <x:c r="G67" s="31" t="str">
        <x:v>Nneka Ogwumike</x:v>
      </x:c>
      <x:c r="H67" s="31" t="str">
        <x:v>Rebounds</x:v>
      </x:c>
      <x:c r="I67" s="31" t="str">
        <x:v>6+ rebounds</x:v>
      </x:c>
      <x:c r="J67" s="80" t="str"/>
      <x:c r="K67" s="31" t="str">
        <x:v>SOURCED</x:v>
      </x:c>
      <x:c r="L67" s="31" t="str">
        <x:v>B+</x:v>
      </x:c>
      <x:c r="M67" s="31" t="str">
        <x:v>10/10 recent source floor retained as a high-juice control rather than auto-glue.</x:v>
      </x:c>
      <x:c r="N67" s="31" t="str">
        <x:v>N</x:v>
      </x:c>
      <x:c r="O67" s="31" t="str">
        <x:v>Loss</x:v>
      </x:c>
      <x:c r="P67" s="31" t="n">
        <x:v>0</x:v>
      </x:c>
      <x:c r="Q67" s="33" t="str"/>
      <x:c r="R67" s="33" t="str"/>
      <x:c r="S67" s="31" t="str"/>
      <x:c r="T67" s="32" t="str"/>
      <x:c r="U67" s="31" t="str">
        <x:v>Outcome-only unless price recovered. | FINAL: Nneka Ogwumike had 3 rebounds</x:v>
      </x:c>
      <x:c r="V67" s="31" t="str">
        <x:v>HYPOTHESIS_TEST</x:v>
      </x:c>
      <x:c r="W67" s="31" t="str">
        <x:v>EXP-12</x:v>
      </x:c>
      <x:c r="X67" s="31" t="str">
        <x:v>NNEKA 6+ REB CONTROL</x:v>
      </x:c>
      <x:c r="Y67" s="31" t="str"/>
      <x:c r="Z67" s="31" t="str">
        <x:v>Very low rebound thresholds can be useful promo components but should be judged against price and role, not streak alone.</x:v>
      </x:c>
      <x:c r="AA67" s="31" t="str">
        <x:v>Raw 10/10 trends outperform matchup-adjusted selection.</x:v>
      </x:c>
      <x:c r="AB67" s="31" t="str">
        <x:v>Recent-floor control failed badly; strong evidence against treating streak hit rates as automatic glue.</x:v>
      </x:c>
    </x:row>
    <x:row r="68">
      <x:c r="A68" s="79" t="str">
        <x:v>2026-08-28</x:v>
      </x:c>
      <x:c r="B68" s="31" t="str">
        <x:v>P28-030</x:v>
      </x:c>
      <x:c r="C68" s="31" t="str">
        <x:v>A28-R04</x:v>
      </x:c>
      <x:c r="D68" s="31" t="str">
        <x:v>PAPER</x:v>
      </x:c>
      <x:c r="E68" s="31" t="str">
        <x:v>WNBA</x:v>
      </x:c>
      <x:c r="F68" s="31" t="str">
        <x:v>POR @ ATL</x:v>
      </x:c>
      <x:c r="G68" s="31" t="str">
        <x:v>Rhyne Howard</x:v>
      </x:c>
      <x:c r="H68" s="31" t="str">
        <x:v>Points</x:v>
      </x:c>
      <x:c r="I68" s="31" t="str">
        <x:v>15+ points</x:v>
      </x:c>
      <x:c r="J68" s="80" t="str"/>
      <x:c r="K68" s="31" t="str">
        <x:v>SOURCED</x:v>
      </x:c>
      <x:c r="L68" s="31" t="str">
        <x:v>B+</x:v>
      </x:c>
      <x:c r="M68" s="31" t="str">
        <x:v>10/10 recent source candidate and top WNBA backup scorer.</x:v>
      </x:c>
      <x:c r="N68" s="31" t="str">
        <x:v>N</x:v>
      </x:c>
      <x:c r="O68" s="31" t="str">
        <x:v>Win</x:v>
      </x:c>
      <x:c r="P68" s="31" t="n">
        <x:v>1</x:v>
      </x:c>
      <x:c r="Q68" s="33" t="str"/>
      <x:c r="R68" s="33" t="str"/>
      <x:c r="S68" s="31" t="str"/>
      <x:c r="T68" s="32" t="str"/>
      <x:c r="U68" s="31" t="str">
        <x:v>Outcome-only unless price recovered. | FINAL: Rhyne Howard scored 26 points</x:v>
      </x:c>
      <x:c r="V68" s="31" t="str">
        <x:v>HYPOTHESIS_TEST</x:v>
      </x:c>
      <x:c r="W68" s="31" t="str">
        <x:v>EXP-04</x:v>
      </x:c>
      <x:c r="X68" s="31" t="str">
        <x:v>HOWARD 15+ RECENCY CONTROL</x:v>
      </x:c>
      <x:c r="Y68" s="31" t="str"/>
      <x:c r="Z68" s="31" t="str">
        <x:v>Recent scoring floors need role/matchup/price confirmation before becoming glue.</x:v>
      </x:c>
      <x:c r="AA68" s="31" t="str">
        <x:v>The raw recent streak is independently predictive enough to justify automatic use.</x:v>
      </x:c>
      <x:c r="AB68" s="31" t="str">
        <x:v>15+ scoring control won comfortably; keep pairing recent form with role and price.</x:v>
      </x:c>
    </x:row>
    <x:row r="69">
      <x:c r="A69" s="79" t="str">
        <x:v>2026-08-28</x:v>
      </x:c>
      <x:c r="B69" s="31" t="str">
        <x:v>P28-031</x:v>
      </x:c>
      <x:c r="C69" s="31" t="str">
        <x:v>A28-R05</x:v>
      </x:c>
      <x:c r="D69" s="31" t="str">
        <x:v>PAPER</x:v>
      </x:c>
      <x:c r="E69" s="31" t="str">
        <x:v>WNBA</x:v>
      </x:c>
      <x:c r="F69" s="31" t="str">
        <x:v>POR @ ATL</x:v>
      </x:c>
      <x:c r="G69" s="31" t="str">
        <x:v>Allisha Gray</x:v>
      </x:c>
      <x:c r="H69" s="31" t="str">
        <x:v>Assists</x:v>
      </x:c>
      <x:c r="I69" s="31" t="str">
        <x:v>2+ assists</x:v>
      </x:c>
      <x:c r="J69" s="80" t="str"/>
      <x:c r="K69" s="31" t="str">
        <x:v>SOURCED</x:v>
      </x:c>
      <x:c r="L69" s="31" t="str">
        <x:v>B</x:v>
      </x:c>
      <x:c r="M69" s="31" t="str">
        <x:v>10/10 recent assist-floor source leg; retained to test expensive floor reliability.</x:v>
      </x:c>
      <x:c r="N69" s="31" t="str">
        <x:v>N</x:v>
      </x:c>
      <x:c r="O69" s="31" t="str">
        <x:v>Win</x:v>
      </x:c>
      <x:c r="P69" s="31" t="n">
        <x:v>1</x:v>
      </x:c>
      <x:c r="Q69" s="33" t="str"/>
      <x:c r="R69" s="33" t="str"/>
      <x:c r="S69" s="31" t="str"/>
      <x:c r="T69" s="32" t="str"/>
      <x:c r="U69" s="31" t="str">
        <x:v>Outcome-only unless price recovered. | FINAL: Allisha Gray recorded 3 assists</x:v>
      </x:c>
      <x:c r="V69" s="31" t="str">
        <x:v>HYPOTHESIS_TEST</x:v>
      </x:c>
      <x:c r="W69" s="31" t="str">
        <x:v>EXP-04</x:v>
      </x:c>
      <x:c r="X69" s="31" t="str">
        <x:v>GRAY 2+ AST RECENCY CONTROL</x:v>
      </x:c>
      <x:c r="Y69" s="31" t="str"/>
      <x:c r="Z69" s="31" t="str">
        <x:v>Low alternate floors can look safe while contributing little payout and still adding leg risk.</x:v>
      </x:c>
      <x:c r="AA69" s="31" t="str">
        <x:v>Very high hit-rate floors improve parlay efficiency despite price compression.</x:v>
      </x:c>
      <x:c r="AB69" s="31" t="str">
        <x:v>2+ assist control won; keep testing whether short floors add enough payout for their extra leg risk.</x:v>
      </x:c>
    </x:row>
    <x:row r="70">
      <x:c r="A70" s="79" t="str">
        <x:v>2026-08-28</x:v>
      </x:c>
      <x:c r="B70" s="31" t="str">
        <x:v>P28-032</x:v>
      </x:c>
      <x:c r="C70" s="31" t="str">
        <x:v>A28-R50;A28-R76</x:v>
      </x:c>
      <x:c r="D70" s="31" t="str">
        <x:v>PAPER</x:v>
      </x:c>
      <x:c r="E70" s="31" t="str">
        <x:v>MLB</x:v>
      </x:c>
      <x:c r="F70" s="31" t="str">
        <x:v>COL @ ATL</x:v>
      </x:c>
      <x:c r="G70" s="31" t="str">
        <x:v>Hunter Goodman</x:v>
      </x:c>
      <x:c r="H70" s="31" t="str">
        <x:v>Total Bases</x:v>
      </x:c>
      <x:c r="I70" s="31" t="str">
        <x:v>2+ total bases</x:v>
      </x:c>
      <x:c r="J70" s="80" t="str"/>
      <x:c r="K70" s="31" t="str">
        <x:v>HYBRID</x:v>
      </x:c>
      <x:c r="L70" s="31" t="str">
        <x:v>B</x:v>
      </x:c>
      <x:c r="M70" s="31" t="str">
        <x:v>Goodman was a repeated HR candidate, but we also wanted to test a lower-variance TB expression.</x:v>
      </x:c>
      <x:c r="N70" s="31" t="str">
        <x:v>N</x:v>
      </x:c>
      <x:c r="O70" s="31" t="str">
        <x:v>Loss</x:v>
      </x:c>
      <x:c r="P70" s="31" t="n">
        <x:v>0</x:v>
      </x:c>
      <x:c r="Q70" s="33" t="str"/>
      <x:c r="R70" s="33" t="str"/>
      <x:c r="S70" s="31" t="str"/>
      <x:c r="T70" s="32" t="str"/>
      <x:c r="U70" s="31" t="str">
        <x:v>Outcome-only; sourced Bases Loaded note highlighted recent 2+ TB frequency and hard contact. | FINAL: Goodman did not reach 2+ total bases</x:v>
      </x:c>
      <x:c r="V70" s="31" t="str">
        <x:v>ALT_MARKET_TEST</x:v>
      </x:c>
      <x:c r="W70" s="31" t="str">
        <x:v>EXP-03</x:v>
      </x:c>
      <x:c r="X70" s="31" t="str">
        <x:v>GOODMAN TB ARM</x:v>
      </x:c>
      <x:c r="Y70" s="31" t="str">
        <x:v>P28-010</x:v>
      </x:c>
      <x:c r="Z70" s="31" t="str">
        <x:v>For a power hitter with a valid matchup, 2+ TB may monetize the thesis more reliably than HR.</x:v>
      </x:c>
      <x:c r="AA70" s="31" t="str">
        <x:v>HR provides superior price-adjusted ROI despite higher variance.</x:v>
      </x:c>
      <x:c r="AB70" s="31" t="str">
        <x:v>Lower-variance TB expression also failed; hitter-specific miss, not only HR variance.</x:v>
      </x:c>
    </x:row>
    <x:row r="71">
      <x:c r="A71" s="79" t="str">
        <x:v>2026-08-28</x:v>
      </x:c>
      <x:c r="B71" s="31" t="str">
        <x:v>P28-033</x:v>
      </x:c>
      <x:c r="C71" s="31" t="str">
        <x:v>A28-R41;A28-R42;A28-R43</x:v>
      </x:c>
      <x:c r="D71" s="31" t="str">
        <x:v>PAPER</x:v>
      </x:c>
      <x:c r="E71" s="31" t="str">
        <x:v>MLB</x:v>
      </x:c>
      <x:c r="F71" s="31" t="str">
        <x:v>Cross-game</x:v>
      </x:c>
      <x:c r="G71" s="31" t="str">
        <x:v>Caminero + Vaughn + Vargas</x:v>
      </x:c>
      <x:c r="H71" s="31" t="str">
        <x:v>1+ hit source parlay</x:v>
      </x:c>
      <x:c r="I71" s="31" t="str">
        <x:v>Caminero 1+ H + Vaughn 1+ H + Vargas 1+ H</x:v>
      </x:c>
      <x:c r="J71" s="80" t="n">
        <x:v>204</x:v>
      </x:c>
      <x:c r="K71" s="31" t="str">
        <x:v>SOURCED</x:v>
      </x:c>
      <x:c r="L71" s="31" t="str">
        <x:v>B</x:v>
      </x:c>
      <x:c r="M71" s="31" t="str">
        <x:v>Preserve the intact expensive-hit source parlay that we rejected for real money.</x:v>
      </x:c>
      <x:c r="N71" s="31" t="str">
        <x:v>N</x:v>
      </x:c>
      <x:c r="O71" s="31" t="str">
        <x:v>Loss</x:v>
      </x:c>
      <x:c r="P71" s="31" t="n">
        <x:v>0</x:v>
      </x:c>
      <x:c r="Q71" s="33" t="n">
        <x:v>0</x:v>
      </x:c>
      <x:c r="R71" s="33" t="n">
        <x:v>-1</x:v>
      </x:c>
      <x:c r="S71" s="31" t="str"/>
      <x:c r="T71" s="32" t="str"/>
      <x:c r="U71" s="31" t="str">
        <x:v>Source displayed +204; component prices -240/-210/-220. | FINAL: Caminero 1+ H W; Vargas 1+ H W; Vaughn 1+ H L (0-for-1 PH)</x:v>
      </x:c>
      <x:c r="V71" s="31" t="str">
        <x:v>CONSTRUCTION_TEST</x:v>
      </x:c>
      <x:c r="W71" s="31" t="str">
        <x:v>EXP-08</x:v>
      </x:c>
      <x:c r="X71" s="31" t="str">
        <x:v>EXPENSIVE HIT-GLUE CONTROL</x:v>
      </x:c>
      <x:c r="Y71" s="31" t="str"/>
      <x:c r="Z71" s="31" t="str">
        <x:v>Expensive 1+ hit glue may produce attractive recent hit rates but weak price-adjusted construction.</x:v>
      </x:c>
      <x:c r="AA71" s="31" t="str">
        <x:v>The high component hit rate outweighs compressed payout and leg multiplication.</x:v>
      </x:c>
      <x:c r="AB71" s="31" t="str">
        <x:v>Expensive 1+ hit source parlay went 2/3 and lost; high-juice glue still creates full-ticket failure points.</x:v>
      </x:c>
    </x:row>
    <x:row r="72">
      <x:c r="A72" s="79" t="str">
        <x:v>2026-08-28</x:v>
      </x:c>
      <x:c r="B72" s="31" t="str">
        <x:v>P28-034</x:v>
      </x:c>
      <x:c r="C72" s="31" t="str">
        <x:v>A28-R90;A28-R91;A28-R86</x:v>
      </x:c>
      <x:c r="D72" s="31" t="str">
        <x:v>PAPER</x:v>
      </x:c>
      <x:c r="E72" s="31" t="str">
        <x:v>Soccer</x:v>
      </x:c>
      <x:c r="F72" s="31" t="str">
        <x:v>3 games</x:v>
      </x:c>
      <x:c r="G72" s="31" t="str">
        <x:v>Bayern + PSG + Man City</x:v>
      </x:c>
      <x:c r="H72" s="31" t="str">
        <x:v>Favorite ML parlay</x:v>
      </x:c>
      <x:c r="I72" s="31" t="str">
        <x:v>Bayern ML + PSG ML + Man City ML</x:v>
      </x:c>
      <x:c r="J72" s="80" t="str"/>
      <x:c r="K72" s="31" t="str">
        <x:v>HYBRID</x:v>
      </x:c>
      <x:c r="L72" s="31" t="str">
        <x:v>B+</x:v>
      </x:c>
      <x:c r="M72" s="31" t="str">
        <x:v>Original favorite-strength ticket before PSG market-expression downgrade.</x:v>
      </x:c>
      <x:c r="N72" s="31" t="str">
        <x:v>N</x:v>
      </x:c>
      <x:c r="O72" s="31" t="str">
        <x:v>Loss</x:v>
      </x:c>
      <x:c r="P72" s="31" t="n">
        <x:v>0</x:v>
      </x:c>
      <x:c r="Q72" s="33" t="str"/>
      <x:c r="R72" s="33" t="str"/>
      <x:c r="S72" s="31" t="str"/>
      <x:c r="T72" s="32" t="str"/>
      <x:c r="U72" s="31" t="str">
        <x:v>Outcome-only unless exact combined DK price is recovered. | FINAL: Bayern ML W; City ML W; PSG ML L</x:v>
      </x:c>
      <x:c r="V72" s="31" t="str">
        <x:v>ALT_MARKET_TEST</x:v>
      </x:c>
      <x:c r="W72" s="31" t="str">
        <x:v>EXP-08</x:v>
      </x:c>
      <x:c r="X72" s="31" t="str">
        <x:v>3-FAVORITE ML CONTROL</x:v>
      </x:c>
      <x:c r="Y72" s="31" t="str">
        <x:v>A28-T02</x:v>
      </x:c>
      <x:c r="Z72" s="31" t="str">
        <x:v>Replacing PSG ML with BTTS should improve market fit without weakening the overall soccer thesis.</x:v>
      </x:c>
      <x:c r="AA72" s="31" t="str">
        <x:v>Simple favorite ML stacking outperforms market-converted soccer cards.</x:v>
      </x:c>
      <x:c r="AB72" s="31" t="str">
        <x:v>Three-favorite ML control lost solely on PSG; replacing PSG ML with BTTS added value.</x:v>
      </x:c>
    </x:row>
    <x:row r="73">
      <x:c r="A73" s="79" t="str">
        <x:v>2026-08-28</x:v>
      </x:c>
      <x:c r="B73" s="31" t="str">
        <x:v>P28-035</x:v>
      </x:c>
      <x:c r="C73" s="31" t="str">
        <x:v>A28-R80;A28-R81;A28-R90</x:v>
      </x:c>
      <x:c r="D73" s="31" t="str">
        <x:v>PAPER</x:v>
      </x:c>
      <x:c r="E73" s="31" t="str">
        <x:v>Soccer</x:v>
      </x:c>
      <x:c r="F73" s="31" t="str">
        <x:v>3 games</x:v>
      </x:c>
      <x:c r="G73" s="31" t="str">
        <x:v>Bayern/STU + Lille/PSG + City</x:v>
      </x:c>
      <x:c r="H73" s="31" t="str">
        <x:v>Game-script parlay</x:v>
      </x:c>
      <x:c r="I73" s="31" t="str">
        <x:v>Bayern/STU BTTS + Lille/PSG BTTS + Man City ML</x:v>
      </x:c>
      <x:c r="J73" s="80" t="str"/>
      <x:c r="K73" s="31" t="str">
        <x:v>SOURCED</x:v>
      </x:c>
      <x:c r="L73" s="31" t="str">
        <x:v>B</x:v>
      </x:c>
      <x:c r="M73" s="31" t="str">
        <x:v>Early differentiated soccer build considered before finalizing the primary card.</x:v>
      </x:c>
      <x:c r="N73" s="31" t="str">
        <x:v>N</x:v>
      </x:c>
      <x:c r="O73" s="31" t="str">
        <x:v>Win</x:v>
      </x:c>
      <x:c r="P73" s="31" t="n">
        <x:v>1</x:v>
      </x:c>
      <x:c r="Q73" s="33" t="str"/>
      <x:c r="R73" s="33" t="str"/>
      <x:c r="S73" s="31" t="str"/>
      <x:c r="T73" s="32" t="str"/>
      <x:c r="U73" s="31" t="str">
        <x:v>Outcome-only; keeps both BTTS theses intact. | FINAL: Bayern/STU BTTS W; Lille/PSG BTTS W; City ML W</x:v>
      </x:c>
      <x:c r="V73" s="31" t="str">
        <x:v>CONSTRUCTION_TEST</x:v>
      </x:c>
      <x:c r="W73" s="31" t="str">
        <x:v>EXP-09</x:v>
      </x:c>
      <x:c r="X73" s="31" t="str">
        <x:v>DOUBLE-BTTS SOCCER ARM</x:v>
      </x:c>
      <x:c r="Y73" s="31" t="str">
        <x:v>A28-T02</x:v>
      </x:c>
      <x:c r="Z73" s="31" t="str">
        <x:v>A differentiated game-script ticket may outperform simple favorite stacking without duplicating the same failure mode.</x:v>
      </x:c>
      <x:c r="AA73" s="31" t="str">
        <x:v>The added BTTS variance outweighs market-fit benefits.</x:v>
      </x:c>
      <x:c r="AB73" s="31" t="str">
        <x:v>Double-BTTS game-script alternative went 3/3; valuable prospective soccer control.</x:v>
      </x:c>
    </x:row>
    <x:row r="74">
      <x:c r="A74" s="79" t="str">
        <x:v>2026-08-28</x:v>
      </x:c>
      <x:c r="B74" s="31" t="str">
        <x:v>P28-036</x:v>
      </x:c>
      <x:c r="C74" s="31" t="str"/>
      <x:c r="D74" s="31" t="str">
        <x:v>PAPER</x:v>
      </x:c>
      <x:c r="E74" s="31" t="str">
        <x:v>Soccer</x:v>
      </x:c>
      <x:c r="F74" s="31" t="str">
        <x:v>3 games</x:v>
      </x:c>
      <x:c r="G74" s="31" t="str">
        <x:v>Bayern + PSG + Man City</x:v>
      </x:c>
      <x:c r="H74" s="31" t="str">
        <x:v>Team-goals alternative</x:v>
      </x:c>
      <x:c r="I74" s="31" t="str">
        <x:v>Bayern 2+ team goals + PSG ML + Man City 2+ team goals</x:v>
      </x:c>
      <x:c r="J74" s="80" t="str"/>
      <x:c r="K74" s="31" t="str">
        <x:v>DISCOVERED</x:v>
      </x:c>
      <x:c r="L74" s="31" t="str">
        <x:v>B</x:v>
      </x:c>
      <x:c r="M74" s="31" t="str">
        <x:v>Alternative we considered to avoid heavily juiced ML glue while retaining favorite offensive strength.</x:v>
      </x:c>
      <x:c r="N74" s="31" t="str">
        <x:v>N</x:v>
      </x:c>
      <x:c r="O74" s="31" t="str">
        <x:v>Loss</x:v>
      </x:c>
      <x:c r="P74" s="31" t="n">
        <x:v>0</x:v>
      </x:c>
      <x:c r="Q74" s="33" t="str"/>
      <x:c r="R74" s="33" t="str"/>
      <x:c r="S74" s="31" t="str"/>
      <x:c r="T74" s="32" t="str"/>
      <x:c r="U74" s="31" t="str">
        <x:v>Outcome-only; thresholds were discussed prospectively before placement. | FINAL: Bayern 2+ goals W; City 2+ goals W; PSG ML L</x:v>
      </x:c>
      <x:c r="V74" s="31" t="str">
        <x:v>ALT_MARKET_TEST</x:v>
      </x:c>
      <x:c r="W74" s="31" t="str">
        <x:v>EXP-08</x:v>
      </x:c>
      <x:c r="X74" s="31" t="str">
        <x:v>TEAM-GOALS FAVORITE ARM</x:v>
      </x:c>
      <x:c r="Y74" s="31" t="str"/>
      <x:c r="Z74" s="31" t="str">
        <x:v>Team-goal thresholds may express dominant-favorite strength more efficiently than very short MLs.</x:v>
      </x:c>
      <x:c r="AA74" s="31" t="str">
        <x:v>Moneylines provide better survival and price-adjusted utility.</x:v>
      </x:c>
      <x:c r="AB74" s="31" t="str">
        <x:v>Team-goals alternative also died on PSG ML, isolating PSG market selection as weak link.</x:v>
      </x:c>
    </x:row>
    <x:row r="75">
      <x:c r="A75" s="79" t="str">
        <x:v>2026-08-28</x:v>
      </x:c>
      <x:c r="B75" s="31" t="str">
        <x:v>P28-037</x:v>
      </x:c>
      <x:c r="C75" s="31" t="str">
        <x:v>A28-R87;A28-R88</x:v>
      </x:c>
      <x:c r="D75" s="31" t="str">
        <x:v>PAPER</x:v>
      </x:c>
      <x:c r="E75" s="31" t="str">
        <x:v>WNBA</x:v>
      </x:c>
      <x:c r="F75" s="31" t="str">
        <x:v>2-game subset</x:v>
      </x:c>
      <x:c r="G75" s="31" t="str">
        <x:v>Young + Hillmon</x:v>
      </x:c>
      <x:c r="H75" s="31" t="str">
        <x:v>2-leg subset</x:v>
      </x:c>
      <x:c r="I75" s="31" t="str">
        <x:v>Young 5+ REB + Hillmon O14.5 P+R</x:v>
      </x:c>
      <x:c r="J75" s="80" t="str"/>
      <x:c r="K75" s="31" t="str">
        <x:v>HYBRID</x:v>
      </x:c>
      <x:c r="L75" s="31" t="str">
        <x:v>A</x:v>
      </x:c>
      <x:c r="M75" s="31" t="str">
        <x:v>Outcome-only two-leg subset of actual WNBA promo card.</x:v>
      </x:c>
      <x:c r="N75" s="31" t="str">
        <x:v>N</x:v>
      </x:c>
      <x:c r="O75" s="31" t="str">
        <x:v>Loss</x:v>
      </x:c>
      <x:c r="P75" s="31" t="n">
        <x:v>0</x:v>
      </x:c>
      <x:c r="Q75" s="33" t="str"/>
      <x:c r="R75" s="33" t="str"/>
      <x:c r="S75" s="31" t="str"/>
      <x:c r="T75" s="32" t="str"/>
      <x:c r="U75" s="31" t="str">
        <x:v>No fabricated combined odds; test hit-frequency/construction only. | FINAL: Young L; Hillmon W</x:v>
      </x:c>
      <x:c r="V75" s="31" t="str">
        <x:v>CONSTRUCTION_TEST</x:v>
      </x:c>
      <x:c r="W75" s="31" t="str">
        <x:v>EXP-09</x:v>
      </x:c>
      <x:c r="X75" s="31" t="str">
        <x:v>WNBA 2-LEG YOUNG+HILLMON</x:v>
      </x:c>
      <x:c r="Y75" s="31" t="str">
        <x:v>A28-T01</x:v>
      </x:c>
      <x:c r="Z75" s="31" t="str">
        <x:v>Two-leg subsets should reduce ticket failure while retaining much of the underlying edge.</x:v>
      </x:c>
      <x:c r="AA75" s="31" t="str">
        <x:v>Boosted three-leg promo utility dominates despite extra failure point.</x:v>
      </x:c>
      <x:c r="AB75" s="31" t="str">
        <x:v>Young+Hillmon subset lost; removing Hamby would not have saved it.</x:v>
      </x:c>
    </x:row>
    <x:row r="76">
      <x:c r="A76" s="79" t="str">
        <x:v>2026-08-28</x:v>
      </x:c>
      <x:c r="B76" s="31" t="str">
        <x:v>P28-038</x:v>
      </x:c>
      <x:c r="C76" s="31" t="str">
        <x:v>A28-R87;A28-R89</x:v>
      </x:c>
      <x:c r="D76" s="31" t="str">
        <x:v>PAPER</x:v>
      </x:c>
      <x:c r="E76" s="31" t="str">
        <x:v>WNBA</x:v>
      </x:c>
      <x:c r="F76" s="31" t="str">
        <x:v>2-game subset</x:v>
      </x:c>
      <x:c r="G76" s="31" t="str">
        <x:v>Young + Hamby</x:v>
      </x:c>
      <x:c r="H76" s="31" t="str">
        <x:v>2-leg subset</x:v>
      </x:c>
      <x:c r="I76" s="31" t="str">
        <x:v>Young 5+ REB + Hamby 15+ P+R</x:v>
      </x:c>
      <x:c r="J76" s="80" t="str"/>
      <x:c r="K76" s="31" t="str">
        <x:v>HYBRID</x:v>
      </x:c>
      <x:c r="L76" s="31" t="str">
        <x:v>A</x:v>
      </x:c>
      <x:c r="M76" s="31" t="str">
        <x:v>Outcome-only two-leg subset of actual WNBA promo card.</x:v>
      </x:c>
      <x:c r="N76" s="31" t="str">
        <x:v>N</x:v>
      </x:c>
      <x:c r="O76" s="31" t="str">
        <x:v>Loss</x:v>
      </x:c>
      <x:c r="P76" s="31" t="n">
        <x:v>0</x:v>
      </x:c>
      <x:c r="Q76" s="33" t="str"/>
      <x:c r="R76" s="33" t="str"/>
      <x:c r="S76" s="31" t="str"/>
      <x:c r="T76" s="32" t="str"/>
      <x:c r="U76" s="31" t="str">
        <x:v>No fabricated combined odds. | FINAL: Young L; Hamby L</x:v>
      </x:c>
      <x:c r="V76" s="31" t="str">
        <x:v>CONSTRUCTION_TEST</x:v>
      </x:c>
      <x:c r="W76" s="31" t="str">
        <x:v>EXP-09</x:v>
      </x:c>
      <x:c r="X76" s="31" t="str">
        <x:v>WNBA 2-LEG YOUNG+HAMBY</x:v>
      </x:c>
      <x:c r="Y76" s="31" t="str">
        <x:v>A28-T01</x:v>
      </x:c>
      <x:c r="Z76" s="31" t="str">
        <x:v>Two-leg subset provides a lower-variance benchmark against promo-mandated third legs.</x:v>
      </x:c>
      <x:c r="AA76" s="31" t="str">
        <x:v>Three-leg boosted construction compensates sufficiently for third-leg risk.</x:v>
      </x:c>
      <x:c r="AB76" s="31" t="str">
        <x:v>Young+Hamby subset lost both legs; WNBA issue was selection quality, not merely 3-leg construction.</x:v>
      </x:c>
    </x:row>
    <x:row r="77">
      <x:c r="A77" s="79" t="str">
        <x:v>2026-08-28</x:v>
      </x:c>
      <x:c r="B77" s="31" t="str">
        <x:v>P28-039</x:v>
      </x:c>
      <x:c r="C77" s="31" t="str">
        <x:v>A28-R88;A28-R89</x:v>
      </x:c>
      <x:c r="D77" s="31" t="str">
        <x:v>PAPER</x:v>
      </x:c>
      <x:c r="E77" s="31" t="str">
        <x:v>WNBA</x:v>
      </x:c>
      <x:c r="F77" s="31" t="str">
        <x:v>2-game subset</x:v>
      </x:c>
      <x:c r="G77" s="31" t="str">
        <x:v>Hillmon + Hamby</x:v>
      </x:c>
      <x:c r="H77" s="31" t="str">
        <x:v>2-leg subset</x:v>
      </x:c>
      <x:c r="I77" s="31" t="str">
        <x:v>Hillmon O14.5 P+R + Hamby 15+ P+R</x:v>
      </x:c>
      <x:c r="J77" s="80" t="str"/>
      <x:c r="K77" s="31" t="str">
        <x:v>HYBRID</x:v>
      </x:c>
      <x:c r="L77" s="31" t="str">
        <x:v>A</x:v>
      </x:c>
      <x:c r="M77" s="31" t="str">
        <x:v>Outcome-only two-leg subset of actual WNBA promo card.</x:v>
      </x:c>
      <x:c r="N77" s="31" t="str">
        <x:v>N</x:v>
      </x:c>
      <x:c r="O77" s="31" t="str">
        <x:v>Loss</x:v>
      </x:c>
      <x:c r="P77" s="31" t="n">
        <x:v>0</x:v>
      </x:c>
      <x:c r="Q77" s="33" t="str"/>
      <x:c r="R77" s="33" t="str"/>
      <x:c r="S77" s="31" t="str"/>
      <x:c r="T77" s="32" t="str"/>
      <x:c r="U77" s="31" t="str">
        <x:v>No fabricated combined odds. | FINAL: Hillmon W; Hamby L</x:v>
      </x:c>
      <x:c r="V77" s="31" t="str">
        <x:v>CONSTRUCTION_TEST</x:v>
      </x:c>
      <x:c r="W77" s="31" t="str">
        <x:v>EXP-09</x:v>
      </x:c>
      <x:c r="X77" s="31" t="str">
        <x:v>WNBA 2-LEG HILLMON+HAMBY</x:v>
      </x:c>
      <x:c r="Y77" s="31" t="str">
        <x:v>A28-T01</x:v>
      </x:c>
      <x:c r="Z77" s="31" t="str">
        <x:v>Two-leg subset tests whether Young's independent rebound leg is adding value or only promo price.</x:v>
      </x:c>
      <x:c r="AA77" s="31" t="str">
        <x:v>Young materially improves price-adjusted ticket quality.</x:v>
      </x:c>
      <x:c r="AB77" s="31" t="str">
        <x:v>Hillmon+Hamby subset lost on Hamby; Hillmon was the only winning WNBA real leg.</x:v>
      </x:c>
    </x:row>
    <x:row r="78">
      <x:c r="A78" s="79" t="str">
        <x:v>2026-08-28</x:v>
      </x:c>
      <x:c r="B78" s="31" t="str">
        <x:v>P28-040</x:v>
      </x:c>
      <x:c r="C78" s="31" t="str">
        <x:v>A28-R90;A28-R91</x:v>
      </x:c>
      <x:c r="D78" s="31" t="str">
        <x:v>PAPER</x:v>
      </x:c>
      <x:c r="E78" s="31" t="str">
        <x:v>Soccer</x:v>
      </x:c>
      <x:c r="F78" s="31" t="str">
        <x:v>2-game subset</x:v>
      </x:c>
      <x:c r="G78" s="31" t="str">
        <x:v>City + Bayern</x:v>
      </x:c>
      <x:c r="H78" s="31" t="str">
        <x:v>2-leg subset</x:v>
      </x:c>
      <x:c r="I78" s="31" t="str">
        <x:v>Man City ML + Bayern ML</x:v>
      </x:c>
      <x:c r="J78" s="80" t="str"/>
      <x:c r="K78" s="31" t="str">
        <x:v>HYBRID</x:v>
      </x:c>
      <x:c r="L78" s="31" t="str">
        <x:v>A</x:v>
      </x:c>
      <x:c r="M78" s="31" t="str">
        <x:v>Outcome-only subset of primary soccer card.</x:v>
      </x:c>
      <x:c r="N78" s="31" t="str">
        <x:v>N</x:v>
      </x:c>
      <x:c r="O78" s="31" t="str">
        <x:v>Win</x:v>
      </x:c>
      <x:c r="P78" s="31" t="n">
        <x:v>1</x:v>
      </x:c>
      <x:c r="Q78" s="33" t="str"/>
      <x:c r="R78" s="33" t="str"/>
      <x:c r="S78" s="31" t="str"/>
      <x:c r="T78" s="32" t="str"/>
      <x:c r="U78" s="31" t="str">
        <x:v>No fabricated combined odds. | FINAL: City ML W; Bayern ML W</x:v>
      </x:c>
      <x:c r="V78" s="31" t="str">
        <x:v>CONSTRUCTION_TEST</x:v>
      </x:c>
      <x:c r="W78" s="31" t="str">
        <x:v>EXP-09</x:v>
      </x:c>
      <x:c r="X78" s="31" t="str">
        <x:v>SOCCER 2-LEG CITY+BAYERN</x:v>
      </x:c>
      <x:c r="Y78" s="31" t="str">
        <x:v>A28-T02</x:v>
      </x:c>
      <x:c r="Z78" s="31" t="str">
        <x:v>Removing the weakest/most variant third leg may improve survival enough to justify lower payout.</x:v>
      </x:c>
      <x:c r="AA78" s="31" t="str">
        <x:v>Three-leg construction adds enough expected value to compensate.</x:v>
      </x:c>
      <x:c r="AB78" s="31" t="str">
        <x:v>City+Bayern 2-leg subset won; useful lower-variance benchmark.</x:v>
      </x:c>
    </x:row>
    <x:row r="79">
      <x:c r="A79" s="79" t="str">
        <x:v>2026-08-28</x:v>
      </x:c>
      <x:c r="B79" s="31" t="str">
        <x:v>P28-041</x:v>
      </x:c>
      <x:c r="C79" s="31" t="str">
        <x:v>A28-R90;A28-R92</x:v>
      </x:c>
      <x:c r="D79" s="31" t="str">
        <x:v>PAPER</x:v>
      </x:c>
      <x:c r="E79" s="31" t="str">
        <x:v>Soccer</x:v>
      </x:c>
      <x:c r="F79" s="31" t="str">
        <x:v>2-game subset</x:v>
      </x:c>
      <x:c r="G79" s="31" t="str">
        <x:v>City + Lille/PSG</x:v>
      </x:c>
      <x:c r="H79" s="31" t="str">
        <x:v>2-leg subset</x:v>
      </x:c>
      <x:c r="I79" s="31" t="str">
        <x:v>Man City ML + Lille/PSG BTTS</x:v>
      </x:c>
      <x:c r="J79" s="80" t="str"/>
      <x:c r="K79" s="31" t="str">
        <x:v>HYBRID</x:v>
      </x:c>
      <x:c r="L79" s="31" t="str">
        <x:v>A</x:v>
      </x:c>
      <x:c r="M79" s="31" t="str">
        <x:v>Outcome-only subset of primary soccer card.</x:v>
      </x:c>
      <x:c r="N79" s="31" t="str">
        <x:v>N</x:v>
      </x:c>
      <x:c r="O79" s="31" t="str">
        <x:v>Win</x:v>
      </x:c>
      <x:c r="P79" s="31" t="n">
        <x:v>1</x:v>
      </x:c>
      <x:c r="Q79" s="33" t="str"/>
      <x:c r="R79" s="33" t="str"/>
      <x:c r="S79" s="31" t="str"/>
      <x:c r="T79" s="32" t="str"/>
      <x:c r="U79" s="31" t="str">
        <x:v>No fabricated combined odds. | FINAL: City ML W; Lille/PSG BTTS W</x:v>
      </x:c>
      <x:c r="V79" s="31" t="str">
        <x:v>CONSTRUCTION_TEST</x:v>
      </x:c>
      <x:c r="W79" s="31" t="str">
        <x:v>EXP-09</x:v>
      </x:c>
      <x:c r="X79" s="31" t="str">
        <x:v>SOCCER 2-LEG CITY+BTTS</x:v>
      </x:c>
      <x:c r="Y79" s="31" t="str">
        <x:v>A28-T02</x:v>
      </x:c>
      <x:c r="Z79" s="31" t="str">
        <x:v>Compare two strong independently audited legs against the full 3-leg ticket.</x:v>
      </x:c>
      <x:c r="AA79" s="31" t="str">
        <x:v>Bayern heavy-favorite glue improves the three-leg ticket more than its extra failure risk.</x:v>
      </x:c>
      <x:c r="AB79" s="31" t="str">
        <x:v>City+BTTS 2-leg subset won.</x:v>
      </x:c>
    </x:row>
    <x:row r="80">
      <x:c r="A80" s="79" t="str">
        <x:v>2026-08-28</x:v>
      </x:c>
      <x:c r="B80" s="31" t="str">
        <x:v>P28-042</x:v>
      </x:c>
      <x:c r="C80" s="31" t="str">
        <x:v>A28-R91;A28-R92</x:v>
      </x:c>
      <x:c r="D80" s="31" t="str">
        <x:v>PAPER</x:v>
      </x:c>
      <x:c r="E80" s="31" t="str">
        <x:v>Soccer</x:v>
      </x:c>
      <x:c r="F80" s="31" t="str">
        <x:v>2-game subset</x:v>
      </x:c>
      <x:c r="G80" s="31" t="str">
        <x:v>Bayern + Lille/PSG</x:v>
      </x:c>
      <x:c r="H80" s="31" t="str">
        <x:v>2-leg subset</x:v>
      </x:c>
      <x:c r="I80" s="31" t="str">
        <x:v>Bayern ML + Lille/PSG BTTS</x:v>
      </x:c>
      <x:c r="J80" s="80" t="str"/>
      <x:c r="K80" s="31" t="str">
        <x:v>HYBRID</x:v>
      </x:c>
      <x:c r="L80" s="31" t="str">
        <x:v>A</x:v>
      </x:c>
      <x:c r="M80" s="31" t="str">
        <x:v>Outcome-only subset of primary soccer card.</x:v>
      </x:c>
      <x:c r="N80" s="31" t="str">
        <x:v>N</x:v>
      </x:c>
      <x:c r="O80" s="31" t="str">
        <x:v>Win</x:v>
      </x:c>
      <x:c r="P80" s="31" t="n">
        <x:v>1</x:v>
      </x:c>
      <x:c r="Q80" s="33" t="str"/>
      <x:c r="R80" s="33" t="str"/>
      <x:c r="S80" s="31" t="str"/>
      <x:c r="T80" s="32" t="str"/>
      <x:c r="U80" s="31" t="str">
        <x:v>No fabricated combined odds. | FINAL: Bayern ML W; Lille/PSG BTTS W</x:v>
      </x:c>
      <x:c r="V80" s="31" t="str">
        <x:v>CONSTRUCTION_TEST</x:v>
      </x:c>
      <x:c r="W80" s="31" t="str">
        <x:v>EXP-09</x:v>
      </x:c>
      <x:c r="X80" s="31" t="str">
        <x:v>SOCCER 2-LEG BAYERN+BTTS</x:v>
      </x:c>
      <x:c r="Y80" s="31" t="str">
        <x:v>A28-T02</x:v>
      </x:c>
      <x:c r="Z80" s="31" t="str">
        <x:v>Tests whether City ML is a necessary edge leg or simply another favorite multiplier.</x:v>
      </x:c>
      <x:c r="AA80" s="31" t="str">
        <x:v>City adds sufficient independent value to improve portfolio returns.</x:v>
      </x:c>
      <x:c r="AB80" s="31" t="str">
        <x:v>Bayern+BTTS 2-leg subset won.</x:v>
      </x:c>
    </x:row>
    <x:row r="81">
      <x:c r="A81" s="79" t="str">
        <x:v>2026-08-28</x:v>
      </x:c>
      <x:c r="B81" s="31" t="str">
        <x:v>P28-043</x:v>
      </x:c>
      <x:c r="C81" s="31" t="str">
        <x:v>A28-R94;A28-R95</x:v>
      </x:c>
      <x:c r="D81" s="31" t="str">
        <x:v>PAPER</x:v>
      </x:c>
      <x:c r="E81" s="31" t="str">
        <x:v>MLB</x:v>
      </x:c>
      <x:c r="F81" s="31" t="str">
        <x:v>COL @ ATL</x:v>
      </x:c>
      <x:c r="G81" s="31" t="str">
        <x:v>Olson + Sugano</x:v>
      </x:c>
      <x:c r="H81" s="31" t="str">
        <x:v>2-leg SGP core</x:v>
      </x:c>
      <x:c r="I81" s="31" t="str">
        <x:v>Olson 2+ TB + Sugano O5.5 hits allowed</x:v>
      </x:c>
      <x:c r="J81" s="80" t="n">
        <x:v>174</x:v>
      </x:c>
      <x:c r="K81" s="31" t="str">
        <x:v>HYBRID</x:v>
      </x:c>
      <x:c r="L81" s="31" t="str">
        <x:v>A</x:v>
      </x:c>
      <x:c r="M81" s="31" t="str">
        <x:v>Actual displayed 2-pick SGP core from the placed MLB ticket.</x:v>
      </x:c>
      <x:c r="N81" s="31" t="str">
        <x:v>N</x:v>
      </x:c>
      <x:c r="O81" s="31" t="str">
        <x:v>Loss</x:v>
      </x:c>
      <x:c r="P81" s="31" t="n">
        <x:v>0</x:v>
      </x:c>
      <x:c r="Q81" s="33" t="n">
        <x:v>0</x:v>
      </x:c>
      <x:c r="R81" s="33" t="n">
        <x:v>-1</x:v>
      </x:c>
      <x:c r="S81" s="31" t="str"/>
      <x:c r="T81" s="32" t="str"/>
      <x:c r="U81" s="31" t="str">
        <x:v>DK displayed the 2-pick SGP core at +174. | FINAL: Olson 2+ TB L; Sugano O5.5 HA W</x:v>
      </x:c>
      <x:c r="V81" s="31" t="str">
        <x:v>CONSTRUCTION_TEST</x:v>
      </x:c>
      <x:c r="W81" s="31" t="str">
        <x:v>EXP-09</x:v>
      </x:c>
      <x:c r="X81" s="31" t="str">
        <x:v>ATL SGP CORE ONLY</x:v>
      </x:c>
      <x:c r="Y81" s="31" t="str">
        <x:v>A28-T03</x:v>
      </x:c>
      <x:c r="Z81" s="31" t="str">
        <x:v>The coherent same-game core may provide better survival than adding even a qualified outside leg.</x:v>
      </x:c>
      <x:c r="AA81" s="31" t="str">
        <x:v>Cease's independent edge plus 50% promo more than compensates for third-leg risk.</x:v>
      </x:c>
      <x:c r="AB81" s="31" t="str">
        <x:v>ATL SGP core lost because Olson failed; team thesis correct, hitter concentration hurt robustness.</x:v>
      </x:c>
    </x:row>
    <x:row r="82">
      <x:c r="A82" s="79" t="str">
        <x:v>2026-08-28</x:v>
      </x:c>
      <x:c r="B82" s="31" t="str">
        <x:v>P28-044</x:v>
      </x:c>
      <x:c r="C82" s="31" t="str">
        <x:v>A28-R93;A28-R94</x:v>
      </x:c>
      <x:c r="D82" s="31" t="str">
        <x:v>PAPER</x:v>
      </x:c>
      <x:c r="E82" s="31" t="str">
        <x:v>MLB</x:v>
      </x:c>
      <x:c r="F82" s="31" t="str">
        <x:v>Cross-game subset</x:v>
      </x:c>
      <x:c r="G82" s="31" t="str">
        <x:v>Cease + Olson</x:v>
      </x:c>
      <x:c r="H82" s="31" t="str">
        <x:v>2-leg subset</x:v>
      </x:c>
      <x:c r="I82" s="31" t="str">
        <x:v>Cease O7.5 K + Olson 2+ TB</x:v>
      </x:c>
      <x:c r="J82" s="80" t="str"/>
      <x:c r="K82" s="31" t="str">
        <x:v>HYBRID</x:v>
      </x:c>
      <x:c r="L82" s="31" t="str">
        <x:v>A</x:v>
      </x:c>
      <x:c r="M82" s="31" t="str">
        <x:v>Outcome-only cross-game two-leg subset of actual SGPx.</x:v>
      </x:c>
      <x:c r="N82" s="31" t="str">
        <x:v>N</x:v>
      </x:c>
      <x:c r="O82" s="31" t="str">
        <x:v>Loss</x:v>
      </x:c>
      <x:c r="P82" s="31" t="n">
        <x:v>0</x:v>
      </x:c>
      <x:c r="Q82" s="33" t="str"/>
      <x:c r="R82" s="33" t="str"/>
      <x:c r="S82" s="31" t="str"/>
      <x:c r="T82" s="32" t="str"/>
      <x:c r="U82" s="31" t="str">
        <x:v>No fabricated combined odds. | FINAL: Cease W; Olson TB L</x:v>
      </x:c>
      <x:c r="V82" s="31" t="str">
        <x:v>CONSTRUCTION_TEST</x:v>
      </x:c>
      <x:c r="W82" s="31" t="str">
        <x:v>EXP-09</x:v>
      </x:c>
      <x:c r="X82" s="31" t="str">
        <x:v>MLB 2-LEG CEASE+OLSON</x:v>
      </x:c>
      <x:c r="Y82" s="31" t="str">
        <x:v>A28-T03</x:v>
      </x:c>
      <x:c r="Z82" s="31" t="str">
        <x:v>Two independent A-tier legs may be a better non-promo structure than a 3-leg SGPx.</x:v>
      </x:c>
      <x:c r="AA82" s="31" t="str">
        <x:v>The same-game core plus boost consistently adds enough value.</x:v>
      </x:c>
      <x:c r="AB82" s="31" t="str">
        <x:v>Cease+Olson subset lost on Olson.</x:v>
      </x:c>
    </x:row>
    <x:row r="83">
      <x:c r="A83" s="79" t="str">
        <x:v>2026-08-28</x:v>
      </x:c>
      <x:c r="B83" s="31" t="str">
        <x:v>P28-045</x:v>
      </x:c>
      <x:c r="C83" s="31" t="str">
        <x:v>A28-R93;A28-R95</x:v>
      </x:c>
      <x:c r="D83" s="31" t="str">
        <x:v>PAPER</x:v>
      </x:c>
      <x:c r="E83" s="31" t="str">
        <x:v>MLB</x:v>
      </x:c>
      <x:c r="F83" s="31" t="str">
        <x:v>Cross-game subset</x:v>
      </x:c>
      <x:c r="G83" s="31" t="str">
        <x:v>Cease + Sugano</x:v>
      </x:c>
      <x:c r="H83" s="31" t="str">
        <x:v>2-leg subset</x:v>
      </x:c>
      <x:c r="I83" s="31" t="str">
        <x:v>Cease O7.5 K + Sugano O5.5 hits allowed</x:v>
      </x:c>
      <x:c r="J83" s="80" t="str"/>
      <x:c r="K83" s="31" t="str">
        <x:v>HYBRID</x:v>
      </x:c>
      <x:c r="L83" s="31" t="str">
        <x:v>A</x:v>
      </x:c>
      <x:c r="M83" s="31" t="str">
        <x:v>Outcome-only cross-game two-leg subset of actual SGPx.</x:v>
      </x:c>
      <x:c r="N83" s="31" t="str">
        <x:v>N</x:v>
      </x:c>
      <x:c r="O83" s="31" t="str">
        <x:v>Win</x:v>
      </x:c>
      <x:c r="P83" s="31" t="n">
        <x:v>1</x:v>
      </x:c>
      <x:c r="Q83" s="33" t="str"/>
      <x:c r="R83" s="33" t="str"/>
      <x:c r="S83" s="31" t="str"/>
      <x:c r="T83" s="32" t="str"/>
      <x:c r="U83" s="31" t="str">
        <x:v>No fabricated combined odds. | FINAL: Cease W; Sugano HA W</x:v>
      </x:c>
      <x:c r="V83" s="31" t="str">
        <x:v>CONSTRUCTION_TEST</x:v>
      </x:c>
      <x:c r="W83" s="31" t="str">
        <x:v>EXP-09</x:v>
      </x:c>
      <x:c r="X83" s="31" t="str">
        <x:v>MLB 2-LEG CEASE+SUGANO</x:v>
      </x:c>
      <x:c r="Y83" s="31" t="str">
        <x:v>A28-T03</x:v>
      </x:c>
      <x:c r="Z83" s="31" t="str">
        <x:v>Tests whether Olson-specific dependence is necessary inside the promoted Atlanta thesis.</x:v>
      </x:c>
      <x:c r="AA83" s="31" t="str">
        <x:v>Olson TB materially improves the three-leg ticket enough to justify added hitter-specific variance.</x:v>
      </x:c>
      <x:c r="AB83" s="31" t="str">
        <x:v>Cease+Sugano 2-leg subset won — cleanest alternate MLB construction.</x:v>
      </x:c>
    </x:row>
    <x:row r="84">
      <x:c r="A84" s="79" t="str">
        <x:v>2026-08-29</x:v>
      </x:c>
      <x:c r="B84" s="31" t="str">
        <x:v>P29-001</x:v>
      </x:c>
      <x:c r="C84" s="31" t="str">
        <x:v>A29-R01;A29-D02</x:v>
      </x:c>
      <x:c r="D84" s="31" t="str">
        <x:v>PAPER</x:v>
      </x:c>
      <x:c r="E84" s="31" t="str">
        <x:v>CFB</x:v>
      </x:c>
      <x:c r="F84" s="31" t="str">
        <x:v>SJSU @ USC</x:v>
      </x:c>
      <x:c r="G84" s="31" t="str">
        <x:v>King Miller</x:v>
      </x:c>
      <x:c r="H84" s="31" t="str">
        <x:v>Rushing Yards</x:v>
      </x:c>
      <x:c r="I84" s="31" t="str">
        <x:v>Over 65.5 rushing yards</x:v>
      </x:c>
      <x:c r="J84" s="80" t="n">
        <x:v>-114</x:v>
      </x:c>
      <x:c r="K84" s="31" t="str">
        <x:v>HYBRID</x:v>
      </x:c>
      <x:c r="L84" s="31" t="str">
        <x:v>A</x:v>
      </x:c>
      <x:c r="M84" s="31" t="str">
        <x:v>User source plus independent confirmation; first CFB player-prop convergence test.</x:v>
      </x:c>
      <x:c r="N84" s="31" t="str">
        <x:v>N</x:v>
      </x:c>
      <x:c r="O84" s="31" t="str">
        <x:v>Loss</x:v>
      </x:c>
      <x:c r="P84" s="31" t="n">
        <x:v>0</x:v>
      </x:c>
      <x:c r="Q84" s="33" t="n">
        <x:v>63</x:v>
      </x:c>
      <x:c r="R84" s="33" t="str"/>
      <x:c r="S84" s="31" t="str"/>
      <x:c r="T84" s="32" t="str"/>
      <x:c r="U84" s="31" t="str">
        <x:v>King Miller finished with 63 rushing yards; source O65.5 lost.</x:v>
      </x:c>
      <x:c r="V84" s="31" t="str">
        <x:v>EXP-22</x:v>
      </x:c>
      <x:c r="W84" s="31" t="str">
        <x:v>USC BLOWOUT RB ARM</x:v>
      </x:c>
      <x:c r="X84" s="31" t="str"/>
      <x:c r="Y84" s="31" t="str">
        <x:v>Explosive efficiency plus likely limited Waymond Jordan workload can clear 65.5 before deep-reserve blowout carries reduce volume.</x:v>
      </x:c>
      <x:c r="Z84" s="31" t="str">
        <x:v>Miller sees fewer than ~9-10 carries or USC distributes early touches enough to strand him below the threshold.</x:v>
      </x:c>
      <x:c r="AA84" s="31" t="str"/>
      <x:c r="AB84" s="31" t="str">
        <x:v>Role thesis was directionally right, but the exact 65.5 threshold was too high.</x:v>
      </x:c>
    </x:row>
    <x:row r="85">
      <x:c r="A85" s="79" t="str">
        <x:v>2026-08-29</x:v>
      </x:c>
      <x:c r="B85" s="31" t="str">
        <x:v>P29-002</x:v>
      </x:c>
      <x:c r="C85" s="31" t="str">
        <x:v>A29-D01</x:v>
      </x:c>
      <x:c r="D85" s="31" t="str">
        <x:v>PAPER</x:v>
      </x:c>
      <x:c r="E85" s="31" t="str">
        <x:v>CFB</x:v>
      </x:c>
      <x:c r="F85" s="31" t="str">
        <x:v>UNC vs TCU</x:v>
      </x:c>
      <x:c r="G85" s="31" t="str">
        <x:v>Jordan Shipp</x:v>
      </x:c>
      <x:c r="H85" s="31" t="str">
        <x:v>Receiving Yards</x:v>
      </x:c>
      <x:c r="I85" s="31" t="str">
        <x:v>60+ receiving yards</x:v>
      </x:c>
      <x:c r="J85" s="80" t="n">
        <x:v>120</x:v>
      </x:c>
      <x:c r="K85" s="31" t="str">
        <x:v>DISCOVERED</x:v>
      </x:c>
      <x:c r="L85" s="31" t="str">
        <x:v>B+</x:v>
      </x:c>
      <x:c r="M85" s="31" t="str">
        <x:v>Independent Week 0 prop; OC Bobby Petrino usage/creativity thesis.</x:v>
      </x:c>
      <x:c r="N85" s="31" t="str">
        <x:v>N</x:v>
      </x:c>
      <x:c r="O85" s="31" t="str">
        <x:v>Pending</x:v>
      </x:c>
      <x:c r="P85" s="31" t="str"/>
      <x:c r="Q85" s="33" t="n">
        <x:v>0</x:v>
      </x:c>
      <x:c r="R85" s="33" t="str"/>
      <x:c r="S85" s="31" t="str"/>
      <x:c r="T85" s="32" t="str"/>
      <x:c r="U85" s="31" t="str">
        <x:v>HYPOTHESIS_TEST</x:v>
      </x:c>
      <x:c r="V85" s="31" t="str">
        <x:v>EXP-21</x:v>
      </x:c>
      <x:c r="W85" s="31" t="str">
        <x:v>CFB ROLE-CONTINUITY WR ARM</x:v>
      </x:c>
      <x:c r="X85" s="31" t="str"/>
      <x:c r="Y85" s="31" t="str">
        <x:v>Role continuity plus improved play-calling can outperform prior-year offense quality in Week 0 player props.</x:v>
      </x:c>
      <x:c r="Z85" s="31" t="str">
        <x:v>Target share does not materialize or TCU secondary suppresses Shipp below 60 despite normal passing volume.</x:v>
      </x:c>
      <x:c r="AA85" s="31" t="str"/>
      <x:c r="AB85" s="31" t="str"/>
    </x:row>
    <x:row r="86">
      <x:c r="A86" s="79" t="str">
        <x:v>2026-08-29</x:v>
      </x:c>
      <x:c r="B86" s="31" t="str">
        <x:v>P29-003</x:v>
      </x:c>
      <x:c r="C86" s="31" t="str">
        <x:v>A29-D03</x:v>
      </x:c>
      <x:c r="D86" s="31" t="str">
        <x:v>PAPER</x:v>
      </x:c>
      <x:c r="E86" s="31" t="str">
        <x:v>CFB</x:v>
      </x:c>
      <x:c r="F86" s="31" t="str">
        <x:v>Hawaii @ Stanford</x:v>
      </x:c>
      <x:c r="G86" s="31" t="str">
        <x:v>Micah Ford</x:v>
      </x:c>
      <x:c r="H86" s="31" t="str">
        <x:v>Rushing Yards</x:v>
      </x:c>
      <x:c r="I86" s="31" t="str">
        <x:v>100+ rushing yards</x:v>
      </x:c>
      <x:c r="J86" s="80" t="n">
        <x:v>158</x:v>
      </x:c>
      <x:c r="K86" s="31" t="str">
        <x:v>DISCOVERED</x:v>
      </x:c>
      <x:c r="L86" s="31" t="str">
        <x:v>B</x:v>
      </x:c>
      <x:c r="M86" s="31" t="str">
        <x:v>High-variance independent alternate rushing threshold.</x:v>
      </x:c>
      <x:c r="N86" s="31" t="str">
        <x:v>N</x:v>
      </x:c>
      <x:c r="O86" s="31" t="str">
        <x:v>Pending</x:v>
      </x:c>
      <x:c r="P86" s="31" t="str"/>
      <x:c r="Q86" s="33" t="n">
        <x:v>0</x:v>
      </x:c>
      <x:c r="R86" s="33" t="str"/>
      <x:c r="S86" s="31" t="str"/>
      <x:c r="T86" s="32" t="str"/>
      <x:c r="U86" s="31" t="str">
        <x:v>HYPOTHESIS_TEST</x:v>
      </x:c>
      <x:c r="V86" s="31" t="str">
        <x:v>EXP-21</x:v>
      </x:c>
      <x:c r="W86" s="31" t="str">
        <x:v>CFB OPPONENT-ATTRITION RB ARM</x:v>
      </x:c>
      <x:c r="X86" s="31" t="str"/>
      <x:c r="Y86" s="31" t="str">
        <x:v>Opponent front-seven attrition plus proven matchup fit creates upside beyond simple prior-year per-game averages.</x:v>
      </x:c>
      <x:c r="Z86" s="31" t="str">
        <x:v>Stanford abandons the run or Hawaii replacement front dominates enough to keep Ford below 100.</x:v>
      </x:c>
      <x:c r="AA86" s="31" t="str"/>
      <x:c r="AB86" s="31" t="str"/>
    </x:row>
    <x:row r="87">
      <x:c r="A87" s="79" t="str">
        <x:v>2026-08-29</x:v>
      </x:c>
      <x:c r="B87" s="31" t="str">
        <x:v>P29-004</x:v>
      </x:c>
      <x:c r="C87" s="31" t="str">
        <x:v>A29-R02</x:v>
      </x:c>
      <x:c r="D87" s="31" t="str">
        <x:v>PAPER</x:v>
      </x:c>
      <x:c r="E87" s="31" t="str">
        <x:v>MLB</x:v>
      </x:c>
      <x:c r="F87" s="31" t="str">
        <x:v>BOS @ NYY G1</x:v>
      </x:c>
      <x:c r="G87" s="31" t="str">
        <x:v>Jake Bennett</x:v>
      </x:c>
      <x:c r="H87" s="31" t="str">
        <x:v>Pitcher Outs</x:v>
      </x:c>
      <x:c r="I87" s="31" t="str">
        <x:v>Over 16.5 outs</x:v>
      </x:c>
      <x:c r="J87" s="80" t="str"/>
      <x:c r="K87" s="31" t="str">
        <x:v>SOURCED</x:v>
      </x:c>
      <x:c r="L87" s="31" t="str">
        <x:v>A-</x:v>
      </x:c>
      <x:c r="M87" s="31" t="str">
        <x:v>Strong workload/length source candidate with independent support.</x:v>
      </x:c>
      <x:c r="N87" s="31" t="str">
        <x:v>N</x:v>
      </x:c>
      <x:c r="O87" s="31" t="str">
        <x:v>Pending</x:v>
      </x:c>
      <x:c r="P87" s="31" t="str"/>
      <x:c r="Q87" s="33" t="str"/>
      <x:c r="R87" s="33" t="str"/>
      <x:c r="S87" s="31" t="str"/>
      <x:c r="T87" s="32" t="str"/>
      <x:c r="U87" s="31" t="str">
        <x:v>HYPOTHESIS_TEST</x:v>
      </x:c>
      <x:c r="V87" s="31" t="str">
        <x:v>EXP-01</x:v>
      </x:c>
      <x:c r="W87" s="31" t="str">
        <x:v>BENNETT OUTS-OVER ARM</x:v>
      </x:c>
      <x:c r="X87" s="31" t="str"/>
      <x:c r="Y87" s="31" t="str">
        <x:v>Stable starter length plus weakened Yankees lineup should make 17+ outs a better expression than chasing Ks.</x:v>
      </x:c>
      <x:c r="Z87" s="31" t="str">
        <x:v>Inefficiency/traffic or an early hook prevents him finishing the sixth.</x:v>
      </x:c>
      <x:c r="AA87" s="31" t="str"/>
      <x:c r="AB87" s="31" t="str"/>
    </x:row>
    <x:row r="88">
      <x:c r="A88" s="79" t="str">
        <x:v>2026-08-29</x:v>
      </x:c>
      <x:c r="B88" s="31" t="str">
        <x:v>P29-005</x:v>
      </x:c>
      <x:c r="C88" s="31" t="str">
        <x:v>A29-R03</x:v>
      </x:c>
      <x:c r="D88" s="31" t="str">
        <x:v>PAPER</x:v>
      </x:c>
      <x:c r="E88" s="31" t="str">
        <x:v>MLB</x:v>
      </x:c>
      <x:c r="F88" s="31" t="str">
        <x:v>SD @ TB</x:v>
      </x:c>
      <x:c r="G88" s="31" t="str">
        <x:v>Junior Caminero</x:v>
      </x:c>
      <x:c r="H88" s="31" t="str">
        <x:v>H+R+RBI</x:v>
      </x:c>
      <x:c r="I88" s="31" t="str">
        <x:v>Over 1.5 H+R+RBI</x:v>
      </x:c>
      <x:c r="J88" s="80" t="str"/>
      <x:c r="K88" s="31" t="str">
        <x:v>SOURCED</x:v>
      </x:c>
      <x:c r="L88" s="31" t="str">
        <x:v>A-</x:v>
      </x:c>
      <x:c r="M88" s="31" t="str">
        <x:v>Broad hitter composite aligns with our preferred HRR testing.</x:v>
      </x:c>
      <x:c r="N88" s="31" t="str">
        <x:v>N</x:v>
      </x:c>
      <x:c r="O88" s="31" t="str">
        <x:v>Pending</x:v>
      </x:c>
      <x:c r="P88" s="31" t="str"/>
      <x:c r="Q88" s="33" t="str"/>
      <x:c r="R88" s="33" t="str"/>
      <x:c r="S88" s="31" t="str"/>
      <x:c r="T88" s="32" t="str"/>
      <x:c r="U88" s="31" t="str">
        <x:v>ALT_MARKET_TEST</x:v>
      </x:c>
      <x:c r="V88" s="31" t="str">
        <x:v>EXP-03</x:v>
      </x:c>
      <x:c r="W88" s="31" t="str">
        <x:v>CAMINERO HRR ARM</x:v>
      </x:c>
      <x:c r="X88" s="31" t="str"/>
      <x:c r="Y88" s="31" t="str">
        <x:v>A broad power/run-production edge should monetize more reliably through 2+ HRR than an isolated HR/TB event.</x:v>
      </x:c>
      <x:c r="Z88" s="31" t="str">
        <x:v>Caminero gets limited plate appearances or Rays offense fails to create run/RBI conversion.</x:v>
      </x:c>
      <x:c r="AA88" s="31" t="str"/>
      <x:c r="AB88" s="31" t="str"/>
    </x:row>
    <x:row r="89">
      <x:c r="A89" s="79" t="str">
        <x:v>2026-08-29</x:v>
      </x:c>
      <x:c r="B89" s="31" t="str">
        <x:v>P29-006</x:v>
      </x:c>
      <x:c r="C89" s="31" t="str">
        <x:v>A29-R04</x:v>
      </x:c>
      <x:c r="D89" s="31" t="str">
        <x:v>PAPER</x:v>
      </x:c>
      <x:c r="E89" s="31" t="str">
        <x:v>WNBA</x:v>
      </x:c>
      <x:c r="F89" s="31" t="str">
        <x:v>TOR @ PHX</x:v>
      </x:c>
      <x:c r="G89" s="31" t="str">
        <x:v>Alyssa Thomas</x:v>
      </x:c>
      <x:c r="H89" s="31" t="str">
        <x:v>Points + Rebounds</x:v>
      </x:c>
      <x:c r="I89" s="31" t="str">
        <x:v>Over 22.5 P+R</x:v>
      </x:c>
      <x:c r="J89" s="80" t="str"/>
      <x:c r="K89" s="31" t="str">
        <x:v>SOURCED</x:v>
      </x:c>
      <x:c r="L89" s="31" t="str">
        <x:v>B</x:v>
      </x:c>
      <x:c r="M89" s="31" t="str">
        <x:v>Source composite sits almost exactly on Thomas' season P+R average.</x:v>
      </x:c>
      <x:c r="N89" s="31" t="str">
        <x:v>N</x:v>
      </x:c>
      <x:c r="O89" s="31" t="str">
        <x:v>Pending</x:v>
      </x:c>
      <x:c r="P89" s="31" t="str"/>
      <x:c r="Q89" s="33" t="str"/>
      <x:c r="R89" s="33" t="str"/>
      <x:c r="S89" s="31" t="str"/>
      <x:c r="T89" s="32" t="str"/>
      <x:c r="U89" s="31" t="str">
        <x:v>ALT_MARKET_TEST</x:v>
      </x:c>
      <x:c r="V89" s="31" t="str">
        <x:v>EXP-14</x:v>
      </x:c>
      <x:c r="W89" s="31" t="str">
        <x:v>THOMAS P+R ARM</x:v>
      </x:c>
      <x:c r="X89" s="31" t="str"/>
      <x:c r="Y89" s="31" t="str">
        <x:v>Opponent weakness and extra usage can push Thomas' P+R above average even though assists remain her most stable component.</x:v>
      </x:c>
      <x:c r="Z89" s="31" t="str">
        <x:v>Thomas again produces value mainly through assists and stays below 23 P+R.</x:v>
      </x:c>
      <x:c r="AA89" s="31" t="str"/>
      <x:c r="AB89" s="31" t="str"/>
    </x:row>
    <x:row r="90">
      <x:c r="A90" s="79" t="str">
        <x:v>2026-08-29</x:v>
      </x:c>
      <x:c r="B90" s="31" t="str">
        <x:v>P29-007</x:v>
      </x:c>
      <x:c r="C90" s="31" t="str">
        <x:v>A29-R05</x:v>
      </x:c>
      <x:c r="D90" s="31" t="str">
        <x:v>PAPER</x:v>
      </x:c>
      <x:c r="E90" s="31" t="str">
        <x:v>Soccer</x:v>
      </x:c>
      <x:c r="F90" s="31" t="str">
        <x:v>Multi-match</x:v>
      </x:c>
      <x:c r="G90" s="31" t="str">
        <x:v>Dortmund/Juventus/EVE-BOU/TOT-NEW</x:v>
      </x:c>
      <x:c r="H90" s="31" t="str">
        <x:v>5-leg source parlay</x:v>
      </x:c>
      <x:c r="I90" s="31" t="str">
        <x:v>Dortmund 2+ TG + Juventus 2+ TG + EVE/BOU O1.5 + TOT/NEW O2.5 + BTTS</x:v>
      </x:c>
      <x:c r="J90" s="80" t="n">
        <x:v>397</x:v>
      </x:c>
      <x:c r="K90" s="31" t="str">
        <x:v>SOURCED</x:v>
      </x:c>
      <x:c r="L90" s="31" t="str">
        <x:v>B</x:v>
      </x:c>
      <x:c r="M90" s="31" t="str">
        <x:v>Preserve original Harry Lock Picks card intact.</x:v>
      </x:c>
      <x:c r="N90" s="31" t="str">
        <x:v>N</x:v>
      </x:c>
      <x:c r="O90" s="31" t="str">
        <x:v>Loss</x:v>
      </x:c>
      <x:c r="P90" s="31" t="n">
        <x:v>0</x:v>
      </x:c>
      <x:c r="Q90" s="33" t="str"/>
      <x:c r="R90" s="33" t="str"/>
      <x:c r="S90" s="31" t="str"/>
      <x:c r="T90" s="32" t="str"/>
      <x:c r="U90" s="31" t="str">
        <x:v>Source 5-leg is dead because Tottenham/Newcastle O2.5 lost (0-2).</x:v>
      </x:c>
      <x:c r="V90" s="31" t="str">
        <x:v>EXP-08</x:v>
      </x:c>
      <x:c r="W90" s="31" t="str">
        <x:v>SOURCE SOCCER 5-LEG CONTROL</x:v>
      </x:c>
      <x:c r="X90" s="31" t="str"/>
      <x:c r="Y90" s="31" t="str">
        <x:v>A researched multi-leg source card may outperform ad-hoc soccer parlays if each leg independently qualifies.</x:v>
      </x:c>
      <x:c r="Z90" s="31" t="str">
        <x:v>One or more heavily juiced glue legs fail often enough to erase the perceived safety.</x:v>
      </x:c>
      <x:c r="AA90" s="31" t="str"/>
      <x:c r="AB90" s="31" t="str">
        <x:v>Intact source card lost even though Dortmund 2+ goals and BOU/EVE O1.5 both won; construction multiplied a weak total leg.</x:v>
      </x:c>
    </x:row>
    <x:row r="91">
      <x:c r="A91" s="79" t="str">
        <x:v>2026-08-29</x:v>
      </x:c>
      <x:c r="B91" s="31" t="str">
        <x:v>P29-008</x:v>
      </x:c>
      <x:c r="C91" s="31" t="str">
        <x:v>A29-R06</x:v>
      </x:c>
      <x:c r="D91" s="31" t="str">
        <x:v>PAPER</x:v>
      </x:c>
      <x:c r="E91" s="31" t="str">
        <x:v>Soccer</x:v>
      </x:c>
      <x:c r="F91" s="31" t="str">
        <x:v>Dortmund vs Hamburg</x:v>
      </x:c>
      <x:c r="G91" s="31" t="str">
        <x:v>Borussia Dortmund</x:v>
      </x:c>
      <x:c r="H91" s="31" t="str">
        <x:v>Team Total Goals</x:v>
      </x:c>
      <x:c r="I91" s="31" t="str">
        <x:v>Over 1.5 team goals</x:v>
      </x:c>
      <x:c r="J91" s="80" t="str"/>
      <x:c r="K91" s="31" t="str">
        <x:v>SOURCED</x:v>
      </x:c>
      <x:c r="L91" s="31" t="str">
        <x:v>A-</x:v>
      </x:c>
      <x:c r="M91" s="31" t="str">
        <x:v>Strongest individual source leg from 5-leg card.</x:v>
      </x:c>
      <x:c r="N91" s="31" t="str">
        <x:v>N</x:v>
      </x:c>
      <x:c r="O91" s="31" t="str">
        <x:v>Win</x:v>
      </x:c>
      <x:c r="P91" s="31" t="n">
        <x:v>1</x:v>
      </x:c>
      <x:c r="Q91" s="33" t="n">
        <x:v>2</x:v>
      </x:c>
      <x:c r="R91" s="33" t="str"/>
      <x:c r="S91" s="31" t="str"/>
      <x:c r="T91" s="32" t="str"/>
      <x:c r="U91" s="31" t="str">
        <x:v>Dortmund beat Hamburg 2-0; 2+ team goals cleared.</x:v>
      </x:c>
      <x:c r="V91" s="31" t="str">
        <x:v>EXP-20</x:v>
      </x:c>
      <x:c r="W91" s="31" t="str">
        <x:v>DORTMUND 2+ GOALS SHADOW</x:v>
      </x:c>
      <x:c r="X91" s="31" t="str">
        <x:v>P29-007</x:v>
      </x:c>
      <x:c r="Y91" s="31" t="str">
        <x:v>If this is a genuinely strong leg, it should grade well outside the 5-leg package.</x:v>
      </x:c>
      <x:c r="Z91" s="31" t="str">
        <x:v>Dortmund fails to create enough high-quality chances despite favorite status.</x:v>
      </x:c>
      <x:c r="AA91" s="31" t="str"/>
      <x:c r="AB91" s="31" t="str">
        <x:v>Original scoring expression beat our corners conversion.</x:v>
      </x:c>
    </x:row>
    <x:row r="92">
      <x:c r="A92" s="79" t="str">
        <x:v>2026-08-29</x:v>
      </x:c>
      <x:c r="B92" s="31" t="str">
        <x:v>P29-009</x:v>
      </x:c>
      <x:c r="C92" s="31" t="str">
        <x:v>A29-R07</x:v>
      </x:c>
      <x:c r="D92" s="31" t="str">
        <x:v>PAPER</x:v>
      </x:c>
      <x:c r="E92" s="31" t="str">
        <x:v>Soccer</x:v>
      </x:c>
      <x:c r="F92" s="31" t="str">
        <x:v>Juventus vs Parma</x:v>
      </x:c>
      <x:c r="G92" s="31" t="str">
        <x:v>Juventus</x:v>
      </x:c>
      <x:c r="H92" s="31" t="str">
        <x:v>Team Total Goals</x:v>
      </x:c>
      <x:c r="I92" s="31" t="str">
        <x:v>Over 1.5 team goals</x:v>
      </x:c>
      <x:c r="J92" s="80" t="str"/>
      <x:c r="K92" s="31" t="str">
        <x:v>SOURCED</x:v>
      </x:c>
      <x:c r="L92" s="31" t="str">
        <x:v>B</x:v>
      </x:c>
      <x:c r="M92" s="31" t="str">
        <x:v>Source leg retained separately.</x:v>
      </x:c>
      <x:c r="N92" s="31" t="str">
        <x:v>N</x:v>
      </x:c>
      <x:c r="O92" s="31" t="str">
        <x:v>Pending</x:v>
      </x:c>
      <x:c r="P92" s="31" t="str"/>
      <x:c r="Q92" s="33" t="str"/>
      <x:c r="R92" s="33" t="str"/>
      <x:c r="S92" s="31" t="str"/>
      <x:c r="T92" s="32" t="str"/>
      <x:c r="U92" s="31" t="str">
        <x:v>SINGLE_VS_PARLAY</x:v>
      </x:c>
      <x:c r="V92" s="31" t="str">
        <x:v>EXP-20</x:v>
      </x:c>
      <x:c r="W92" s="31" t="str">
        <x:v>JUVENTUS 2+ GOALS SHADOW</x:v>
      </x:c>
      <x:c r="X92" s="31" t="str">
        <x:v>P29-007</x:v>
      </x:c>
      <x:c r="Y92" s="31" t="str">
        <x:v>Juventus quality advantage should support 2+ goals at home if attacking XI is intact.</x:v>
      </x:c>
      <x:c r="Z92" s="31" t="str">
        <x:v>Parma suppresses chances or Juventus wins a low-scoring match.</x:v>
      </x:c>
      <x:c r="AA92" s="31" t="str"/>
      <x:c r="AB92" s="31" t="str"/>
    </x:row>
    <x:row r="93">
      <x:c r="A93" s="79" t="str">
        <x:v>2026-08-29</x:v>
      </x:c>
      <x:c r="B93" s="31" t="str">
        <x:v>P29-010</x:v>
      </x:c>
      <x:c r="C93" s="31" t="str">
        <x:v>A29-R08</x:v>
      </x:c>
      <x:c r="D93" s="31" t="str">
        <x:v>PAPER</x:v>
      </x:c>
      <x:c r="E93" s="31" t="str">
        <x:v>Soccer</x:v>
      </x:c>
      <x:c r="F93" s="31" t="str">
        <x:v>Bournemouth vs Everton</x:v>
      </x:c>
      <x:c r="G93" s="31" t="str">
        <x:v>Bournemouth/Everton</x:v>
      </x:c>
      <x:c r="H93" s="31" t="str">
        <x:v>Game Total Goals</x:v>
      </x:c>
      <x:c r="I93" s="31" t="str">
        <x:v>Over 1.5 total goals</x:v>
      </x:c>
      <x:c r="J93" s="80" t="n">
        <x:v>-380</x:v>
      </x:c>
      <x:c r="K93" s="31" t="str">
        <x:v>SOURCED</x:v>
      </x:c>
      <x:c r="L93" s="31" t="str">
        <x:v>WATCH</x:v>
      </x:c>
      <x:c r="M93" s="31" t="str">
        <x:v>Very low source threshold but independent previews lean cagey/under 2.5.</x:v>
      </x:c>
      <x:c r="N93" s="31" t="str">
        <x:v>N</x:v>
      </x:c>
      <x:c r="O93" s="31" t="str">
        <x:v>Win</x:v>
      </x:c>
      <x:c r="P93" s="31" t="n">
        <x:v>1</x:v>
      </x:c>
      <x:c r="Q93" s="33" t="n">
        <x:v>2</x:v>
      </x:c>
      <x:c r="R93" s="33" t="str"/>
      <x:c r="S93" s="31" t="str"/>
      <x:c r="T93" s="32" t="str"/>
      <x:c r="U93" s="31" t="str">
        <x:v>Bournemouth/Everton finished 1-1; O1.5 cleared exactly.</x:v>
      </x:c>
      <x:c r="V93" s="31" t="str">
        <x:v>EXP-06</x:v>
      </x:c>
      <x:c r="W93" s="31" t="str">
        <x:v>SOCCER LOW-TOTAL GLUE ARM</x:v>
      </x:c>
      <x:c r="X93" s="31" t="str">
        <x:v>P29-007</x:v>
      </x:c>
      <x:c r="Y93" s="31" t="str">
        <x:v>O1.5 can survive a low-scoring thesis while still offering parlay utility.</x:v>
      </x:c>
      <x:c r="Z93" s="31" t="str">
        <x:v>A 0-0/1-0 result exposes that very short totals still add nontrivial failure risk.</x:v>
      </x:c>
      <x:c r="AA93" s="31" t="str"/>
      <x:c r="AB93" s="31" t="str">
        <x:v>Very low goal threshold worked as a stabilizer, but payout compression still needs price-adjusted testing.</x:v>
      </x:c>
    </x:row>
    <x:row r="94">
      <x:c r="A94" s="79" t="str">
        <x:v>2026-08-29</x:v>
      </x:c>
      <x:c r="B94" s="31" t="str">
        <x:v>P29-011</x:v>
      </x:c>
      <x:c r="C94" s="31" t="str">
        <x:v>A29-R09</x:v>
      </x:c>
      <x:c r="D94" s="31" t="str">
        <x:v>PAPER</x:v>
      </x:c>
      <x:c r="E94" s="31" t="str">
        <x:v>Soccer</x:v>
      </x:c>
      <x:c r="F94" s="31" t="str">
        <x:v>Tottenham vs Newcastle</x:v>
      </x:c>
      <x:c r="G94" s="31" t="str">
        <x:v>Tottenham/Newcastle</x:v>
      </x:c>
      <x:c r="H94" s="31" t="str">
        <x:v>Game Total Goals</x:v>
      </x:c>
      <x:c r="I94" s="31" t="str">
        <x:v>Over 2.5 total goals</x:v>
      </x:c>
      <x:c r="J94" s="80" t="n">
        <x:v>-165</x:v>
      </x:c>
      <x:c r="K94" s="31" t="str">
        <x:v>HYBRID</x:v>
      </x:c>
      <x:c r="L94" s="31" t="str">
        <x:v>A-</x:v>
      </x:c>
      <x:c r="M94" s="31" t="str">
        <x:v>Source leg has independent support and recent high-scoring matchup history.</x:v>
      </x:c>
      <x:c r="N94" s="31" t="str">
        <x:v>N</x:v>
      </x:c>
      <x:c r="O94" s="31" t="str">
        <x:v>Loss</x:v>
      </x:c>
      <x:c r="P94" s="31" t="n">
        <x:v>0</x:v>
      </x:c>
      <x:c r="Q94" s="33" t="n">
        <x:v>2</x:v>
      </x:c>
      <x:c r="R94" s="33" t="str"/>
      <x:c r="S94" s="31" t="str"/>
      <x:c r="T94" s="32" t="str"/>
      <x:c r="U94" s="31" t="str">
        <x:v>Tottenham/Newcastle finished 0-2; O2.5 missed by one goal.</x:v>
      </x:c>
      <x:c r="V94" s="31" t="str">
        <x:v>EXP-20</x:v>
      </x:c>
      <x:c r="W94" s="31" t="str">
        <x:v>TOT-NEW O2.5 SHADOW</x:v>
      </x:c>
      <x:c r="X94" s="31" t="str">
        <x:v>P29-007</x:v>
      </x:c>
      <x:c r="Y94" s="31" t="str">
        <x:v>Open game states and both attacks should create 3+ goals.</x:v>
      </x:c>
      <x:c r="Z94" s="31" t="str">
        <x:v>One side controls tempo and suppresses transition volume.</x:v>
      </x:c>
      <x:c r="AA94" s="31" t="str"/>
      <x:c r="AB94" s="31" t="str">
        <x:v>Open-game thesis did not create enough scoring; threshold mattered.</x:v>
      </x:c>
    </x:row>
    <x:row r="95">
      <x:c r="A95" s="79" t="str">
        <x:v>2026-08-29</x:v>
      </x:c>
      <x:c r="B95" s="31" t="str">
        <x:v>P29-012</x:v>
      </x:c>
      <x:c r="C95" s="31" t="str">
        <x:v>A29-R10</x:v>
      </x:c>
      <x:c r="D95" s="31" t="str">
        <x:v>PAPER</x:v>
      </x:c>
      <x:c r="E95" s="31" t="str">
        <x:v>Soccer</x:v>
      </x:c>
      <x:c r="F95" s="31" t="str">
        <x:v>Tottenham vs Newcastle</x:v>
      </x:c>
      <x:c r="G95" s="31" t="str">
        <x:v>Tottenham/Newcastle</x:v>
      </x:c>
      <x:c r="H95" s="31" t="str">
        <x:v>BTTS</x:v>
      </x:c>
      <x:c r="I95" s="31" t="str">
        <x:v>BTTS Yes</x:v>
      </x:c>
      <x:c r="J95" s="80" t="str"/>
      <x:c r="K95" s="31" t="str">
        <x:v>HYBRID</x:v>
      </x:c>
      <x:c r="L95" s="31" t="str">
        <x:v>B+</x:v>
      </x:c>
      <x:c r="M95" s="31" t="str">
        <x:v>Correlated source SGP leg tracked separately from O2.5.</x:v>
      </x:c>
      <x:c r="N95" s="31" t="str">
        <x:v>N</x:v>
      </x:c>
      <x:c r="O95" s="31" t="str">
        <x:v>Pending</x:v>
      </x:c>
      <x:c r="P95" s="31" t="str"/>
      <x:c r="Q95" s="33" t="str"/>
      <x:c r="R95" s="33" t="str"/>
      <x:c r="S95" s="31" t="str"/>
      <x:c r="T95" s="32" t="str"/>
      <x:c r="U95" s="31" t="str">
        <x:v>ALT_MARKET_TEST</x:v>
      </x:c>
      <x:c r="V95" s="31" t="str">
        <x:v>EXP-09</x:v>
      </x:c>
      <x:c r="W95" s="31" t="str">
        <x:v>TOT-NEW BTTS ARM</x:v>
      </x:c>
      <x:c r="X95" s="31" t="str">
        <x:v>P29-011</x:v>
      </x:c>
      <x:c r="Y95" s="31" t="str">
        <x:v>If both offenses are genuinely live, BTTS may be a cleaner script expression than simply O2.5.</x:v>
      </x:c>
      <x:c r="Z95" s="31" t="str">
        <x:v>A 3-0/0-3 style result makes O2.5 superior despite the same high-scoring thesis.</x:v>
      </x:c>
      <x:c r="AA95" s="31" t="str"/>
      <x:c r="AB95" s="31" t="str"/>
    </x:row>
    <x:row r="96">
      <x:c r="A96" s="79" t="str">
        <x:v>2026-08-29</x:v>
      </x:c>
      <x:c r="B96" s="31" t="str">
        <x:v>P29-013</x:v>
      </x:c>
      <x:c r="C96" s="31" t="str">
        <x:v>A29-R11</x:v>
      </x:c>
      <x:c r="D96" s="31" t="str">
        <x:v>PAPER</x:v>
      </x:c>
      <x:c r="E96" s="31" t="str">
        <x:v>MLB</x:v>
      </x:c>
      <x:c r="F96" s="31" t="str">
        <x:v>Cross-game</x:v>
      </x:c>
      <x:c r="G96" s="31" t="str">
        <x:v>Elly + Albies + Vargas</x:v>
      </x:c>
      <x:c r="H96" s="31" t="str">
        <x:v>3-leg 1+ Hit Parlay</x:v>
      </x:c>
      <x:c r="I96" s="31" t="str">
        <x:v>Elly 1+ H + Albies 1+ H + Vargas 1+ H</x:v>
      </x:c>
      <x:c r="J96" s="80" t="n">
        <x:v>206</x:v>
      </x:c>
      <x:c r="K96" s="31" t="str">
        <x:v>SOURCED</x:v>
      </x:c>
      <x:c r="L96" s="31" t="str">
        <x:v>B</x:v>
      </x:c>
      <x:c r="M96" s="31" t="str">
        <x:v>Preserve source hit-parlay intact before filtering.</x:v>
      </x:c>
      <x:c r="N96" s="31" t="str">
        <x:v>N</x:v>
      </x:c>
      <x:c r="O96" s="31" t="str">
        <x:v>Pending</x:v>
      </x:c>
      <x:c r="P96" s="31" t="str"/>
      <x:c r="Q96" s="33" t="n">
        <x:v>0</x:v>
      </x:c>
      <x:c r="R96" s="33" t="str"/>
      <x:c r="S96" s="31" t="str"/>
      <x:c r="T96" s="32" t="str"/>
      <x:c r="U96" s="31" t="str">
        <x:v>CONSTRUCTION_TEST</x:v>
      </x:c>
      <x:c r="V96" s="31" t="str">
        <x:v>EXP-08</x:v>
      </x:c>
      <x:c r="W96" s="31" t="str">
        <x:v>EXPENSIVE 1+ HIT PARLAY CONTROL</x:v>
      </x:c>
      <x:c r="X96" s="31" t="str"/>
      <x:c r="Y96" s="31" t="str">
        <x:v>Three high-probability hit legs may still be poor price-adjusted construction because each adds failure risk.</x:v>
      </x:c>
      <x:c r="Z96" s="31" t="str">
        <x:v>The combined hit rate and payout outperform using the best single leg alone.</x:v>
      </x:c>
      <x:c r="AA96" s="31" t="str"/>
      <x:c r="AB96" s="31" t="str"/>
    </x:row>
    <x:row r="97">
      <x:c r="A97" s="79" t="str">
        <x:v>2026-08-29</x:v>
      </x:c>
      <x:c r="B97" s="31" t="str">
        <x:v>P29-014</x:v>
      </x:c>
      <x:c r="C97" s="31" t="str">
        <x:v>A29-R12</x:v>
      </x:c>
      <x:c r="D97" s="31" t="str">
        <x:v>PAPER</x:v>
      </x:c>
      <x:c r="E97" s="31" t="str">
        <x:v>MLB</x:v>
      </x:c>
      <x:c r="F97" s="31" t="str">
        <x:v>CIN @ CHC</x:v>
      </x:c>
      <x:c r="G97" s="31" t="str">
        <x:v>Elly De La Cruz</x:v>
      </x:c>
      <x:c r="H97" s="31" t="str">
        <x:v>1+ Hit</x:v>
      </x:c>
      <x:c r="I97" s="31" t="str">
        <x:v>1+ hit</x:v>
      </x:c>
      <x:c r="J97" s="80" t="n">
        <x:v>-195</x:v>
      </x:c>
      <x:c r="K97" s="31" t="str">
        <x:v>SOURCED</x:v>
      </x:c>
      <x:c r="L97" s="31" t="str">
        <x:v>B</x:v>
      </x:c>
      <x:c r="M97" s="31" t="str">
        <x:v>Source hit-glue leg tracked as a standalone single.</x:v>
      </x:c>
      <x:c r="N97" s="31" t="str">
        <x:v>N</x:v>
      </x:c>
      <x:c r="O97" s="31" t="str">
        <x:v>Pending</x:v>
      </x:c>
      <x:c r="P97" s="31" t="str"/>
      <x:c r="Q97" s="33" t="str"/>
      <x:c r="R97" s="33" t="str"/>
      <x:c r="S97" s="31" t="str"/>
      <x:c r="T97" s="32" t="str"/>
      <x:c r="U97" s="31" t="str">
        <x:v>Exact Elly 1+ hit outcome not verified in this settlement pass.</x:v>
      </x:c>
      <x:c r="V97" s="31" t="str">
        <x:v>EXP-20</x:v>
      </x:c>
      <x:c r="W97" s="31" t="str">
        <x:v>ELLY HIT SHADOW</x:v>
      </x:c>
      <x:c r="X97" s="31" t="str">
        <x:v>P29-013</x:v>
      </x:c>
      <x:c r="Y97" s="31" t="str">
        <x:v>If source hit glue is truly strong, the standalone single should retain positive utility outside the parlay.</x:v>
      </x:c>
      <x:c r="Z97" s="31" t="str">
        <x:v>Platoon/matchup suppresses contact and the recent 3-hit result proves non-predictive.</x:v>
      </x:c>
      <x:c r="AA97" s="31" t="str"/>
      <x:c r="AB97" s="31" t="str">
        <x:v>Do not infer until verified.</x:v>
      </x:c>
    </x:row>
    <x:row r="98">
      <x:c r="A98" s="79" t="str">
        <x:v>2026-08-29</x:v>
      </x:c>
      <x:c r="B98" s="31" t="str">
        <x:v>P29-015</x:v>
      </x:c>
      <x:c r="C98" s="31" t="str">
        <x:v>A29-R13</x:v>
      </x:c>
      <x:c r="D98" s="31" t="str">
        <x:v>PAPER</x:v>
      </x:c>
      <x:c r="E98" s="31" t="str">
        <x:v>MLB</x:v>
      </x:c>
      <x:c r="F98" s="31" t="str">
        <x:v>COL @ ATL</x:v>
      </x:c>
      <x:c r="G98" s="31" t="str">
        <x:v>Ozzie Albies</x:v>
      </x:c>
      <x:c r="H98" s="31" t="str">
        <x:v>1+ Hit</x:v>
      </x:c>
      <x:c r="I98" s="31" t="str">
        <x:v>1+ hit</x:v>
      </x:c>
      <x:c r="J98" s="80" t="n">
        <x:v>-250</x:v>
      </x:c>
      <x:c r="K98" s="31" t="str">
        <x:v>SOURCED</x:v>
      </x:c>
      <x:c r="L98" s="31" t="str">
        <x:v>B</x:v>
      </x:c>
      <x:c r="M98" s="31" t="str">
        <x:v>Extremely juiced hit-glue leg tracked standalone.</x:v>
      </x:c>
      <x:c r="N98" s="31" t="str">
        <x:v>N</x:v>
      </x:c>
      <x:c r="O98" s="31" t="str">
        <x:v>Pending</x:v>
      </x:c>
      <x:c r="P98" s="31" t="str"/>
      <x:c r="Q98" s="33" t="str"/>
      <x:c r="R98" s="33" t="str"/>
      <x:c r="S98" s="31" t="str"/>
      <x:c r="T98" s="32" t="str"/>
      <x:c r="U98" s="31" t="str">
        <x:v>Ozzie Albies 1+ hit exact outcome not yet verified in this settlement pass.</x:v>
      </x:c>
      <x:c r="V98" s="31" t="str">
        <x:v>EXP-20</x:v>
      </x:c>
      <x:c r="W98" s="31" t="str">
        <x:v>ALBIES HIT SHADOW</x:v>
      </x:c>
      <x:c r="X98" s="31" t="str">
        <x:v>P29-013</x:v>
      </x:c>
      <x:c r="Y98" s="31" t="str">
        <x:v>Very high implied hit probability may justify glue only if the realized hit rate stays correspondingly high.</x:v>
      </x:c>
      <x:c r="Z98" s="31" t="str">
        <x:v>Miss frequency is too high relative to the compressed payout.</x:v>
      </x:c>
      <x:c r="AA98" s="31" t="str"/>
      <x:c r="AB98" s="31" t="str">
        <x:v>Do not infer.</x:v>
      </x:c>
    </x:row>
    <x:row r="99">
      <x:c r="A99" s="79" t="str">
        <x:v>2026-08-29</x:v>
      </x:c>
      <x:c r="B99" s="31" t="str">
        <x:v>P29-016</x:v>
      </x:c>
      <x:c r="C99" s="31" t="str">
        <x:v>A29-R14</x:v>
      </x:c>
      <x:c r="D99" s="31" t="str">
        <x:v>PAPER</x:v>
      </x:c>
      <x:c r="E99" s="31" t="str">
        <x:v>MLB</x:v>
      </x:c>
      <x:c r="F99" s="31" t="str">
        <x:v>CWS @ MIN</x:v>
      </x:c>
      <x:c r="G99" s="31" t="str">
        <x:v>Miguel Vargas</x:v>
      </x:c>
      <x:c r="H99" s="31" t="str">
        <x:v>1+ Hit</x:v>
      </x:c>
      <x:c r="I99" s="31" t="str">
        <x:v>1+ hit</x:v>
      </x:c>
      <x:c r="J99" s="80" t="n">
        <x:v>-223</x:v>
      </x:c>
      <x:c r="K99" s="31" t="str">
        <x:v>SOURCED</x:v>
      </x:c>
      <x:c r="L99" s="31" t="str">
        <x:v>B+</x:v>
      </x:c>
      <x:c r="M99" s="31" t="str">
        <x:v>Best underlying-stat profile among the three source hit legs.</x:v>
      </x:c>
      <x:c r="N99" s="31" t="str">
        <x:v>N</x:v>
      </x:c>
      <x:c r="O99" s="31" t="str">
        <x:v>Loss</x:v>
      </x:c>
      <x:c r="P99" s="31" t="n">
        <x:v>0</x:v>
      </x:c>
      <x:c r="Q99" s="33" t="n">
        <x:v>0</x:v>
      </x:c>
      <x:c r="R99" s="33" t="str"/>
      <x:c r="S99" s="31" t="str"/>
      <x:c r="T99" s="32" t="str"/>
      <x:c r="U99" s="31" t="str">
        <x:v>Miguel Vargas went 0-for-3 with a walk. https://www.reddit.com/r/minnesotatwins/comments/1w1xm8c/twins_lost_white_sox_3_twins_2_august_29_2026/</x:v>
      </x:c>
      <x:c r="V99" s="31" t="str">
        <x:v>EXP-20</x:v>
      </x:c>
      <x:c r="W99" s="31" t="str">
        <x:v>VARGAS HIT SHADOW</x:v>
      </x:c>
      <x:c r="X99" s="31" t="str">
        <x:v>P29-013</x:v>
      </x:c>
      <x:c r="Y99" s="31" t="str">
        <x:v>Strong underlying quality plus lineup position should make Vargas the best standalone member of the source hit parlay.</x:v>
      </x:c>
      <x:c r="Z99" s="31" t="str">
        <x:v>Ober suppresses contact enough that the high-juice floor does not justify price.</x:v>
      </x:c>
      <x:c r="AA99" s="31" t="str"/>
      <x:c r="AB99" s="31" t="str">
        <x:v>High-juice 1+ hit also lost; HRR and hit both failed because hitter thesis failed.</x:v>
      </x:c>
    </x:row>
    <x:row r="100">
      <x:c r="A100" s="79" t="str">
        <x:v>2026-08-29</x:v>
      </x:c>
      <x:c r="B100" s="31" t="str">
        <x:v>P29-017</x:v>
      </x:c>
      <x:c r="C100" s="31" t="str">
        <x:v>A29-D04</x:v>
      </x:c>
      <x:c r="D100" s="31" t="str">
        <x:v>PAPER</x:v>
      </x:c>
      <x:c r="E100" s="31" t="str">
        <x:v>Soccer</x:v>
      </x:c>
      <x:c r="F100" s="31" t="str">
        <x:v>Dortmund vs Hamburg</x:v>
      </x:c>
      <x:c r="G100" s="31" t="str">
        <x:v>Borussia Dortmund</x:v>
      </x:c>
      <x:c r="H100" s="31" t="str">
        <x:v>Team Corners</x:v>
      </x:c>
      <x:c r="I100" s="31" t="str">
        <x:v>Over 6.5 team corners</x:v>
      </x:c>
      <x:c r="J100" s="80" t="n">
        <x:v>-145</x:v>
      </x:c>
      <x:c r="K100" s="31" t="str">
        <x:v>HYBRID</x:v>
      </x:c>
      <x:c r="L100" s="31" t="str">
        <x:v>A</x:v>
      </x:c>
      <x:c r="M100" s="31" t="str">
        <x:v>Actual real-parlay leg tracked standalone after market conversion from Dortmund 2+ goals.</x:v>
      </x:c>
      <x:c r="N100" s="31" t="str">
        <x:v>N</x:v>
      </x:c>
      <x:c r="O100" s="31" t="str">
        <x:v>Loss</x:v>
      </x:c>
      <x:c r="P100" s="31" t="n">
        <x:v>0</x:v>
      </x:c>
      <x:c r="Q100" s="33" t="str"/>
      <x:c r="R100" s="33" t="str"/>
      <x:c r="S100" s="31" t="str"/>
      <x:c r="T100" s="32" t="str"/>
      <x:c r="U100" s="31" t="str">
        <x:v>Dortmund O6.5 team corners failed while Dortmund scored twice.</x:v>
      </x:c>
      <x:c r="V100" s="31" t="str">
        <x:v>SINGLE_VS_PARLAY</x:v>
      </x:c>
      <x:c r="W100" s="31" t="str">
        <x:v>EXP-20</x:v>
      </x:c>
      <x:c r="X100" s="31" t="str">
        <x:v>DORTMUND O6.5 CORNERS SHADOW</x:v>
      </x:c>
      <x:c r="Y100" s="31" t="str">
        <x:v>A29-T01</x:v>
      </x:c>
      <x:c r="Z100" s="31" t="str">
        <x:v>The corner expression should retain standalone merit and may capture territorial dominance more robustly than requiring two goals.</x:v>
      </x:c>
      <x:c r="AA100" s="31" t="str">
        <x:v>Dortmund scores 2+ but fails to generate 7 corners often enough that team goals proves the better price-adjusted expression.</x:v>
      </x:c>
      <x:c r="AB100" s="31" t="str">
        <x:v>Market-expression miss: territorial/scoring strength did not translate to seven corners.</x:v>
      </x:c>
    </x:row>
    <x:row r="101">
      <x:c r="A101" s="79" t="str">
        <x:v>2026-08-29</x:v>
      </x:c>
      <x:c r="B101" s="31" t="str">
        <x:v>P29-018</x:v>
      </x:c>
      <x:c r="C101" s="31" t="str">
        <x:v>A29-R06;A29-D04</x:v>
      </x:c>
      <x:c r="D101" s="31" t="str">
        <x:v>PAPER</x:v>
      </x:c>
      <x:c r="E101" s="31" t="str">
        <x:v>Soccer</x:v>
      </x:c>
      <x:c r="F101" s="31" t="str">
        <x:v>Dortmund vs Hamburg</x:v>
      </x:c>
      <x:c r="G101" s="31" t="str">
        <x:v>Borussia Dortmund</x:v>
      </x:c>
      <x:c r="H101" s="31" t="str">
        <x:v>Paired Market Test</x:v>
      </x:c>
      <x:c r="I101" s="31" t="str">
        <x:v>Dortmund 2+ team goals vs O6.5 team corners</x:v>
      </x:c>
      <x:c r="J101" s="80" t="str"/>
      <x:c r="K101" s="31" t="str">
        <x:v>HYBRID</x:v>
      </x:c>
      <x:c r="L101" s="31" t="str">
        <x:v>A</x:v>
      </x:c>
      <x:c r="M101" s="31" t="str">
        <x:v>Direct prospective comparison of sourced scoring expression versus audited corner expression.</x:v>
      </x:c>
      <x:c r="N101" s="31" t="str">
        <x:v>N</x:v>
      </x:c>
      <x:c r="O101" s="31" t="str">
        <x:v>Pending</x:v>
      </x:c>
      <x:c r="P101" s="31" t="str"/>
      <x:c r="Q101" s="33" t="str"/>
      <x:c r="R101" s="33" t="str"/>
      <x:c r="S101" s="31" t="str"/>
      <x:c r="T101" s="32" t="str"/>
      <x:c r="U101" s="31" t="str">
        <x:v>Real ticket uses corners; source control uses 2+ team goals.</x:v>
      </x:c>
      <x:c r="V101" s="31" t="str">
        <x:v>ALT_MARKET_TEST</x:v>
      </x:c>
      <x:c r="W101" s="31" t="str">
        <x:v>EXP-13</x:v>
      </x:c>
      <x:c r="X101" s="31" t="str">
        <x:v>DORTMUND GOALS-vs-CORNERS</x:v>
      </x:c>
      <x:c r="Y101" s="31" t="str">
        <x:v>A29-R06;A29-D04</x:v>
      </x:c>
      <x:c r="Z101" s="31" t="str">
        <x:v>When the thesis is sustained favorite pressure, team corners may be more robust than team goals.</x:v>
      </x:c>
      <x:c r="AA101" s="31" t="str">
        <x:v>Dortmund repeatedly converts pressure into goals without clearing comparable corner thresholds.</x:v>
      </x:c>
      <x:c r="AB101" s="31" t="str"/>
    </x:row>
    <x:row r="102">
      <x:c r="A102" s="79" t="str">
        <x:v>2026-08-29</x:v>
      </x:c>
      <x:c r="B102" s="31" t="str">
        <x:v>P29-019</x:v>
      </x:c>
      <x:c r="C102" s="31" t="str">
        <x:v>A29-R08;A29-D04</x:v>
      </x:c>
      <x:c r="D102" s="31" t="str">
        <x:v>PAPER</x:v>
      </x:c>
      <x:c r="E102" s="31" t="str">
        <x:v>Soccer</x:v>
      </x:c>
      <x:c r="F102" s="31" t="str">
        <x:v>2-game subset</x:v>
      </x:c>
      <x:c r="G102" s="31" t="str">
        <x:v>BOU/EVE + Dortmund</x:v>
      </x:c>
      <x:c r="H102" s="31" t="str">
        <x:v>2-leg subset</x:v>
      </x:c>
      <x:c r="I102" s="31" t="str">
        <x:v>BOU/EVE O1.5 goals + Dortmund O6.5 corners</x:v>
      </x:c>
      <x:c r="J102" s="80" t="str"/>
      <x:c r="K102" s="31" t="str">
        <x:v>HYBRID</x:v>
      </x:c>
      <x:c r="L102" s="31" t="str">
        <x:v>A</x:v>
      </x:c>
      <x:c r="M102" s="31" t="str">
        <x:v>Two-leg subset of actual real soccer ticket.</x:v>
      </x:c>
      <x:c r="N102" s="31" t="str">
        <x:v>N</x:v>
      </x:c>
      <x:c r="O102" s="31" t="str">
        <x:v>Loss</x:v>
      </x:c>
      <x:c r="P102" s="31" t="n">
        <x:v>0</x:v>
      </x:c>
      <x:c r="Q102" s="33" t="str"/>
      <x:c r="R102" s="33" t="str"/>
      <x:c r="S102" s="31" t="str"/>
      <x:c r="T102" s="32" t="str"/>
      <x:c r="U102" s="31" t="str">
        <x:v>BOU/EVE O1.5 won; Dortmund corners lost.</x:v>
      </x:c>
      <x:c r="V102" s="31" t="str">
        <x:v>CONSTRUCTION_TEST</x:v>
      </x:c>
      <x:c r="W102" s="31" t="str">
        <x:v>EXP-09</x:v>
      </x:c>
      <x:c r="X102" s="31" t="str">
        <x:v>SOCCER 2-LEG BOU+DORTMUND</x:v>
      </x:c>
      <x:c r="Y102" s="31" t="str">
        <x:v>A29-T01</x:v>
      </x:c>
      <x:c r="Z102" s="31" t="str">
        <x:v>Two-leg subsets may retain most of the edge with lower failure probability than three-leg cards.</x:v>
      </x:c>
      <x:c r="AA102" s="31" t="str">
        <x:v>Full 3-leg construction adds enough payout to justify the extra leg over sample.</x:v>
      </x:c>
      <x:c r="AB102" s="31" t="str">
        <x:v>Two-leg subset died on converted corner market.</x:v>
      </x:c>
    </x:row>
    <x:row r="103">
      <x:c r="A103" s="79" t="str">
        <x:v>2026-08-29</x:v>
      </x:c>
      <x:c r="B103" s="31" t="str">
        <x:v>P29-020</x:v>
      </x:c>
      <x:c r="C103" s="31" t="str">
        <x:v>A29-R08;A29-R09</x:v>
      </x:c>
      <x:c r="D103" s="31" t="str">
        <x:v>PAPER</x:v>
      </x:c>
      <x:c r="E103" s="31" t="str">
        <x:v>Soccer</x:v>
      </x:c>
      <x:c r="F103" s="31" t="str">
        <x:v>2-game subset</x:v>
      </x:c>
      <x:c r="G103" s="31" t="str">
        <x:v>BOU/EVE + TOT/NEW</x:v>
      </x:c>
      <x:c r="H103" s="31" t="str">
        <x:v>2-leg subset</x:v>
      </x:c>
      <x:c r="I103" s="31" t="str">
        <x:v>BOU/EVE O1.5 goals + TOT/NEW O2.5 goals</x:v>
      </x:c>
      <x:c r="J103" s="80" t="str"/>
      <x:c r="K103" s="31" t="str">
        <x:v>HYBRID</x:v>
      </x:c>
      <x:c r="L103" s="31" t="str">
        <x:v>A</x:v>
      </x:c>
      <x:c r="M103" s="31" t="str">
        <x:v>Two-leg subset of actual real soccer ticket.</x:v>
      </x:c>
      <x:c r="N103" s="31" t="str">
        <x:v>N</x:v>
      </x:c>
      <x:c r="O103" s="31" t="str">
        <x:v>Loss</x:v>
      </x:c>
      <x:c r="P103" s="31" t="n">
        <x:v>0</x:v>
      </x:c>
      <x:c r="Q103" s="33" t="str"/>
      <x:c r="R103" s="33" t="str"/>
      <x:c r="S103" s="31" t="str"/>
      <x:c r="T103" s="32" t="str"/>
      <x:c r="U103" s="31" t="str">
        <x:v>BOU/EVE O1.5 won; TOT/NEW O2.5 lost.</x:v>
      </x:c>
      <x:c r="V103" s="31" t="str">
        <x:v>CONSTRUCTION_TEST</x:v>
      </x:c>
      <x:c r="W103" s="31" t="str">
        <x:v>EXP-09</x:v>
      </x:c>
      <x:c r="X103" s="31" t="str">
        <x:v>SOCCER 2-LEG BOU+TOT</x:v>
      </x:c>
      <x:c r="Y103" s="31" t="str">
        <x:v>A29-T01</x:v>
      </x:c>
      <x:c r="Z103" s="31" t="str">
        <x:v>Two independent goal environments may outperform adding a separate corner leg.</x:v>
      </x:c>
      <x:c r="AA103" s="31" t="str">
        <x:v>Dortmund corners adds enough independent edge to improve the 3-leg ticket.</x:v>
      </x:c>
      <x:c r="AB103" s="31" t="str">
        <x:v>One weak total leg killed otherwise safe pair.</x:v>
      </x:c>
    </x:row>
    <x:row r="104">
      <x:c r="A104" s="79" t="str">
        <x:v>2026-08-29</x:v>
      </x:c>
      <x:c r="B104" s="31" t="str">
        <x:v>P29-021</x:v>
      </x:c>
      <x:c r="C104" s="31" t="str">
        <x:v>A29-D04;A29-R09</x:v>
      </x:c>
      <x:c r="D104" s="31" t="str">
        <x:v>PAPER</x:v>
      </x:c>
      <x:c r="E104" s="31" t="str">
        <x:v>Soccer</x:v>
      </x:c>
      <x:c r="F104" s="31" t="str">
        <x:v>2-game subset</x:v>
      </x:c>
      <x:c r="G104" s="31" t="str">
        <x:v>Dortmund + TOT/NEW</x:v>
      </x:c>
      <x:c r="H104" s="31" t="str">
        <x:v>2-leg subset</x:v>
      </x:c>
      <x:c r="I104" s="31" t="str">
        <x:v>Dortmund O6.5 corners + TOT/NEW O2.5 goals</x:v>
      </x:c>
      <x:c r="J104" s="80" t="str"/>
      <x:c r="K104" s="31" t="str">
        <x:v>HYBRID</x:v>
      </x:c>
      <x:c r="L104" s="31" t="str">
        <x:v>A</x:v>
      </x:c>
      <x:c r="M104" s="31" t="str">
        <x:v>Two-leg subset of actual real soccer ticket.</x:v>
      </x:c>
      <x:c r="N104" s="31" t="str">
        <x:v>N</x:v>
      </x:c>
      <x:c r="O104" s="31" t="str">
        <x:v>Loss</x:v>
      </x:c>
      <x:c r="P104" s="31" t="n">
        <x:v>0</x:v>
      </x:c>
      <x:c r="Q104" s="33" t="str"/>
      <x:c r="R104" s="33" t="str"/>
      <x:c r="S104" s="31" t="str"/>
      <x:c r="T104" s="32" t="str"/>
      <x:c r="U104" s="31" t="str">
        <x:v>Both Dortmund corners and TOT/NEW O2.5 lost.</x:v>
      </x:c>
      <x:c r="V104" s="31" t="str">
        <x:v>CONSTRUCTION_TEST</x:v>
      </x:c>
      <x:c r="W104" s="31" t="str">
        <x:v>EXP-09</x:v>
      </x:c>
      <x:c r="X104" s="31" t="str">
        <x:v>SOCCER 2-LEG DORTMUND+TOT</x:v>
      </x:c>
      <x:c r="Y104" s="31" t="str">
        <x:v>A29-T01</x:v>
      </x:c>
      <x:c r="Z104" s="31" t="str">
        <x:v>The two higher-information audited legs may be superior to including the -380 goal-floor stabilizer.</x:v>
      </x:c>
      <x:c r="AA104" s="31" t="str">
        <x:v>BOU/EVE O1.5 adds enough survival probability to improve the 3-leg construction.</x:v>
      </x:c>
      <x:c r="AB104" s="31" t="str">
        <x:v>No construction benefit from pairing two weaker expressions.</x:v>
      </x:c>
    </x:row>
    <x:row r="105">
      <x:c r="A105" s="79" t="str">
        <x:v>2026-08-29</x:v>
      </x:c>
      <x:c r="B105" s="31" t="str">
        <x:v>P29-022</x:v>
      </x:c>
      <x:c r="C105" s="31" t="str">
        <x:v>A29-R15</x:v>
      </x:c>
      <x:c r="D105" s="31" t="str">
        <x:v>PAPER</x:v>
      </x:c>
      <x:c r="E105" s="31" t="str">
        <x:v>CFB</x:v>
      </x:c>
      <x:c r="F105" s="31" t="str">
        <x:v>Multi-game</x:v>
      </x:c>
      <x:c r="G105" s="31" t="str">
        <x:v>Cody Brown CFB card</x:v>
      </x:c>
      <x:c r="H105" s="31" t="str">
        <x:v>Source 4-leg parlay</x:v>
      </x:c>
      <x:c r="I105" s="31" t="str">
        <x:v>TCU ML + JAX ST +10.5 + EMU -6.5 + UNLV ML</x:v>
      </x:c>
      <x:c r="J105" s="80" t="n">
        <x:v>382</x:v>
      </x:c>
      <x:c r="K105" s="31" t="str">
        <x:v>SOURCED</x:v>
      </x:c>
      <x:c r="L105" s="31" t="str">
        <x:v>B+</x:v>
      </x:c>
      <x:c r="M105" s="31" t="str">
        <x:v>Intact user source ticket.</x:v>
      </x:c>
      <x:c r="N105" s="31" t="str">
        <x:v>N</x:v>
      </x:c>
      <x:c r="O105" s="31" t="str">
        <x:v>Loss</x:v>
      </x:c>
      <x:c r="P105" s="31" t="n">
        <x:v>0</x:v>
      </x:c>
      <x:c r="Q105" s="33" t="str"/>
      <x:c r="R105" s="33" t="str"/>
      <x:c r="S105" s="31" t="str"/>
      <x:c r="T105" s="32" t="str"/>
      <x:c r="U105" s="31" t="str">
        <x:v>Cody 4-leg source card lost: TCU ML and JAX +10.5 both failed.</x:v>
      </x:c>
      <x:c r="V105" s="31" t="str">
        <x:v>CONSTRUCTION_TEST</x:v>
      </x:c>
      <x:c r="W105" s="31" t="str">
        <x:v>EXP-08</x:v>
      </x:c>
      <x:c r="X105" s="31" t="str">
        <x:v>CODY WEEK0 4-LEG CONTROL</x:v>
      </x:c>
      <x:c r="Y105" s="31" t="str"/>
      <x:c r="Z105" s="31" t="str">
        <x:v>The safer ML/alt-spread source construction may survive Week 0 uncertainty better than aggressive spread stacking.</x:v>
      </x:c>
      <x:c r="AA105" s="31" t="str">
        <x:v>One expensive glue leg still fails often enough to erase the apparent safety.</x:v>
      </x:c>
      <x:c r="AB105" s="31" t="str">
        <x:v>Source continuity/experience theses were not reliable enough to stack in Week 0.</x:v>
      </x:c>
    </x:row>
    <x:row r="106">
      <x:c r="A106" s="79" t="str">
        <x:v>2026-08-29</x:v>
      </x:c>
      <x:c r="B106" s="31" t="str">
        <x:v>P29-023</x:v>
      </x:c>
      <x:c r="C106" s="31" t="str">
        <x:v>A29-R16</x:v>
      </x:c>
      <x:c r="D106" s="31" t="str">
        <x:v>PAPER</x:v>
      </x:c>
      <x:c r="E106" s="31" t="str">
        <x:v>CFB</x:v>
      </x:c>
      <x:c r="F106" s="31" t="str">
        <x:v>UNC vs TCU</x:v>
      </x:c>
      <x:c r="G106" s="31" t="str">
        <x:v>TCU</x:v>
      </x:c>
      <x:c r="H106" s="31" t="str">
        <x:v>Moneyline</x:v>
      </x:c>
      <x:c r="I106" s="31" t="str">
        <x:v>TCU ML</x:v>
      </x:c>
      <x:c r="J106" s="80" t="n">
        <x:v>-246</x:v>
      </x:c>
      <x:c r="K106" s="31" t="str">
        <x:v>SOURCED</x:v>
      </x:c>
      <x:c r="L106" s="31" t="str">
        <x:v>A-</x:v>
      </x:c>
      <x:c r="M106" s="31" t="str">
        <x:v>Safest TCU source expression.</x:v>
      </x:c>
      <x:c r="N106" s="31" t="str">
        <x:v>N</x:v>
      </x:c>
      <x:c r="O106" s="31" t="str">
        <x:v>Loss</x:v>
      </x:c>
      <x:c r="P106" s="31" t="n">
        <x:v>0</x:v>
      </x:c>
      <x:c r="Q106" s="33" t="n">
        <x:v>-5</x:v>
      </x:c>
      <x:c r="R106" s="33" t="str"/>
      <x:c r="S106" s="31" t="str"/>
      <x:c r="T106" s="32" t="str"/>
      <x:c r="U106" s="31" t="str">
        <x:v>UNC beat TCU 15-10.</x:v>
      </x:c>
      <x:c r="V106" s="31" t="str">
        <x:v>ALT_MARKET_TEST</x:v>
      </x:c>
      <x:c r="W106" s="31" t="str">
        <x:v>EXP-19</x:v>
      </x:c>
      <x:c r="X106" s="31" t="str">
        <x:v>TCU ML ARM</x:v>
      </x:c>
      <x:c r="Y106" s="31" t="str">
        <x:v>P29-028</x:v>
      </x:c>
      <x:c r="Z106" s="31" t="str">
        <x:v>TCU is more likely to win than cover in a volatile opener; ML may be useful parlay glue.</x:v>
      </x:c>
      <x:c r="AA106" s="31" t="str">
        <x:v>TCU wins but spread clears often enough that ML price compression is inefficient.</x:v>
      </x:c>
      <x:c r="AB106" s="31" t="str">
        <x:v>TCU core side thesis failed outright; ML protection would not help.</x:v>
      </x:c>
    </x:row>
    <x:row r="107">
      <x:c r="A107" s="79" t="str">
        <x:v>2026-08-29</x:v>
      </x:c>
      <x:c r="B107" s="31" t="str">
        <x:v>P29-024</x:v>
      </x:c>
      <x:c r="C107" s="31" t="str">
        <x:v>A29-R17</x:v>
      </x:c>
      <x:c r="D107" s="31" t="str">
        <x:v>PAPER</x:v>
      </x:c>
      <x:c r="E107" s="31" t="str">
        <x:v>CFB</x:v>
      </x:c>
      <x:c r="F107" s="31" t="str">
        <x:v>Jacksonville State @ NDSU</x:v>
      </x:c>
      <x:c r="G107" s="31" t="str">
        <x:v>Jacksonville State</x:v>
      </x:c>
      <x:c r="H107" s="31" t="str">
        <x:v>Spread</x:v>
      </x:c>
      <x:c r="I107" s="31" t="str">
        <x:v>Jacksonville State +10.5</x:v>
      </x:c>
      <x:c r="J107" s="80" t="n">
        <x:v>-149</x:v>
      </x:c>
      <x:c r="K107" s="31" t="str">
        <x:v>SOURCED</x:v>
      </x:c>
      <x:c r="L107" s="31" t="str">
        <x:v>B+</x:v>
      </x:c>
      <x:c r="M107" s="31" t="str">
        <x:v>Experienced FBS team versus NDSU roster transition.</x:v>
      </x:c>
      <x:c r="N107" s="31" t="str">
        <x:v>N</x:v>
      </x:c>
      <x:c r="O107" s="31" t="str">
        <x:v>Loss</x:v>
      </x:c>
      <x:c r="P107" s="31" t="n">
        <x:v>0</x:v>
      </x:c>
      <x:c r="Q107" s="33" t="n">
        <x:v>-26</x:v>
      </x:c>
      <x:c r="R107" s="33" t="str"/>
      <x:c r="S107" s="31" t="str"/>
      <x:c r="T107" s="32" t="str"/>
      <x:c r="U107" s="31" t="str">
        <x:v>NDSU beat Jacksonville State 33-7.</x:v>
      </x:c>
      <x:c r="V107" s="31" t="str">
        <x:v>ALT_MARKET_TEST</x:v>
      </x:c>
      <x:c r="W107" s="31" t="str">
        <x:v>EXP-23</x:v>
      </x:c>
      <x:c r="X107" s="31" t="str">
        <x:v>JAX +10.5 ARM</x:v>
      </x:c>
      <x:c r="Y107" s="31" t="str">
        <x:v>P29-029</x:v>
      </x:c>
      <x:c r="Z107" s="31" t="str">
        <x:v>NDSU can be the better team while Jacksonville State's experience keeps the margin inside 11.</x:v>
      </x:c>
      <x:c r="AA107" s="31" t="str">
        <x:v>NDSU controls both lines and wins by 11+.</x:v>
      </x:c>
      <x:c r="AB107" s="31" t="str">
        <x:v>JAX experience thesis was decisively wrong; opposing NDSU arm was superior.</x:v>
      </x:c>
    </x:row>
    <x:row r="108">
      <x:c r="A108" s="79" t="str">
        <x:v>2026-08-29</x:v>
      </x:c>
      <x:c r="B108" s="31" t="str">
        <x:v>P29-025</x:v>
      </x:c>
      <x:c r="C108" s="31" t="str">
        <x:v>A29-R18</x:v>
      </x:c>
      <x:c r="D108" s="31" t="str">
        <x:v>PAPER</x:v>
      </x:c>
      <x:c r="E108" s="31" t="str">
        <x:v>CFB</x:v>
      </x:c>
      <x:c r="F108" s="31" t="str">
        <x:v>Sacramento State @ Eastern Michigan</x:v>
      </x:c>
      <x:c r="G108" s="31" t="str">
        <x:v>Eastern Michigan</x:v>
      </x:c>
      <x:c r="H108" s="31" t="str">
        <x:v>Spread</x:v>
      </x:c>
      <x:c r="I108" s="31" t="str">
        <x:v>Eastern Michigan -6.5</x:v>
      </x:c>
      <x:c r="J108" s="80" t="n">
        <x:v>-140</x:v>
      </x:c>
      <x:c r="K108" s="31" t="str">
        <x:v>HYBRID</x:v>
      </x:c>
      <x:c r="L108" s="31" t="str">
        <x:v>A</x:v>
      </x:c>
      <x:c r="M108" s="31" t="str">
        <x:v>Strongest current source convergence CFB spread.</x:v>
      </x:c>
      <x:c r="N108" s="31" t="str">
        <x:v>N</x:v>
      </x:c>
      <x:c r="O108" s="31" t="str">
        <x:v>Win</x:v>
      </x:c>
      <x:c r="P108" s="31" t="n">
        <x:v>1</x:v>
      </x:c>
      <x:c r="Q108" s="33" t="n">
        <x:v>11</x:v>
      </x:c>
      <x:c r="R108" s="33" t="str"/>
      <x:c r="S108" s="31" t="str"/>
      <x:c r="T108" s="32" t="str"/>
      <x:c r="U108" s="31" t="str">
        <x:v>Eastern Michigan beat Sacramento State 28-17.</x:v>
      </x:c>
      <x:c r="V108" s="31" t="str">
        <x:v>THRESHOLD_TEST</x:v>
      </x:c>
      <x:c r="W108" s="31" t="str">
        <x:v>EXP-19</x:v>
      </x:c>
      <x:c r="X108" s="31" t="str">
        <x:v>EMU -6.5 SAFE ARM</x:v>
      </x:c>
      <x:c r="Y108" s="31" t="str">
        <x:v>P29-032</x:v>
      </x:c>
      <x:c r="Z108" s="31" t="str">
        <x:v>Buying down from market -9.5 to -6.5 should retain matchup edge while materially improving survival.</x:v>
      </x:c>
      <x:c r="AA108" s="31" t="str">
        <x:v>EMU repeatedly wins by 7-9, making the safer alt clearly superior; or fails outright, invalidating matchup thesis.</x:v>
      </x:c>
      <x:c r="AB108" s="31" t="str">
        <x:v>Strong two-source convergence survived and covered comfortably.</x:v>
      </x:c>
    </x:row>
    <x:row r="109">
      <x:c r="A109" s="79" t="str">
        <x:v>2026-08-29</x:v>
      </x:c>
      <x:c r="B109" s="31" t="str">
        <x:v>P29-026</x:v>
      </x:c>
      <x:c r="C109" s="31" t="str">
        <x:v>A29-R19</x:v>
      </x:c>
      <x:c r="D109" s="31" t="str">
        <x:v>PAPER</x:v>
      </x:c>
      <x:c r="E109" s="31" t="str">
        <x:v>CFB</x:v>
      </x:c>
      <x:c r="F109" s="31" t="str">
        <x:v>Memphis @ UNLV</x:v>
      </x:c>
      <x:c r="G109" s="31" t="str">
        <x:v>UNLV</x:v>
      </x:c>
      <x:c r="H109" s="31" t="str">
        <x:v>Moneyline</x:v>
      </x:c>
      <x:c r="I109" s="31" t="str">
        <x:v>UNLV ML</x:v>
      </x:c>
      <x:c r="J109" s="80" t="n">
        <x:v>-151</x:v>
      </x:c>
      <x:c r="K109" s="31" t="str">
        <x:v>SOURCED</x:v>
      </x:c>
      <x:c r="L109" s="31" t="str">
        <x:v>B+</x:v>
      </x:c>
      <x:c r="M109" s="31" t="str">
        <x:v>Safer source expression in a matchup with substantial spread disagreement.</x:v>
      </x:c>
      <x:c r="N109" s="31" t="str">
        <x:v>N</x:v>
      </x:c>
      <x:c r="O109" s="31" t="str">
        <x:v>Loss</x:v>
      </x:c>
      <x:c r="P109" s="31" t="n">
        <x:v>0</x:v>
      </x:c>
      <x:c r="Q109" s="33" t="n">
        <x:v>-6</x:v>
      </x:c>
      <x:c r="R109" s="33" t="str"/>
      <x:c r="S109" s="31" t="str"/>
      <x:c r="T109" s="32" t="str"/>
      <x:c r="U109" s="31" t="str">
        <x:v>Memphis beat UNLV 27-21.</x:v>
      </x:c>
      <x:c r="V109" s="31" t="str">
        <x:v>ALT_MARKET_TEST</x:v>
      </x:c>
      <x:c r="W109" s="31" t="str">
        <x:v>EXP-23</x:v>
      </x:c>
      <x:c r="X109" s="31" t="str">
        <x:v>UNLV ML ARM</x:v>
      </x:c>
      <x:c r="Y109" s="31" t="str">
        <x:v>P29-031</x:v>
      </x:c>
      <x:c r="Z109" s="31" t="str">
        <x:v>If UNLV continuity/home edge is real but margin is uncertain, ML should outperform -6.5.</x:v>
      </x:c>
      <x:c r="AA109" s="31" t="str">
        <x:v>Memphis wins outright, invalidating the core UNLV thesis.</x:v>
      </x:c>
      <x:c r="AB109" s="31" t="str">
        <x:v>UNLV continuity/home thesis failed outright.</x:v>
      </x:c>
    </x:row>
    <x:row r="110">
      <x:c r="A110" s="79" t="str">
        <x:v>2026-08-29</x:v>
      </x:c>
      <x:c r="B110" s="31" t="str">
        <x:v>P29-027</x:v>
      </x:c>
      <x:c r="C110" s="31" t="str">
        <x:v>A29-R20</x:v>
      </x:c>
      <x:c r="D110" s="31" t="str">
        <x:v>PAPER</x:v>
      </x:c>
      <x:c r="E110" s="31" t="str">
        <x:v>CFB</x:v>
      </x:c>
      <x:c r="F110" s="31" t="str">
        <x:v>Multi-game</x:v>
      </x:c>
      <x:c r="G110" s="31" t="str">
        <x:v>Harry Lock Picks Week0</x:v>
      </x:c>
      <x:c r="H110" s="31" t="str">
        <x:v>Aggressive 5-leg alt-spread parlay</x:v>
      </x:c>
      <x:c r="I110" s="31" t="str">
        <x:v>TCU -6.5 + NDSU -6.5 + EMU -6.5 + Hawaii -6.5 + UNLV -6.5</x:v>
      </x:c>
      <x:c r="J110" s="80" t="n">
        <x:v>4122</x:v>
      </x:c>
      <x:c r="K110" s="31" t="str">
        <x:v>SOURCED</x:v>
      </x:c>
      <x:c r="L110" s="31" t="str">
        <x:v>WATCH</x:v>
      </x:c>
      <x:c r="M110" s="31" t="str">
        <x:v>Aggressive source card preserved intact.</x:v>
      </x:c>
      <x:c r="N110" s="31" t="str">
        <x:v>N</x:v>
      </x:c>
      <x:c r="O110" s="31" t="str">
        <x:v>Loss</x:v>
      </x:c>
      <x:c r="P110" s="31" t="n">
        <x:v>0</x:v>
      </x:c>
      <x:c r="Q110" s="33" t="str"/>
      <x:c r="R110" s="33" t="str"/>
      <x:c r="S110" s="31" t="str"/>
      <x:c r="T110" s="32" t="str"/>
      <x:c r="U110" s="31" t="str">
        <x:v>Aggressive source card lost; TCU and Hawaii/UNLV-side legs were invalidated.</x:v>
      </x:c>
      <x:c r="V110" s="31" t="str">
        <x:v>CONSTRUCTION_TEST</x:v>
      </x:c>
      <x:c r="W110" s="31" t="str">
        <x:v>EXP-08</x:v>
      </x:c>
      <x:c r="X110" s="31" t="str">
        <x:v>HARRY WEEK0 5-LEG CONTROL</x:v>
      </x:c>
      <x:c r="Y110" s="31" t="str"/>
      <x:c r="Z110" s="31" t="str">
        <x:v>Aggressive alternate spreads can monetize conviction if source handicaps are genuinely differentiated.</x:v>
      </x:c>
      <x:c r="AA110" s="31" t="str">
        <x:v>One or more contrarian/aggressive legs fail at a rate that overwhelms the payout.</x:v>
      </x:c>
      <x:c r="AB110" s="31" t="str">
        <x:v>Aggressive spread stacking amplified Week 0 uncertainty.</x:v>
      </x:c>
    </x:row>
    <x:row r="111">
      <x:c r="A111" s="79" t="str">
        <x:v>2026-08-29</x:v>
      </x:c>
      <x:c r="B111" s="31" t="str">
        <x:v>P29-028</x:v>
      </x:c>
      <x:c r="C111" s="31" t="str">
        <x:v>A29-R21;A29-D08</x:v>
      </x:c>
      <x:c r="D111" s="31" t="str">
        <x:v>PAPER</x:v>
      </x:c>
      <x:c r="E111" s="31" t="str">
        <x:v>CFB</x:v>
      </x:c>
      <x:c r="F111" s="31" t="str">
        <x:v>UNC vs TCU</x:v>
      </x:c>
      <x:c r="G111" s="31" t="str">
        <x:v>TCU</x:v>
      </x:c>
      <x:c r="H111" s="31" t="str">
        <x:v>Spread</x:v>
      </x:c>
      <x:c r="I111" s="31" t="str">
        <x:v>TCU -6.5</x:v>
      </x:c>
      <x:c r="J111" s="80" t="str"/>
      <x:c r="K111" s="31" t="str">
        <x:v>HYBRID</x:v>
      </x:c>
      <x:c r="L111" s="31" t="str">
        <x:v>A</x:v>
      </x:c>
      <x:c r="M111" s="31" t="str">
        <x:v>Source number is better than current market and independently supported.</x:v>
      </x:c>
      <x:c r="N111" s="31" t="str">
        <x:v>N</x:v>
      </x:c>
      <x:c r="O111" s="31" t="str">
        <x:v>Loss</x:v>
      </x:c>
      <x:c r="P111" s="31" t="n">
        <x:v>0</x:v>
      </x:c>
      <x:c r="Q111" s="33" t="n">
        <x:v>-5</x:v>
      </x:c>
      <x:c r="R111" s="33" t="str"/>
      <x:c r="S111" s="31" t="str"/>
      <x:c r="T111" s="32" t="str"/>
      <x:c r="U111" s="31" t="str">
        <x:v>UNC beat TCU 15-10.</x:v>
      </x:c>
      <x:c r="V111" s="31" t="str">
        <x:v>THRESHOLD_TEST</x:v>
      </x:c>
      <x:c r="W111" s="31" t="str">
        <x:v>EXP-19</x:v>
      </x:c>
      <x:c r="X111" s="31" t="str">
        <x:v>TCU -6.5 ARM</x:v>
      </x:c>
      <x:c r="Y111" s="31" t="str">
        <x:v>P29-023</x:v>
      </x:c>
      <x:c r="Z111" s="31" t="str">
        <x:v>A favorable alt spread may retain much of ML survival while paying materially better.</x:v>
      </x:c>
      <x:c r="AA111" s="31" t="str">
        <x:v>TCU wins by 1-6 often enough that the ML remains superior.</x:v>
      </x:c>
      <x:c r="AB111" s="31" t="str">
        <x:v>Buying down to TCU -6.5 could not rescue a wrong side.</x:v>
      </x:c>
    </x:row>
    <x:row r="112">
      <x:c r="A112" s="79" t="str">
        <x:v>2026-08-29</x:v>
      </x:c>
      <x:c r="B112" s="31" t="str">
        <x:v>P29-029</x:v>
      </x:c>
      <x:c r="C112" s="31" t="str">
        <x:v>A29-R22;A29-D09</x:v>
      </x:c>
      <x:c r="D112" s="31" t="str">
        <x:v>PAPER</x:v>
      </x:c>
      <x:c r="E112" s="31" t="str">
        <x:v>CFB</x:v>
      </x:c>
      <x:c r="F112" s="31" t="str">
        <x:v>Jacksonville State @ NDSU</x:v>
      </x:c>
      <x:c r="G112" s="31" t="str">
        <x:v>North Dakota State</x:v>
      </x:c>
      <x:c r="H112" s="31" t="str">
        <x:v>Spread</x:v>
      </x:c>
      <x:c r="I112" s="31" t="str">
        <x:v>NDSU -6.5</x:v>
      </x:c>
      <x:c r="J112" s="80" t="str"/>
      <x:c r="K112" s="31" t="str">
        <x:v>HYBRID</x:v>
      </x:c>
      <x:c r="L112" s="31" t="str">
        <x:v>A-</x:v>
      </x:c>
      <x:c r="M112" s="31" t="str">
        <x:v>Harry source plus independent Covers/TSI support.</x:v>
      </x:c>
      <x:c r="N112" s="31" t="str">
        <x:v>N</x:v>
      </x:c>
      <x:c r="O112" s="31" t="str">
        <x:v>Win</x:v>
      </x:c>
      <x:c r="P112" s="31" t="n">
        <x:v>1</x:v>
      </x:c>
      <x:c r="Q112" s="33" t="n">
        <x:v>26</x:v>
      </x:c>
      <x:c r="R112" s="33" t="str"/>
      <x:c r="S112" s="31" t="str"/>
      <x:c r="T112" s="32" t="str"/>
      <x:c r="U112" s="31" t="str">
        <x:v>NDSU beat Jacksonville State 33-7.</x:v>
      </x:c>
      <x:c r="V112" s="31" t="str">
        <x:v>ALT_MARKET_TEST</x:v>
      </x:c>
      <x:c r="W112" s="31" t="str">
        <x:v>EXP-23</x:v>
      </x:c>
      <x:c r="X112" s="31" t="str">
        <x:v>NDSU -6.5 ARM</x:v>
      </x:c>
      <x:c r="Y112" s="31" t="str">
        <x:v>P29-024</x:v>
      </x:c>
      <x:c r="Z112" s="31" t="str">
        <x:v>NDSU structural/program strength can overcome roster losses and cover one score.</x:v>
      </x:c>
      <x:c r="AA112" s="31" t="str">
        <x:v>Jax State experience keeps game within 6 or wins.</x:v>
      </x:c>
      <x:c r="AB112" s="31" t="str">
        <x:v>Independent/program-strength arm won decisively.</x:v>
      </x:c>
    </x:row>
    <x:row r="113">
      <x:c r="A113" s="79" t="str">
        <x:v>2026-08-29</x:v>
      </x:c>
      <x:c r="B113" s="31" t="str">
        <x:v>P29-030</x:v>
      </x:c>
      <x:c r="C113" s="31" t="str">
        <x:v>A29-R23</x:v>
      </x:c>
      <x:c r="D113" s="31" t="str">
        <x:v>PAPER</x:v>
      </x:c>
      <x:c r="E113" s="31" t="str">
        <x:v>CFB</x:v>
      </x:c>
      <x:c r="F113" s="31" t="str">
        <x:v>Hawaii @ Stanford</x:v>
      </x:c>
      <x:c r="G113" s="31" t="str">
        <x:v>Hawaii</x:v>
      </x:c>
      <x:c r="H113" s="31" t="str">
        <x:v>Spread</x:v>
      </x:c>
      <x:c r="I113" s="31" t="str">
        <x:v>Hawaii -6.5</x:v>
      </x:c>
      <x:c r="J113" s="80" t="str"/>
      <x:c r="K113" s="31" t="str">
        <x:v>SOURCED</x:v>
      </x:c>
      <x:c r="L113" s="31" t="str">
        <x:v>WATCH</x:v>
      </x:c>
      <x:c r="M113" s="31" t="str">
        <x:v>Extreme alternate requiring an underdog to win by 7+.</x:v>
      </x:c>
      <x:c r="N113" s="31" t="str">
        <x:v>N</x:v>
      </x:c>
      <x:c r="O113" s="31" t="str">
        <x:v>Loss</x:v>
      </x:c>
      <x:c r="P113" s="31" t="n">
        <x:v>0</x:v>
      </x:c>
      <x:c r="Q113" s="33" t="n">
        <x:v>-10</x:v>
      </x:c>
      <x:c r="R113" s="33" t="str"/>
      <x:c r="S113" s="31" t="str"/>
      <x:c r="T113" s="32" t="str"/>
      <x:c r="U113" s="31" t="str">
        <x:v>Stanford beat Hawaii 37-27.</x:v>
      </x:c>
      <x:c r="V113" s="31" t="str">
        <x:v>THRESHOLD_TEST</x:v>
      </x:c>
      <x:c r="W113" s="31" t="str">
        <x:v>EXP-23</x:v>
      </x:c>
      <x:c r="X113" s="31" t="str">
        <x:v>HAWAII -6.5 AGGRESSIVE ARM</x:v>
      </x:c>
      <x:c r="Y113" s="31" t="str">
        <x:v>P29-033</x:v>
      </x:c>
      <x:c r="Z113" s="31" t="str">
        <x:v>If Hawaii's QB continuity edge is dramatically underpriced, an upset may come with margin.</x:v>
      </x:c>
      <x:c r="AA113" s="31" t="str">
        <x:v>Hawaii fails to win by 7; likely outcome under market consensus.</x:v>
      </x:c>
      <x:c r="AB113" s="31" t="str">
        <x:v>Aggressive Hawaii -6.5 was far outside the true game state.</x:v>
      </x:c>
    </x:row>
    <x:row r="114">
      <x:c r="A114" s="79" t="str">
        <x:v>2026-08-29</x:v>
      </x:c>
      <x:c r="B114" s="31" t="str">
        <x:v>P29-031</x:v>
      </x:c>
      <x:c r="C114" s="31" t="str">
        <x:v>A29-R24</x:v>
      </x:c>
      <x:c r="D114" s="31" t="str">
        <x:v>PAPER</x:v>
      </x:c>
      <x:c r="E114" s="31" t="str">
        <x:v>CFB</x:v>
      </x:c>
      <x:c r="F114" s="31" t="str">
        <x:v>Memphis @ UNLV</x:v>
      </x:c>
      <x:c r="G114" s="31" t="str">
        <x:v>UNLV</x:v>
      </x:c>
      <x:c r="H114" s="31" t="str">
        <x:v>Spread</x:v>
      </x:c>
      <x:c r="I114" s="31" t="str">
        <x:v>UNLV -6.5</x:v>
      </x:c>
      <x:c r="J114" s="80" t="str"/>
      <x:c r="K114" s="31" t="str">
        <x:v>SOURCED</x:v>
      </x:c>
      <x:c r="L114" s="31" t="str">
        <x:v>WATCH</x:v>
      </x:c>
      <x:c r="M114" s="31" t="str">
        <x:v>Aggressive source spread despite independent support for Memphis +points.</x:v>
      </x:c>
      <x:c r="N114" s="31" t="str">
        <x:v>N</x:v>
      </x:c>
      <x:c r="O114" s="31" t="str">
        <x:v>Loss</x:v>
      </x:c>
      <x:c r="P114" s="31" t="n">
        <x:v>0</x:v>
      </x:c>
      <x:c r="Q114" s="33" t="n">
        <x:v>-6</x:v>
      </x:c>
      <x:c r="R114" s="33" t="str"/>
      <x:c r="S114" s="31" t="str"/>
      <x:c r="T114" s="32" t="str"/>
      <x:c r="U114" s="31" t="str">
        <x:v>Memphis beat UNLV 27-21.</x:v>
      </x:c>
      <x:c r="V114" s="31" t="str">
        <x:v>ALT_MARKET_TEST</x:v>
      </x:c>
      <x:c r="W114" s="31" t="str">
        <x:v>EXP-23</x:v>
      </x:c>
      <x:c r="X114" s="31" t="str">
        <x:v>UNLV -6.5 ARM</x:v>
      </x:c>
      <x:c r="Y114" s="31" t="str">
        <x:v>P29-026;P29-034</x:v>
      </x:c>
      <x:c r="Z114" s="31" t="str">
        <x:v>UNLV continuity/home edge produces a decisive win beyond market spread.</x:v>
      </x:c>
      <x:c r="AA114" s="31" t="str">
        <x:v>Close UNLV win or Memphis cover shows aggressive threshold destroyed a viable ML thesis.</x:v>
      </x:c>
      <x:c r="AB114" s="31" t="str">
        <x:v>UNLV -6.5 was invalidated; opposing Memphis +4.5 was correct.</x:v>
      </x:c>
    </x:row>
    <x:row r="115">
      <x:c r="A115" s="79" t="str">
        <x:v>2026-08-29</x:v>
      </x:c>
      <x:c r="B115" s="31" t="str">
        <x:v>P29-032</x:v>
      </x:c>
      <x:c r="C115" s="31" t="str">
        <x:v>A29-D07</x:v>
      </x:c>
      <x:c r="D115" s="31" t="str">
        <x:v>PAPER</x:v>
      </x:c>
      <x:c r="E115" s="31" t="str">
        <x:v>CFB</x:v>
      </x:c>
      <x:c r="F115" s="31" t="str">
        <x:v>Sacramento State @ Eastern Michigan</x:v>
      </x:c>
      <x:c r="G115" s="31" t="str">
        <x:v>Eastern Michigan</x:v>
      </x:c>
      <x:c r="H115" s="31" t="str">
        <x:v>Spread</x:v>
      </x:c>
      <x:c r="I115" s="31" t="str">
        <x:v>Eastern Michigan -9.5</x:v>
      </x:c>
      <x:c r="J115" s="80" t="n">
        <x:v>-118</x:v>
      </x:c>
      <x:c r="K115" s="31" t="str">
        <x:v>DISCOVERED</x:v>
      </x:c>
      <x:c r="L115" s="31" t="str">
        <x:v>A-</x:v>
      </x:c>
      <x:c r="M115" s="31" t="str">
        <x:v>Independent market-spread arm.</x:v>
      </x:c>
      <x:c r="N115" s="31" t="str">
        <x:v>N</x:v>
      </x:c>
      <x:c r="O115" s="31" t="str">
        <x:v>Win</x:v>
      </x:c>
      <x:c r="P115" s="31" t="n">
        <x:v>1</x:v>
      </x:c>
      <x:c r="Q115" s="33" t="n">
        <x:v>11</x:v>
      </x:c>
      <x:c r="R115" s="33" t="str"/>
      <x:c r="S115" s="31" t="str"/>
      <x:c r="T115" s="32" t="str"/>
      <x:c r="U115" s="31" t="str">
        <x:v>EMU won by 11, so both -6.5 and -9.5 cleared.</x:v>
      </x:c>
      <x:c r="V115" s="31" t="str">
        <x:v>THRESHOLD_TEST</x:v>
      </x:c>
      <x:c r="W115" s="31" t="str">
        <x:v>EXP-19</x:v>
      </x:c>
      <x:c r="X115" s="31" t="str">
        <x:v>EMU -9.5 MARKET ARM</x:v>
      </x:c>
      <x:c r="Y115" s="31" t="str">
        <x:v>P29-025</x:v>
      </x:c>
      <x:c r="Z115" s="31" t="str">
        <x:v>EMU's experience/stability edge is large enough to cover the full market number.</x:v>
      </x:c>
      <x:c r="AA115" s="31" t="str">
        <x:v>EMU wins by 7-9, showing safer -6.5 is the better expression.</x:v>
      </x:c>
      <x:c r="AB115" s="31" t="str">
        <x:v>Here the core handicap was strong enough that threshold choice did not decide the result.</x:v>
      </x:c>
    </x:row>
    <x:row r="116">
      <x:c r="A116" s="79" t="str">
        <x:v>2026-08-29</x:v>
      </x:c>
      <x:c r="B116" s="31" t="str">
        <x:v>P29-033</x:v>
      </x:c>
      <x:c r="C116" s="31" t="str">
        <x:v>A29-D06</x:v>
      </x:c>
      <x:c r="D116" s="31" t="str">
        <x:v>PAPER</x:v>
      </x:c>
      <x:c r="E116" s="31" t="str">
        <x:v>CFB</x:v>
      </x:c>
      <x:c r="F116" s="31" t="str">
        <x:v>Hawaii @ Stanford</x:v>
      </x:c>
      <x:c r="G116" s="31" t="str">
        <x:v>Hawaii</x:v>
      </x:c>
      <x:c r="H116" s="31" t="str">
        <x:v>Spread</x:v>
      </x:c>
      <x:c r="I116" s="31" t="str">
        <x:v>Hawaii +3.5</x:v>
      </x:c>
      <x:c r="J116" s="80" t="n">
        <x:v>-105</x:v>
      </x:c>
      <x:c r="K116" s="31" t="str">
        <x:v>DISCOVERED</x:v>
      </x:c>
      <x:c r="L116" s="31" t="str">
        <x:v>A-</x:v>
      </x:c>
      <x:c r="M116" s="31" t="str">
        <x:v>Independent FanDuel favorite underdog.</x:v>
      </x:c>
      <x:c r="N116" s="31" t="str">
        <x:v>N</x:v>
      </x:c>
      <x:c r="O116" s="31" t="str">
        <x:v>Loss</x:v>
      </x:c>
      <x:c r="P116" s="31" t="n">
        <x:v>0</x:v>
      </x:c>
      <x:c r="Q116" s="33" t="n">
        <x:v>-10</x:v>
      </x:c>
      <x:c r="R116" s="33" t="str"/>
      <x:c r="S116" s="31" t="str"/>
      <x:c r="T116" s="32" t="str"/>
      <x:c r="U116" s="31" t="str">
        <x:v>Stanford beat Hawaii 37-27.</x:v>
      </x:c>
      <x:c r="V116" s="31" t="str">
        <x:v>THRESHOLD_TEST</x:v>
      </x:c>
      <x:c r="W116" s="31" t="str">
        <x:v>EXP-23</x:v>
      </x:c>
      <x:c r="X116" s="31" t="str">
        <x:v>HAWAII +3.5 MARKET ARM</x:v>
      </x:c>
      <x:c r="Y116" s="31" t="str">
        <x:v>P29-030</x:v>
      </x:c>
      <x:c r="Z116" s="31" t="str">
        <x:v>Hawaii QB continuity should keep the game within one score even if Stanford wins.</x:v>
      </x:c>
      <x:c r="AA116" s="31" t="str">
        <x:v>Stanford controls the game and wins comfortably.</x:v>
      </x:c>
      <x:c r="AB116" s="31" t="str">
        <x:v>Even the safer Hawaii +3.5 failed; core side thesis was wrong.</x:v>
      </x:c>
    </x:row>
    <x:row r="117">
      <x:c r="A117" s="79" t="str">
        <x:v>2026-08-29</x:v>
      </x:c>
      <x:c r="B117" s="31" t="str">
        <x:v>P29-034</x:v>
      </x:c>
      <x:c r="C117" s="31" t="str">
        <x:v>A29-D05</x:v>
      </x:c>
      <x:c r="D117" s="31" t="str">
        <x:v>PAPER</x:v>
      </x:c>
      <x:c r="E117" s="31" t="str">
        <x:v>CFB</x:v>
      </x:c>
      <x:c r="F117" s="31" t="str">
        <x:v>Memphis @ UNLV</x:v>
      </x:c>
      <x:c r="G117" s="31" t="str">
        <x:v>Memphis</x:v>
      </x:c>
      <x:c r="H117" s="31" t="str">
        <x:v>Spread</x:v>
      </x:c>
      <x:c r="I117" s="31" t="str">
        <x:v>Memphis +4.5</x:v>
      </x:c>
      <x:c r="J117" s="80" t="str"/>
      <x:c r="K117" s="31" t="str">
        <x:v>DISCOVERED</x:v>
      </x:c>
      <x:c r="L117" s="31" t="str">
        <x:v>A-</x:v>
      </x:c>
      <x:c r="M117" s="31" t="str">
        <x:v>Action best bet and CBS model support.</x:v>
      </x:c>
      <x:c r="N117" s="31" t="str">
        <x:v>N</x:v>
      </x:c>
      <x:c r="O117" s="31" t="str">
        <x:v>Win</x:v>
      </x:c>
      <x:c r="P117" s="31" t="n">
        <x:v>1</x:v>
      </x:c>
      <x:c r="Q117" s="33" t="n">
        <x:v>6</x:v>
      </x:c>
      <x:c r="R117" s="33" t="str"/>
      <x:c r="S117" s="31" t="str"/>
      <x:c r="T117" s="32" t="str"/>
      <x:c r="U117" s="31" t="str">
        <x:v>Memphis beat UNLV 27-21; Memphis +4.5 cleared.</x:v>
      </x:c>
      <x:c r="V117" s="31" t="str">
        <x:v>ALT_MARKET_TEST</x:v>
      </x:c>
      <x:c r="W117" s="31" t="str">
        <x:v>EXP-23</x:v>
      </x:c>
      <x:c r="X117" s="31" t="str">
        <x:v>MEMPHIS +4.5 ARM</x:v>
      </x:c>
      <x:c r="Y117" s="31" t="str">
        <x:v>P29-026;P29-031</x:v>
      </x:c>
      <x:c r="Z117" s="31" t="str">
        <x:v>Memphis offensive-line continuity keeps the game within one score despite roster turnover.</x:v>
      </x:c>
      <x:c r="AA117" s="31" t="str">
        <x:v>UNLV wins by 5+ and continuity advantage proves decisive.</x:v>
      </x:c>
      <x:c r="AB117" s="31" t="str">
        <x:v>Independent opposing arm was correct; disagreement should have vetoed real UNLV/Hawaii-type exposure.</x:v>
      </x:c>
    </x:row>
    <x:row r="118">
      <x:c r="A118" s="79" t="str">
        <x:v>2026-08-29</x:v>
      </x:c>
      <x:c r="B118" s="31" t="str">
        <x:v>P29-035</x:v>
      </x:c>
      <x:c r="C118" s="31" t="str">
        <x:v>A29-HR01</x:v>
      </x:c>
      <x:c r="D118" s="31" t="str">
        <x:v>PAPER</x:v>
      </x:c>
      <x:c r="E118" s="31" t="str">
        <x:v>MLB</x:v>
      </x:c>
      <x:c r="F118" s="31" t="str">
        <x:v>LAD matchup</x:v>
      </x:c>
      <x:c r="G118" s="31" t="str">
        <x:v>Shohei Ohtani</x:v>
      </x:c>
      <x:c r="H118" s="31" t="str">
        <x:v>HR</x:v>
      </x:c>
      <x:c r="I118" s="31" t="str">
        <x:v>Home Run</x:v>
      </x:c>
      <x:c r="J118" s="80" t="n">
        <x:v>306</x:v>
      </x:c>
      <x:c r="K118" s="31" t="str">
        <x:v>SOURCED</x:v>
      </x:c>
      <x:c r="L118" s="31" t="str">
        <x:v>B</x:v>
      </x:c>
      <x:c r="M118" s="31" t="str">
        <x:v>Toad model source HR probability 23.1%.</x:v>
      </x:c>
      <x:c r="N118" s="31" t="str">
        <x:v>N</x:v>
      </x:c>
      <x:c r="O118" s="31" t="str">
        <x:v>Pending</x:v>
      </x:c>
      <x:c r="P118" s="31" t="str"/>
      <x:c r="Q118" s="33" t="n">
        <x:v>0</x:v>
      </x:c>
      <x:c r="R118" s="33" t="str"/>
      <x:c r="S118" s="31" t="str"/>
      <x:c r="T118" s="32" t="str"/>
      <x:c r="U118" s="31" t="str">
        <x:v>Prospectively tracked before games; raw source odds +306.</x:v>
      </x:c>
      <x:c r="V118" s="31" t="str">
        <x:v>PRICE_TEST</x:v>
      </x:c>
      <x:c r="W118" s="31" t="str">
        <x:v>EXP-16</x:v>
      </x:c>
      <x:c r="X118" s="31" t="str">
        <x:v>TOAD HR MODEL SHOHEI OHTANI ARM</x:v>
      </x:c>
      <x:c r="Y118" s="31" t="str"/>
      <x:c r="Z118" s="31" t="str">
        <x:v>Source model probability and market price gap should help rank HR candidates before independent matchup adjustment.</x:v>
      </x:c>
      <x:c r="AA118" s="31" t="str">
        <x:v>Raw model rank/gap fails to predict results or closing value over sample.</x:v>
      </x:c>
      <x:c r="AB118" s="31" t="str"/>
    </x:row>
    <x:row r="119">
      <x:c r="A119" s="79" t="str">
        <x:v>2026-08-29</x:v>
      </x:c>
      <x:c r="B119" s="31" t="str">
        <x:v>P29-036</x:v>
      </x:c>
      <x:c r="C119" s="31" t="str">
        <x:v>A29-HR02</x:v>
      </x:c>
      <x:c r="D119" s="31" t="str">
        <x:v>PAPER</x:v>
      </x:c>
      <x:c r="E119" s="31" t="str">
        <x:v>MLB</x:v>
      </x:c>
      <x:c r="F119" s="31" t="str">
        <x:v>PIT matchup</x:v>
      </x:c>
      <x:c r="G119" s="31" t="str">
        <x:v>Rafael Flores</x:v>
      </x:c>
      <x:c r="H119" s="31" t="str">
        <x:v>HR</x:v>
      </x:c>
      <x:c r="I119" s="31" t="str">
        <x:v>Home Run</x:v>
      </x:c>
      <x:c r="J119" s="80" t="n">
        <x:v>600</x:v>
      </x:c>
      <x:c r="K119" s="31" t="str">
        <x:v>SOURCED</x:v>
      </x:c>
      <x:c r="L119" s="31" t="str">
        <x:v>B</x:v>
      </x:c>
      <x:c r="M119" s="31" t="str">
        <x:v>Toad model source HR probability 22.1%.</x:v>
      </x:c>
      <x:c r="N119" s="31" t="str">
        <x:v>N</x:v>
      </x:c>
      <x:c r="O119" s="31" t="str">
        <x:v>Pending</x:v>
      </x:c>
      <x:c r="P119" s="31" t="str"/>
      <x:c r="Q119" s="33" t="n">
        <x:v>0</x:v>
      </x:c>
      <x:c r="R119" s="33" t="str"/>
      <x:c r="S119" s="31" t="str"/>
      <x:c r="T119" s="32" t="str"/>
      <x:c r="U119" s="31" t="str">
        <x:v>Prospectively tracked before games; raw source odds +600.</x:v>
      </x:c>
      <x:c r="V119" s="31" t="str">
        <x:v>PRICE_TEST</x:v>
      </x:c>
      <x:c r="W119" s="31" t="str">
        <x:v>EXP-16</x:v>
      </x:c>
      <x:c r="X119" s="31" t="str">
        <x:v>TOAD HR MODEL RAFAEL FLORES ARM</x:v>
      </x:c>
      <x:c r="Y119" s="31" t="str"/>
      <x:c r="Z119" s="31" t="str">
        <x:v>Source model probability and market price gap should help rank HR candidates before independent matchup adjustment.</x:v>
      </x:c>
      <x:c r="AA119" s="31" t="str">
        <x:v>Raw model rank/gap fails to predict results or closing value over sample.</x:v>
      </x:c>
      <x:c r="AB119" s="31" t="str"/>
    </x:row>
    <x:row r="120">
      <x:c r="A120" s="79" t="str">
        <x:v>2026-08-29</x:v>
      </x:c>
      <x:c r="B120" s="31" t="str">
        <x:v>P29-037</x:v>
      </x:c>
      <x:c r="C120" s="31" t="str">
        <x:v>A29-HR03</x:v>
      </x:c>
      <x:c r="D120" s="31" t="str">
        <x:v>PAPER</x:v>
      </x:c>
      <x:c r="E120" s="31" t="str">
        <x:v>MLB</x:v>
      </x:c>
      <x:c r="F120" s="31" t="str">
        <x:v>WSH matchup</x:v>
      </x:c>
      <x:c r="G120" s="31" t="str">
        <x:v>CJ Abrams</x:v>
      </x:c>
      <x:c r="H120" s="31" t="str">
        <x:v>HR</x:v>
      </x:c>
      <x:c r="I120" s="31" t="str">
        <x:v>Home Run</x:v>
      </x:c>
      <x:c r="J120" s="80" t="n">
        <x:v>400</x:v>
      </x:c>
      <x:c r="K120" s="31" t="str">
        <x:v>SOURCED</x:v>
      </x:c>
      <x:c r="L120" s="31" t="str">
        <x:v>B</x:v>
      </x:c>
      <x:c r="M120" s="31" t="str">
        <x:v>Toad model source HR probability 20.8%.</x:v>
      </x:c>
      <x:c r="N120" s="31" t="str">
        <x:v>N</x:v>
      </x:c>
      <x:c r="O120" s="31" t="str">
        <x:v>Pending</x:v>
      </x:c>
      <x:c r="P120" s="31" t="str"/>
      <x:c r="Q120" s="33" t="n">
        <x:v>0</x:v>
      </x:c>
      <x:c r="R120" s="33" t="str"/>
      <x:c r="S120" s="31" t="str"/>
      <x:c r="T120" s="32" t="str"/>
      <x:c r="U120" s="31" t="str">
        <x:v>Prospectively tracked before games; raw source odds +400.</x:v>
      </x:c>
      <x:c r="V120" s="31" t="str">
        <x:v>PRICE_TEST</x:v>
      </x:c>
      <x:c r="W120" s="31" t="str">
        <x:v>EXP-16</x:v>
      </x:c>
      <x:c r="X120" s="31" t="str">
        <x:v>TOAD HR MODEL CJ ABRAMS ARM</x:v>
      </x:c>
      <x:c r="Y120" s="31" t="str"/>
      <x:c r="Z120" s="31" t="str">
        <x:v>Source model probability and market price gap should help rank HR candidates before independent matchup adjustment.</x:v>
      </x:c>
      <x:c r="AA120" s="31" t="str">
        <x:v>Raw model rank/gap fails to predict results or closing value over sample.</x:v>
      </x:c>
      <x:c r="AB120" s="31" t="str"/>
    </x:row>
    <x:row r="121">
      <x:c r="A121" s="79" t="str">
        <x:v>2026-08-29</x:v>
      </x:c>
      <x:c r="B121" s="31" t="str">
        <x:v>P29-038</x:v>
      </x:c>
      <x:c r="C121" s="31" t="str">
        <x:v>A29-HR04</x:v>
      </x:c>
      <x:c r="D121" s="31" t="str">
        <x:v>PAPER</x:v>
      </x:c>
      <x:c r="E121" s="31" t="str">
        <x:v>MLB</x:v>
      </x:c>
      <x:c r="F121" s="31" t="str">
        <x:v>MIA matchup</x:v>
      </x:c>
      <x:c r="G121" s="31" t="str">
        <x:v>Kyle Stowers</x:v>
      </x:c>
      <x:c r="H121" s="31" t="str">
        <x:v>HR</x:v>
      </x:c>
      <x:c r="I121" s="31" t="str">
        <x:v>Home Run</x:v>
      </x:c>
      <x:c r="J121" s="80" t="n">
        <x:v>380</x:v>
      </x:c>
      <x:c r="K121" s="31" t="str">
        <x:v>SOURCED</x:v>
      </x:c>
      <x:c r="L121" s="31" t="str">
        <x:v>B</x:v>
      </x:c>
      <x:c r="M121" s="31" t="str">
        <x:v>Toad model source HR probability 20.7%.</x:v>
      </x:c>
      <x:c r="N121" s="31" t="str">
        <x:v>N</x:v>
      </x:c>
      <x:c r="O121" s="31" t="str">
        <x:v>Pending</x:v>
      </x:c>
      <x:c r="P121" s="31" t="str"/>
      <x:c r="Q121" s="33" t="n">
        <x:v>0</x:v>
      </x:c>
      <x:c r="R121" s="33" t="str"/>
      <x:c r="S121" s="31" t="str"/>
      <x:c r="T121" s="32" t="str"/>
      <x:c r="U121" s="31" t="str">
        <x:v>Prospectively tracked before games; raw source odds +380.</x:v>
      </x:c>
      <x:c r="V121" s="31" t="str">
        <x:v>PRICE_TEST</x:v>
      </x:c>
      <x:c r="W121" s="31" t="str">
        <x:v>EXP-16</x:v>
      </x:c>
      <x:c r="X121" s="31" t="str">
        <x:v>TOAD HR MODEL KYLE STOWERS ARM</x:v>
      </x:c>
      <x:c r="Y121" s="31" t="str"/>
      <x:c r="Z121" s="31" t="str">
        <x:v>Source model probability and market price gap should help rank HR candidates before independent matchup adjustment.</x:v>
      </x:c>
      <x:c r="AA121" s="31" t="str">
        <x:v>Raw model rank/gap fails to predict results or closing value over sample.</x:v>
      </x:c>
      <x:c r="AB121" s="31" t="str"/>
    </x:row>
    <x:row r="122">
      <x:c r="A122" s="79" t="str">
        <x:v>2026-08-29</x:v>
      </x:c>
      <x:c r="B122" s="31" t="str">
        <x:v>P29-039</x:v>
      </x:c>
      <x:c r="C122" s="31" t="str">
        <x:v>A29-HR05</x:v>
      </x:c>
      <x:c r="D122" s="31" t="str">
        <x:v>PAPER</x:v>
      </x:c>
      <x:c r="E122" s="31" t="str">
        <x:v>MLB</x:v>
      </x:c>
      <x:c r="F122" s="31" t="str">
        <x:v>ATL matchup</x:v>
      </x:c>
      <x:c r="G122" s="31" t="str">
        <x:v>Ronald Acuna Jr.</x:v>
      </x:c>
      <x:c r="H122" s="31" t="str">
        <x:v>HR</x:v>
      </x:c>
      <x:c r="I122" s="31" t="str">
        <x:v>Home Run</x:v>
      </x:c>
      <x:c r="J122" s="80" t="n">
        <x:v>420</x:v>
      </x:c>
      <x:c r="K122" s="31" t="str">
        <x:v>SOURCED</x:v>
      </x:c>
      <x:c r="L122" s="31" t="str">
        <x:v>B</x:v>
      </x:c>
      <x:c r="M122" s="31" t="str">
        <x:v>Toad model source HR probability 20.6%.</x:v>
      </x:c>
      <x:c r="N122" s="31" t="str">
        <x:v>N</x:v>
      </x:c>
      <x:c r="O122" s="31" t="str">
        <x:v>Pending</x:v>
      </x:c>
      <x:c r="P122" s="31" t="str"/>
      <x:c r="Q122" s="33" t="n">
        <x:v>0</x:v>
      </x:c>
      <x:c r="R122" s="33" t="str"/>
      <x:c r="S122" s="31" t="str"/>
      <x:c r="T122" s="32" t="str"/>
      <x:c r="U122" s="31" t="str">
        <x:v>Prospectively tracked before games; raw source odds +420.</x:v>
      </x:c>
      <x:c r="V122" s="31" t="str">
        <x:v>PRICE_TEST</x:v>
      </x:c>
      <x:c r="W122" s="31" t="str">
        <x:v>EXP-16</x:v>
      </x:c>
      <x:c r="X122" s="31" t="str">
        <x:v>TOAD HR MODEL RONALD ACUNA JR. ARM</x:v>
      </x:c>
      <x:c r="Y122" s="31" t="str"/>
      <x:c r="Z122" s="31" t="str">
        <x:v>Source model probability and market price gap should help rank HR candidates before independent matchup adjustment.</x:v>
      </x:c>
      <x:c r="AA122" s="31" t="str">
        <x:v>Raw model rank/gap fails to predict results or closing value over sample.</x:v>
      </x:c>
      <x:c r="AB122" s="31" t="str"/>
    </x:row>
    <x:row r="123">
      <x:c r="A123" s="79" t="str">
        <x:v>2026-08-29</x:v>
      </x:c>
      <x:c r="B123" s="31" t="str">
        <x:v>P29-040</x:v>
      </x:c>
      <x:c r="C123" s="31" t="str">
        <x:v>A29-HR06</x:v>
      </x:c>
      <x:c r="D123" s="31" t="str">
        <x:v>PAPER</x:v>
      </x:c>
      <x:c r="E123" s="31" t="str">
        <x:v>MLB</x:v>
      </x:c>
      <x:c r="F123" s="31" t="str">
        <x:v>CIN matchup</x:v>
      </x:c>
      <x:c r="G123" s="31" t="str">
        <x:v>Sal Stewart</x:v>
      </x:c>
      <x:c r="H123" s="31" t="str">
        <x:v>HR</x:v>
      </x:c>
      <x:c r="I123" s="31" t="str">
        <x:v>Home Run</x:v>
      </x:c>
      <x:c r="J123" s="80" t="n">
        <x:v>473</x:v>
      </x:c>
      <x:c r="K123" s="31" t="str">
        <x:v>SOURCED</x:v>
      </x:c>
      <x:c r="L123" s="31" t="str">
        <x:v>B</x:v>
      </x:c>
      <x:c r="M123" s="31" t="str">
        <x:v>Toad model source HR probability 20.1%.</x:v>
      </x:c>
      <x:c r="N123" s="31" t="str">
        <x:v>N</x:v>
      </x:c>
      <x:c r="O123" s="31" t="str">
        <x:v>Pending</x:v>
      </x:c>
      <x:c r="P123" s="31" t="str"/>
      <x:c r="Q123" s="33" t="n">
        <x:v>0</x:v>
      </x:c>
      <x:c r="R123" s="33" t="str"/>
      <x:c r="S123" s="31" t="str"/>
      <x:c r="T123" s="32" t="str"/>
      <x:c r="U123" s="31" t="str">
        <x:v>Prospectively tracked before games; raw source odds +473.</x:v>
      </x:c>
      <x:c r="V123" s="31" t="str">
        <x:v>PRICE_TEST</x:v>
      </x:c>
      <x:c r="W123" s="31" t="str">
        <x:v>EXP-16</x:v>
      </x:c>
      <x:c r="X123" s="31" t="str">
        <x:v>TOAD HR MODEL SAL STEWART ARM</x:v>
      </x:c>
      <x:c r="Y123" s="31" t="str"/>
      <x:c r="Z123" s="31" t="str">
        <x:v>Source model probability and market price gap should help rank HR candidates before independent matchup adjustment.</x:v>
      </x:c>
      <x:c r="AA123" s="31" t="str">
        <x:v>Raw model rank/gap fails to predict results or closing value over sample.</x:v>
      </x:c>
      <x:c r="AB123" s="31" t="str"/>
    </x:row>
    <x:row r="124">
      <x:c r="A124" s="79" t="str">
        <x:v>2026-08-29</x:v>
      </x:c>
      <x:c r="B124" s="31" t="str">
        <x:v>P29-041</x:v>
      </x:c>
      <x:c r="C124" s="31" t="str">
        <x:v>A29-HR07</x:v>
      </x:c>
      <x:c r="D124" s="31" t="str">
        <x:v>PAPER</x:v>
      </x:c>
      <x:c r="E124" s="31" t="str">
        <x:v>MLB</x:v>
      </x:c>
      <x:c r="F124" s="31" t="str">
        <x:v>SD matchup</x:v>
      </x:c>
      <x:c r="G124" s="31" t="str">
        <x:v>Fernando Tatis Jr.</x:v>
      </x:c>
      <x:c r="H124" s="31" t="str">
        <x:v>HR</x:v>
      </x:c>
      <x:c r="I124" s="31" t="str">
        <x:v>Home Run</x:v>
      </x:c>
      <x:c r="J124" s="80" t="n">
        <x:v>368</x:v>
      </x:c>
      <x:c r="K124" s="31" t="str">
        <x:v>SOURCED</x:v>
      </x:c>
      <x:c r="L124" s="31" t="str">
        <x:v>B</x:v>
      </x:c>
      <x:c r="M124" s="31" t="str">
        <x:v>Toad model source HR probability 19.8%.</x:v>
      </x:c>
      <x:c r="N124" s="31" t="str">
        <x:v>N</x:v>
      </x:c>
      <x:c r="O124" s="31" t="str">
        <x:v>Pending</x:v>
      </x:c>
      <x:c r="P124" s="31" t="str"/>
      <x:c r="Q124" s="33" t="n">
        <x:v>0</x:v>
      </x:c>
      <x:c r="R124" s="33" t="str"/>
      <x:c r="S124" s="31" t="str"/>
      <x:c r="T124" s="32" t="str"/>
      <x:c r="U124" s="31" t="str">
        <x:v>Prospectively tracked before games; raw source odds +368.</x:v>
      </x:c>
      <x:c r="V124" s="31" t="str">
        <x:v>PRICE_TEST</x:v>
      </x:c>
      <x:c r="W124" s="31" t="str">
        <x:v>EXP-16</x:v>
      </x:c>
      <x:c r="X124" s="31" t="str">
        <x:v>TOAD HR MODEL FERNANDO TATIS JR. ARM</x:v>
      </x:c>
      <x:c r="Y124" s="31" t="str"/>
      <x:c r="Z124" s="31" t="str">
        <x:v>Source model probability and market price gap should help rank HR candidates before independent matchup adjustment.</x:v>
      </x:c>
      <x:c r="AA124" s="31" t="str">
        <x:v>Raw model rank/gap fails to predict results or closing value over sample.</x:v>
      </x:c>
      <x:c r="AB124" s="31" t="str"/>
    </x:row>
    <x:row r="125">
      <x:c r="A125" s="79" t="str">
        <x:v>2026-08-29</x:v>
      </x:c>
      <x:c r="B125" s="31" t="str">
        <x:v>P29-042</x:v>
      </x:c>
      <x:c r="C125" s="31" t="str">
        <x:v>A29-HR08</x:v>
      </x:c>
      <x:c r="D125" s="31" t="str">
        <x:v>PAPER</x:v>
      </x:c>
      <x:c r="E125" s="31" t="str">
        <x:v>MLB</x:v>
      </x:c>
      <x:c r="F125" s="31" t="str">
        <x:v>MIN matchup</x:v>
      </x:c>
      <x:c r="G125" s="31" t="str">
        <x:v>Kody Clemens</x:v>
      </x:c>
      <x:c r="H125" s="31" t="str">
        <x:v>HR</x:v>
      </x:c>
      <x:c r="I125" s="31" t="str">
        <x:v>Home Run</x:v>
      </x:c>
      <x:c r="J125" s="80" t="n">
        <x:v>470</x:v>
      </x:c>
      <x:c r="K125" s="31" t="str">
        <x:v>SOURCED</x:v>
      </x:c>
      <x:c r="L125" s="31" t="str">
        <x:v>B</x:v>
      </x:c>
      <x:c r="M125" s="31" t="str">
        <x:v>Toad model source HR probability 19.5%.</x:v>
      </x:c>
      <x:c r="N125" s="31" t="str">
        <x:v>N</x:v>
      </x:c>
      <x:c r="O125" s="31" t="str">
        <x:v>Pending</x:v>
      </x:c>
      <x:c r="P125" s="31" t="str"/>
      <x:c r="Q125" s="33" t="n">
        <x:v>0</x:v>
      </x:c>
      <x:c r="R125" s="33" t="str"/>
      <x:c r="S125" s="31" t="str"/>
      <x:c r="T125" s="32" t="str"/>
      <x:c r="U125" s="31" t="str">
        <x:v>Prospectively tracked before games; raw source odds +470.</x:v>
      </x:c>
      <x:c r="V125" s="31" t="str">
        <x:v>PRICE_TEST</x:v>
      </x:c>
      <x:c r="W125" s="31" t="str">
        <x:v>EXP-16</x:v>
      </x:c>
      <x:c r="X125" s="31" t="str">
        <x:v>TOAD HR MODEL KODY CLEMENS ARM</x:v>
      </x:c>
      <x:c r="Y125" s="31" t="str"/>
      <x:c r="Z125" s="31" t="str">
        <x:v>Source model probability and market price gap should help rank HR candidates before independent matchup adjustment.</x:v>
      </x:c>
      <x:c r="AA125" s="31" t="str">
        <x:v>Raw model rank/gap fails to predict results or closing value over sample.</x:v>
      </x:c>
      <x:c r="AB125" s="31" t="str"/>
    </x:row>
    <x:row r="126">
      <x:c r="A126" s="79" t="str">
        <x:v>2026-08-29</x:v>
      </x:c>
      <x:c r="B126" s="31" t="str">
        <x:v>P29-043</x:v>
      </x:c>
      <x:c r="C126" s="31" t="str">
        <x:v>A29-HR09</x:v>
      </x:c>
      <x:c r="D126" s="31" t="str">
        <x:v>PAPER</x:v>
      </x:c>
      <x:c r="E126" s="31" t="str">
        <x:v>MLB</x:v>
      </x:c>
      <x:c r="F126" s="31" t="str">
        <x:v>CHC matchup</x:v>
      </x:c>
      <x:c r="G126" s="31" t="str">
        <x:v>Alex Bregman</x:v>
      </x:c>
      <x:c r="H126" s="31" t="str">
        <x:v>HR</x:v>
      </x:c>
      <x:c r="I126" s="31" t="str">
        <x:v>Home Run</x:v>
      </x:c>
      <x:c r="J126" s="80" t="n">
        <x:v>560</x:v>
      </x:c>
      <x:c r="K126" s="31" t="str">
        <x:v>SOURCED</x:v>
      </x:c>
      <x:c r="L126" s="31" t="str">
        <x:v>B</x:v>
      </x:c>
      <x:c r="M126" s="31" t="str">
        <x:v>Toad model source HR probability 19.4%.</x:v>
      </x:c>
      <x:c r="N126" s="31" t="str">
        <x:v>N</x:v>
      </x:c>
      <x:c r="O126" s="31" t="str">
        <x:v>Pending</x:v>
      </x:c>
      <x:c r="P126" s="31" t="str"/>
      <x:c r="Q126" s="33" t="n">
        <x:v>0</x:v>
      </x:c>
      <x:c r="R126" s="33" t="str"/>
      <x:c r="S126" s="31" t="str"/>
      <x:c r="T126" s="32" t="str"/>
      <x:c r="U126" s="31" t="str">
        <x:v>Prospectively tracked before games; raw source odds +560.</x:v>
      </x:c>
      <x:c r="V126" s="31" t="str">
        <x:v>PRICE_TEST</x:v>
      </x:c>
      <x:c r="W126" s="31" t="str">
        <x:v>EXP-16</x:v>
      </x:c>
      <x:c r="X126" s="31" t="str">
        <x:v>TOAD HR MODEL ALEX BREGMAN ARM</x:v>
      </x:c>
      <x:c r="Y126" s="31" t="str"/>
      <x:c r="Z126" s="31" t="str">
        <x:v>Source model probability and market price gap should help rank HR candidates before independent matchup adjustment.</x:v>
      </x:c>
      <x:c r="AA126" s="31" t="str">
        <x:v>Raw model rank/gap fails to predict results or closing value over sample.</x:v>
      </x:c>
      <x:c r="AB126" s="31" t="str"/>
    </x:row>
    <x:row r="127">
      <x:c r="A127" s="79" t="str">
        <x:v>2026-08-29</x:v>
      </x:c>
      <x:c r="B127" s="31" t="str">
        <x:v>P29-044</x:v>
      </x:c>
      <x:c r="C127" s="31" t="str">
        <x:v>A29-HR10</x:v>
      </x:c>
      <x:c r="D127" s="31" t="str">
        <x:v>PAPER</x:v>
      </x:c>
      <x:c r="E127" s="31" t="str">
        <x:v>MLB</x:v>
      </x:c>
      <x:c r="F127" s="31" t="str">
        <x:v>SEA matchup</x:v>
      </x:c>
      <x:c r="G127" s="31" t="str">
        <x:v>Dominic Canzone</x:v>
      </x:c>
      <x:c r="H127" s="31" t="str">
        <x:v>HR</x:v>
      </x:c>
      <x:c r="I127" s="31" t="str">
        <x:v>Home Run</x:v>
      </x:c>
      <x:c r="J127" s="80" t="n">
        <x:v>520</x:v>
      </x:c>
      <x:c r="K127" s="31" t="str">
        <x:v>SOURCED</x:v>
      </x:c>
      <x:c r="L127" s="31" t="str">
        <x:v>B</x:v>
      </x:c>
      <x:c r="M127" s="31" t="str">
        <x:v>Toad model source HR probability 19.0%.</x:v>
      </x:c>
      <x:c r="N127" s="31" t="str">
        <x:v>N</x:v>
      </x:c>
      <x:c r="O127" s="31" t="str">
        <x:v>Pending</x:v>
      </x:c>
      <x:c r="P127" s="31" t="str"/>
      <x:c r="Q127" s="33" t="n">
        <x:v>0</x:v>
      </x:c>
      <x:c r="R127" s="33" t="str"/>
      <x:c r="S127" s="31" t="str"/>
      <x:c r="T127" s="32" t="str"/>
      <x:c r="U127" s="31" t="str">
        <x:v>Prospectively tracked before games; raw source odds +520.</x:v>
      </x:c>
      <x:c r="V127" s="31" t="str">
        <x:v>PRICE_TEST</x:v>
      </x:c>
      <x:c r="W127" s="31" t="str">
        <x:v>EXP-16</x:v>
      </x:c>
      <x:c r="X127" s="31" t="str">
        <x:v>TOAD HR MODEL DOMINIC CANZONE ARM</x:v>
      </x:c>
      <x:c r="Y127" s="31" t="str"/>
      <x:c r="Z127" s="31" t="str">
        <x:v>Source model probability and market price gap should help rank HR candidates before independent matchup adjustment.</x:v>
      </x:c>
      <x:c r="AA127" s="31" t="str">
        <x:v>Raw model rank/gap fails to predict results or closing value over sample.</x:v>
      </x:c>
      <x:c r="AB127" s="31" t="str"/>
    </x:row>
    <x:row r="128">
      <x:c r="A128" s="79" t="str">
        <x:v>2026-08-29</x:v>
      </x:c>
      <x:c r="B128" s="31" t="str">
        <x:v>P29-045</x:v>
      </x:c>
      <x:c r="C128" s="31" t="str">
        <x:v>A29-R21;A29-R18;A29-R17</x:v>
      </x:c>
      <x:c r="D128" s="31" t="str">
        <x:v>PAPER</x:v>
      </x:c>
      <x:c r="E128" s="31" t="str">
        <x:v>CFB</x:v>
      </x:c>
      <x:c r="F128" s="31" t="str">
        <x:v>3-game parlay</x:v>
      </x:c>
      <x:c r="G128" s="31" t="str">
        <x:v>TCU + EMU + JAX ST</x:v>
      </x:c>
      <x:c r="H128" s="31" t="str">
        <x:v>CFB Primary Parlay</x:v>
      </x:c>
      <x:c r="I128" s="31" t="str">
        <x:v>TCU -6.5 + Eastern Michigan -6.5 + Jacksonville State +10.5</x:v>
      </x:c>
      <x:c r="J128" s="80" t="str"/>
      <x:c r="K128" s="31" t="str">
        <x:v>HYBRID</x:v>
      </x:c>
      <x:c r="L128" s="31" t="str">
        <x:v>A</x:v>
      </x:c>
      <x:c r="M128" s="31" t="str">
        <x:v>Primary real-money candidate built from favorable alternate thresholds and source/independent convergence.</x:v>
      </x:c>
      <x:c r="N128" s="31" t="str">
        <x:v>N</x:v>
      </x:c>
      <x:c r="O128" s="31" t="str">
        <x:v>Loss</x:v>
      </x:c>
      <x:c r="P128" s="31" t="n">
        <x:v>0</x:v>
      </x:c>
      <x:c r="Q128" s="33" t="str"/>
      <x:c r="R128" s="33" t="str"/>
      <x:c r="S128" s="31" t="str"/>
      <x:c r="T128" s="32" t="str"/>
      <x:c r="U128" s="31" t="str">
        <x:v>Real primary CFB cluster: TCU L, EMU W, JAX L.</x:v>
      </x:c>
      <x:c r="V128" s="31" t="str">
        <x:v>CONSTRUCTION_TEST</x:v>
      </x:c>
      <x:c r="W128" s="31" t="str">
        <x:v>EXP-19</x:v>
      </x:c>
      <x:c r="X128" s="31" t="str">
        <x:v>CFB PRIMARY ALT-SPREAD CARD</x:v>
      </x:c>
      <x:c r="Y128" s="31" t="str"/>
      <x:c r="Z128" s="31" t="str">
        <x:v>Using favorable alternate spreads around the strongest convergence games should preserve edge better than market spreads or extreme source alternates.</x:v>
      </x:c>
      <x:c r="AA128" s="31" t="str">
        <x:v>TCU fails to cover -6.5, EMU fails despite two-source convergence, or JAX loses by 11+.</x:v>
      </x:c>
      <x:c r="AB128" s="31" t="str">
        <x:v>1/3; threshold protection could not rescue two wrong sides.</x:v>
      </x:c>
    </x:row>
    <x:row r="129">
      <x:c r="A129" s="79" t="str">
        <x:v>2026-08-29</x:v>
      </x:c>
      <x:c r="B129" s="31" t="str">
        <x:v>P29-046</x:v>
      </x:c>
      <x:c r="C129" s="31" t="str">
        <x:v>A29-D02;A29-D06;A29-D10</x:v>
      </x:c>
      <x:c r="D129" s="31" t="str">
        <x:v>PAPER</x:v>
      </x:c>
      <x:c r="E129" s="31" t="str">
        <x:v>CFB</x:v>
      </x:c>
      <x:c r="F129" s="31" t="str">
        <x:v>3-game parlay</x:v>
      </x:c>
      <x:c r="G129" s="31" t="str">
        <x:v>Miller + Hawaii + MEM/UNLV</x:v>
      </x:c>
      <x:c r="H129" s="31" t="str">
        <x:v>CFB Secondary Parlay</x:v>
      </x:c>
      <x:c r="I129" s="31" t="str">
        <x:v>King Miller O65.5 rush + Hawaii +3.5/+4.5 + Memphis/UNLV O56.5</x:v>
      </x:c>
      <x:c r="J129" s="80" t="str"/>
      <x:c r="K129" s="31" t="str">
        <x:v>DISCOVERED</x:v>
      </x:c>
      <x:c r="L129" s="31" t="str">
        <x:v>A-</x:v>
      </x:c>
      <x:c r="M129" s="31" t="str">
        <x:v>Independent/differentiated second card with no repeated legs from the primary parlay.</x:v>
      </x:c>
      <x:c r="N129" s="31" t="str">
        <x:v>N</x:v>
      </x:c>
      <x:c r="O129" s="31" t="str">
        <x:v>Loss</x:v>
      </x:c>
      <x:c r="P129" s="31" t="n">
        <x:v>0</x:v>
      </x:c>
      <x:c r="Q129" s="33" t="str"/>
      <x:c r="R129" s="33" t="str"/>
      <x:c r="S129" s="31" t="str"/>
      <x:c r="T129" s="32" t="str"/>
      <x:c r="U129" s="31" t="str">
        <x:v>Real secondary CFB cluster: Miller 60+ W, Hawaii +4.5 L, O56.5 L.</x:v>
      </x:c>
      <x:c r="V129" s="31" t="str">
        <x:v>CONSTRUCTION_TEST</x:v>
      </x:c>
      <x:c r="W129" s="31" t="str">
        <x:v>EXP-23</x:v>
      </x:c>
      <x:c r="X129" s="31" t="str">
        <x:v>CFB DIFFERENTIATED CARD</x:v>
      </x:c>
      <x:c r="Y129" s="31" t="str"/>
      <x:c r="Z129" s="31" t="str">
        <x:v>Combining a role-based player prop, a continuity-based underdog spread, and a game-total edge diversifies failure modes across the slate.</x:v>
      </x:c>
      <x:c r="AA129" s="31" t="str">
        <x:v>One of the three theses proves too uncertain for real-money deployment after exact-price audit.</x:v>
      </x:c>
      <x:c r="AB129" s="31" t="str">
        <x:v>Only the hard role-based player prop survived.</x:v>
      </x:c>
    </x:row>
    <x:row r="130">
      <x:c r="A130" s="79" t="str">
        <x:v>2026-08-29</x:v>
      </x:c>
      <x:c r="B130" s="31" t="str">
        <x:v>P29-047</x:v>
      </x:c>
      <x:c r="C130" s="31" t="str">
        <x:v>A29-R21;A29-R18</x:v>
      </x:c>
      <x:c r="D130" s="31" t="str">
        <x:v>PAPER</x:v>
      </x:c>
      <x:c r="E130" s="31" t="str">
        <x:v>CFB</x:v>
      </x:c>
      <x:c r="F130" s="31" t="str">
        <x:v>2-game subset</x:v>
      </x:c>
      <x:c r="G130" s="31" t="str">
        <x:v>TCU + EMU</x:v>
      </x:c>
      <x:c r="H130" s="31" t="str">
        <x:v>2-leg subset</x:v>
      </x:c>
      <x:c r="I130" s="31" t="str">
        <x:v>TCU -6.5 + Eastern Michigan -6.5</x:v>
      </x:c>
      <x:c r="J130" s="80" t="str"/>
      <x:c r="K130" s="31" t="str">
        <x:v>HYBRID</x:v>
      </x:c>
      <x:c r="L130" s="31" t="str">
        <x:v>A</x:v>
      </x:c>
      <x:c r="M130" s="31" t="str">
        <x:v>Two strongest convergence legs from primary CFB card.</x:v>
      </x:c>
      <x:c r="N130" s="31" t="str">
        <x:v>N</x:v>
      </x:c>
      <x:c r="O130" s="31" t="str">
        <x:v>Pending</x:v>
      </x:c>
      <x:c r="P130" s="31" t="str"/>
      <x:c r="Q130" s="33" t="str"/>
      <x:c r="R130" s="33" t="str"/>
      <x:c r="S130" s="31" t="str"/>
      <x:c r="T130" s="32" t="str"/>
      <x:c r="U130" s="31" t="str">
        <x:v>Outcome-only unless exact combined odds captured.</x:v>
      </x:c>
      <x:c r="V130" s="31" t="str">
        <x:v>CONSTRUCTION_TEST</x:v>
      </x:c>
      <x:c r="W130" s="31" t="str">
        <x:v>EXP-09</x:v>
      </x:c>
      <x:c r="X130" s="31" t="str">
        <x:v>CFB 2-LEG TCU+EMU</x:v>
      </x:c>
      <x:c r="Y130" s="31" t="str">
        <x:v>P29-045</x:v>
      </x:c>
      <x:c r="Z130" s="31" t="str">
        <x:v>Two strongest consensus legs may outperform adding a third threshold-protection leg.</x:v>
      </x:c>
      <x:c r="AA130" s="31" t="str">
        <x:v>JAX +10.5 adds enough edge/payout to make the 3-leg superior over sample.</x:v>
      </x:c>
      <x:c r="AB130" s="31" t="str"/>
    </x:row>
    <x:row r="131">
      <x:c r="A131" s="79" t="str">
        <x:v>2026-08-29</x:v>
      </x:c>
      <x:c r="B131" s="31" t="str">
        <x:v>P29-048</x:v>
      </x:c>
      <x:c r="C131" s="31" t="str">
        <x:v>A29-D02;A29-D10</x:v>
      </x:c>
      <x:c r="D131" s="31" t="str">
        <x:v>PAPER</x:v>
      </x:c>
      <x:c r="E131" s="31" t="str">
        <x:v>CFB</x:v>
      </x:c>
      <x:c r="F131" s="31" t="str">
        <x:v>2-game subset</x:v>
      </x:c>
      <x:c r="G131" s="31" t="str">
        <x:v>Miller + MEM/UNLV</x:v>
      </x:c>
      <x:c r="H131" s="31" t="str">
        <x:v>2-leg subset</x:v>
      </x:c>
      <x:c r="I131" s="31" t="str">
        <x:v>King Miller O65.5 rush + Memphis/UNLV O56.5</x:v>
      </x:c>
      <x:c r="J131" s="80" t="str"/>
      <x:c r="K131" s="31" t="str">
        <x:v>DISCOVERED</x:v>
      </x:c>
      <x:c r="L131" s="31" t="str">
        <x:v>A-</x:v>
      </x:c>
      <x:c r="M131" s="31" t="str">
        <x:v>Two highest-information independent theses from secondary CFB card.</x:v>
      </x:c>
      <x:c r="N131" s="31" t="str">
        <x:v>N</x:v>
      </x:c>
      <x:c r="O131" s="31" t="str">
        <x:v>Pending</x:v>
      </x:c>
      <x:c r="P131" s="31" t="str"/>
      <x:c r="Q131" s="33" t="str"/>
      <x:c r="R131" s="33" t="str"/>
      <x:c r="S131" s="31" t="str"/>
      <x:c r="T131" s="32" t="str"/>
      <x:c r="U131" s="31" t="str">
        <x:v>Outcome-only unless exact combined odds captured.</x:v>
      </x:c>
      <x:c r="V131" s="31" t="str">
        <x:v>CONSTRUCTION_TEST</x:v>
      </x:c>
      <x:c r="W131" s="31" t="str">
        <x:v>EXP-09</x:v>
      </x:c>
      <x:c r="X131" s="31" t="str">
        <x:v>CFB 2-LEG MILLER+OVER</x:v>
      </x:c>
      <x:c r="Y131" s="31" t="str">
        <x:v>P29-046</x:v>
      </x:c>
      <x:c r="Z131" s="31" t="str">
        <x:v>Player-role plus game-total edges may be cleaner than adding a contested Hawaii side.</x:v>
      </x:c>
      <x:c r="AA131" s="31" t="str">
        <x:v>Hawaii plus-points improves the three-leg card enough to justify its added variance.</x:v>
      </x:c>
      <x:c r="AB131" s="31" t="str"/>
    </x:row>
    <x:row r="132">
      <x:c r="A132" s="79" t="str">
        <x:v>2026-08-29</x:v>
      </x:c>
      <x:c r="B132" s="31" t="str">
        <x:v>P29-049</x:v>
      </x:c>
      <x:c r="C132" s="31" t="str">
        <x:v>A29-S01</x:v>
      </x:c>
      <x:c r="D132" s="31" t="str">
        <x:v>PAPER</x:v>
      </x:c>
      <x:c r="E132" s="31" t="str">
        <x:v>Soccer</x:v>
      </x:c>
      <x:c r="F132" s="31" t="str">
        <x:v>Bournemouth vs Everton</x:v>
      </x:c>
      <x:c r="G132" s="31" t="str">
        <x:v>Bournemouth/Everton</x:v>
      </x:c>
      <x:c r="H132" s="31" t="str">
        <x:v>Game Total Goals</x:v>
      </x:c>
      <x:c r="I132" s="31" t="str">
        <x:v>Over 2.5 total goals</x:v>
      </x:c>
      <x:c r="J132" s="80" t="n">
        <x:v>-127</x:v>
      </x:c>
      <x:c r="K132" s="31" t="str">
        <x:v>DISCOVERED</x:v>
      </x:c>
      <x:c r="L132" s="31" t="str">
        <x:v>B+</x:v>
      </x:c>
      <x:c r="M132" s="31" t="str">
        <x:v>Higher threshold alternative to actual O1.5 real leg.</x:v>
      </x:c>
      <x:c r="N132" s="31" t="str">
        <x:v>N</x:v>
      </x:c>
      <x:c r="O132" s="31" t="str">
        <x:v>Pending</x:v>
      </x:c>
      <x:c r="P132" s="31" t="str"/>
      <x:c r="Q132" s="33" t="n">
        <x:v>0</x:v>
      </x:c>
      <x:c r="R132" s="33" t="str"/>
      <x:c r="S132" s="31" t="str"/>
      <x:c r="T132" s="32" t="str"/>
      <x:c r="U132" s="31" t="str">
        <x:v>Exact external benchmark -127 captured prospectively.</x:v>
      </x:c>
      <x:c r="V132" s="31" t="str">
        <x:v>ALT_MARKET_TEST</x:v>
      </x:c>
      <x:c r="W132" s="31" t="str">
        <x:v>EXP-06</x:v>
      </x:c>
      <x:c r="X132" s="31" t="str">
        <x:v>BOU/EVE O2.5 GOALS ARM</x:v>
      </x:c>
      <x:c r="Y132" s="31" t="str">
        <x:v>P29-010</x:v>
      </x:c>
      <x:c r="Z132" s="31" t="str">
        <x:v>If the matchup is truly goal-friendly, O2.5 may provide better price-adjusted value than -380 O1.5 glue.</x:v>
      </x:c>
      <x:c r="AA132" s="31" t="str">
        <x:v>Game lands exactly 2 goals often enough that O1.5 proves the superior stabilizer.</x:v>
      </x:c>
      <x:c r="AB132" s="31" t="str"/>
    </x:row>
    <x:row r="133">
      <x:c r="A133" s="79" t="str">
        <x:v>2026-08-29</x:v>
      </x:c>
      <x:c r="B133" s="31" t="str">
        <x:v>P29-050</x:v>
      </x:c>
      <x:c r="C133" s="31" t="str">
        <x:v>A29-S02</x:v>
      </x:c>
      <x:c r="D133" s="31" t="str">
        <x:v>PAPER</x:v>
      </x:c>
      <x:c r="E133" s="31" t="str">
        <x:v>Soccer</x:v>
      </x:c>
      <x:c r="F133" s="31" t="str">
        <x:v>Bournemouth vs Everton</x:v>
      </x:c>
      <x:c r="G133" s="31" t="str">
        <x:v>Bournemouth</x:v>
      </x:c>
      <x:c r="H133" s="31" t="str">
        <x:v>Team Corners</x:v>
      </x:c>
      <x:c r="I133" s="31" t="str">
        <x:v>Over 5.5 team corners</x:v>
      </x:c>
      <x:c r="J133" s="80" t="n">
        <x:v>-139</x:v>
      </x:c>
      <x:c r="K133" s="31" t="str">
        <x:v>DISCOVERED</x:v>
      </x:c>
      <x:c r="L133" s="31" t="str">
        <x:v>B+</x:v>
      </x:c>
      <x:c r="M133" s="31" t="str">
        <x:v>Home-territory alternative to actual goal-floor leg.</x:v>
      </x:c>
      <x:c r="N133" s="31" t="str">
        <x:v>N</x:v>
      </x:c>
      <x:c r="O133" s="31" t="str">
        <x:v>Pending</x:v>
      </x:c>
      <x:c r="P133" s="31" t="str"/>
      <x:c r="Q133" s="33" t="n">
        <x:v>0</x:v>
      </x:c>
      <x:c r="R133" s="33" t="str"/>
      <x:c r="S133" s="31" t="str"/>
      <x:c r="T133" s="32" t="str"/>
      <x:c r="U133" s="31" t="str">
        <x:v>Independent benchmark -139.</x:v>
      </x:c>
      <x:c r="V133" s="31" t="str">
        <x:v>ALT_MARKET_TEST</x:v>
      </x:c>
      <x:c r="W133" s="31" t="str">
        <x:v>EXP-13</x:v>
      </x:c>
      <x:c r="X133" s="31" t="str">
        <x:v>BOURNEMOUTH CORNERS ARM</x:v>
      </x:c>
      <x:c r="Y133" s="31" t="str">
        <x:v>P29-010</x:v>
      </x:c>
      <x:c r="Z133" s="31" t="str">
        <x:v>Favorite/home pressure may be captured more efficiently by corners than a heavily juiced low goal total.</x:v>
      </x:c>
      <x:c r="AA133" s="31" t="str">
        <x:v>Bournemouth gets the goals without generating six corners.</x:v>
      </x:c>
      <x:c r="AB133" s="31" t="str"/>
    </x:row>
    <x:row r="134">
      <x:c r="A134" s="79" t="str">
        <x:v>2026-08-29</x:v>
      </x:c>
      <x:c r="B134" s="31" t="str">
        <x:v>P29-051</x:v>
      </x:c>
      <x:c r="C134" s="31" t="str">
        <x:v>A29-S03</x:v>
      </x:c>
      <x:c r="D134" s="31" t="str">
        <x:v>PAPER</x:v>
      </x:c>
      <x:c r="E134" s="31" t="str">
        <x:v>Soccer</x:v>
      </x:c>
      <x:c r="F134" s="31" t="str">
        <x:v>Bournemouth vs Everton</x:v>
      </x:c>
      <x:c r="G134" s="31" t="str">
        <x:v>Everton</x:v>
      </x:c>
      <x:c r="H134" s="31" t="str">
        <x:v>Team Corners</x:v>
      </x:c>
      <x:c r="I134" s="31" t="str">
        <x:v>Over 4.5 team corners</x:v>
      </x:c>
      <x:c r="J134" s="80" t="n">
        <x:v>106</x:v>
      </x:c>
      <x:c r="K134" s="31" t="str">
        <x:v>DISCOVERED</x:v>
      </x:c>
      <x:c r="L134" s="31" t="str">
        <x:v>B</x:v>
      </x:c>
      <x:c r="M134" s="31" t="str">
        <x:v>Plus-money away-corner alternative.</x:v>
      </x:c>
      <x:c r="N134" s="31" t="str">
        <x:v>N</x:v>
      </x:c>
      <x:c r="O134" s="31" t="str">
        <x:v>Pending</x:v>
      </x:c>
      <x:c r="P134" s="31" t="str"/>
      <x:c r="Q134" s="33" t="n">
        <x:v>0</x:v>
      </x:c>
      <x:c r="R134" s="33" t="str"/>
      <x:c r="S134" s="31" t="str"/>
      <x:c r="T134" s="32" t="str"/>
      <x:c r="U134" s="31" t="str">
        <x:v>Independent benchmark +106.</x:v>
      </x:c>
      <x:c r="V134" s="31" t="str">
        <x:v>HYPOTHESIS_TEST</x:v>
      </x:c>
      <x:c r="W134" s="31" t="str">
        <x:v>EXP-13</x:v>
      </x:c>
      <x:c r="X134" s="31" t="str">
        <x:v>EVERTON CORNERS ARM</x:v>
      </x:c>
      <x:c r="Y134" s="31" t="str"/>
      <x:c r="Z134" s="31" t="str">
        <x:v>Everton's away corner volume can generate plus-money value even as underdog.</x:v>
      </x:c>
      <x:c r="AA134" s="31" t="str">
        <x:v>Bournemouth territorial dominance suppresses Everton below five corners.</x:v>
      </x:c>
      <x:c r="AB134" s="31" t="str"/>
    </x:row>
    <x:row r="135">
      <x:c r="A135" s="79" t="str">
        <x:v>2026-08-29</x:v>
      </x:c>
      <x:c r="B135" s="31" t="str">
        <x:v>P29-052</x:v>
      </x:c>
      <x:c r="C135" s="31" t="str">
        <x:v>A29-S04</x:v>
      </x:c>
      <x:c r="D135" s="31" t="str">
        <x:v>PAPER</x:v>
      </x:c>
      <x:c r="E135" s="31" t="str">
        <x:v>Soccer</x:v>
      </x:c>
      <x:c r="F135" s="31" t="str">
        <x:v>Bournemouth vs Everton</x:v>
      </x:c>
      <x:c r="G135" s="31" t="str">
        <x:v>Bournemouth/Everton</x:v>
      </x:c>
      <x:c r="H135" s="31" t="str">
        <x:v>Total Corners</x:v>
      </x:c>
      <x:c r="I135" s="31" t="str">
        <x:v>Over 10.5 total corners</x:v>
      </x:c>
      <x:c r="J135" s="80" t="n">
        <x:v>-114</x:v>
      </x:c>
      <x:c r="K135" s="31" t="str">
        <x:v>DISCOVERED</x:v>
      </x:c>
      <x:c r="L135" s="31" t="str">
        <x:v>B+</x:v>
      </x:c>
      <x:c r="M135" s="31" t="str">
        <x:v>Broad game-volume alternative to actual O1.5 goals.</x:v>
      </x:c>
      <x:c r="N135" s="31" t="str">
        <x:v>N</x:v>
      </x:c>
      <x:c r="O135" s="31" t="str">
        <x:v>Pending</x:v>
      </x:c>
      <x:c r="P135" s="31" t="str"/>
      <x:c r="Q135" s="33" t="n">
        <x:v>0</x:v>
      </x:c>
      <x:c r="R135" s="33" t="str"/>
      <x:c r="S135" s="31" t="str"/>
      <x:c r="T135" s="32" t="str"/>
      <x:c r="U135" s="31" t="str">
        <x:v>Independent benchmark -114.</x:v>
      </x:c>
      <x:c r="V135" s="31" t="str">
        <x:v>ALT_MARKET_TEST</x:v>
      </x:c>
      <x:c r="W135" s="31" t="str">
        <x:v>EXP-13</x:v>
      </x:c>
      <x:c r="X135" s="31" t="str">
        <x:v>BOU/EVE TOTAL CORNERS ARM</x:v>
      </x:c>
      <x:c r="Y135" s="31" t="str">
        <x:v>P29-010</x:v>
      </x:c>
      <x:c r="Z135" s="31" t="str">
        <x:v>Total corners may capture two-sided attacking pressure with better payout than O1.5 goals.</x:v>
      </x:c>
      <x:c r="AA135" s="31" t="str">
        <x:v>Possession/finishing suppresses corner count despite 2+ goals.</x:v>
      </x:c>
      <x:c r="AB135" s="31" t="str"/>
    </x:row>
    <x:row r="136">
      <x:c r="A136" s="79" t="str">
        <x:v>2026-08-29</x:v>
      </x:c>
      <x:c r="B136" s="31" t="str">
        <x:v>P29-053</x:v>
      </x:c>
      <x:c r="C136" s="31" t="str">
        <x:v>A29-S05</x:v>
      </x:c>
      <x:c r="D136" s="31" t="str">
        <x:v>PAPER</x:v>
      </x:c>
      <x:c r="E136" s="31" t="str">
        <x:v>Soccer</x:v>
      </x:c>
      <x:c r="F136" s="31" t="str">
        <x:v>Tottenham vs Newcastle</x:v>
      </x:c>
      <x:c r="G136" s="31" t="str">
        <x:v>Tottenham</x:v>
      </x:c>
      <x:c r="H136" s="31" t="str">
        <x:v>Team Corners</x:v>
      </x:c>
      <x:c r="I136" s="31" t="str">
        <x:v>Over 5.5 team corners</x:v>
      </x:c>
      <x:c r="J136" s="80" t="str"/>
      <x:c r="K136" s="31" t="str">
        <x:v>DISCOVERED</x:v>
      </x:c>
      <x:c r="L136" s="31" t="str">
        <x:v>B+</x:v>
      </x:c>
      <x:c r="M136" s="31" t="str">
        <x:v>Territorial alternative to actual O2.5 goals.</x:v>
      </x:c>
      <x:c r="N136" s="31" t="str">
        <x:v>N</x:v>
      </x:c>
      <x:c r="O136" s="31" t="str">
        <x:v>Pending</x:v>
      </x:c>
      <x:c r="P136" s="31" t="str"/>
      <x:c r="Q136" s="33" t="str"/>
      <x:c r="R136" s="33" t="str"/>
      <x:c r="S136" s="31" t="str"/>
      <x:c r="T136" s="32" t="str"/>
      <x:c r="U136" s="31" t="str">
        <x:v>Outcome-only unless exact DK price is recovered.</x:v>
      </x:c>
      <x:c r="V136" s="31" t="str">
        <x:v>ALT_MARKET_TEST</x:v>
      </x:c>
      <x:c r="W136" s="31" t="str">
        <x:v>EXP-13</x:v>
      </x:c>
      <x:c r="X136" s="31" t="str">
        <x:v>SPURS O5.5 CORNERS ARM</x:v>
      </x:c>
      <x:c r="Y136" s="31" t="str">
        <x:v>P29-011</x:v>
      </x:c>
      <x:c r="Z136" s="31" t="str">
        <x:v>Tottenham home pressure may be a more stable expression than requiring three match goals.</x:v>
      </x:c>
      <x:c r="AA136" s="31" t="str">
        <x:v>Open scoring game develops without six Spurs corners.</x:v>
      </x:c>
      <x:c r="AB136" s="31" t="str"/>
    </x:row>
    <x:row r="137">
      <x:c r="A137" s="79" t="str">
        <x:v>2026-08-29</x:v>
      </x:c>
      <x:c r="B137" s="31" t="str">
        <x:v>P29-054</x:v>
      </x:c>
      <x:c r="C137" s="31" t="str">
        <x:v>A29-C01</x:v>
      </x:c>
      <x:c r="D137" s="31" t="str">
        <x:v>PAPER</x:v>
      </x:c>
      <x:c r="E137" s="31" t="str">
        <x:v>CFB</x:v>
      </x:c>
      <x:c r="F137" s="31" t="str">
        <x:v>SJSU @ USC</x:v>
      </x:c>
      <x:c r="G137" s="31" t="str">
        <x:v>King Miller</x:v>
      </x:c>
      <x:c r="H137" s="31" t="str">
        <x:v>Shadow Single</x:v>
      </x:c>
      <x:c r="I137" s="31" t="str">
        <x:v>60+ rushing yards</x:v>
      </x:c>
      <x:c r="J137" s="80" t="str"/>
      <x:c r="K137" s="31" t="str">
        <x:v>HYBRID</x:v>
      </x:c>
      <x:c r="L137" s="31" t="str">
        <x:v>A</x:v>
      </x:c>
      <x:c r="M137" s="31" t="str">
        <x:v>Exact real Card 2 threshold tracked standalone.</x:v>
      </x:c>
      <x:c r="N137" s="31" t="str">
        <x:v>N</x:v>
      </x:c>
      <x:c r="O137" s="31" t="str">
        <x:v>Win</x:v>
      </x:c>
      <x:c r="P137" s="31" t="n">
        <x:v>1</x:v>
      </x:c>
      <x:c r="Q137" s="33" t="n">
        <x:v>63</x:v>
      </x:c>
      <x:c r="R137" s="33" t="str"/>
      <x:c r="S137" s="31" t="str"/>
      <x:c r="T137" s="32" t="str"/>
      <x:c r="U137" s="31" t="str">
        <x:v>Miller 60+ cleared with 63 yards.</x:v>
      </x:c>
      <x:c r="V137" s="31" t="str">
        <x:v>THRESHOLD_TEST</x:v>
      </x:c>
      <x:c r="W137" s="31" t="str">
        <x:v>EXP-22</x:v>
      </x:c>
      <x:c r="X137" s="31" t="str">
        <x:v>MILLER 60+ EXACT SHADOW</x:v>
      </x:c>
      <x:c r="Y137" s="31" t="str">
        <x:v>A29-T03</x:v>
      </x:c>
      <x:c r="Z137" s="31" t="str">
        <x:v>Lowering Miller from 65.5 to 60 should materially improve survival without changing the underlying role thesis.</x:v>
      </x:c>
      <x:c r="AA137" s="31" t="str">
        <x:v>The extra six yards rarely matter enough to justify reduced price.</x:v>
      </x:c>
      <x:c r="AB137" s="31" t="str">
        <x:v>Lowering 65.5 to 60 created a real win: direct threshold-engineering evidence.</x:v>
      </x:c>
    </x:row>
    <x:row r="138">
      <x:c r="A138" s="79" t="str">
        <x:v>2026-08-29</x:v>
      </x:c>
      <x:c r="B138" s="31" t="str">
        <x:v>P29-055</x:v>
      </x:c>
      <x:c r="C138" s="31" t="str">
        <x:v>A29-C02</x:v>
      </x:c>
      <x:c r="D138" s="31" t="str">
        <x:v>PAPER</x:v>
      </x:c>
      <x:c r="E138" s="31" t="str">
        <x:v>CFB</x:v>
      </x:c>
      <x:c r="F138" s="31" t="str">
        <x:v>Hawaii @ Stanford</x:v>
      </x:c>
      <x:c r="G138" s="31" t="str">
        <x:v>Hawaii</x:v>
      </x:c>
      <x:c r="H138" s="31" t="str">
        <x:v>Shadow Single</x:v>
      </x:c>
      <x:c r="I138" s="31" t="str">
        <x:v>Hawaii +4.5</x:v>
      </x:c>
      <x:c r="J138" s="80" t="str"/>
      <x:c r="K138" s="31" t="str">
        <x:v>HYBRID</x:v>
      </x:c>
      <x:c r="L138" s="31" t="str">
        <x:v>A</x:v>
      </x:c>
      <x:c r="M138" s="31" t="str">
        <x:v>Exact real Card 2 spread tracked standalone.</x:v>
      </x:c>
      <x:c r="N138" s="31" t="str">
        <x:v>N</x:v>
      </x:c>
      <x:c r="O138" s="31" t="str">
        <x:v>Loss</x:v>
      </x:c>
      <x:c r="P138" s="31" t="n">
        <x:v>0</x:v>
      </x:c>
      <x:c r="Q138" s="33" t="n">
        <x:v>-10</x:v>
      </x:c>
      <x:c r="R138" s="33" t="str"/>
      <x:c r="S138" s="31" t="str"/>
      <x:c r="T138" s="32" t="str"/>
      <x:c r="U138" s="31" t="str">
        <x:v>Stanford 37-27 Hawaii.</x:v>
      </x:c>
      <x:c r="V138" s="31" t="str">
        <x:v>THRESHOLD_TEST</x:v>
      </x:c>
      <x:c r="W138" s="31" t="str">
        <x:v>EXP-23</x:v>
      </x:c>
      <x:c r="X138" s="31" t="str">
        <x:v>HAWAII +4.5 EXACT SHADOW</x:v>
      </x:c>
      <x:c r="Y138" s="31" t="str">
        <x:v>A29-T03</x:v>
      </x:c>
      <x:c r="Z138" s="31" t="str">
        <x:v>Taking the full market cushion should be the most robust Hawaii expression.</x:v>
      </x:c>
      <x:c r="AA138" s="31" t="str">
        <x:v>Hawaii wins comfortably enough that aggressive alternates provide superior price-adjusted returns.</x:v>
      </x:c>
      <x:c r="AB138" s="31" t="str">
        <x:v>Full +4.5 cushion still failed; threshold engineering cannot create a side edge.</x:v>
      </x:c>
    </x:row>
    <x:row r="139">
      <x:c r="A139" s="79" t="str">
        <x:v>2026-08-29</x:v>
      </x:c>
      <x:c r="B139" s="31" t="str">
        <x:v>P29-056</x:v>
      </x:c>
      <x:c r="C139" s="31" t="str">
        <x:v>A29-C03</x:v>
      </x:c>
      <x:c r="D139" s="31" t="str">
        <x:v>PAPER</x:v>
      </x:c>
      <x:c r="E139" s="31" t="str">
        <x:v>CFB</x:v>
      </x:c>
      <x:c r="F139" s="31" t="str">
        <x:v>Memphis @ UNLV</x:v>
      </x:c>
      <x:c r="G139" s="31" t="str">
        <x:v>Memphis/UNLV</x:v>
      </x:c>
      <x:c r="H139" s="31" t="str">
        <x:v>Shadow Single</x:v>
      </x:c>
      <x:c r="I139" s="31" t="str">
        <x:v>Over 56.5 total points</x:v>
      </x:c>
      <x:c r="J139" s="80" t="n">
        <x:v>-108</x:v>
      </x:c>
      <x:c r="K139" s="31" t="str">
        <x:v>DISCOVERED</x:v>
      </x:c>
      <x:c r="L139" s="31" t="str">
        <x:v>A-</x:v>
      </x:c>
      <x:c r="M139" s="31" t="str">
        <x:v>Exact real Card 2 game-total leg tracked standalone.</x:v>
      </x:c>
      <x:c r="N139" s="31" t="str">
        <x:v>N</x:v>
      </x:c>
      <x:c r="O139" s="31" t="str">
        <x:v>Loss</x:v>
      </x:c>
      <x:c r="P139" s="31" t="n">
        <x:v>0</x:v>
      </x:c>
      <x:c r="Q139" s="33" t="n">
        <x:v>48</x:v>
      </x:c>
      <x:c r="R139" s="33" t="str"/>
      <x:c r="S139" s="31" t="str"/>
      <x:c r="T139" s="32" t="str"/>
      <x:c r="U139" s="31" t="str">
        <x:v>Memphis/UNLV totaled 48 points.</x:v>
      </x:c>
      <x:c r="V139" s="31" t="str">
        <x:v>SINGLE_VS_PARLAY</x:v>
      </x:c>
      <x:c r="W139" s="31" t="str">
        <x:v>EXP-20</x:v>
      </x:c>
      <x:c r="X139" s="31" t="str">
        <x:v>MEM/UNLV O56.5 SHADOW</x:v>
      </x:c>
      <x:c r="Y139" s="31" t="str">
        <x:v>A29-T03</x:v>
      </x:c>
      <x:c r="Z139" s="31" t="str">
        <x:v>The total should have standalone value and avoid the contested side entirely.</x:v>
      </x:c>
      <x:c r="AA139" s="31" t="str">
        <x:v>Pace/efficiency disappoints and side markets prove better expressions.</x:v>
      </x:c>
      <x:c r="AB139" s="31" t="str">
        <x:v>Neutral-market pivot was not independently strong enough.</x:v>
      </x:c>
    </x:row>
    <x:row r="140">
      <x:c r="A140" s="79" t="str">
        <x:v>2026-08-29</x:v>
      </x:c>
      <x:c r="B140" s="31" t="str">
        <x:v>P29-057</x:v>
      </x:c>
      <x:c r="C140" s="31" t="str">
        <x:v>A29-R21;A29-R17</x:v>
      </x:c>
      <x:c r="D140" s="31" t="str">
        <x:v>PAPER</x:v>
      </x:c>
      <x:c r="E140" s="31" t="str">
        <x:v>CFB</x:v>
      </x:c>
      <x:c r="F140" s="31" t="str">
        <x:v>2-game subset</x:v>
      </x:c>
      <x:c r="G140" s="31" t="str">
        <x:v>TCU + Jacksonville State</x:v>
      </x:c>
      <x:c r="H140" s="31" t="str">
        <x:v>2-leg subset</x:v>
      </x:c>
      <x:c r="I140" s="31" t="str">
        <x:v>TCU -6.5 + Jacksonville State +10.5</x:v>
      </x:c>
      <x:c r="J140" s="80" t="str"/>
      <x:c r="K140" s="31" t="str">
        <x:v>HYBRID</x:v>
      </x:c>
      <x:c r="L140" s="31" t="str">
        <x:v>A</x:v>
      </x:c>
      <x:c r="M140" s="31" t="str">
        <x:v>Primary CFB real-card subset.</x:v>
      </x:c>
      <x:c r="N140" s="31" t="str">
        <x:v>N</x:v>
      </x:c>
      <x:c r="O140" s="31" t="str">
        <x:v>Loss</x:v>
      </x:c>
      <x:c r="P140" s="31" t="n">
        <x:v>0</x:v>
      </x:c>
      <x:c r="Q140" s="33" t="str"/>
      <x:c r="R140" s="33" t="str"/>
      <x:c r="S140" s="31" t="str"/>
      <x:c r="T140" s="32" t="str"/>
      <x:c r="U140" s="31" t="str">
        <x:v>TCU -6.5 and JAX +10.5 both lost.</x:v>
      </x:c>
      <x:c r="V140" s="31" t="str">
        <x:v>CONSTRUCTION_TEST</x:v>
      </x:c>
      <x:c r="W140" s="31" t="str">
        <x:v>EXP-09</x:v>
      </x:c>
      <x:c r="X140" s="31" t="str">
        <x:v>CFB 2-LEG TCU+JAX</x:v>
      </x:c>
      <x:c r="Y140" s="31" t="str">
        <x:v>A29-T02</x:v>
      </x:c>
      <x:c r="Z140" s="31" t="str">
        <x:v>Two threshold-protected spread legs may outperform the three-leg promo card on survival.</x:v>
      </x:c>
      <x:c r="AA140" s="31" t="str">
        <x:v>EMU -6.5 adds enough edge/payout to justify the third leg.</x:v>
      </x:c>
      <x:c r="AB140" s="31" t="str">
        <x:v>Subset confirms underlying legs, not third-leg construction, were the failure.</x:v>
      </x:c>
    </x:row>
    <x:row r="141">
      <x:c r="A141" s="79" t="str">
        <x:v>2026-08-29</x:v>
      </x:c>
      <x:c r="B141" s="31" t="str">
        <x:v>P29-058</x:v>
      </x:c>
      <x:c r="C141" s="31" t="str">
        <x:v>A29-R18;A29-R17</x:v>
      </x:c>
      <x:c r="D141" s="31" t="str">
        <x:v>PAPER</x:v>
      </x:c>
      <x:c r="E141" s="31" t="str">
        <x:v>CFB</x:v>
      </x:c>
      <x:c r="F141" s="31" t="str">
        <x:v>2-game subset</x:v>
      </x:c>
      <x:c r="G141" s="31" t="str">
        <x:v>EMU + Jacksonville State</x:v>
      </x:c>
      <x:c r="H141" s="31" t="str">
        <x:v>2-leg subset</x:v>
      </x:c>
      <x:c r="I141" s="31" t="str">
        <x:v>Eastern Michigan -6.5 + Jacksonville State +10.5</x:v>
      </x:c>
      <x:c r="J141" s="80" t="str"/>
      <x:c r="K141" s="31" t="str">
        <x:v>HYBRID</x:v>
      </x:c>
      <x:c r="L141" s="31" t="str">
        <x:v>A</x:v>
      </x:c>
      <x:c r="M141" s="31" t="str">
        <x:v>Primary CFB real-card subset.</x:v>
      </x:c>
      <x:c r="N141" s="31" t="str">
        <x:v>N</x:v>
      </x:c>
      <x:c r="O141" s="31" t="str">
        <x:v>Loss</x:v>
      </x:c>
      <x:c r="P141" s="31" t="n">
        <x:v>0</x:v>
      </x:c>
      <x:c r="Q141" s="33" t="str"/>
      <x:c r="R141" s="33" t="str"/>
      <x:c r="S141" s="31" t="str"/>
      <x:c r="T141" s="32" t="str"/>
      <x:c r="U141" s="31" t="str">
        <x:v>EMU -6.5 won; JAX +10.5 lost.</x:v>
      </x:c>
      <x:c r="V141" s="31" t="str">
        <x:v>CONSTRUCTION_TEST</x:v>
      </x:c>
      <x:c r="W141" s="31" t="str">
        <x:v>EXP-09</x:v>
      </x:c>
      <x:c r="X141" s="31" t="str">
        <x:v>CFB 2-LEG EMU+JAX</x:v>
      </x:c>
      <x:c r="Y141" s="31" t="str">
        <x:v>A29-T02</x:v>
      </x:c>
      <x:c r="Z141" s="31" t="str">
        <x:v>The later-game threshold pair may retain most of primary-card edge.</x:v>
      </x:c>
      <x:c r="AA141" s="31" t="str">
        <x:v>TCU -6.5 adds enough independent edge/payout to justify the third leg.</x:v>
      </x:c>
      <x:c r="AB141" s="31" t="str">
        <x:v>Removing TCU still did not save card because JAX thesis was wrong.</x:v>
      </x:c>
    </x:row>
    <x:row r="142">
      <x:c r="A142" s="79" t="str">
        <x:v>2026-08-29</x:v>
      </x:c>
      <x:c r="B142" s="31" t="str">
        <x:v>P29-059</x:v>
      </x:c>
      <x:c r="C142" s="31" t="str">
        <x:v>A29-C01;A29-C02</x:v>
      </x:c>
      <x:c r="D142" s="31" t="str">
        <x:v>PAPER</x:v>
      </x:c>
      <x:c r="E142" s="31" t="str">
        <x:v>CFB</x:v>
      </x:c>
      <x:c r="F142" s="31" t="str">
        <x:v>2-game subset</x:v>
      </x:c>
      <x:c r="G142" s="31" t="str">
        <x:v>Miller + Hawaii</x:v>
      </x:c>
      <x:c r="H142" s="31" t="str">
        <x:v>2-leg subset</x:v>
      </x:c>
      <x:c r="I142" s="31" t="str">
        <x:v>King Miller 60+ rush + Hawaii +4.5</x:v>
      </x:c>
      <x:c r="J142" s="80" t="str"/>
      <x:c r="K142" s="31" t="str">
        <x:v>HYBRID</x:v>
      </x:c>
      <x:c r="L142" s="31" t="str">
        <x:v>A</x:v>
      </x:c>
      <x:c r="M142" s="31" t="str">
        <x:v>Exact-threshold subset of real Card 2.</x:v>
      </x:c>
      <x:c r="N142" s="31" t="str">
        <x:v>N</x:v>
      </x:c>
      <x:c r="O142" s="31" t="str">
        <x:v>Loss</x:v>
      </x:c>
      <x:c r="P142" s="31" t="n">
        <x:v>0</x:v>
      </x:c>
      <x:c r="Q142" s="33" t="str"/>
      <x:c r="R142" s="33" t="str"/>
      <x:c r="S142" s="31" t="str"/>
      <x:c r="T142" s="32" t="str"/>
      <x:c r="U142" s="31" t="str">
        <x:v>Miller 60+ won; Hawaii +4.5 lost.</x:v>
      </x:c>
      <x:c r="V142" s="31" t="str">
        <x:v>CONSTRUCTION_TEST</x:v>
      </x:c>
      <x:c r="W142" s="31" t="str">
        <x:v>EXP-09</x:v>
      </x:c>
      <x:c r="X142" s="31" t="str">
        <x:v>CFB 2-LEG MILLER60+HAW4.5</x:v>
      </x:c>
      <x:c r="Y142" s="31" t="str">
        <x:v>A29-T03</x:v>
      </x:c>
      <x:c r="Z142" s="31" t="str">
        <x:v>Role edge plus underdog cushion may be a cleaner lower-variance pair.</x:v>
      </x:c>
      <x:c r="AA142" s="31" t="str">
        <x:v>MEM/UNLV total adds enough value to make the 3-leg superior.</x:v>
      </x:c>
      <x:c r="AB142" s="31" t="str">
        <x:v>Role edge good; contested side bad.</x:v>
      </x:c>
    </x:row>
    <x:row r="143">
      <x:c r="A143" s="79" t="str">
        <x:v>2026-08-29</x:v>
      </x:c>
      <x:c r="B143" s="31" t="str">
        <x:v>P29-060</x:v>
      </x:c>
      <x:c r="C143" s="31" t="str">
        <x:v>A29-C01;A29-C03</x:v>
      </x:c>
      <x:c r="D143" s="31" t="str">
        <x:v>PAPER</x:v>
      </x:c>
      <x:c r="E143" s="31" t="str">
        <x:v>CFB</x:v>
      </x:c>
      <x:c r="F143" s="31" t="str">
        <x:v>2-game subset</x:v>
      </x:c>
      <x:c r="G143" s="31" t="str">
        <x:v>Miller + MEM/UNLV</x:v>
      </x:c>
      <x:c r="H143" s="31" t="str">
        <x:v>2-leg subset</x:v>
      </x:c>
      <x:c r="I143" s="31" t="str">
        <x:v>King Miller 60+ rush + MEM/UNLV O56.5</x:v>
      </x:c>
      <x:c r="J143" s="80" t="str"/>
      <x:c r="K143" s="31" t="str">
        <x:v>DISCOVERED</x:v>
      </x:c>
      <x:c r="L143" s="31" t="str">
        <x:v>A</x:v>
      </x:c>
      <x:c r="M143" s="31" t="str">
        <x:v>Exact-threshold subset of real Card 2.</x:v>
      </x:c>
      <x:c r="N143" s="31" t="str">
        <x:v>N</x:v>
      </x:c>
      <x:c r="O143" s="31" t="str">
        <x:v>Loss</x:v>
      </x:c>
      <x:c r="P143" s="31" t="n">
        <x:v>0</x:v>
      </x:c>
      <x:c r="Q143" s="33" t="str"/>
      <x:c r="R143" s="33" t="str"/>
      <x:c r="S143" s="31" t="str"/>
      <x:c r="T143" s="32" t="str"/>
      <x:c r="U143" s="31" t="str">
        <x:v>Miller 60+ won; MEM/UNLV O56.5 lost.</x:v>
      </x:c>
      <x:c r="V143" s="31" t="str">
        <x:v>CONSTRUCTION_TEST</x:v>
      </x:c>
      <x:c r="W143" s="31" t="str">
        <x:v>EXP-09</x:v>
      </x:c>
      <x:c r="X143" s="31" t="str">
        <x:v>CFB 2-LEG MILLER60+OVER</x:v>
      </x:c>
      <x:c r="Y143" s="31" t="str">
        <x:v>A29-T03</x:v>
      </x:c>
      <x:c r="Z143" s="31" t="str">
        <x:v>The two highest-information theses may outperform adding a contested side.</x:v>
      </x:c>
      <x:c r="AA143" s="31" t="str">
        <x:v>Hawaii +4.5 improves expected return enough to justify the third leg.</x:v>
      </x:c>
      <x:c r="AB143" s="31" t="str">
        <x:v>Role edge good; invented total pivot bad.</x:v>
      </x:c>
    </x:row>
    <x:row r="144">
      <x:c r="A144" s="79" t="str">
        <x:v>2026-08-29</x:v>
      </x:c>
      <x:c r="B144" s="31" t="str">
        <x:v>P29-061</x:v>
      </x:c>
      <x:c r="C144" s="31" t="str">
        <x:v>A29-C02;A29-C03</x:v>
      </x:c>
      <x:c r="D144" s="31" t="str">
        <x:v>PAPER</x:v>
      </x:c>
      <x:c r="E144" s="31" t="str">
        <x:v>CFB</x:v>
      </x:c>
      <x:c r="F144" s="31" t="str">
        <x:v>2-game subset</x:v>
      </x:c>
      <x:c r="G144" s="31" t="str">
        <x:v>Hawaii + MEM/UNLV</x:v>
      </x:c>
      <x:c r="H144" s="31" t="str">
        <x:v>2-leg subset</x:v>
      </x:c>
      <x:c r="I144" s="31" t="str">
        <x:v>Hawaii +4.5 + MEM/UNLV O56.5</x:v>
      </x:c>
      <x:c r="J144" s="80" t="str"/>
      <x:c r="K144" s="31" t="str">
        <x:v>DISCOVERED</x:v>
      </x:c>
      <x:c r="L144" s="31" t="str">
        <x:v>A-</x:v>
      </x:c>
      <x:c r="M144" s="31" t="str">
        <x:v>Exact-threshold subset of real Card 2.</x:v>
      </x:c>
      <x:c r="N144" s="31" t="str">
        <x:v>N</x:v>
      </x:c>
      <x:c r="O144" s="31" t="str">
        <x:v>Loss</x:v>
      </x:c>
      <x:c r="P144" s="31" t="n">
        <x:v>0</x:v>
      </x:c>
      <x:c r="Q144" s="33" t="str"/>
      <x:c r="R144" s="33" t="str"/>
      <x:c r="S144" s="31" t="str"/>
      <x:c r="T144" s="32" t="str"/>
      <x:c r="U144" s="31" t="str">
        <x:v>Hawaii +4.5 and MEM/UNLV O56.5 both lost.</x:v>
      </x:c>
      <x:c r="V144" s="31" t="str">
        <x:v>CONSTRUCTION_TEST</x:v>
      </x:c>
      <x:c r="W144" s="31" t="str">
        <x:v>EXP-09</x:v>
      </x:c>
      <x:c r="X144" s="31" t="str">
        <x:v>CFB 2-LEG HAW4.5+OVER</x:v>
      </x:c>
      <x:c r="Y144" s="31" t="str">
        <x:v>A29-T03</x:v>
      </x:c>
      <x:c r="Z144" s="31" t="str">
        <x:v>Market-cushion side plus independent total may survive without player-prop uncertainty.</x:v>
      </x:c>
      <x:c r="AA144" s="31" t="str">
        <x:v>Miller 60+ is strong enough to improve 3-leg expected value.</x:v>
      </x:c>
      <x:c r="AB144" s="31" t="str">
        <x:v>Both lower-information secondary theses failed.</x:v>
      </x:c>
    </x:row>
    <x:row r="145">
      <x:c r="A145" s="79" t="str">
        <x:v>2026-08-29</x:v>
      </x:c>
      <x:c r="B145" s="31" t="str">
        <x:v>P29-062</x:v>
      </x:c>
      <x:c r="C145" s="31" t="str">
        <x:v>A29-C04</x:v>
      </x:c>
      <x:c r="D145" s="31" t="str">
        <x:v>PAPER</x:v>
      </x:c>
      <x:c r="E145" s="31" t="str">
        <x:v>CFB</x:v>
      </x:c>
      <x:c r="F145" s="31" t="str">
        <x:v>SJSU @ USC</x:v>
      </x:c>
      <x:c r="G145" s="31" t="str">
        <x:v>SJSU/USC</x:v>
      </x:c>
      <x:c r="H145" s="31" t="str">
        <x:v>Game Total</x:v>
      </x:c>
      <x:c r="I145" s="31" t="str">
        <x:v>Under 60.5 total points</x:v>
      </x:c>
      <x:c r="J145" s="80" t="n">
        <x:v>-110</x:v>
      </x:c>
      <x:c r="K145" s="31" t="str">
        <x:v>DISCOVERED</x:v>
      </x:c>
      <x:c r="L145" s="31" t="str">
        <x:v>A</x:v>
      </x:c>
      <x:c r="M145" s="31" t="str">
        <x:v>TSI Week 0 best bet; model total 55.</x:v>
      </x:c>
      <x:c r="N145" s="31" t="str">
        <x:v>N</x:v>
      </x:c>
      <x:c r="O145" s="31" t="str">
        <x:v>Pending</x:v>
      </x:c>
      <x:c r="P145" s="31" t="str"/>
      <x:c r="Q145" s="33" t="n">
        <x:v>0</x:v>
      </x:c>
      <x:c r="R145" s="33" t="str"/>
      <x:c r="S145" s="31" t="str"/>
      <x:c r="T145" s="32" t="str"/>
      <x:c r="U145" s="31" t="str">
        <x:v>Current benchmark -110.</x:v>
      </x:c>
      <x:c r="V145" s="31" t="str">
        <x:v>HYPOTHESIS_TEST</x:v>
      </x:c>
      <x:c r="W145" s="31" t="str">
        <x:v>EXP-21</x:v>
      </x:c>
      <x:c r="X145" s="31" t="str">
        <x:v>USC UNDER 60.5 ARM</x:v>
      </x:c>
      <x:c r="Y145" s="31" t="str"/>
      <x:c r="Z145" s="31" t="str">
        <x:v>USC defensive upgrade plus blowout game state can suppress total despite elite offense.</x:v>
      </x:c>
      <x:c r="AA145" s="31" t="str">
        <x:v>USC offense and/or SJSU garbage-time scoring overwhelms the projected defensive improvement.</x:v>
      </x:c>
      <x:c r="AB145" s="31" t="str"/>
    </x:row>
    <x:row r="146">
      <x:c r="A146" s="79" t="str">
        <x:v>2026-08-29</x:v>
      </x:c>
      <x:c r="B146" s="31" t="str">
        <x:v>P29-063</x:v>
      </x:c>
      <x:c r="C146" s="31" t="str">
        <x:v>A29-C05</x:v>
      </x:c>
      <x:c r="D146" s="31" t="str">
        <x:v>PAPER</x:v>
      </x:c>
      <x:c r="E146" s="31" t="str">
        <x:v>CFB</x:v>
      </x:c>
      <x:c r="F146" s="31" t="str">
        <x:v>SJSU @ USC</x:v>
      </x:c>
      <x:c r="G146" s="31" t="str">
        <x:v>USC</x:v>
      </x:c>
      <x:c r="H146" s="31" t="str">
        <x:v>Spread</x:v>
      </x:c>
      <x:c r="I146" s="31" t="str">
        <x:v>USC -38.5</x:v>
      </x:c>
      <x:c r="J146" s="80" t="n">
        <x:v>-110</x:v>
      </x:c>
      <x:c r="K146" s="31" t="str">
        <x:v>SOURCED</x:v>
      </x:c>
      <x:c r="L146" s="31" t="str">
        <x:v>B</x:v>
      </x:c>
      <x:c r="M146" s="31" t="str">
        <x:v>Opposing giant-favorite arm against TSI's lower spread projection.</x:v>
      </x:c>
      <x:c r="N146" s="31" t="str">
        <x:v>N</x:v>
      </x:c>
      <x:c r="O146" s="31" t="str">
        <x:v>Pending</x:v>
      </x:c>
      <x:c r="P146" s="31" t="str"/>
      <x:c r="Q146" s="33" t="n">
        <x:v>0</x:v>
      </x:c>
      <x:c r="R146" s="33" t="str"/>
      <x:c r="S146" s="31" t="str"/>
      <x:c r="T146" s="32" t="str"/>
      <x:c r="U146" s="31" t="str">
        <x:v>Current benchmark around -110.</x:v>
      </x:c>
      <x:c r="V146" s="31" t="str">
        <x:v>ALT_MARKET_TEST</x:v>
      </x:c>
      <x:c r="W146" s="31" t="str">
        <x:v>EXP-23</x:v>
      </x:c>
      <x:c r="X146" s="31" t="str">
        <x:v>USC -38.5 ARM</x:v>
      </x:c>
      <x:c r="Y146" s="31" t="str">
        <x:v>P29-062</x:v>
      </x:c>
      <x:c r="Z146" s="31" t="str">
        <x:v>Talent/returning-production gap is large enough that USC can cover five-plus scores.</x:v>
      </x:c>
      <x:c r="AA146" s="31" t="str">
        <x:v>Blowout substitutions or improved SJSU resistance keeps margin below 39.</x:v>
      </x:c>
      <x:c r="AB146" s="31" t="str"/>
    </x:row>
    <x:row r="147">
      <x:c r="A147" s="79" t="str">
        <x:v>2026-08-29</x:v>
      </x:c>
      <x:c r="B147" s="31" t="str">
        <x:v>P29-064</x:v>
      </x:c>
      <x:c r="C147" s="31" t="str">
        <x:v>A29-C06</x:v>
      </x:c>
      <x:c r="D147" s="31" t="str">
        <x:v>PAPER</x:v>
      </x:c>
      <x:c r="E147" s="31" t="str">
        <x:v>CFB</x:v>
      </x:c>
      <x:c r="F147" s="31" t="str">
        <x:v>NC State @ Virginia</x:v>
      </x:c>
      <x:c r="G147" s="31" t="str">
        <x:v>NC State</x:v>
      </x:c>
      <x:c r="H147" s="31" t="str">
        <x:v>Spread</x:v>
      </x:c>
      <x:c r="I147" s="31" t="str">
        <x:v>NC State +3.5</x:v>
      </x:c>
      <x:c r="J147" s="80" t="n">
        <x:v>-110</x:v>
      </x:c>
      <x:c r="K147" s="31" t="str">
        <x:v>DISCOVERED</x:v>
      </x:c>
      <x:c r="L147" s="31" t="str">
        <x:v>A-</x:v>
      </x:c>
      <x:c r="M147" s="31" t="str">
        <x:v>Independent underdog cover thesis.</x:v>
      </x:c>
      <x:c r="N147" s="31" t="str">
        <x:v>N</x:v>
      </x:c>
      <x:c r="O147" s="31" t="str">
        <x:v>Pending</x:v>
      </x:c>
      <x:c r="P147" s="31" t="str"/>
      <x:c r="Q147" s="33" t="n">
        <x:v>0</x:v>
      </x:c>
      <x:c r="R147" s="33" t="str"/>
      <x:c r="S147" s="31" t="str"/>
      <x:c r="T147" s="32" t="str"/>
      <x:c r="U147" s="31" t="str">
        <x:v>Current independent benchmark -110.</x:v>
      </x:c>
      <x:c r="V147" s="31" t="str">
        <x:v>ALT_MARKET_TEST</x:v>
      </x:c>
      <x:c r="W147" s="31" t="str">
        <x:v>EXP-23</x:v>
      </x:c>
      <x:c r="X147" s="31" t="str">
        <x:v>NC STATE +3.5 ARM</x:v>
      </x:c>
      <x:c r="Y147" s="31" t="str">
        <x:v>P29-065</x:v>
      </x:c>
      <x:c r="Z147" s="31" t="str">
        <x:v>QB continuity and Virginia uncertainty make the underdog more valuable than market implies.</x:v>
      </x:c>
      <x:c r="AA147" s="31" t="str">
        <x:v>Virginia controls the matchup and covers 4+.</x:v>
      </x:c>
      <x:c r="AB147" s="31" t="str"/>
    </x:row>
    <x:row r="148">
      <x:c r="A148" s="79" t="str">
        <x:v>2026-08-29</x:v>
      </x:c>
      <x:c r="B148" s="31" t="str">
        <x:v>P29-065</x:v>
      </x:c>
      <x:c r="C148" s="31" t="str">
        <x:v>A29-C07</x:v>
      </x:c>
      <x:c r="D148" s="31" t="str">
        <x:v>PAPER</x:v>
      </x:c>
      <x:c r="E148" s="31" t="str">
        <x:v>CFB</x:v>
      </x:c>
      <x:c r="F148" s="31" t="str">
        <x:v>NC State @ Virginia</x:v>
      </x:c>
      <x:c r="G148" s="31" t="str">
        <x:v>Virginia</x:v>
      </x:c>
      <x:c r="H148" s="31" t="str">
        <x:v>Spread</x:v>
      </x:c>
      <x:c r="I148" s="31" t="str">
        <x:v>Virginia -4.0</x:v>
      </x:c>
      <x:c r="J148" s="80" t="str"/>
      <x:c r="K148" s="31" t="str">
        <x:v>DISCOVERED</x:v>
      </x:c>
      <x:c r="L148" s="31" t="str">
        <x:v>B</x:v>
      </x:c>
      <x:c r="M148" s="31" t="str">
        <x:v>TSI model-aligned favorite control.</x:v>
      </x:c>
      <x:c r="N148" s="31" t="str">
        <x:v>N</x:v>
      </x:c>
      <x:c r="O148" s="31" t="str">
        <x:v>Pending</x:v>
      </x:c>
      <x:c r="P148" s="31" t="str"/>
      <x:c r="Q148" s="33" t="str"/>
      <x:c r="R148" s="33" t="str"/>
      <x:c r="S148" s="31" t="str"/>
      <x:c r="T148" s="32" t="str"/>
      <x:c r="U148" s="31" t="str">
        <x:v>Outcome-only unless exact price later recovered.</x:v>
      </x:c>
      <x:c r="V148" s="31" t="str">
        <x:v>ALT_MARKET_TEST</x:v>
      </x:c>
      <x:c r="W148" s="31" t="str">
        <x:v>EXP-23</x:v>
      </x:c>
      <x:c r="X148" s="31" t="str">
        <x:v>VIRGINIA -4 ARM</x:v>
      </x:c>
      <x:c r="Y148" s="31" t="str">
        <x:v>P29-064</x:v>
      </x:c>
      <x:c r="Z148" s="31" t="str">
        <x:v>TSI alignment indicates market is fair and Virginia home advantage should hold.</x:v>
      </x:c>
      <x:c r="AA148" s="31" t="str">
        <x:v>NC State covers/wins, validating independent underdog handicaps over model alignment.</x:v>
      </x:c>
      <x:c r="AB148" s="31" t="str"/>
    </x:row>
    <x:row r="149">
      <x:c r="A149" s="79" t="str">
        <x:v>2026-08-29</x:v>
      </x:c>
      <x:c r="B149" s="31" t="str">
        <x:v>P29-066</x:v>
      </x:c>
      <x:c r="C149" s="31" t="str">
        <x:v>A29-C08</x:v>
      </x:c>
      <x:c r="D149" s="31" t="str">
        <x:v>PAPER</x:v>
      </x:c>
      <x:c r="E149" s="31" t="str">
        <x:v>CFB</x:v>
      </x:c>
      <x:c r="F149" s="31" t="str">
        <x:v>New Mexico State @ Florida State</x:v>
      </x:c>
      <x:c r="G149" s="31" t="str">
        <x:v>New Mexico State</x:v>
      </x:c>
      <x:c r="H149" s="31" t="str">
        <x:v>Spread</x:v>
      </x:c>
      <x:c r="I149" s="31" t="str">
        <x:v>New Mexico State +32.5</x:v>
      </x:c>
      <x:c r="J149" s="80" t="str"/>
      <x:c r="K149" s="31" t="str">
        <x:v>DISCOVERED</x:v>
      </x:c>
      <x:c r="L149" s="31" t="str">
        <x:v>A-</x:v>
      </x:c>
      <x:c r="M149" s="31" t="str">
        <x:v>Huge spread / model-gap underdog test.</x:v>
      </x:c>
      <x:c r="N149" s="31" t="str">
        <x:v>N</x:v>
      </x:c>
      <x:c r="O149" s="31" t="str">
        <x:v>Pending</x:v>
      </x:c>
      <x:c r="P149" s="31" t="str"/>
      <x:c r="Q149" s="33" t="str"/>
      <x:c r="R149" s="33" t="str"/>
      <x:c r="S149" s="31" t="str"/>
      <x:c r="T149" s="32" t="str"/>
      <x:c r="U149" s="31" t="str">
        <x:v>Market around +32.5; TSI makes FSU only -23.</x:v>
      </x:c>
      <x:c r="V149" s="31" t="str">
        <x:v>THRESHOLD_TEST</x:v>
      </x:c>
      <x:c r="W149" s="31" t="str">
        <x:v>EXP-23</x:v>
      </x:c>
      <x:c r="X149" s="31" t="str">
        <x:v>NMSU +32.5 ARM</x:v>
      </x:c>
      <x:c r="Y149" s="31" t="str">
        <x:v>P29-067</x:v>
      </x:c>
      <x:c r="Z149" s="31" t="str">
        <x:v>Very large model-vs-market gaps may make ugly underdogs valuable even with severe talent disadvantages.</x:v>
      </x:c>
      <x:c r="AA149" s="31" t="str">
        <x:v>FSU maintains full-game aggression and wins by 33+.</x:v>
      </x:c>
      <x:c r="AB149" s="31" t="str"/>
    </x:row>
    <x:row r="150">
      <x:c r="A150" s="79" t="str">
        <x:v>2026-08-29</x:v>
      </x:c>
      <x:c r="B150" s="31" t="str">
        <x:v>P29-067</x:v>
      </x:c>
      <x:c r="C150" s="31" t="str">
        <x:v>A29-C09</x:v>
      </x:c>
      <x:c r="D150" s="31" t="str">
        <x:v>PAPER</x:v>
      </x:c>
      <x:c r="E150" s="31" t="str">
        <x:v>CFB</x:v>
      </x:c>
      <x:c r="F150" s="31" t="str">
        <x:v>New Mexico State @ Florida State</x:v>
      </x:c>
      <x:c r="G150" s="31" t="str">
        <x:v>Florida State</x:v>
      </x:c>
      <x:c r="H150" s="31" t="str">
        <x:v>First Half Spread</x:v>
      </x:c>
      <x:c r="I150" s="31" t="str">
        <x:v>Florida State 1H -17.5</x:v>
      </x:c>
      <x:c r="J150" s="80" t="str"/>
      <x:c r="K150" s="31" t="str">
        <x:v>DISCOVERED</x:v>
      </x:c>
      <x:c r="L150" s="31" t="str">
        <x:v>B+</x:v>
      </x:c>
      <x:c r="M150" s="31" t="str">
        <x:v>Favorite early-script alternative to full-game -32.5.</x:v>
      </x:c>
      <x:c r="N150" s="31" t="str">
        <x:v>N</x:v>
      </x:c>
      <x:c r="O150" s="31" t="str">
        <x:v>Pending</x:v>
      </x:c>
      <x:c r="P150" s="31" t="str"/>
      <x:c r="Q150" s="33" t="str"/>
      <x:c r="R150" s="33" t="str"/>
      <x:c r="S150" s="31" t="str"/>
      <x:c r="T150" s="32" t="str"/>
      <x:c r="U150" s="31" t="str">
        <x:v>Action official first-half pick; exact price not captured.</x:v>
      </x:c>
      <x:c r="V150" s="31" t="str">
        <x:v>ALT_MARKET_TEST</x:v>
      </x:c>
      <x:c r="W150" s="31" t="str">
        <x:v>EXP-23</x:v>
      </x:c>
      <x:c r="X150" s="31" t="str">
        <x:v>FSU 1H -17.5 ARM</x:v>
      </x:c>
      <x:c r="Y150" s="31" t="str">
        <x:v>P29-066</x:v>
      </x:c>
      <x:c r="Z150" s="31" t="str">
        <x:v>Dominant favorite can express talent edge early without relying on second-half blowout behavior.</x:v>
      </x:c>
      <x:c r="AA150" s="31" t="str">
        <x:v>Slow start prevents FSU from building 18+ halftime lead.</x:v>
      </x:c>
      <x:c r="AB150" s="31" t="str"/>
    </x:row>
    <x:row r="151">
      <x:c r="A151" s="79" t="str">
        <x:v>2026-08-29</x:v>
      </x:c>
      <x:c r="B151" s="31" t="str">
        <x:v>P29-068</x:v>
      </x:c>
      <x:c r="C151" s="31" t="str">
        <x:v>A29-C10</x:v>
      </x:c>
      <x:c r="D151" s="31" t="str">
        <x:v>PAPER</x:v>
      </x:c>
      <x:c r="E151" s="31" t="str">
        <x:v>CFB</x:v>
      </x:c>
      <x:c r="F151" s="31" t="str">
        <x:v>New Mexico State @ Florida State</x:v>
      </x:c>
      <x:c r="G151" s="31" t="str">
        <x:v>Ousmane Kromah</x:v>
      </x:c>
      <x:c r="H151" s="31" t="str">
        <x:v>Rushing Yards</x:v>
      </x:c>
      <x:c r="I151" s="31" t="str">
        <x:v>100+ rushing yards</x:v>
      </x:c>
      <x:c r="J151" s="80" t="n">
        <x:v>230</x:v>
      </x:c>
      <x:c r="K151" s="31" t="str">
        <x:v>DISCOVERED</x:v>
      </x:c>
      <x:c r="L151" s="31" t="str">
        <x:v>B</x:v>
      </x:c>
      <x:c r="M151" s="31" t="str">
        <x:v>Run-script player-prop test in huge favorite game.</x:v>
      </x:c>
      <x:c r="N151" s="31" t="str">
        <x:v>N</x:v>
      </x:c>
      <x:c r="O151" s="31" t="str">
        <x:v>Pending</x:v>
      </x:c>
      <x:c r="P151" s="31" t="str"/>
      <x:c r="Q151" s="33" t="n">
        <x:v>0</x:v>
      </x:c>
      <x:c r="R151" s="33" t="str"/>
      <x:c r="S151" s="31" t="str"/>
      <x:c r="T151" s="32" t="str"/>
      <x:c r="U151" s="31" t="str">
        <x:v>Action benchmark +230.</x:v>
      </x:c>
      <x:c r="V151" s="31" t="str">
        <x:v>HYPOTHESIS_TEST</x:v>
      </x:c>
      <x:c r="W151" s="31" t="str">
        <x:v>EXP-22</x:v>
      </x:c>
      <x:c r="X151" s="31" t="str">
        <x:v>KROMAH 100+ RUSH ARM</x:v>
      </x:c>
      <x:c r="Y151" s="31" t="str"/>
      <x:c r="Z151" s="31" t="str">
        <x:v>A huge favorite can create enough early rushing volume and efficiency for a 100+ yard alt even with blowout substitutions.</x:v>
      </x:c>
      <x:c r="AA151" s="31" t="str">
        <x:v>Backfield rotation/blowout caps volume before 100 yards.</x:v>
      </x:c>
      <x:c r="AB151" s="31" t="str"/>
    </x:row>
    <x:row r="152">
      <x:c r="A152" s="79" t="str">
        <x:v>2026-08-29</x:v>
      </x:c>
      <x:c r="B152" s="31" t="str">
        <x:v>P29-069</x:v>
      </x:c>
      <x:c r="C152" s="31" t="str">
        <x:v>A29-R25</x:v>
      </x:c>
      <x:c r="D152" s="31" t="str">
        <x:v>PAPER</x:v>
      </x:c>
      <x:c r="E152" s="31" t="str">
        <x:v>MLB</x:v>
      </x:c>
      <x:c r="F152" s="31" t="str">
        <x:v>PHI @ LAA</x:v>
      </x:c>
      <x:c r="G152" s="31" t="str">
        <x:v>Bryce Harper</x:v>
      </x:c>
      <x:c r="H152" s="31" t="str">
        <x:v>Total Bases</x:v>
      </x:c>
      <x:c r="I152" s="31" t="str">
        <x:v>2+ total bases</x:v>
      </x:c>
      <x:c r="J152" s="80" t="n">
        <x:v>119</x:v>
      </x:c>
      <x:c r="K152" s="31" t="str">
        <x:v>HYBRID</x:v>
      </x:c>
      <x:c r="L152" s="31" t="str">
        <x:v>A-</x:v>
      </x:c>
      <x:c r="M152" s="31" t="str">
        <x:v>Recent-form source lead independently supported by soft opposing starter, but park geometry is a mild negative.</x:v>
      </x:c>
      <x:c r="N152" s="31" t="str">
        <x:v>Y</x:v>
      </x:c>
      <x:c r="O152" s="31" t="str">
        <x:v>Loss</x:v>
      </x:c>
      <x:c r="P152" s="31" t="n">
        <x:v>0</x:v>
      </x:c>
      <x:c r="Q152" s="33" t="str"/>
      <x:c r="R152" s="33" t="str"/>
      <x:c r="S152" s="31" t="str"/>
      <x:c r="T152" s="32" t="str"/>
      <x:c r="U152" s="31" t="str">
        <x:v>Harper 2+ TB lost; raw +117/+119 range, boosted real single also lost.</x:v>
      </x:c>
      <x:c r="V152" s="31" t="str">
        <x:v>HYPOTHESIS_TEST</x:v>
      </x:c>
      <x:c r="W152" s="31" t="str">
        <x:v>EXP-04</x:v>
      </x:c>
      <x:c r="X152" s="31" t="str">
        <x:v>HARPER RECENT-FORM TB ARM</x:v>
      </x:c>
      <x:c r="Y152" s="31" t="str"/>
      <x:c r="Z152" s="31" t="str">
        <x:v>Recent XBH/TB form plus a weak starter can sustain a 2+ TB edge when price remains plus money.</x:v>
      </x:c>
      <x:c r="AA152" s="31" t="str">
        <x:v>Recent-form heater regresses and/or park/pitch-shape matchup suppresses extra-base production.</x:v>
      </x:c>
      <x:c r="AB152" s="31" t="str">
        <x:v>Recent-form + weak-starter convergence was insufficient; 2+ TB remains volatile.</x:v>
      </x:c>
    </x:row>
    <x:row r="153">
      <x:c r="A153" s="79" t="str">
        <x:v>2026-08-29</x:v>
      </x:c>
      <x:c r="B153" s="31" t="str">
        <x:v>P29-070</x:v>
      </x:c>
      <x:c r="C153" s="31" t="str">
        <x:v>A29-D11</x:v>
      </x:c>
      <x:c r="D153" s="31" t="str">
        <x:v>PAPER</x:v>
      </x:c>
      <x:c r="E153" s="31" t="str">
        <x:v>MLB</x:v>
      </x:c>
      <x:c r="F153" s="31" t="str">
        <x:v>SEA @ TOR</x:v>
      </x:c>
      <x:c r="G153" s="31" t="str">
        <x:v>Julio Rodríguez</x:v>
      </x:c>
      <x:c r="H153" s="31" t="str">
        <x:v>1+ Hit</x:v>
      </x:c>
      <x:c r="I153" s="31" t="str">
        <x:v>1+ hit</x:v>
      </x:c>
      <x:c r="J153" s="80" t="n">
        <x:v>-170</x:v>
      </x:c>
      <x:c r="K153" s="31" t="str">
        <x:v>HYBRID</x:v>
      </x:c>
      <x:c r="L153" s="31" t="str">
        <x:v>B+</x:v>
      </x:c>
      <x:c r="M153" s="31" t="str">
        <x:v>Moderate-sample BvP control against Soriano.</x:v>
      </x:c>
      <x:c r="N153" s="31" t="str">
        <x:v>N</x:v>
      </x:c>
      <x:c r="O153" s="31" t="str">
        <x:v>Loss</x:v>
      </x:c>
      <x:c r="P153" s="31" t="n">
        <x:v>0</x:v>
      </x:c>
      <x:c r="Q153" s="33" t="n">
        <x:v>0</x:v>
      </x:c>
      <x:c r="R153" s="33" t="str"/>
      <x:c r="S153" s="31" t="str"/>
      <x:c r="T153" s="32" t="str"/>
      <x:c r="U153" s="31" t="str">
        <x:v>Julio Rodríguez went 0-for-3 with a walk. https://www.statmuse.com/mlb/game/8-29-2026-sea-at-tor-235352</x:v>
      </x:c>
      <x:c r="V153" s="31" t="str">
        <x:v>HYPOTHESIS_TEST</x:v>
      </x:c>
      <x:c r="W153" s="31" t="str">
        <x:v>EXP-08</x:v>
      </x:c>
      <x:c r="X153" s="31" t="str">
        <x:v>JULIO BVP 1+ HIT ARM</x:v>
      </x:c>
      <x:c r="Y153" s="31" t="str"/>
      <x:c r="Z153" s="31" t="str">
        <x:v>A 10-for-18 career history against the same pitcher should add directional value to a high-floor hit market.</x:v>
      </x:c>
      <x:c r="AA153" s="31" t="str">
        <x:v>The price is too compressed and BvP adds little predictive value beyond broader hitter quality.</x:v>
      </x:c>
      <x:c r="AB153" s="31" t="str">
        <x:v>BvP 1+ hit control failed.</x:v>
      </x:c>
    </x:row>
    <x:row r="154">
      <x:c r="A154" s="79" t="str">
        <x:v>2026-08-29</x:v>
      </x:c>
      <x:c r="B154" s="31" t="str">
        <x:v>P29-071</x:v>
      </x:c>
      <x:c r="C154" s="31" t="str">
        <x:v>A29-D12</x:v>
      </x:c>
      <x:c r="D154" s="31" t="str">
        <x:v>PAPER</x:v>
      </x:c>
      <x:c r="E154" s="31" t="str">
        <x:v>MLB</x:v>
      </x:c>
      <x:c r="F154" s="31" t="str">
        <x:v>SEA @ TOR</x:v>
      </x:c>
      <x:c r="G154" s="31" t="str">
        <x:v>Julio Rodríguez</x:v>
      </x:c>
      <x:c r="H154" s="31" t="str">
        <x:v>Total Bases</x:v>
      </x:c>
      <x:c r="I154" s="31" t="str">
        <x:v>2+ total bases</x:v>
      </x:c>
      <x:c r="J154" s="80" t="str"/>
      <x:c r="K154" s="31" t="str">
        <x:v>HYBRID</x:v>
      </x:c>
      <x:c r="L154" s="31" t="str">
        <x:v>B</x:v>
      </x:c>
      <x:c r="M154" s="31" t="str">
        <x:v>Power/upside expression of the same BvP signal.</x:v>
      </x:c>
      <x:c r="N154" s="31" t="str">
        <x:v>N</x:v>
      </x:c>
      <x:c r="O154" s="31" t="str">
        <x:v>Loss</x:v>
      </x:c>
      <x:c r="P154" s="31" t="n">
        <x:v>0</x:v>
      </x:c>
      <x:c r="Q154" s="33" t="n">
        <x:v>0</x:v>
      </x:c>
      <x:c r="R154" s="33" t="str"/>
      <x:c r="S154" s="31" t="str"/>
      <x:c r="T154" s="32" t="str"/>
      <x:c r="U154" s="31" t="str">
        <x:v>Julio Rodríguez recorded 0 total bases. https://www.statmuse.com/mlb/game/8-29-2026-sea-at-tor-235352</x:v>
      </x:c>
      <x:c r="V154" s="31" t="str">
        <x:v>ALT_MARKET_TEST</x:v>
      </x:c>
      <x:c r="W154" s="31" t="str">
        <x:v>EXP-03</x:v>
      </x:c>
      <x:c r="X154" s="31" t="str">
        <x:v>JULIO BVP 2+ TB ARM</x:v>
      </x:c>
      <x:c r="Y154" s="31" t="str">
        <x:v>P29-070;P29-072</x:v>
      </x:c>
      <x:c r="Z154" s="31" t="str">
        <x:v>If Soriano-specific familiarity is real, 2+ TB may monetize the edge better than a juiced 1+ hit.</x:v>
      </x:c>
      <x:c r="AA154" s="31" t="str">
        <x:v>Julio singles or fails to reach base enough that 1+ hit is clearly superior.</x:v>
      </x:c>
      <x:c r="AB154" s="31" t="str">
        <x:v>BvP TB expression failed.</x:v>
      </x:c>
    </x:row>
    <x:row r="155">
      <x:c r="A155" s="79" t="str">
        <x:v>2026-08-29</x:v>
      </x:c>
      <x:c r="B155" s="31" t="str">
        <x:v>P29-072</x:v>
      </x:c>
      <x:c r="C155" s="31" t="str">
        <x:v>A29-D13</x:v>
      </x:c>
      <x:c r="D155" s="31" t="str">
        <x:v>PAPER</x:v>
      </x:c>
      <x:c r="E155" s="31" t="str">
        <x:v>MLB</x:v>
      </x:c>
      <x:c r="F155" s="31" t="str">
        <x:v>SEA @ TOR</x:v>
      </x:c>
      <x:c r="G155" s="31" t="str">
        <x:v>Julio Rodríguez</x:v>
      </x:c>
      <x:c r="H155" s="31" t="str">
        <x:v>H+R+RBI</x:v>
      </x:c>
      <x:c r="I155" s="31" t="str">
        <x:v>2+ H+R+RBI</x:v>
      </x:c>
      <x:c r="J155" s="80" t="str"/>
      <x:c r="K155" s="31" t="str">
        <x:v>HYBRID</x:v>
      </x:c>
      <x:c r="L155" s="31" t="str">
        <x:v>B+</x:v>
      </x:c>
      <x:c r="M155" s="31" t="str">
        <x:v>Broad-production expression of the same matchup thesis.</x:v>
      </x:c>
      <x:c r="N155" s="31" t="str">
        <x:v>N</x:v>
      </x:c>
      <x:c r="O155" s="31" t="str">
        <x:v>Loss</x:v>
      </x:c>
      <x:c r="P155" s="31" t="n">
        <x:v>0</x:v>
      </x:c>
      <x:c r="Q155" s="33" t="n">
        <x:v>0</x:v>
      </x:c>
      <x:c r="R155" s="33" t="str"/>
      <x:c r="S155" s="31" t="str"/>
      <x:c r="T155" s="32" t="str"/>
      <x:c r="U155" s="31" t="str">
        <x:v>Julio Rodríguez: 0 H, 0 R, 0 RBI. https://www.statmuse.com/mlb/game/8-29-2026-sea-at-tor-235352</x:v>
      </x:c>
      <x:c r="V155" s="31" t="str">
        <x:v>ALT_MARKET_TEST</x:v>
      </x:c>
      <x:c r="W155" s="31" t="str">
        <x:v>EXP-03</x:v>
      </x:c>
      <x:c r="X155" s="31" t="str">
        <x:v>JULIO BVP 2+ HRR ARM</x:v>
      </x:c>
      <x:c r="Y155" s="31" t="str">
        <x:v>P29-070;P29-071</x:v>
      </x:c>
      <x:c r="Z155" s="31" t="str">
        <x:v>Broad HRR may capture both contact and run-production paths better than TB in a favorable pitcher matchup.</x:v>
      </x:c>
      <x:c r="AA155" s="31" t="str">
        <x:v>Seattle lineup fails to convert Julio's plate appearances into runs/RBI and 1+ hit remains cleaner.</x:v>
      </x:c>
      <x:c r="AB155" s="31" t="str">
        <x:v>BvP HRR expression also failed; underlying BvP signal itself failed.</x:v>
      </x:c>
    </x:row>
    <x:row r="156">
      <x:c r="A156" s="79" t="str">
        <x:v>2026-08-29</x:v>
      </x:c>
      <x:c r="B156" s="31" t="str">
        <x:v>P29-073</x:v>
      </x:c>
      <x:c r="C156" s="31" t="str">
        <x:v>A29-R27</x:v>
      </x:c>
      <x:c r="D156" s="31" t="str">
        <x:v>PAPER</x:v>
      </x:c>
      <x:c r="E156" s="31" t="str">
        <x:v>MLB</x:v>
      </x:c>
      <x:c r="F156" s="31" t="str">
        <x:v>CIN @ CHC</x:v>
      </x:c>
      <x:c r="G156" s="31" t="str">
        <x:v>Chicago Cubs</x:v>
      </x:c>
      <x:c r="H156" s="31" t="str">
        <x:v>Team Hitter Target</x:v>
      </x:c>
      <x:c r="I156" s="31" t="str">
        <x:v>Cubs hitter-prop team target</x:v>
      </x:c>
      <x:c r="J156" s="80" t="str"/>
      <x:c r="K156" s="31" t="str">
        <x:v>SOURCED</x:v>
      </x:c>
      <x:c r="L156" s="31" t="str">
        <x:v>B</x:v>
      </x:c>
      <x:c r="M156" s="31" t="str">
        <x:v>Source #1 team target conflicts with Abbott history.</x:v>
      </x:c>
      <x:c r="N156" s="31" t="str">
        <x:v>N</x:v>
      </x:c>
      <x:c r="O156" s="31" t="str">
        <x:v>Pending</x:v>
      </x:c>
      <x:c r="P156" s="31" t="str"/>
      <x:c r="Q156" s="33" t="str"/>
      <x:c r="R156" s="33" t="str"/>
      <x:c r="S156" s="31" t="str"/>
      <x:c r="T156" s="32" t="str"/>
      <x:c r="U156" s="31" t="str">
        <x:v>Outcome/team-context test only.</x:v>
      </x:c>
      <x:c r="V156" s="31" t="str">
        <x:v>HYPOTHESIS_TEST</x:v>
      </x:c>
      <x:c r="W156" s="31" t="str">
        <x:v>EXP-08</x:v>
      </x:c>
      <x:c r="X156" s="31" t="str">
        <x:v>CUBS TEAM-TARGET ARM</x:v>
      </x:c>
      <x:c r="Y156" s="31" t="str"/>
      <x:c r="Z156" s="31" t="str">
        <x:v>Team-target boards can identify offense spots beyond pitcher-vs-roster history.</x:v>
      </x:c>
      <x:c r="AA156" s="31" t="str">
        <x:v>Abbott suppresses Cubs enough that source ranking looks overstated.</x:v>
      </x:c>
      <x:c r="AB156" s="31" t="str"/>
    </x:row>
    <x:row r="157">
      <x:c r="A157" s="79" t="str">
        <x:v>2026-08-29</x:v>
      </x:c>
      <x:c r="B157" s="31" t="str">
        <x:v>P29-074</x:v>
      </x:c>
      <x:c r="C157" s="31" t="str">
        <x:v>A29-R28</x:v>
      </x:c>
      <x:c r="D157" s="31" t="str">
        <x:v>PAPER</x:v>
      </x:c>
      <x:c r="E157" s="31" t="str">
        <x:v>MLB</x:v>
      </x:c>
      <x:c r="F157" s="31" t="str">
        <x:v>COL @ ATL</x:v>
      </x:c>
      <x:c r="G157" s="31" t="str">
        <x:v>Atlanta Braves</x:v>
      </x:c>
      <x:c r="H157" s="31" t="str">
        <x:v>Team Hitter Target</x:v>
      </x:c>
      <x:c r="I157" s="31" t="str">
        <x:v>Braves hitter-prop team target</x:v>
      </x:c>
      <x:c r="J157" s="80" t="str"/>
      <x:c r="K157" s="31" t="str">
        <x:v>HYBRID</x:v>
      </x:c>
      <x:c r="L157" s="31" t="str">
        <x:v>A</x:v>
      </x:c>
      <x:c r="M157" s="31" t="str">
        <x:v>Strongest team-target convergence in batch.</x:v>
      </x:c>
      <x:c r="N157" s="31" t="str">
        <x:v>N</x:v>
      </x:c>
      <x:c r="O157" s="31" t="str">
        <x:v>Pending</x:v>
      </x:c>
      <x:c r="P157" s="31" t="str"/>
      <x:c r="Q157" s="33" t="str"/>
      <x:c r="R157" s="33" t="str"/>
      <x:c r="S157" s="31" t="str"/>
      <x:c r="T157" s="32" t="str"/>
      <x:c r="U157" s="31" t="str">
        <x:v>Feltner 6.08 ERA; ATL .379 AVG/.440 wOBA/.523 xSLG vs him.</x:v>
      </x:c>
      <x:c r="V157" s="31" t="str">
        <x:v>HYPOTHESIS_TEST</x:v>
      </x:c>
      <x:c r="W157" s="31" t="str">
        <x:v>EXP-08</x:v>
      </x:c>
      <x:c r="X157" s="31" t="str">
        <x:v>BRAVES TEAM-TARGET ARM</x:v>
      </x:c>
      <x:c r="Y157" s="31" t="str"/>
      <x:c r="Z157" s="31" t="str">
        <x:v>Broad pitcher-fade signal should outperform reliance on one Braves hitter.</x:v>
      </x:c>
      <x:c r="AA157" s="31" t="str">
        <x:v>Feltner neutralizes ATL despite aggregate indicators.</x:v>
      </x:c>
      <x:c r="AB157" s="31" t="str"/>
    </x:row>
    <x:row r="158">
      <x:c r="A158" s="79" t="str">
        <x:v>2026-08-29</x:v>
      </x:c>
      <x:c r="B158" s="31" t="str">
        <x:v>P29-075</x:v>
      </x:c>
      <x:c r="C158" s="31" t="str">
        <x:v>A29-R29</x:v>
      </x:c>
      <x:c r="D158" s="31" t="str">
        <x:v>PAPER</x:v>
      </x:c>
      <x:c r="E158" s="31" t="str">
        <x:v>MLB</x:v>
      </x:c>
      <x:c r="F158" s="31" t="str">
        <x:v>PHI @ LAA</x:v>
      </x:c>
      <x:c r="G158" s="31" t="str">
        <x:v>Philadelphia Phillies</x:v>
      </x:c>
      <x:c r="H158" s="31" t="str">
        <x:v>Team Hitter Target</x:v>
      </x:c>
      <x:c r="I158" s="31" t="str">
        <x:v>Phillies hitter-prop team target</x:v>
      </x:c>
      <x:c r="J158" s="80" t="str"/>
      <x:c r="K158" s="31" t="str">
        <x:v>HYBRID</x:v>
      </x:c>
      <x:c r="L158" s="31" t="str">
        <x:v>A-</x:v>
      </x:c>
      <x:c r="M158" s="31" t="str">
        <x:v>Converges with Harper 2+ TB.</x:v>
      </x:c>
      <x:c r="N158" s="31" t="str">
        <x:v>N</x:v>
      </x:c>
      <x:c r="O158" s="31" t="str">
        <x:v>Pending</x:v>
      </x:c>
      <x:c r="P158" s="31" t="str"/>
      <x:c r="Q158" s="33" t="str"/>
      <x:c r="R158" s="33" t="str"/>
      <x:c r="S158" s="31" t="str"/>
      <x:c r="T158" s="32" t="str"/>
      <x:c r="U158" s="31" t="str">
        <x:v>Compare team offense with Harper-specific outcome.</x:v>
      </x:c>
      <x:c r="V158" s="31" t="str">
        <x:v>HYPOTHESIS_TEST</x:v>
      </x:c>
      <x:c r="W158" s="31" t="str">
        <x:v>EXP-08</x:v>
      </x:c>
      <x:c r="X158" s="31" t="str">
        <x:v>PHILLIES TEAM-TARGET ARM</x:v>
      </x:c>
      <x:c r="Y158" s="31" t="str">
        <x:v>P29-069</x:v>
      </x:c>
      <x:c r="Z158" s="31" t="str">
        <x:v>Team-level pitcher fade should improve confidence in individual hitter props when both converge.</x:v>
      </x:c>
      <x:c r="AA158" s="31" t="str">
        <x:v>Phillies offense underperforms despite weak starter.</x:v>
      </x:c>
      <x:c r="AB158" s="31" t="str"/>
    </x:row>
    <x:row r="159">
      <x:c r="A159" s="79" t="str">
        <x:v>2026-08-29</x:v>
      </x:c>
      <x:c r="B159" s="31" t="str">
        <x:v>P29-076</x:v>
      </x:c>
      <x:c r="C159" s="31" t="str">
        <x:v>A29-R30</x:v>
      </x:c>
      <x:c r="D159" s="31" t="str">
        <x:v>PAPER</x:v>
      </x:c>
      <x:c r="E159" s="31" t="str">
        <x:v>MLB</x:v>
      </x:c>
      <x:c r="F159" s="31" t="str">
        <x:v>BAL @ ATH</x:v>
      </x:c>
      <x:c r="G159" s="31" t="str">
        <x:v>Baltimore Orioles</x:v>
      </x:c>
      <x:c r="H159" s="31" t="str">
        <x:v>Team Hitter Target</x:v>
      </x:c>
      <x:c r="I159" s="31" t="str">
        <x:v>Orioles hitter-prop team target</x:v>
      </x:c>
      <x:c r="J159" s="80" t="str"/>
      <x:c r="K159" s="31" t="str">
        <x:v>SOURCED</x:v>
      </x:c>
      <x:c r="L159" s="31" t="str">
        <x:v>B</x:v>
      </x:c>
      <x:c r="M159" s="31" t="str">
        <x:v>Small-sample source target with conflicting xwOBA/K.</x:v>
      </x:c>
      <x:c r="N159" s="31" t="str">
        <x:v>N</x:v>
      </x:c>
      <x:c r="O159" s="31" t="str">
        <x:v>Pending</x:v>
      </x:c>
      <x:c r="P159" s="31" t="str"/>
      <x:c r="Q159" s="33" t="str"/>
      <x:c r="R159" s="33" t="str"/>
      <x:c r="S159" s="31" t="str"/>
      <x:c r="T159" s="32" t="str"/>
      <x:c r="U159" s="31" t="str">
        <x:v>14 PA BvP too small for confirmation.</x:v>
      </x:c>
      <x:c r="V159" s="31" t="str">
        <x:v>HYPOTHESIS_TEST</x:v>
      </x:c>
      <x:c r="W159" s="31" t="str">
        <x:v>EXP-08</x:v>
      </x:c>
      <x:c r="X159" s="31" t="str">
        <x:v>ORIOLES TEAM-TARGET ARM</x:v>
      </x:c>
      <x:c r="Y159" s="31" t="str"/>
      <x:c r="Z159" s="31" t="str">
        <x:v>Source may capture matchup quality beyond tiny BvP samples.</x:v>
      </x:c>
      <x:c r="AA159" s="31" t="str">
        <x:v>Perkins suppresses Baltimore and source rank proves noisy.</x:v>
      </x:c>
      <x:c r="AB159" s="31" t="str"/>
    </x:row>
    <x:row r="160">
      <x:c r="A160" s="79" t="str">
        <x:v>2026-08-29</x:v>
      </x:c>
      <x:c r="B160" s="31" t="str">
        <x:v>P29-077</x:v>
      </x:c>
      <x:c r="C160" s="31" t="str">
        <x:v>A29-R31</x:v>
      </x:c>
      <x:c r="D160" s="31" t="str">
        <x:v>PAPER</x:v>
      </x:c>
      <x:c r="E160" s="31" t="str">
        <x:v>MLB</x:v>
      </x:c>
      <x:c r="F160" s="31" t="str">
        <x:v>CWS @ MIN</x:v>
      </x:c>
      <x:c r="G160" s="31" t="str">
        <x:v>Minnesota Twins</x:v>
      </x:c>
      <x:c r="H160" s="31" t="str">
        <x:v>Team Hitter Target</x:v>
      </x:c>
      <x:c r="I160" s="31" t="str">
        <x:v>Twins hitter-prop team target</x:v>
      </x:c>
      <x:c r="J160" s="80" t="str"/>
      <x:c r="K160" s="31" t="str">
        <x:v>SOURCED</x:v>
      </x:c>
      <x:c r="L160" s="31" t="str">
        <x:v>WATCH</x:v>
      </x:c>
      <x:c r="M160" s="31" t="str">
        <x:v>Source target directly conflicts with Fedde matchup numbers.</x:v>
      </x:c>
      <x:c r="N160" s="31" t="str">
        <x:v>N</x:v>
      </x:c>
      <x:c r="O160" s="31" t="str">
        <x:v>Pending</x:v>
      </x:c>
      <x:c r="P160" s="31" t="str"/>
      <x:c r="Q160" s="33" t="str"/>
      <x:c r="R160" s="33" t="str"/>
      <x:c r="S160" s="31" t="str"/>
      <x:c r="T160" s="32" t="str"/>
      <x:c r="U160" s="31" t="str">
        <x:v>Twins vs Fedde: .143 AVG/.192 wOBA/.252 xwOBA in 46 PA.</x:v>
      </x:c>
      <x:c r="V160" s="31" t="str">
        <x:v>HYPOTHESIS_TEST</x:v>
      </x:c>
      <x:c r="W160" s="31" t="str">
        <x:v>EXP-08</x:v>
      </x:c>
      <x:c r="X160" s="31" t="str">
        <x:v>TWINS TEAM-TARGET CONFLICT ARM</x:v>
      </x:c>
      <x:c r="Y160" s="31" t="str"/>
      <x:c r="Z160" s="31" t="str">
        <x:v>Source team-ranking factors may add signal beyond BvP suppression.</x:v>
      </x:c>
      <x:c r="AA160" s="31" t="str">
        <x:v>Fedde continues to suppress Twins and source target is invalidated.</x:v>
      </x:c>
      <x:c r="AB160" s="31" t="str"/>
    </x:row>
    <x:row r="161">
      <x:c r="A161" s="79" t="str">
        <x:v>2026-08-29</x:v>
      </x:c>
      <x:c r="B161" s="31" t="str">
        <x:v>P29-078</x:v>
      </x:c>
      <x:c r="C161" s="31" t="str">
        <x:v>A29-R32</x:v>
      </x:c>
      <x:c r="D161" s="31" t="str">
        <x:v>PAPER</x:v>
      </x:c>
      <x:c r="E161" s="31" t="str">
        <x:v>MLB</x:v>
      </x:c>
      <x:c r="F161" s="31" t="str">
        <x:v>COL @ ATL</x:v>
      </x:c>
      <x:c r="G161" s="31" t="str">
        <x:v>Drake Baldwin</x:v>
      </x:c>
      <x:c r="H161" s="31" t="str">
        <x:v>Total Bases</x:v>
      </x:c>
      <x:c r="I161" s="31" t="str">
        <x:v>Over 1.5 total bases</x:v>
      </x:c>
      <x:c r="J161" s="80" t="n">
        <x:v>-105</x:v>
      </x:c>
      <x:c r="K161" s="31" t="str">
        <x:v>HYBRID</x:v>
      </x:c>
      <x:c r="L161" s="31" t="str">
        <x:v>A</x:v>
      </x:c>
      <x:c r="M161" s="31" t="str">
        <x:v>Best new individual hitter leg from batch.</x:v>
      </x:c>
      <x:c r="N161" s="31" t="str">
        <x:v>N</x:v>
      </x:c>
      <x:c r="O161" s="31" t="str">
        <x:v>Loss</x:v>
      </x:c>
      <x:c r="P161" s="31" t="n">
        <x:v>0</x:v>
      </x:c>
      <x:c r="Q161" s="33" t="str"/>
      <x:c r="R161" s="33" t="str"/>
      <x:c r="S161" s="31" t="str"/>
      <x:c r="T161" s="32" t="str"/>
      <x:c r="U161" s="31" t="str">
        <x:v>Drake Baldwin 2+ TB lost in the real SGPx.</x:v>
      </x:c>
      <x:c r="V161" s="31" t="str">
        <x:v>HYPOTHESIS_TEST</x:v>
      </x:c>
      <x:c r="W161" s="31" t="str">
        <x:v>EXP-03</x:v>
      </x:c>
      <x:c r="X161" s="31" t="str">
        <x:v>BALDWIN 2+ TB ARM</x:v>
      </x:c>
      <x:c r="Y161" s="31" t="str"/>
      <x:c r="Z161" s="31" t="str">
        <x:v>Baldwin should monetize broad Feltner fade through 2+ TB if in premium lineup spot.</x:v>
      </x:c>
      <x:c r="AA161" s="31" t="str">
        <x:v>Braves offense succeeds but Baldwin fails, repeating player-concentration problem.</x:v>
      </x:c>
      <x:c r="AB161" s="31" t="str">
        <x:v>Broad Braves matchup did not guarantee hitter-specific 2+ TB; revalidation also matters when starter context changes.</x:v>
      </x:c>
    </x:row>
    <x:row r="162">
      <x:c r="A162" s="79" t="str">
        <x:v>2026-08-29</x:v>
      </x:c>
      <x:c r="B162" s="31" t="str">
        <x:v>P29-079</x:v>
      </x:c>
      <x:c r="C162" s="31" t="str">
        <x:v>A29-R33</x:v>
      </x:c>
      <x:c r="D162" s="31" t="str">
        <x:v>PAPER</x:v>
      </x:c>
      <x:c r="E162" s="31" t="str">
        <x:v>MLB</x:v>
      </x:c>
      <x:c r="F162" s="31" t="str">
        <x:v>CWS @ MIN</x:v>
      </x:c>
      <x:c r="G162" s="31" t="str">
        <x:v>Miguel Vargas</x:v>
      </x:c>
      <x:c r="H162" s="31" t="str">
        <x:v>H+R+RBI</x:v>
      </x:c>
      <x:c r="I162" s="31" t="str">
        <x:v>Over 1.5 H+R+RBI</x:v>
      </x:c>
      <x:c r="J162" s="80" t="n">
        <x:v>-120</x:v>
      </x:c>
      <x:c r="K162" s="31" t="str">
        <x:v>HYBRID</x:v>
      </x:c>
      <x:c r="L162" s="31" t="str">
        <x:v>A-</x:v>
      </x:c>
      <x:c r="M162" s="31" t="str">
        <x:v>Composite source leg vs prior hit glue.</x:v>
      </x:c>
      <x:c r="N162" s="31" t="str">
        <x:v>N</x:v>
      </x:c>
      <x:c r="O162" s="31" t="str">
        <x:v>Pending</x:v>
      </x:c>
      <x:c r="P162" s="31" t="str"/>
      <x:c r="Q162" s="33" t="str"/>
      <x:c r="R162" s="33" t="str"/>
      <x:c r="S162" s="31" t="str"/>
      <x:c r="T162" s="32" t="str"/>
      <x:c r="U162" s="31" t="str">
        <x:v>Miguel Vargas HRR outcome not user-confirmed in this review; leave pending rather than infer.</x:v>
      </x:c>
      <x:c r="V162" s="31" t="str">
        <x:v>ALT_MARKET_TEST</x:v>
      </x:c>
      <x:c r="W162" s="31" t="str">
        <x:v>EXP-03</x:v>
      </x:c>
      <x:c r="X162" s="31" t="str">
        <x:v>VARGAS HRR ARM</x:v>
      </x:c>
      <x:c r="Y162" s="31" t="str">
        <x:v>P29-016</x:v>
      </x:c>
      <x:c r="Z162" s="31" t="str">
        <x:v>HRR should monetize Vargas' lineup/production more efficiently than expensive 1+ hit.</x:v>
      </x:c>
      <x:c r="AA162" s="31" t="str">
        <x:v>Vargas gets hit but no run/RBI conversion often enough that hit market wins.</x:v>
      </x:c>
      <x:c r="AB162" s="31" t="str">
        <x:v>Composite HRR did not rescue a dead hitter game.</x:v>
      </x:c>
    </x:row>
    <x:row r="163">
      <x:c r="A163" s="79" t="str">
        <x:v>2026-08-29</x:v>
      </x:c>
      <x:c r="B163" s="31" t="str">
        <x:v>P29-080</x:v>
      </x:c>
      <x:c r="C163" s="31" t="str">
        <x:v>A29-R34</x:v>
      </x:c>
      <x:c r="D163" s="31" t="str">
        <x:v>PAPER</x:v>
      </x:c>
      <x:c r="E163" s="31" t="str">
        <x:v>MLB</x:v>
      </x:c>
      <x:c r="F163" s="31" t="str">
        <x:v>SD @ TB</x:v>
      </x:c>
      <x:c r="G163" s="31" t="str">
        <x:v>Nick Martinez</x:v>
      </x:c>
      <x:c r="H163" s="31" t="str">
        <x:v>Pitcher K Over</x:v>
      </x:c>
      <x:c r="I163" s="31" t="str">
        <x:v>Over 3.5 strikeouts</x:v>
      </x:c>
      <x:c r="J163" s="80" t="n">
        <x:v>-115</x:v>
      </x:c>
      <x:c r="K163" s="31" t="str">
        <x:v>SOURCED</x:v>
      </x:c>
      <x:c r="L163" s="31" t="str">
        <x:v>B-</x:v>
      </x:c>
      <x:c r="M163" s="31" t="str">
        <x:v>Source over conflicts with low K skill/opponent history.</x:v>
      </x:c>
      <x:c r="N163" s="31" t="str">
        <x:v>N</x:v>
      </x:c>
      <x:c r="O163" s="31" t="str">
        <x:v>Win</x:v>
      </x:c>
      <x:c r="P163" s="31" t="n">
        <x:v>1</x:v>
      </x:c>
      <x:c r="Q163" s="33" t="n">
        <x:v>4</x:v>
      </x:c>
      <x:c r="R163" s="33" t="str"/>
      <x:c r="S163" s="31" t="str"/>
      <x:c r="T163" s="32" t="str"/>
      <x:c r="U163" s="31" t="str">
        <x:v>Nick Martinez struck out exactly 4 in 5 IP. https://www.boxscore.email/mlb/player/nick-martinez</x:v>
      </x:c>
      <x:c r="V163" s="31" t="str">
        <x:v>THRESHOLD_TEST</x:v>
      </x:c>
      <x:c r="W163" s="31" t="str">
        <x:v>EXP-02</x:v>
      </x:c>
      <x:c r="X163" s="31" t="str">
        <x:v>MARTINEZ O3.5 K ARM</x:v>
      </x:c>
      <x:c r="Y163" s="31" t="str">
        <x:v>P29-081</x:v>
      </x:c>
      <x:c r="Z163" s="31" t="str">
        <x:v>Recent 4+ K streak and low threshold can overcome low season K rate.</x:v>
      </x:c>
      <x:c r="AA163" s="31" t="str">
        <x:v>Padres contact profile keeps Martinez at 3 or fewer.</x:v>
      </x:c>
      <x:c r="AB163" s="31" t="str">
        <x:v>Source O3.5 won exactly at threshold.</x:v>
      </x:c>
    </x:row>
    <x:row r="164">
      <x:c r="A164" s="79" t="str">
        <x:v>2026-08-29</x:v>
      </x:c>
      <x:c r="B164" s="31" t="str">
        <x:v>P29-081</x:v>
      </x:c>
      <x:c r="C164" s="31" t="str">
        <x:v>A29-D14</x:v>
      </x:c>
      <x:c r="D164" s="31" t="str">
        <x:v>PAPER</x:v>
      </x:c>
      <x:c r="E164" s="31" t="str">
        <x:v>MLB</x:v>
      </x:c>
      <x:c r="F164" s="31" t="str">
        <x:v>SD @ TB</x:v>
      </x:c>
      <x:c r="G164" s="31" t="str">
        <x:v>Nick Martinez</x:v>
      </x:c>
      <x:c r="H164" s="31" t="str">
        <x:v>Pitcher K Under</x:v>
      </x:c>
      <x:c r="I164" s="31" t="str">
        <x:v>Under 3.5 strikeouts</x:v>
      </x:c>
      <x:c r="J164" s="80" t="n">
        <x:v>-125</x:v>
      </x:c>
      <x:c r="K164" s="31" t="str">
        <x:v>DISCOVERED</x:v>
      </x:c>
      <x:c r="L164" s="31" t="str">
        <x:v>B</x:v>
      </x:c>
      <x:c r="M164" s="31" t="str">
        <x:v>Opposing paper arm only; K unders remain suspended real-money.</x:v>
      </x:c>
      <x:c r="N164" s="31" t="str">
        <x:v>N</x:v>
      </x:c>
      <x:c r="O164" s="31" t="str">
        <x:v>Loss</x:v>
      </x:c>
      <x:c r="P164" s="31" t="n">
        <x:v>0</x:v>
      </x:c>
      <x:c r="Q164" s="33" t="n">
        <x:v>4</x:v>
      </x:c>
      <x:c r="R164" s="33" t="str"/>
      <x:c r="S164" s="31" t="str"/>
      <x:c r="T164" s="32" t="str"/>
      <x:c r="U164" s="31" t="str">
        <x:v>Nick Martinez struck out exactly 4 in 5 IP. https://www.boxscore.email/mlb/player/nick-martinez</x:v>
      </x:c>
      <x:c r="V164" s="31" t="str">
        <x:v>THRESHOLD_TEST</x:v>
      </x:c>
      <x:c r="W164" s="31" t="str">
        <x:v>EXP-02</x:v>
      </x:c>
      <x:c r="X164" s="31" t="str">
        <x:v>MARTINEZ U3.5 K ARM</x:v>
      </x:c>
      <x:c r="Y164" s="31" t="str">
        <x:v>P29-080</x:v>
      </x:c>
      <x:c r="Z164" s="31" t="str">
        <x:v>Low K/9 plus Padres contact outweigh recent 4+ streak.</x:v>
      </x:c>
      <x:c r="AA164" s="31" t="str">
        <x:v>Martinez reaches 4+ again.</x:v>
      </x:c>
      <x:c r="AB164" s="31" t="str">
        <x:v>Opposing U3.5 lost exactly at threshold; keep K-under suspension.</x:v>
      </x:c>
    </x:row>
    <x:row r="165">
      <x:c r="A165" s="79" t="str">
        <x:v>2026-08-29</x:v>
      </x:c>
      <x:c r="B165" s="31" t="str">
        <x:v>P29-082</x:v>
      </x:c>
      <x:c r="C165" s="31" t="str">
        <x:v>A29-R35</x:v>
      </x:c>
      <x:c r="D165" s="31" t="str">
        <x:v>PAPER</x:v>
      </x:c>
      <x:c r="E165" s="31" t="str">
        <x:v>MLB</x:v>
      </x:c>
      <x:c r="F165" s="31" t="str">
        <x:v>SEA @ TOR</x:v>
      </x:c>
      <x:c r="G165" s="31" t="str">
        <x:v>SEA/TOR</x:v>
      </x:c>
      <x:c r="H165" s="31" t="str">
        <x:v>NRFI</x:v>
      </x:c>
      <x:c r="I165" s="31" t="str">
        <x:v>NRFI</x:v>
      </x:c>
      <x:c r="J165" s="80" t="n">
        <x:v>-130</x:v>
      </x:c>
      <x:c r="K165" s="31" t="str">
        <x:v>SOURCED</x:v>
      </x:c>
      <x:c r="L165" s="31" t="str">
        <x:v>B-</x:v>
      </x:c>
      <x:c r="M165" s="31" t="str">
        <x:v>Weakest source NRFI due starter uncertainty/form.</x:v>
      </x:c>
      <x:c r="N165" s="31" t="str">
        <x:v>N</x:v>
      </x:c>
      <x:c r="O165" s="31" t="str">
        <x:v>Pending</x:v>
      </x:c>
      <x:c r="P165" s="31" t="str"/>
      <x:c r="Q165" s="33" t="str"/>
      <x:c r="R165" s="33" t="str"/>
      <x:c r="S165" s="31" t="str"/>
      <x:c r="T165" s="32" t="str"/>
      <x:c r="U165" s="31" t="str">
        <x:v>SEA/TOR NRFI not shown in the user's settled slips; leave pending.</x:v>
      </x:c>
      <x:c r="V165" s="31" t="str">
        <x:v>HYPOTHESIS_TEST</x:v>
      </x:c>
      <x:c r="W165" s="31" t="str">
        <x:v>EXP-10</x:v>
      </x:c>
      <x:c r="X165" s="31" t="str">
        <x:v>SEA/TOR NRFI SINGLE</x:v>
      </x:c>
      <x:c r="Y165" s="31" t="str"/>
      <x:c r="Z165" s="31" t="str">
        <x:v>First-inning run probability remains below market despite starter uncertainty.</x:v>
      </x:c>
      <x:c r="AA165" s="31" t="str">
        <x:v>Anderson inexperience or Soriano recent struggles create early run.</x:v>
      </x:c>
      <x:c r="AB165" s="31" t="str">
        <x:v>Weakest audited NRFI still won this day.</x:v>
      </x:c>
    </x:row>
    <x:row r="166">
      <x:c r="A166" s="79" t="str">
        <x:v>2026-08-29</x:v>
      </x:c>
      <x:c r="B166" s="31" t="str">
        <x:v>P29-083</x:v>
      </x:c>
      <x:c r="C166" s="31" t="str">
        <x:v>A29-R36</x:v>
      </x:c>
      <x:c r="D166" s="31" t="str">
        <x:v>PAPER</x:v>
      </x:c>
      <x:c r="E166" s="31" t="str">
        <x:v>MLB</x:v>
      </x:c>
      <x:c r="F166" s="31" t="str">
        <x:v>MIA @ WSH</x:v>
      </x:c>
      <x:c r="G166" s="31" t="str">
        <x:v>MIA/WSH</x:v>
      </x:c>
      <x:c r="H166" s="31" t="str">
        <x:v>NRFI</x:v>
      </x:c>
      <x:c r="I166" s="31" t="str">
        <x:v>NRFI</x:v>
      </x:c>
      <x:c r="J166" s="80" t="n">
        <x:v>-130</x:v>
      </x:c>
      <x:c r="K166" s="31" t="str">
        <x:v>HYBRID</x:v>
      </x:c>
      <x:c r="L166" s="31" t="str">
        <x:v>A-</x:v>
      </x:c>
      <x:c r="M166" s="31" t="str">
        <x:v>Best-supported NRFI component.</x:v>
      </x:c>
      <x:c r="N166" s="31" t="str">
        <x:v>N</x:v>
      </x:c>
      <x:c r="O166" s="31" t="str">
        <x:v>Win</x:v>
      </x:c>
      <x:c r="P166" s="31" t="n">
        <x:v>1</x:v>
      </x:c>
      <x:c r="Q166" s="33" t="str"/>
      <x:c r="R166" s="33" t="str"/>
      <x:c r="S166" s="31" t="str"/>
      <x:c r="T166" s="32" t="str"/>
      <x:c r="U166" s="31" t="str">
        <x:v>MIA/WSH NRFI won in the user's settled DK ticket.</x:v>
      </x:c>
      <x:c r="V166" s="31" t="str">
        <x:v>HYPOTHESIS_TEST</x:v>
      </x:c>
      <x:c r="W166" s="31" t="str">
        <x:v>EXP-10</x:v>
      </x:c>
      <x:c r="X166" s="31" t="str">
        <x:v>MIA/WSH NRFI SINGLE</x:v>
      </x:c>
      <x:c r="Y166" s="31" t="str"/>
      <x:c r="Z166" s="31" t="str">
        <x:v>Strong current starter indicators suppress first-inning scoring.</x:v>
      </x:c>
      <x:c r="AA166" s="31" t="str">
        <x:v>Top-order sequencing scores despite starter context.</x:v>
      </x:c>
      <x:c r="AB166" s="31" t="str">
        <x:v>Strong audited NRFI component cleared.</x:v>
      </x:c>
    </x:row>
    <x:row r="167">
      <x:c r="A167" s="79" t="str">
        <x:v>2026-08-29</x:v>
      </x:c>
      <x:c r="B167" s="31" t="str">
        <x:v>P29-084</x:v>
      </x:c>
      <x:c r="C167" s="31" t="str">
        <x:v>A29-R37</x:v>
      </x:c>
      <x:c r="D167" s="31" t="str">
        <x:v>PAPER</x:v>
      </x:c>
      <x:c r="E167" s="31" t="str">
        <x:v>MLB</x:v>
      </x:c>
      <x:c r="F167" s="31" t="str">
        <x:v>KC @ CLE</x:v>
      </x:c>
      <x:c r="G167" s="31" t="str">
        <x:v>KC/CLE</x:v>
      </x:c>
      <x:c r="H167" s="31" t="str">
        <x:v>NRFI</x:v>
      </x:c>
      <x:c r="I167" s="31" t="str">
        <x:v>NRFI</x:v>
      </x:c>
      <x:c r="J167" s="80" t="n">
        <x:v>-120</x:v>
      </x:c>
      <x:c r="K167" s="31" t="str">
        <x:v>HYBRID</x:v>
      </x:c>
      <x:c r="L167" s="31" t="str">
        <x:v>A-</x:v>
      </x:c>
      <x:c r="M167" s="31" t="str">
        <x:v>Strong starter-specific history on both sides.</x:v>
      </x:c>
      <x:c r="N167" s="31" t="str">
        <x:v>N</x:v>
      </x:c>
      <x:c r="O167" s="31" t="str">
        <x:v>Win</x:v>
      </x:c>
      <x:c r="P167" s="31" t="n">
        <x:v>1</x:v>
      </x:c>
      <x:c r="Q167" s="33" t="str"/>
      <x:c r="R167" s="33" t="str"/>
      <x:c r="S167" s="31" t="str"/>
      <x:c r="T167" s="32" t="str"/>
      <x:c r="U167" s="31" t="str">
        <x:v>KC/CLE NRFI won in the user's settled DK ticket.</x:v>
      </x:c>
      <x:c r="V167" s="31" t="str">
        <x:v>HYPOTHESIS_TEST</x:v>
      </x:c>
      <x:c r="W167" s="31" t="str">
        <x:v>EXP-10</x:v>
      </x:c>
      <x:c r="X167" s="31" t="str">
        <x:v>KC/CLE NRFI SINGLE</x:v>
      </x:c>
      <x:c r="Y167" s="31" t="str"/>
      <x:c r="Z167" s="31" t="str">
        <x:v>Lynch/Griffin matchup history supports NRFI.</x:v>
      </x:c>
      <x:c r="AA167" s="31" t="str">
        <x:v>Hot offenses/sequence beats starter-history signal.</x:v>
      </x:c>
      <x:c r="AB167" s="31" t="str">
        <x:v>Strong audited NRFI component cleared.</x:v>
      </x:c>
    </x:row>
    <x:row r="168">
      <x:c r="A168" s="79" t="str">
        <x:v>2026-08-29</x:v>
      </x:c>
      <x:c r="B168" s="31" t="str">
        <x:v>P29-085</x:v>
      </x:c>
      <x:c r="C168" s="31" t="str">
        <x:v>A29-R38</x:v>
      </x:c>
      <x:c r="D168" s="31" t="str">
        <x:v>PAPER</x:v>
      </x:c>
      <x:c r="E168" s="31" t="str">
        <x:v>MLB</x:v>
      </x:c>
      <x:c r="F168" s="31" t="str">
        <x:v>3-game NRFI card</x:v>
      </x:c>
      <x:c r="G168" s="31" t="str">
        <x:v>SEA/TOR + MIA/WSH + KC/CLE</x:v>
      </x:c>
      <x:c r="H168" s="31" t="str">
        <x:v>3-leg NRFI Parlay</x:v>
      </x:c>
      <x:c r="I168" s="31" t="str">
        <x:v>Three NRFIs</x:v>
      </x:c>
      <x:c r="J168" s="80" t="n">
        <x:v>366</x:v>
      </x:c>
      <x:c r="K168" s="31" t="str">
        <x:v>SOURCED</x:v>
      </x:c>
      <x:c r="L168" s="31" t="str">
        <x:v>B-</x:v>
      </x:c>
      <x:c r="M168" s="31" t="str">
        <x:v>Intact source construction preserved.</x:v>
      </x:c>
      <x:c r="N168" s="31" t="str">
        <x:v>N</x:v>
      </x:c>
      <x:c r="O168" s="31" t="str">
        <x:v>Pending</x:v>
      </x:c>
      <x:c r="P168" s="31" t="str"/>
      <x:c r="Q168" s="33" t="str"/>
      <x:c r="R168" s="33" t="str"/>
      <x:c r="S168" s="31" t="str"/>
      <x:c r="T168" s="32" t="str"/>
      <x:c r="U168" s="31" t="str">
        <x:v>Source 3-leg NRFI cannot be settled without SEA/TOR component result.</x:v>
      </x:c>
      <x:c r="V168" s="31" t="str">
        <x:v>CONSTRUCTION_TEST</x:v>
      </x:c>
      <x:c r="W168" s="31" t="str">
        <x:v>EXP-10</x:v>
      </x:c>
      <x:c r="X168" s="31" t="str">
        <x:v>A29 3-LEG NRFI SOURCE CARD</x:v>
      </x:c>
      <x:c r="Y168" s="31" t="str"/>
      <x:c r="Z168" s="31" t="str">
        <x:v>Three plausible NRFIs may still have poor survival due multiplicative variance.</x:v>
      </x:c>
      <x:c r="AA168" s="31" t="str">
        <x:v>3-leg card outperforms singles/2-leg subsets after price adjustment.</x:v>
      </x:c>
      <x:c r="AB168" s="31" t="str">
        <x:v>Important correction: source 3-leg NRFI would have cashed too.</x:v>
      </x:c>
    </x:row>
    <x:row r="169">
      <x:c r="A169" s="79" t="str">
        <x:v>2026-08-29</x:v>
      </x:c>
      <x:c r="B169" s="31" t="str">
        <x:v>P29-086</x:v>
      </x:c>
      <x:c r="C169" s="31" t="str">
        <x:v>A29-R36;A29-R37</x:v>
      </x:c>
      <x:c r="D169" s="31" t="str">
        <x:v>PAPER</x:v>
      </x:c>
      <x:c r="E169" s="31" t="str">
        <x:v>MLB</x:v>
      </x:c>
      <x:c r="F169" s="31" t="str">
        <x:v>2-game NRFI subset</x:v>
      </x:c>
      <x:c r="G169" s="31" t="str">
        <x:v>MIA/WSH + KC/CLE</x:v>
      </x:c>
      <x:c r="H169" s="31" t="str">
        <x:v>2-leg NRFI subset</x:v>
      </x:c>
      <x:c r="I169" s="31" t="str">
        <x:v>MIA/WSH NRFI + KC/CLE NRFI</x:v>
      </x:c>
      <x:c r="J169" s="80" t="str"/>
      <x:c r="K169" s="31" t="str">
        <x:v>HYBRID</x:v>
      </x:c>
      <x:c r="L169" s="31" t="str">
        <x:v>A-</x:v>
      </x:c>
      <x:c r="M169" s="31" t="str">
        <x:v>Two strongest audited NRFI legs.</x:v>
      </x:c>
      <x:c r="N169" s="31" t="str">
        <x:v>Y</x:v>
      </x:c>
      <x:c r="O169" s="31" t="str">
        <x:v>Win</x:v>
      </x:c>
      <x:c r="P169" s="31" t="n">
        <x:v>1</x:v>
      </x:c>
      <x:c r="Q169" s="33" t="str"/>
      <x:c r="R169" s="33" t="str"/>
      <x:c r="S169" s="31" t="str"/>
      <x:c r="T169" s="32" t="str"/>
      <x:c r="U169" s="31" t="str">
        <x:v>MIA/WSH + KC/CLE two-leg NRFI paid +201 on the real ticket.</x:v>
      </x:c>
      <x:c r="V169" s="31" t="str">
        <x:v>CONSTRUCTION_TEST</x:v>
      </x:c>
      <x:c r="W169" s="31" t="str">
        <x:v>EXP-10</x:v>
      </x:c>
      <x:c r="X169" s="31" t="str">
        <x:v>A29 2-LEG NRFI STRONG PAIR</x:v>
      </x:c>
      <x:c r="Y169" s="31" t="str">
        <x:v>P29-085</x:v>
      </x:c>
      <x:c r="Z169" s="31" t="str">
        <x:v>Removing weakest NRFI should improve survival.</x:v>
      </x:c>
      <x:c r="AA169" s="31" t="str">
        <x:v>SEA/TOR adds enough payout/value that 3-leg remains superior over sample.</x:v>
      </x:c>
      <x:c r="AB169" s="31" t="str">
        <x:v>Removing the weakest source component created the winning construction.</x:v>
      </x:c>
    </x:row>
    <x:row r="170">
      <x:c r="A170" s="79" t="str">
        <x:v>2026-08-29</x:v>
      </x:c>
      <x:c r="B170" s="31" t="str">
        <x:v>P29-087</x:v>
      </x:c>
      <x:c r="C170" s="31" t="str">
        <x:v>A29-R32;A29-R03</x:v>
      </x:c>
      <x:c r="D170" s="31" t="str">
        <x:v>PAPER</x:v>
      </x:c>
      <x:c r="E170" s="31" t="str">
        <x:v>MLB</x:v>
      </x:c>
      <x:c r="F170" s="31" t="str">
        <x:v>SD/TB + COL/ATL</x:v>
      </x:c>
      <x:c r="G170" s="31" t="str">
        <x:v>Tatis + Caminero + Baldwin</x:v>
      </x:c>
      <x:c r="H170" s="31" t="str">
        <x:v>Proposed 3-leg SGPx</x:v>
      </x:c>
      <x:c r="I170" s="31" t="str">
        <x:v>Tatis 2+ TB + Caminero 2+ H+R+RBI + Baldwin 2+ TB</x:v>
      </x:c>
      <x:c r="J170" s="80" t="n">
        <x:v>518</x:v>
      </x:c>
      <x:c r="K170" s="31" t="str">
        <x:v>HYBRID</x:v>
      </x:c>
      <x:c r="L170" s="31" t="str">
        <x:v>A</x:v>
      </x:c>
      <x:c r="M170" s="31" t="str">
        <x:v>Exact DK proposed SGPx captured at +518 raw; 50% boost displays +778. Tatis/Caminero confirmed; Baldwin lineup still TBD.</x:v>
      </x:c>
      <x:c r="N170" s="31" t="str">
        <x:v>Y</x:v>
      </x:c>
      <x:c r="O170" s="31" t="str">
        <x:v>Loss</x:v>
      </x:c>
      <x:c r="P170" s="31" t="n">
        <x:v>0</x:v>
      </x:c>
      <x:c r="Q170" s="33" t="str"/>
      <x:c r="R170" s="33" t="str"/>
      <x:c r="S170" s="31" t="str"/>
      <x:c r="T170" s="32" t="str"/>
      <x:c r="U170" s="31" t="str">
        <x:v>Real SGPx: Tatis 2+ TB L; Caminero 2+ HRR W; Baldwin 2+ TB L.</x:v>
      </x:c>
      <x:c r="V170" s="31" t="str">
        <x:v>CONSTRUCTION_TEST</x:v>
      </x:c>
      <x:c r="W170" s="31" t="str">
        <x:v>EXP-09</x:v>
      </x:c>
      <x:c r="X170" s="31" t="str">
        <x:v>A29 MLB SGPX PRE-LINEUP FREEZE</x:v>
      </x:c>
      <x:c r="Y170" s="31" t="str"/>
      <x:c r="Z170" s="31" t="str">
        <x:v>Two confirmed SD/TB hitter legs plus independently audited Braves/Feltner hitter leg form a coherent promo construction without filler.</x:v>
      </x:c>
      <x:c r="AA170" s="31" t="str">
        <x:v>Baldwin is out/demoted in lineup, or duplicated hitter-specific variance makes a broader Braves expression superior.</x:v>
      </x:c>
      <x:c r="AB170" s="31" t="str">
        <x:v>Two high-variance TB legs failed while the composite HRR leg won; raw +518 contained excess risk.</x:v>
      </x:c>
    </x:row>
    <x:row r="171">
      <x:c r="A171" s="79" t="str">
        <x:v>2026-08-29</x:v>
      </x:c>
      <x:c r="B171" s="31" t="str">
        <x:v>P29-088</x:v>
      </x:c>
      <x:c r="C171" s="31" t="str">
        <x:v>A29-D15</x:v>
      </x:c>
      <x:c r="D171" s="31" t="str">
        <x:v>PAPER</x:v>
      </x:c>
      <x:c r="E171" s="31" t="str">
        <x:v>MLB</x:v>
      </x:c>
      <x:c r="F171" s="31" t="str">
        <x:v>SD @ TB</x:v>
      </x:c>
      <x:c r="G171" s="31" t="str">
        <x:v>Fernando Tatis Jr.</x:v>
      </x:c>
      <x:c r="H171" s="31" t="str">
        <x:v>Total Bases</x:v>
      </x:c>
      <x:c r="I171" s="31" t="str">
        <x:v>2+ total bases</x:v>
      </x:c>
      <x:c r="J171" s="80" t="str"/>
      <x:c r="K171" s="31" t="str">
        <x:v>HYBRID</x:v>
      </x:c>
      <x:c r="L171" s="31" t="str">
        <x:v>A</x:v>
      </x:c>
      <x:c r="M171" s="31" t="str">
        <x:v>Exact standalone shadow of proposed real SGPx leg; independently audited hitter quality plus source TB convergence.</x:v>
      </x:c>
      <x:c r="N171" s="31" t="str">
        <x:v>N</x:v>
      </x:c>
      <x:c r="O171" s="31" t="str">
        <x:v>Loss</x:v>
      </x:c>
      <x:c r="P171" s="31" t="n">
        <x:v>0</x:v>
      </x:c>
      <x:c r="Q171" s="33" t="str"/>
      <x:c r="R171" s="33" t="str"/>
      <x:c r="S171" s="31" t="str"/>
      <x:c r="T171" s="32" t="str"/>
      <x:c r="U171" s="31" t="str">
        <x:v>Tatis 2+ TB failed.</x:v>
      </x:c>
      <x:c r="V171" s="31" t="str">
        <x:v>SINGLE_VS_PARLAY</x:v>
      </x:c>
      <x:c r="W171" s="31" t="str">
        <x:v>EXP-20</x:v>
      </x:c>
      <x:c r="X171" s="31" t="str">
        <x:v>TATIS 2+ TB SHADOW</x:v>
      </x:c>
      <x:c r="Y171" s="31" t="str">
        <x:v>P29-087</x:v>
      </x:c>
      <x:c r="Z171" s="31" t="str">
        <x:v>If Tatis is a genuinely good leg, it should grade well independently of SGPx packaging.</x:v>
      </x:c>
      <x:c r="AA171" s="31" t="str">
        <x:v>Tatis fails individually, showing the leg rather than construction was the problem.</x:v>
      </x:c>
      <x:c r="AB171" s="31" t="str">
        <x:v>Standalone shadow confirms a leg-selection/market-expression miss, not just parlay variance.</x:v>
      </x:c>
    </x:row>
    <x:row r="172">
      <x:c r="A172" s="79" t="str">
        <x:v>2026-08-29</x:v>
      </x:c>
      <x:c r="B172" s="31" t="str">
        <x:v>P29-089</x:v>
      </x:c>
      <x:c r="C172" s="31" t="str">
        <x:v>A29-D16</x:v>
      </x:c>
      <x:c r="D172" s="31" t="str">
        <x:v>PAPER</x:v>
      </x:c>
      <x:c r="E172" s="31" t="str">
        <x:v>MLB</x:v>
      </x:c>
      <x:c r="F172" s="31" t="str">
        <x:v>SD @ TB</x:v>
      </x:c>
      <x:c r="G172" s="31" t="str">
        <x:v>Junior Caminero</x:v>
      </x:c>
      <x:c r="H172" s="31" t="str">
        <x:v>H+R+RBI</x:v>
      </x:c>
      <x:c r="I172" s="31" t="str">
        <x:v>2+ H+R+RBI</x:v>
      </x:c>
      <x:c r="J172" s="80" t="str"/>
      <x:c r="K172" s="31" t="str">
        <x:v>HYBRID</x:v>
      </x:c>
      <x:c r="L172" s="31" t="str">
        <x:v>A</x:v>
      </x:c>
      <x:c r="M172" s="31" t="str">
        <x:v>Exact standalone shadow of proposed real SGPx leg.</x:v>
      </x:c>
      <x:c r="N172" s="31" t="str">
        <x:v>N</x:v>
      </x:c>
      <x:c r="O172" s="31" t="str">
        <x:v>Win</x:v>
      </x:c>
      <x:c r="P172" s="31" t="n">
        <x:v>1</x:v>
      </x:c>
      <x:c r="Q172" s="33" t="str"/>
      <x:c r="R172" s="33" t="str"/>
      <x:c r="S172" s="31" t="str"/>
      <x:c r="T172" s="32" t="str"/>
      <x:c r="U172" s="31" t="str">
        <x:v>Caminero 2+ HRR cleared.</x:v>
      </x:c>
      <x:c r="V172" s="31" t="str">
        <x:v>SINGLE_VS_PARLAY</x:v>
      </x:c>
      <x:c r="W172" s="31" t="str">
        <x:v>EXP-20</x:v>
      </x:c>
      <x:c r="X172" s="31" t="str">
        <x:v>CAMINERO 2+ HRR SHADOW</x:v>
      </x:c>
      <x:c r="Y172" s="31" t="str">
        <x:v>P29-087</x:v>
      </x:c>
      <x:c r="Z172" s="31" t="str">
        <x:v>Composite production should retain standalone leg quality versus Buehler.</x:v>
      </x:c>
      <x:c r="AA172" s="31" t="str">
        <x:v>Caminero-specific miss kills the thesis independent of ticket construction.</x:v>
      </x:c>
      <x:c r="AB172" s="31" t="str">
        <x:v>Composite market continued to behave better than the TB-heavy real construction.</x:v>
      </x:c>
    </x:row>
    <x:row r="173">
      <x:c r="A173" s="79" t="str">
        <x:v>2026-08-29</x:v>
      </x:c>
      <x:c r="B173" s="31" t="str">
        <x:v>P29-090</x:v>
      </x:c>
      <x:c r="C173" s="31" t="str">
        <x:v>A29-D17</x:v>
      </x:c>
      <x:c r="D173" s="31" t="str">
        <x:v>PAPER</x:v>
      </x:c>
      <x:c r="E173" s="31" t="str">
        <x:v>MLB</x:v>
      </x:c>
      <x:c r="F173" s="31" t="str">
        <x:v>SD @ TB</x:v>
      </x:c>
      <x:c r="G173" s="31" t="str">
        <x:v>Junior Caminero</x:v>
      </x:c>
      <x:c r="H173" s="31" t="str">
        <x:v>Total Bases</x:v>
      </x:c>
      <x:c r="I173" s="31" t="str">
        <x:v>2+ total bases</x:v>
      </x:c>
      <x:c r="J173" s="80" t="str"/>
      <x:c r="K173" s="31" t="str">
        <x:v>SOURCED</x:v>
      </x:c>
      <x:c r="L173" s="31" t="str">
        <x:v>A-</x:v>
      </x:c>
      <x:c r="M173" s="31" t="str">
        <x:v>Bases Loaded alternate expression of same hitter matchup.</x:v>
      </x:c>
      <x:c r="N173" s="31" t="str">
        <x:v>N</x:v>
      </x:c>
      <x:c r="O173" s="31" t="str">
        <x:v>Pending</x:v>
      </x:c>
      <x:c r="P173" s="31" t="str"/>
      <x:c r="Q173" s="33" t="str"/>
      <x:c r="R173" s="33" t="str"/>
      <x:c r="S173" s="31" t="str"/>
      <x:c r="T173" s="32" t="str"/>
      <x:c r="U173" s="31" t="str">
        <x:v>Caminero 2+ TB outcome not confirmed in the user's screenshot; leave pending.</x:v>
      </x:c>
      <x:c r="V173" s="31" t="str">
        <x:v>ALT_MARKET_TEST</x:v>
      </x:c>
      <x:c r="W173" s="31" t="str">
        <x:v>EXP-03</x:v>
      </x:c>
      <x:c r="X173" s="31" t="str">
        <x:v>CAMINERO 2+ TB ARM</x:v>
      </x:c>
      <x:c r="Y173" s="31" t="str">
        <x:v>P29-089</x:v>
      </x:c>
      <x:c r="Z173" s="31" t="str">
        <x:v>If hard contact is the main edge, 2+ TB may outperform HRR.</x:v>
      </x:c>
      <x:c r="AA173" s="31" t="str">
        <x:v>Caminero contributes via singles/runs/RBI without reaching two total bases, favoring HRR.</x:v>
      </x:c>
      <x:c r="AB173" s="31" t="str">
        <x:v>TB alternate also won; this pair is neutral on market choice for this game.</x:v>
      </x:c>
    </x:row>
    <x:row r="174">
      <x:c r="A174" s="79" t="str">
        <x:v>2026-08-29</x:v>
      </x:c>
      <x:c r="B174" s="31" t="str">
        <x:v>P29-091</x:v>
      </x:c>
      <x:c r="C174" s="31" t="str">
        <x:v>A29-R32;A29-D15</x:v>
      </x:c>
      <x:c r="D174" s="31" t="str">
        <x:v>PAPER</x:v>
      </x:c>
      <x:c r="E174" s="31" t="str">
        <x:v>MLB</x:v>
      </x:c>
      <x:c r="F174" s="31" t="str">
        <x:v>2-game subset</x:v>
      </x:c>
      <x:c r="G174" s="31" t="str">
        <x:v>Tatis + Baldwin</x:v>
      </x:c>
      <x:c r="H174" s="31" t="str">
        <x:v>2-leg subset</x:v>
      </x:c>
      <x:c r="I174" s="31" t="str">
        <x:v>Tatis 2+ TB + Baldwin 2+ TB</x:v>
      </x:c>
      <x:c r="J174" s="80" t="str"/>
      <x:c r="K174" s="31" t="str">
        <x:v>HYBRID</x:v>
      </x:c>
      <x:c r="L174" s="31" t="str">
        <x:v>A</x:v>
      </x:c>
      <x:c r="M174" s="31" t="str">
        <x:v>Two-leg subset of proposed MLB SGPx.</x:v>
      </x:c>
      <x:c r="N174" s="31" t="str">
        <x:v>N</x:v>
      </x:c>
      <x:c r="O174" s="31" t="str">
        <x:v>Loss</x:v>
      </x:c>
      <x:c r="P174" s="31" t="n">
        <x:v>0</x:v>
      </x:c>
      <x:c r="Q174" s="33" t="str"/>
      <x:c r="R174" s="33" t="str"/>
      <x:c r="S174" s="31" t="str"/>
      <x:c r="T174" s="32" t="str"/>
      <x:c r="U174" s="31" t="str">
        <x:v>Tatis 2+ TB and Baldwin 2+ TB both failed.</x:v>
      </x:c>
      <x:c r="V174" s="31" t="str">
        <x:v>CONSTRUCTION_TEST</x:v>
      </x:c>
      <x:c r="W174" s="31" t="str">
        <x:v>EXP-09</x:v>
      </x:c>
      <x:c r="X174" s="31" t="str">
        <x:v>MLB 2-LEG TATIS+BALDWIN</x:v>
      </x:c>
      <x:c r="Y174" s="31" t="str">
        <x:v>P29-087</x:v>
      </x:c>
      <x:c r="Z174" s="31" t="str">
        <x:v>Removing one correlated SD/TB hitter may improve survival while retaining two strong audited legs.</x:v>
      </x:c>
      <x:c r="AA174" s="31" t="str">
        <x:v>Caminero adds enough edge/payout to justify the third leg.</x:v>
      </x:c>
      <x:c r="AB174" s="31" t="str">
        <x:v>TB-only pair had duplicated market-family variance.</x:v>
      </x:c>
    </x:row>
    <x:row r="175">
      <x:c r="A175" s="79" t="str">
        <x:v>2026-08-29</x:v>
      </x:c>
      <x:c r="B175" s="31" t="str">
        <x:v>P29-092</x:v>
      </x:c>
      <x:c r="C175" s="31" t="str">
        <x:v>A29-D16;A29-R32</x:v>
      </x:c>
      <x:c r="D175" s="31" t="str">
        <x:v>PAPER</x:v>
      </x:c>
      <x:c r="E175" s="31" t="str">
        <x:v>MLB</x:v>
      </x:c>
      <x:c r="F175" s="31" t="str">
        <x:v>2-game subset</x:v>
      </x:c>
      <x:c r="G175" s="31" t="str">
        <x:v>Caminero + Baldwin</x:v>
      </x:c>
      <x:c r="H175" s="31" t="str">
        <x:v>2-leg subset</x:v>
      </x:c>
      <x:c r="I175" s="31" t="str">
        <x:v>Caminero 2+ HRR + Baldwin 2+ TB</x:v>
      </x:c>
      <x:c r="J175" s="80" t="str"/>
      <x:c r="K175" s="31" t="str">
        <x:v>HYBRID</x:v>
      </x:c>
      <x:c r="L175" s="31" t="str">
        <x:v>A</x:v>
      </x:c>
      <x:c r="M175" s="31" t="str">
        <x:v>Two-leg subset of proposed MLB SGPx.</x:v>
      </x:c>
      <x:c r="N175" s="31" t="str">
        <x:v>N</x:v>
      </x:c>
      <x:c r="O175" s="31" t="str">
        <x:v>Loss</x:v>
      </x:c>
      <x:c r="P175" s="31" t="n">
        <x:v>0</x:v>
      </x:c>
      <x:c r="Q175" s="33" t="str"/>
      <x:c r="R175" s="33" t="str"/>
      <x:c r="S175" s="31" t="str"/>
      <x:c r="T175" s="32" t="str"/>
      <x:c r="U175" s="31" t="str">
        <x:v>Caminero HRR won; Baldwin 2+ TB lost.</x:v>
      </x:c>
      <x:c r="V175" s="31" t="str">
        <x:v>CONSTRUCTION_TEST</x:v>
      </x:c>
      <x:c r="W175" s="31" t="str">
        <x:v>EXP-09</x:v>
      </x:c>
      <x:c r="X175" s="31" t="str">
        <x:v>MLB 2-LEG CAMINERO+BALDWIN</x:v>
      </x:c>
      <x:c r="Y175" s="31" t="str">
        <x:v>P29-087</x:v>
      </x:c>
      <x:c r="Z175" s="31" t="str">
        <x:v>Composite hitter leg plus broad Braves/Feltner expression may be cleaner than including Tatis TB.</x:v>
      </x:c>
      <x:c r="AA175" s="31" t="str">
        <x:v>Tatis adds enough independent edge to improve the 3-leg ticket.</x:v>
      </x:c>
      <x:c r="AB175" s="31" t="str">
        <x:v>Removing Tatis still left Baldwin-specific TB failure.</x:v>
      </x:c>
    </x:row>
    <x:row r="176">
      <x:c r="A176" s="79" t="str">
        <x:v>2026-08-29</x:v>
      </x:c>
      <x:c r="B176" s="31" t="str">
        <x:v>P29-093</x:v>
      </x:c>
      <x:c r="C176" s="31" t="str">
        <x:v>A29-D15;A29-D16</x:v>
      </x:c>
      <x:c r="D176" s="31" t="str">
        <x:v>PAPER</x:v>
      </x:c>
      <x:c r="E176" s="31" t="str">
        <x:v>MLB</x:v>
      </x:c>
      <x:c r="F176" s="31" t="str">
        <x:v>SD @ TB</x:v>
      </x:c>
      <x:c r="G176" s="31" t="str">
        <x:v>Tatis + Caminero</x:v>
      </x:c>
      <x:c r="H176" s="31" t="str">
        <x:v>2-leg SGP core</x:v>
      </x:c>
      <x:c r="I176" s="31" t="str">
        <x:v>Tatis 2+ TB + Caminero 2+ HRR</x:v>
      </x:c>
      <x:c r="J176" s="80" t="str"/>
      <x:c r="K176" s="31" t="str">
        <x:v>HYBRID</x:v>
      </x:c>
      <x:c r="L176" s="31" t="str">
        <x:v>A</x:v>
      </x:c>
      <x:c r="M176" s="31" t="str">
        <x:v>Exact same-game core of proposed SGPx.</x:v>
      </x:c>
      <x:c r="N176" s="31" t="str">
        <x:v>N</x:v>
      </x:c>
      <x:c r="O176" s="31" t="str">
        <x:v>Loss</x:v>
      </x:c>
      <x:c r="P176" s="31" t="n">
        <x:v>0</x:v>
      </x:c>
      <x:c r="Q176" s="33" t="str"/>
      <x:c r="R176" s="33" t="str"/>
      <x:c r="S176" s="31" t="str"/>
      <x:c r="T176" s="32" t="str"/>
      <x:c r="U176" s="31" t="str">
        <x:v>Caminero HRR won; Tatis 2+ TB lost.</x:v>
      </x:c>
      <x:c r="V176" s="31" t="str">
        <x:v>CONSTRUCTION_TEST</x:v>
      </x:c>
      <x:c r="W176" s="31" t="str">
        <x:v>EXP-09</x:v>
      </x:c>
      <x:c r="X176" s="31" t="str">
        <x:v>SD/TB 2-LEG SGP CORE</x:v>
      </x:c>
      <x:c r="Y176" s="31" t="str">
        <x:v>P29-087</x:v>
      </x:c>
      <x:c r="Z176" s="31" t="str">
        <x:v>The same-game core should be evaluated separately from the Atlanta outside leg.</x:v>
      </x:c>
      <x:c r="AA176" s="31" t="str">
        <x:v>Baldwin is required to create enough added EV to justify the SGPx rather than a 2-leg SGP.</x:v>
      </x:c>
      <x:c r="AB176" s="31" t="str">
        <x:v>Same-game core died on TB leg, reinforcing market-expression issue.</x:v>
      </x:c>
    </x:row>
    <x:row r="177">
      <x:c r="A177" s="79" t="str">
        <x:v>2026-08-29</x:v>
      </x:c>
      <x:c r="B177" s="31" t="str">
        <x:v>P29-094</x:v>
      </x:c>
      <x:c r="C177" s="31" t="str">
        <x:v>A29-D18</x:v>
      </x:c>
      <x:c r="D177" s="31" t="str">
        <x:v>PAPER</x:v>
      </x:c>
      <x:c r="E177" s="31" t="str">
        <x:v>MLB</x:v>
      </x:c>
      <x:c r="F177" s="31" t="str">
        <x:v>SF matchup</x:v>
      </x:c>
      <x:c r="G177" s="31" t="str">
        <x:v>Rafael Devers</x:v>
      </x:c>
      <x:c r="H177" s="31" t="str">
        <x:v>Total Bases</x:v>
      </x:c>
      <x:c r="I177" s="31" t="str">
        <x:v>2+ total bases</x:v>
      </x:c>
      <x:c r="J177" s="80" t="str"/>
      <x:c r="K177" s="31" t="str">
        <x:v>SOURCED</x:v>
      </x:c>
      <x:c r="L177" s="31" t="str">
        <x:v>A-</x:v>
      </x:c>
      <x:c r="M177" s="31" t="str">
        <x:v>Bases Loaded recent-form/matchup source arm.</x:v>
      </x:c>
      <x:c r="N177" s="31" t="str">
        <x:v>N</x:v>
      </x:c>
      <x:c r="O177" s="31" t="str">
        <x:v>Win</x:v>
      </x:c>
      <x:c r="P177" s="31" t="n">
        <x:v>1</x:v>
      </x:c>
      <x:c r="Q177" s="33" t="n">
        <x:v>2</x:v>
      </x:c>
      <x:c r="R177" s="33" t="str"/>
      <x:c r="S177" s="31" t="str"/>
      <x:c r="T177" s="32" t="str"/>
      <x:c r="U177" s="31" t="str">
        <x:v>Devers had two singles in the Merrill Kelly game = 2 TB. https://www.boxscore.email/mlb/player/646240</x:v>
      </x:c>
      <x:c r="V177" s="31" t="str">
        <x:v>HYPOTHESIS_TEST</x:v>
      </x:c>
      <x:c r="W177" s="31" t="str">
        <x:v>EXP-04</x:v>
      </x:c>
      <x:c r="X177" s="31" t="str">
        <x:v>DEVERS BASES-LOADED TB ARM</x:v>
      </x:c>
      <x:c r="Y177" s="31" t="str"/>
      <x:c r="Z177" s="31" t="str">
        <x:v>Recent power form plus favorable barrel-suppression weakness can create a real TB edge.</x:v>
      </x:c>
      <x:c r="AA177" s="31" t="str">
        <x:v>Recent form regresses or pitcher matchup sample proves noisy.</x:v>
      </x:c>
      <x:c r="AB177" s="31" t="str">
        <x:v>Recent-form/matchup TB arm won.</x:v>
      </x:c>
    </x:row>
    <x:row r="178">
      <x:c r="A178" s="79" t="str">
        <x:v>2026-08-29</x:v>
      </x:c>
      <x:c r="B178" s="31" t="str">
        <x:v>P29-095</x:v>
      </x:c>
      <x:c r="C178" s="31" t="str">
        <x:v>A29-R39</x:v>
      </x:c>
      <x:c r="D178" s="31" t="str">
        <x:v>PAPER</x:v>
      </x:c>
      <x:c r="E178" s="31" t="str">
        <x:v>MLB</x:v>
      </x:c>
      <x:c r="F178" s="31" t="str">
        <x:v>COL @ ATL</x:v>
      </x:c>
      <x:c r="G178" s="31" t="str">
        <x:v>Matt Olson</x:v>
      </x:c>
      <x:c r="H178" s="31" t="str">
        <x:v>RBI</x:v>
      </x:c>
      <x:c r="I178" s="31" t="str">
        <x:v>1+ RBI</x:v>
      </x:c>
      <x:c r="J178" s="80" t="str"/>
      <x:c r="K178" s="31" t="str">
        <x:v>SOURCED</x:v>
      </x:c>
      <x:c r="L178" s="31" t="str">
        <x:v>B</x:v>
      </x:c>
      <x:c r="M178" s="31" t="str">
        <x:v>Sequencing-dependent component of +1233 source RBI parlay.</x:v>
      </x:c>
      <x:c r="N178" s="31" t="str">
        <x:v>N</x:v>
      </x:c>
      <x:c r="O178" s="31" t="str">
        <x:v>Loss</x:v>
      </x:c>
      <x:c r="P178" s="31" t="n">
        <x:v>0</x:v>
      </x:c>
      <x:c r="Q178" s="33" t="n">
        <x:v>0</x:v>
      </x:c>
      <x:c r="R178" s="33" t="str"/>
      <x:c r="S178" s="31" t="str"/>
      <x:c r="T178" s="32" t="str"/>
      <x:c r="U178" s="31" t="str">
        <x:v>Olson singled before Michael Harris' two-run double; 0 RBI. https://www.reuters.com/sports/baseball/michael-harris-iis-clutch-double-enables-braves-drop-rockies--flm-2026-08-29/</x:v>
      </x:c>
      <x:c r="V178" s="31" t="str">
        <x:v>HYPOTHESIS_TEST</x:v>
      </x:c>
      <x:c r="W178" s="31" t="str">
        <x:v>EXP-03</x:v>
      </x:c>
      <x:c r="X178" s="31" t="str">
        <x:v>OLSON 1+ RBI ARM</x:v>
      </x:c>
      <x:c r="Y178" s="31" t="str">
        <x:v>P29-098</x:v>
      </x:c>
      <x:c r="Z178" s="31" t="str">
        <x:v>Broad Braves run environment can create RBI value even if Olson TB/HR is volatile.</x:v>
      </x:c>
      <x:c r="AA178" s="31" t="str">
        <x:v>Atlanta offense scores but Olson is bypassed in RBI sequencing.</x:v>
      </x:c>
      <x:c r="AB178" s="31" t="str">
        <x:v>Team environment did not imply player RBI sequencing.</x:v>
      </x:c>
    </x:row>
    <x:row r="179">
      <x:c r="A179" s="79" t="str">
        <x:v>2026-08-29</x:v>
      </x:c>
      <x:c r="B179" s="31" t="str">
        <x:v>P29-096</x:v>
      </x:c>
      <x:c r="C179" s="31" t="str">
        <x:v>A29-R40</x:v>
      </x:c>
      <x:c r="D179" s="31" t="str">
        <x:v>PAPER</x:v>
      </x:c>
      <x:c r="E179" s="31" t="str">
        <x:v>MLB</x:v>
      </x:c>
      <x:c r="F179" s="31" t="str">
        <x:v>BAL @ ATH</x:v>
      </x:c>
      <x:c r="G179" s="31" t="str">
        <x:v>Samuel Basallo</x:v>
      </x:c>
      <x:c r="H179" s="31" t="str">
        <x:v>RBI</x:v>
      </x:c>
      <x:c r="I179" s="31" t="str">
        <x:v>1+ RBI</x:v>
      </x:c>
      <x:c r="J179" s="80" t="str"/>
      <x:c r="K179" s="31" t="str">
        <x:v>SOURCED</x:v>
      </x:c>
      <x:c r="L179" s="31" t="str">
        <x:v>WATCH</x:v>
      </x:c>
      <x:c r="M179" s="31" t="str">
        <x:v>High-variance RBI source component in a mixed Orioles matchup.</x:v>
      </x:c>
      <x:c r="N179" s="31" t="str">
        <x:v>N</x:v>
      </x:c>
      <x:c r="O179" s="31" t="str">
        <x:v>Loss</x:v>
      </x:c>
      <x:c r="P179" s="31" t="n">
        <x:v>0</x:v>
      </x:c>
      <x:c r="Q179" s="33" t="n">
        <x:v>0</x:v>
      </x:c>
      <x:c r="R179" s="33" t="str"/>
      <x:c r="S179" s="31" t="str"/>
      <x:c r="T179" s="32" t="str"/>
      <x:c r="U179" s="31" t="str">
        <x:v>Basallo went 0-for-4 with 0 RBI. https://www.reddit.com/r/orioles/comments/1w21fi2/game_thread_orioles_athletics_sat_aug_29_1005_pm/</x:v>
      </x:c>
      <x:c r="V179" s="31" t="str">
        <x:v>HYPOTHESIS_TEST</x:v>
      </x:c>
      <x:c r="W179" s="31" t="str">
        <x:v>EXP-03</x:v>
      </x:c>
      <x:c r="X179" s="31" t="str">
        <x:v>BASALLO 1+ RBI ARM</x:v>
      </x:c>
      <x:c r="Y179" s="31" t="str">
        <x:v>P29-098</x:v>
      </x:c>
      <x:c r="Z179" s="31" t="str">
        <x:v>Middle-order power can monetize the Orioles team-target environment through RBI.</x:v>
      </x:c>
      <x:c r="AA179" s="31" t="str">
        <x:v>Team target underperforms or runners-on-base sequencing fails.</x:v>
      </x:c>
      <x:c r="AB179" s="31" t="str">
        <x:v>RBI arm failed.</x:v>
      </x:c>
    </x:row>
    <x:row r="180">
      <x:c r="A180" s="79" t="str">
        <x:v>2026-08-29</x:v>
      </x:c>
      <x:c r="B180" s="31" t="str">
        <x:v>P29-097</x:v>
      </x:c>
      <x:c r="C180" s="31" t="str">
        <x:v>A29-R41</x:v>
      </x:c>
      <x:c r="D180" s="31" t="str">
        <x:v>PAPER</x:v>
      </x:c>
      <x:c r="E180" s="31" t="str">
        <x:v>MLB</x:v>
      </x:c>
      <x:c r="F180" s="31" t="str">
        <x:v>PHI @ LAA</x:v>
      </x:c>
      <x:c r="G180" s="31" t="str">
        <x:v>Luis Arraez</x:v>
      </x:c>
      <x:c r="H180" s="31" t="str">
        <x:v>RBI</x:v>
      </x:c>
      <x:c r="I180" s="31" t="str">
        <x:v>1+ RBI</x:v>
      </x:c>
      <x:c r="J180" s="80" t="str"/>
      <x:c r="K180" s="31" t="str">
        <x:v>SOURCED</x:v>
      </x:c>
      <x:c r="L180" s="31" t="str">
        <x:v>B-</x:v>
      </x:c>
      <x:c r="M180" s="31" t="str">
        <x:v>RBI source component within favorable Phillies team matchup.</x:v>
      </x:c>
      <x:c r="N180" s="31" t="str">
        <x:v>N</x:v>
      </x:c>
      <x:c r="O180" s="31" t="str">
        <x:v>Loss</x:v>
      </x:c>
      <x:c r="P180" s="31" t="n">
        <x:v>0</x:v>
      </x:c>
      <x:c r="Q180" s="33" t="n">
        <x:v>0</x:v>
      </x:c>
      <x:c r="R180" s="33" t="str"/>
      <x:c r="S180" s="31" t="str"/>
      <x:c r="T180" s="32" t="str"/>
      <x:c r="U180" s="31" t="str">
        <x:v>Arraez went 0-for-5 with 0 RBI. https://www.cbssports.com/mlb/gametracker/recap/MLB_20260829_PHI%40LAA/</x:v>
      </x:c>
      <x:c r="V180" s="31" t="str">
        <x:v>HYPOTHESIS_TEST</x:v>
      </x:c>
      <x:c r="W180" s="31" t="str">
        <x:v>EXP-03</x:v>
      </x:c>
      <x:c r="X180" s="31" t="str">
        <x:v>ARRAEZ 1+ RBI ARM</x:v>
      </x:c>
      <x:c r="Y180" s="31" t="str">
        <x:v>P29-098</x:v>
      </x:c>
      <x:c r="Z180" s="31" t="str">
        <x:v>Team-level matchup can overcome limited power if lineup sequencing creates RBI chances.</x:v>
      </x:c>
      <x:c r="AA180" s="31" t="str">
        <x:v>Arraez reaches base but lacks RBI opportunities, exposing market-selection weakness.</x:v>
      </x:c>
      <x:c r="AB180" s="31" t="str">
        <x:v>RBI arm failed.</x:v>
      </x:c>
    </x:row>
    <x:row r="181">
      <x:c r="A181" s="79" t="str">
        <x:v>2026-08-29</x:v>
      </x:c>
      <x:c r="B181" s="31" t="str">
        <x:v>P29-098</x:v>
      </x:c>
      <x:c r="C181" s="31" t="str">
        <x:v>A29-R42</x:v>
      </x:c>
      <x:c r="D181" s="31" t="str">
        <x:v>PAPER</x:v>
      </x:c>
      <x:c r="E181" s="31" t="str">
        <x:v>MLB</x:v>
      </x:c>
      <x:c r="F181" s="31" t="str">
        <x:v>3-game</x:v>
      </x:c>
      <x:c r="G181" s="31" t="str">
        <x:v>Olson + Basallo + Arraez</x:v>
      </x:c>
      <x:c r="H181" s="31" t="str">
        <x:v>3-leg RBI Parlay</x:v>
      </x:c>
      <x:c r="I181" s="31" t="str">
        <x:v>Olson 1+ RBI + Basallo 1+ RBI + Arraez 1+ RBI</x:v>
      </x:c>
      <x:c r="J181" s="80" t="n">
        <x:v>1233</x:v>
      </x:c>
      <x:c r="K181" s="31" t="str">
        <x:v>SOURCED</x:v>
      </x:c>
      <x:c r="L181" s="31" t="str">
        <x:v>WATCH</x:v>
      </x:c>
      <x:c r="M181" s="31" t="str">
        <x:v>Intact source RBI lottery card.</x:v>
      </x:c>
      <x:c r="N181" s="31" t="str">
        <x:v>N</x:v>
      </x:c>
      <x:c r="O181" s="31" t="str">
        <x:v>Loss</x:v>
      </x:c>
      <x:c r="P181" s="31" t="n">
        <x:v>0</x:v>
      </x:c>
      <x:c r="Q181" s="33" t="str"/>
      <x:c r="R181" s="33" t="str"/>
      <x:c r="S181" s="31" t="str"/>
      <x:c r="T181" s="32" t="str"/>
      <x:c r="U181" s="31" t="str">
        <x:v>Olson 0 RBI + Basallo 0 RBI + Arraez 0 RBI.</x:v>
      </x:c>
      <x:c r="V181" s="31" t="str">
        <x:v>CONSTRUCTION_TEST</x:v>
      </x:c>
      <x:c r="W181" s="31" t="str">
        <x:v>EXP-09</x:v>
      </x:c>
      <x:c r="X181" s="31" t="str">
        <x:v>A29 3-LEG RBI LOTTERY CONTROL</x:v>
      </x:c>
      <x:c r="Y181" s="31" t="str"/>
      <x:c r="Z181" s="31" t="str">
        <x:v>High-payout RBI cards may exploit correlated team run environments if component selection is strong.</x:v>
      </x:c>
      <x:c r="AA181" s="31" t="str">
        <x:v>Sequencing variance makes component hit rate too low for viable construction.</x:v>
      </x:c>
      <x:c r="AB181" s="31" t="str">
        <x:v>RBI lottery parlay failed 0/3.</x:v>
      </x:c>
    </x:row>
    <x:row r="182">
      <x:c r="A182" s="79" t="str">
        <x:v>2026-08-29</x:v>
      </x:c>
      <x:c r="B182" s="31" t="str">
        <x:v>P29-099</x:v>
      </x:c>
      <x:c r="C182" s="31" t="str">
        <x:v>A29-R25;A29-R32</x:v>
      </x:c>
      <x:c r="D182" s="31" t="str">
        <x:v>PAPER</x:v>
      </x:c>
      <x:c r="E182" s="31" t="str">
        <x:v>MLB</x:v>
      </x:c>
      <x:c r="F182" s="31" t="str">
        <x:v>2-game pair</x:v>
      </x:c>
      <x:c r="G182" s="31" t="str">
        <x:v>Harper + Baldwin</x:v>
      </x:c>
      <x:c r="H182" s="31" t="str">
        <x:v>2-leg hitter pair</x:v>
      </x:c>
      <x:c r="I182" s="31" t="str">
        <x:v>Harper 2+ TB + Baldwin 2+ TB</x:v>
      </x:c>
      <x:c r="J182" s="80" t="str"/>
      <x:c r="K182" s="31" t="str">
        <x:v>HYBRID</x:v>
      </x:c>
      <x:c r="L182" s="31" t="str">
        <x:v>A</x:v>
      </x:c>
      <x:c r="M182" s="31" t="str">
        <x:v>Two strongest current TB candidates from separate games.</x:v>
      </x:c>
      <x:c r="N182" s="31" t="str">
        <x:v>N</x:v>
      </x:c>
      <x:c r="O182" s="31" t="str">
        <x:v>Loss</x:v>
      </x:c>
      <x:c r="P182" s="31" t="n">
        <x:v>0</x:v>
      </x:c>
      <x:c r="Q182" s="33" t="str"/>
      <x:c r="R182" s="33" t="str"/>
      <x:c r="S182" s="31" t="str"/>
      <x:c r="T182" s="32" t="str"/>
      <x:c r="U182" s="31" t="str">
        <x:v>Harper 2+ TB lost, so Harper+Baldwin pair lost regardless of Baldwin.</x:v>
      </x:c>
      <x:c r="V182" s="31" t="str">
        <x:v>CONSTRUCTION_TEST</x:v>
      </x:c>
      <x:c r="W182" s="31" t="str">
        <x:v>EXP-09</x:v>
      </x:c>
      <x:c r="X182" s="31" t="str">
        <x:v>MLB A-TIER TB PAIR</x:v>
      </x:c>
      <x:c r="Y182" s="31" t="str">
        <x:v>P29-069;P29-078</x:v>
      </x:c>
      <x:c r="Z182" s="31" t="str">
        <x:v>Pairing two independently audited A-tier TB singles may outperform promo-driven three-leg constructions.</x:v>
      </x:c>
      <x:c r="AA182" s="31" t="str">
        <x:v>TB volatility remains too high even for top-ranked candidates.</x:v>
      </x:c>
      <x:c r="AB182" s="31" t="str">
        <x:v>A-tier label alone did not create a reliable TB backbone.</x:v>
      </x:c>
    </x:row>
    <x:row r="183">
      <x:c r="A183" s="79" t="str">
        <x:v>2026-08-29</x:v>
      </x:c>
      <x:c r="B183" s="31" t="str">
        <x:v>P29-100</x:v>
      </x:c>
      <x:c r="C183" s="31" t="str">
        <x:v>A29-R33;A29-R25</x:v>
      </x:c>
      <x:c r="D183" s="31" t="str">
        <x:v>PAPER</x:v>
      </x:c>
      <x:c r="E183" s="31" t="str">
        <x:v>MLB</x:v>
      </x:c>
      <x:c r="F183" s="31" t="str">
        <x:v>2-game pair</x:v>
      </x:c>
      <x:c r="G183" s="31" t="str">
        <x:v>Vargas + Harper</x:v>
      </x:c>
      <x:c r="H183" s="31" t="str">
        <x:v>2-leg hitter pair</x:v>
      </x:c>
      <x:c r="I183" s="31" t="str">
        <x:v>Vargas 2+ HRR + Harper 2+ TB</x:v>
      </x:c>
      <x:c r="J183" s="80" t="str"/>
      <x:c r="K183" s="31" t="str">
        <x:v>HYBRID</x:v>
      </x:c>
      <x:c r="L183" s="31" t="str">
        <x:v>A-</x:v>
      </x:c>
      <x:c r="M183" s="31" t="str">
        <x:v>Cross-market pair of two independently strong hitter theses.</x:v>
      </x:c>
      <x:c r="N183" s="31" t="str">
        <x:v>N</x:v>
      </x:c>
      <x:c r="O183" s="31" t="str">
        <x:v>Loss</x:v>
      </x:c>
      <x:c r="P183" s="31" t="n">
        <x:v>0</x:v>
      </x:c>
      <x:c r="Q183" s="33" t="str"/>
      <x:c r="R183" s="33" t="str"/>
      <x:c r="S183" s="31" t="str"/>
      <x:c r="T183" s="32" t="str"/>
      <x:c r="U183" s="31" t="str">
        <x:v>Harper 2+ TB lost, so Vargas+Harper pair lost regardless of Vargas.</x:v>
      </x:c>
      <x:c r="V183" s="31" t="str">
        <x:v>CONSTRUCTION_TEST</x:v>
      </x:c>
      <x:c r="W183" s="31" t="str">
        <x:v>EXP-09</x:v>
      </x:c>
      <x:c r="X183" s="31" t="str">
        <x:v>MLB HRR+TB PAIR</x:v>
      </x:c>
      <x:c r="Y183" s="31" t="str">
        <x:v>P29-069;P29-079</x:v>
      </x:c>
      <x:c r="Z183" s="31" t="str">
        <x:v>Mixing a composite HRR market with TB may diversify hitter failure modes.</x:v>
      </x:c>
      <x:c r="AA183" s="31" t="str">
        <x:v>Underlying hitter volatility remains strongly correlated to offensive environment and offers little diversification.</x:v>
      </x:c>
      <x:c r="AB183" s="31" t="str">
        <x:v>A-tier label alone did not create a reliable TB backbone.</x:v>
      </x:c>
    </x:row>
    <x:row r="184">
      <x:c r="A184" s="79" t="str">
        <x:v>2026-09-02</x:v>
      </x:c>
      <x:c r="B184" s="31" t="str">
        <x:v>P02-001</x:v>
      </x:c>
      <x:c r="C184" s="31" t="str">
        <x:v>S02-R01</x:v>
      </x:c>
      <x:c r="D184" s="31" t="str">
        <x:v>PAPER</x:v>
      </x:c>
      <x:c r="E184" s="31" t="str">
        <x:v>MLB</x:v>
      </x:c>
      <x:c r="F184" s="31" t="str">
        <x:v>MIL @ CHC</x:v>
      </x:c>
      <x:c r="G184" s="31" t="str">
        <x:v>Jacob Misiorowski</x:v>
      </x:c>
      <x:c r="H184" s="31" t="str">
        <x:v>Strikeouts</x:v>
      </x:c>
      <x:c r="I184" s="31" t="str">
        <x:v>8+ strikeouts</x:v>
      </x:c>
      <x:c r="J184" s="80" t="n">
        <x:v>-128</x:v>
      </x:c>
      <x:c r="K184" s="31" t="str">
        <x:v>HYBRID</x:v>
      </x:c>
      <x:c r="L184" s="31" t="str">
        <x:v>A</x:v>
      </x:c>
      <x:c r="M184" s="31" t="str">
        <x:v>Same price neighborhood as the real outs arm creates a clean market-expression test.</x:v>
      </x:c>
      <x:c r="N184" s="31" t="str">
        <x:v>N</x:v>
      </x:c>
      <x:c r="O184" s="31" t="str">
        <x:v>Loss</x:v>
      </x:c>
      <x:c r="P184" s="31" t="n">
        <x:v>0</x:v>
      </x:c>
      <x:c r="Q184" s="33" t="n">
        <x:v>5</x:v>
      </x:c>
      <x:c r="R184" s="33" t="n">
        <x:v>0</x:v>
      </x:c>
      <x:c r="S184" s="31" t="n">
        <x:v>-1</x:v>
      </x:c>
      <x:c r="T184" s="32" t="str"/>
      <x:c r="U184" s="31" t="str">
        <x:v>Exact DK 13:32 ET.</x:v>
      </x:c>
      <x:c r="V184" s="31" t="str">
        <x:v>ALT_MARKET_TEST</x:v>
      </x:c>
      <x:c r="W184" s="31" t="str">
        <x:v>EXP-01</x:v>
      </x:c>
      <x:c r="X184" s="31" t="str">
        <x:v>K ARM</x:v>
      </x:c>
      <x:c r="Y184" s="31" t="str">
        <x:v>S02-R01</x:v>
      </x:c>
      <x:c r="Z184" s="31" t="str">
        <x:v>If dominance is driven by whiffs, 8+ K at similar price can outperform six-inning outs.</x:v>
      </x:c>
      <x:c r="AA184" s="31" t="str">
        <x:v>Efficient contact outs clear while K total stalls below 8.</x:v>
      </x:c>
      <x:c r="AB184" s="31" t="str">
        <x:v>Misiorowski recorded 5 Ks in 4.0 IP. Both the 8+ K arm and real outs arm lost: bad underlying start, not merely market selection.</x:v>
      </x:c>
    </x:row>
    <x:row r="185">
      <x:c r="A185" s="79" t="str">
        <x:v>2026-09-02</x:v>
      </x:c>
      <x:c r="B185" s="31" t="str">
        <x:v>P02-002</x:v>
      </x:c>
      <x:c r="C185" s="31" t="str">
        <x:v>S02-R01</x:v>
      </x:c>
      <x:c r="D185" s="31" t="str">
        <x:v>PAPER</x:v>
      </x:c>
      <x:c r="E185" s="31" t="str">
        <x:v>MLB</x:v>
      </x:c>
      <x:c r="F185" s="31" t="str">
        <x:v>MIL @ CHC</x:v>
      </x:c>
      <x:c r="G185" s="31" t="str">
        <x:v>Jacob Misiorowski</x:v>
      </x:c>
      <x:c r="H185" s="31" t="str">
        <x:v>Strikeouts</x:v>
      </x:c>
      <x:c r="I185" s="31" t="str">
        <x:v>9+ strikeouts</x:v>
      </x:c>
      <x:c r="J185" s="80" t="n">
        <x:v>151</x:v>
      </x:c>
      <x:c r="K185" s="31" t="str">
        <x:v>HYBRID</x:v>
      </x:c>
      <x:c r="L185" s="31" t="str">
        <x:v>B+</x:v>
      </x:c>
      <x:c r="M185" s="31" t="str">
        <x:v>Aggressive threshold arm tests whether plus-money payout compensates for one extra K.</x:v>
      </x:c>
      <x:c r="N185" s="31" t="str">
        <x:v>N</x:v>
      </x:c>
      <x:c r="O185" s="31" t="str">
        <x:v>Loss</x:v>
      </x:c>
      <x:c r="P185" s="31" t="n">
        <x:v>0</x:v>
      </x:c>
      <x:c r="Q185" s="33" t="n">
        <x:v>5</x:v>
      </x:c>
      <x:c r="R185" s="33" t="n">
        <x:v>0</x:v>
      </x:c>
      <x:c r="S185" s="31" t="n">
        <x:v>-1</x:v>
      </x:c>
      <x:c r="T185" s="32" t="str"/>
      <x:c r="U185" s="31" t="str">
        <x:v>Exact DK 13:32 ET.</x:v>
      </x:c>
      <x:c r="V185" s="31" t="str">
        <x:v>THRESHOLD_TEST</x:v>
      </x:c>
      <x:c r="W185" s="31" t="str">
        <x:v>EXP-06</x:v>
      </x:c>
      <x:c r="X185" s="31" t="str">
        <x:v>AGGRESSIVE K ARM</x:v>
      </x:c>
      <x:c r="Y185" s="31" t="str">
        <x:v>P02-001</x:v>
      </x:c>
      <x:c r="Z185" s="31" t="str">
        <x:v>Elite K rate may preserve value one rung above the standard 8+ line.</x:v>
      </x:c>
      <x:c r="AA185" s="31" t="str">
        <x:v>8 Ks exactly or earlier hook shows threshold tax dominates payout gain.</x:v>
      </x:c>
      <x:c r="AB185" s="31" t="str">
        <x:v>Aggressive 9+ K threshold failed badly; Misiorowski finished with 5 Ks. Supports avoiding threshold inflation for payout.</x:v>
      </x:c>
    </x:row>
    <x:row r="186">
      <x:c r="A186" s="79" t="str">
        <x:v>2026-09-02</x:v>
      </x:c>
      <x:c r="B186" s="31" t="str">
        <x:v>P02-003</x:v>
      </x:c>
      <x:c r="C186" s="31" t="str">
        <x:v>S02-R02</x:v>
      </x:c>
      <x:c r="D186" s="31" t="str">
        <x:v>PAPER</x:v>
      </x:c>
      <x:c r="E186" s="31" t="str">
        <x:v>MLB</x:v>
      </x:c>
      <x:c r="F186" s="31" t="str">
        <x:v>TOR @ CLE</x:v>
      </x:c>
      <x:c r="G186" s="31" t="str">
        <x:v>Dylan Cease</x:v>
      </x:c>
      <x:c r="H186" s="31" t="str">
        <x:v>Pitcher Outs</x:v>
      </x:c>
      <x:c r="I186" s="31" t="str">
        <x:v>Over 17.5 outs</x:v>
      </x:c>
      <x:c r="J186" s="80" t="n">
        <x:v>-154</x:v>
      </x:c>
      <x:c r="K186" s="31" t="str">
        <x:v>HYBRID</x:v>
      </x:c>
      <x:c r="L186" s="31" t="str">
        <x:v>A-</x:v>
      </x:c>
      <x:c r="M186" s="31" t="str">
        <x:v>Direct Ks-vs-outs comparison on a workload-capable starter.</x:v>
      </x:c>
      <x:c r="N186" s="31" t="str">
        <x:v>N</x:v>
      </x:c>
      <x:c r="O186" s="31" t="str">
        <x:v>Win</x:v>
      </x:c>
      <x:c r="P186" s="31" t="n">
        <x:v>1</x:v>
      </x:c>
      <x:c r="Q186" s="33" t="n">
        <x:v>18</x:v>
      </x:c>
      <x:c r="R186" s="33" t="n">
        <x:v>1.6493506493506493</x:v>
      </x:c>
      <x:c r="S186" s="31" t="n">
        <x:v>0.6493506493506493</x:v>
      </x:c>
      <x:c r="T186" s="32" t="str"/>
      <x:c r="U186" s="31" t="str">
        <x:v>Source price was -136; DK moved to -154.</x:v>
      </x:c>
      <x:c r="V186" s="31" t="str">
        <x:v>ALT_MARKET_TEST</x:v>
      </x:c>
      <x:c r="W186" s="31" t="str">
        <x:v>EXP-01</x:v>
      </x:c>
      <x:c r="X186" s="31" t="str">
        <x:v>OUTS ARM</x:v>
      </x:c>
      <x:c r="Y186" s="31" t="str">
        <x:v>S02-R02</x:v>
      </x:c>
      <x:c r="Z186" s="31" t="str">
        <x:v>If efficiency/workload is the real edge, six innings should be more robust than a 7-K requirement.</x:v>
      </x:c>
      <x:c r="AA186" s="31" t="str">
        <x:v>Cease records 7+ K but fails to reach 18 outs, or price deterioration erases value.</x:v>
      </x:c>
      <x:c r="AB186" s="31" t="str">
        <x:v>Cease completed 6.0 IP = 18 outs. This outs arm won while 7+/8+ K arms lost, a clean positive observation for workload expression.</x:v>
      </x:c>
    </x:row>
    <x:row r="187">
      <x:c r="A187" s="79" t="str">
        <x:v>2026-09-02</x:v>
      </x:c>
      <x:c r="B187" s="31" t="str">
        <x:v>P02-004</x:v>
      </x:c>
      <x:c r="C187" s="31" t="str">
        <x:v>S02-R02</x:v>
      </x:c>
      <x:c r="D187" s="31" t="str">
        <x:v>PAPER</x:v>
      </x:c>
      <x:c r="E187" s="31" t="str">
        <x:v>MLB</x:v>
      </x:c>
      <x:c r="F187" s="31" t="str">
        <x:v>TOR @ CLE</x:v>
      </x:c>
      <x:c r="G187" s="31" t="str">
        <x:v>Dylan Cease</x:v>
      </x:c>
      <x:c r="H187" s="31" t="str">
        <x:v>Strikeouts</x:v>
      </x:c>
      <x:c r="I187" s="31" t="str">
        <x:v>8+ strikeouts</x:v>
      </x:c>
      <x:c r="J187" s="80" t="n">
        <x:v>191</x:v>
      </x:c>
      <x:c r="K187" s="31" t="str">
        <x:v>HYBRID</x:v>
      </x:c>
      <x:c r="L187" s="31" t="str">
        <x:v>B</x:v>
      </x:c>
      <x:c r="M187" s="31" t="str">
        <x:v>One-rung aggressive arm at a large plus price.</x:v>
      </x:c>
      <x:c r="N187" s="31" t="str">
        <x:v>N</x:v>
      </x:c>
      <x:c r="O187" s="31" t="str">
        <x:v>Loss</x:v>
      </x:c>
      <x:c r="P187" s="31" t="n">
        <x:v>0</x:v>
      </x:c>
      <x:c r="Q187" s="33" t="n">
        <x:v>4</x:v>
      </x:c>
      <x:c r="R187" s="33" t="n">
        <x:v>0</x:v>
      </x:c>
      <x:c r="S187" s="31" t="n">
        <x:v>-1</x:v>
      </x:c>
      <x:c r="T187" s="32" t="str"/>
      <x:c r="U187" s="31" t="str">
        <x:v>Exact DK 13:31 ET.</x:v>
      </x:c>
      <x:c r="V187" s="31" t="str">
        <x:v>THRESHOLD_TEST</x:v>
      </x:c>
      <x:c r="W187" s="31" t="str">
        <x:v>EXP-06</x:v>
      </x:c>
      <x:c r="X187" s="31" t="str">
        <x:v>AGGRESSIVE K ARM</x:v>
      </x:c>
      <x:c r="Y187" s="31" t="str">
        <x:v>S02-R02</x:v>
      </x:c>
      <x:c r="Z187" s="31" t="str">
        <x:v>Cease's K ceiling can justify +191 when 7+ is already near even money.</x:v>
      </x:c>
      <x:c r="AA187" s="31" t="str">
        <x:v>Exactly 7 Ks becomes the canonical threshold-cost failure.</x:v>
      </x:c>
      <x:c r="AB187" s="31" t="str">
        <x:v>Cease finished with 4 Ks despite 6 scoreless innings. Strong market-expression miss versus winning outs arm.</x:v>
      </x:c>
    </x:row>
    <x:row r="188">
      <x:c r="A188" s="79" t="str">
        <x:v>2026-09-02</x:v>
      </x:c>
      <x:c r="B188" s="31" t="str">
        <x:v>P02-005</x:v>
      </x:c>
      <x:c r="C188" s="31" t="str">
        <x:v>S02-R05</x:v>
      </x:c>
      <x:c r="D188" s="31" t="str">
        <x:v>PAPER</x:v>
      </x:c>
      <x:c r="E188" s="31" t="str">
        <x:v>MLB</x:v>
      </x:c>
      <x:c r="F188" s="31" t="str">
        <x:v>NYY @ LAA</x:v>
      </x:c>
      <x:c r="G188" s="31" t="str">
        <x:v>Cam Schlittler</x:v>
      </x:c>
      <x:c r="H188" s="31" t="str">
        <x:v>Strikeouts</x:v>
      </x:c>
      <x:c r="I188" s="31" t="str">
        <x:v>8+ strikeouts</x:v>
      </x:c>
      <x:c r="J188" s="80" t="n">
        <x:v>-141</x:v>
      </x:c>
      <x:c r="K188" s="31" t="str">
        <x:v>HYBRID</x:v>
      </x:c>
      <x:c r="L188" s="31" t="str">
        <x:v>A</x:v>
      </x:c>
      <x:c r="M188" s="31" t="str">
        <x:v>Independent matchup support and direct K mechanism; real-card reserve.</x:v>
      </x:c>
      <x:c r="N188" s="31" t="str">
        <x:v>N</x:v>
      </x:c>
      <x:c r="O188" s="31" t="str">
        <x:v>Win</x:v>
      </x:c>
      <x:c r="P188" s="31" t="n">
        <x:v>1</x:v>
      </x:c>
      <x:c r="Q188" s="33" t="n">
        <x:v>9</x:v>
      </x:c>
      <x:c r="R188" s="33" t="n">
        <x:v>1.7092198581560285</x:v>
      </x:c>
      <x:c r="S188" s="31" t="n">
        <x:v>0.7092198581560285</x:v>
      </x:c>
      <x:c r="T188" s="32" t="str"/>
      <x:c r="U188" s="31" t="str">
        <x:v>Exact DK 13:32 ET.</x:v>
      </x:c>
      <x:c r="V188" s="31" t="str">
        <x:v>HYPOTHESIS_TEST</x:v>
      </x:c>
      <x:c r="W188" s="31" t="str">
        <x:v>EXP-02</x:v>
      </x:c>
      <x:c r="X188" s="31" t="str">
        <x:v>K OVER ARM</x:v>
      </x:c>
      <x:c r="Y188" s="31" t="str"/>
      <x:c r="Z188" s="31" t="str">
        <x:v>High whiff ability against this lineup should support 8+ Ks without requiring six innings.</x:v>
      </x:c>
      <x:c r="AA188" s="31" t="str">
        <x:v>Contact-heavy Angels approach or pitch-count inefficiency keeps him below 8.</x:v>
      </x:c>
      <x:c r="AB188" s="31" t="str">
        <x:v>Schlittler struck out 9 over 8.0 IP. K thesis and threshold both cleared.</x:v>
      </x:c>
    </x:row>
    <x:row r="189">
      <x:c r="A189" s="79" t="str">
        <x:v>2026-09-02</x:v>
      </x:c>
      <x:c r="B189" s="31" t="str">
        <x:v>P02-006</x:v>
      </x:c>
      <x:c r="C189" s="31" t="str">
        <x:v>S02-R05</x:v>
      </x:c>
      <x:c r="D189" s="31" t="str">
        <x:v>PAPER</x:v>
      </x:c>
      <x:c r="E189" s="31" t="str">
        <x:v>MLB</x:v>
      </x:c>
      <x:c r="F189" s="31" t="str">
        <x:v>NYY @ LAA</x:v>
      </x:c>
      <x:c r="G189" s="31" t="str">
        <x:v>Cam Schlittler</x:v>
      </x:c>
      <x:c r="H189" s="31" t="str">
        <x:v>Pitcher Outs</x:v>
      </x:c>
      <x:c r="I189" s="31" t="str">
        <x:v>Over 17.5 outs</x:v>
      </x:c>
      <x:c r="J189" s="80" t="n">
        <x:v>-173</x:v>
      </x:c>
      <x:c r="K189" s="31" t="str">
        <x:v>HYBRID</x:v>
      </x:c>
      <x:c r="L189" s="31" t="str">
        <x:v>B+</x:v>
      </x:c>
      <x:c r="M189" s="31" t="str">
        <x:v>Tests whether workload is worth the extra juice versus his K market.</x:v>
      </x:c>
      <x:c r="N189" s="31" t="str">
        <x:v>N</x:v>
      </x:c>
      <x:c r="O189" s="31" t="str">
        <x:v>Win</x:v>
      </x:c>
      <x:c r="P189" s="31" t="n">
        <x:v>1</x:v>
      </x:c>
      <x:c r="Q189" s="33" t="n">
        <x:v>24</x:v>
      </x:c>
      <x:c r="R189" s="33" t="n">
        <x:v>1.5780346820809248</x:v>
      </x:c>
      <x:c r="S189" s="31" t="n">
        <x:v>0.5780346820809248</x:v>
      </x:c>
      <x:c r="T189" s="32" t="str"/>
      <x:c r="U189" s="31" t="str">
        <x:v>Exact DK 13:33 ET.</x:v>
      </x:c>
      <x:c r="V189" s="31" t="str">
        <x:v>ALT_MARKET_TEST</x:v>
      </x:c>
      <x:c r="W189" s="31" t="str">
        <x:v>EXP-01</x:v>
      </x:c>
      <x:c r="X189" s="31" t="str">
        <x:v>OUTS ARM</x:v>
      </x:c>
      <x:c r="Y189" s="31" t="str">
        <x:v>P02-005</x:v>
      </x:c>
      <x:c r="Z189" s="31" t="str">
        <x:v>If his starter efficiency is more stable than whiff count, outs can justify the steeper price.</x:v>
      </x:c>
      <x:c r="AA189" s="31" t="str">
        <x:v>Eight-plus Ks clear while he exits before 18 outs.</x:v>
      </x:c>
      <x:c r="AB189" s="31" t="str">
        <x:v>Schlittler threw 8.0 IP = 24 outs. Both K and outs arms won; no market separation on this pitcher.</x:v>
      </x:c>
    </x:row>
    <x:row r="190">
      <x:c r="A190" s="79" t="str">
        <x:v>2026-09-02</x:v>
      </x:c>
      <x:c r="B190" s="31" t="str">
        <x:v>P02-007</x:v>
      </x:c>
      <x:c r="C190" s="31" t="str">
        <x:v>S02-R11</x:v>
      </x:c>
      <x:c r="D190" s="31" t="str">
        <x:v>PAPER</x:v>
      </x:c>
      <x:c r="E190" s="31" t="str">
        <x:v>MLB</x:v>
      </x:c>
      <x:c r="F190" s="31" t="str">
        <x:v>STL @ LAD</x:v>
      </x:c>
      <x:c r="G190" s="31" t="str">
        <x:v>Yoshinobu Yamamoto</x:v>
      </x:c>
      <x:c r="H190" s="31" t="str">
        <x:v>Strikeouts</x:v>
      </x:c>
      <x:c r="I190" s="31" t="str">
        <x:v>7+ strikeouts</x:v>
      </x:c>
      <x:c r="J190" s="80" t="n">
        <x:v>-149</x:v>
      </x:c>
      <x:c r="K190" s="31" t="str">
        <x:v>HYBRID</x:v>
      </x:c>
      <x:c r="L190" s="31" t="str">
        <x:v>A-</x:v>
      </x:c>
      <x:c r="M190" s="31" t="str">
        <x:v>Multiple source agreement plus independent confirmation of matchup.</x:v>
      </x:c>
      <x:c r="N190" s="31" t="str">
        <x:v>N</x:v>
      </x:c>
      <x:c r="O190" s="31" t="str">
        <x:v>Win</x:v>
      </x:c>
      <x:c r="P190" s="31" t="n">
        <x:v>1</x:v>
      </x:c>
      <x:c r="Q190" s="33" t="n">
        <x:v>8</x:v>
      </x:c>
      <x:c r="R190" s="33" t="n">
        <x:v>1.6711409395973154</x:v>
      </x:c>
      <x:c r="S190" s="31" t="n">
        <x:v>0.6711409395973154</x:v>
      </x:c>
      <x:c r="T190" s="32" t="str"/>
      <x:c r="U190" s="31" t="str">
        <x:v>Exact DK 13:33 ET.</x:v>
      </x:c>
      <x:c r="V190" s="31" t="str">
        <x:v>HYPOTHESIS_TEST</x:v>
      </x:c>
      <x:c r="W190" s="31" t="str">
        <x:v>EXP-02</x:v>
      </x:c>
      <x:c r="X190" s="31" t="str">
        <x:v>K OVER ARM</x:v>
      </x:c>
      <x:c r="Y190" s="31" t="str"/>
      <x:c r="Z190" s="31" t="str">
        <x:v>Whiff-oriented matchup should make seven Ks a cleaner expression than 19 outs.</x:v>
      </x:c>
      <x:c r="AA190" s="31" t="str">
        <x:v>Good run prevention but six innings or fewer with &lt;7 Ks.</x:v>
      </x:c>
      <x:c r="AB190" s="31" t="str">
        <x:v>Yamamoto struck out 8 in 7.0 IP. 7+ K cleared.</x:v>
      </x:c>
    </x:row>
    <x:row r="191">
      <x:c r="A191" s="79" t="str">
        <x:v>2026-09-02</x:v>
      </x:c>
      <x:c r="B191" s="31" t="str">
        <x:v>P02-008</x:v>
      </x:c>
      <x:c r="C191" s="31" t="str">
        <x:v>S02-R11</x:v>
      </x:c>
      <x:c r="D191" s="31" t="str">
        <x:v>PAPER</x:v>
      </x:c>
      <x:c r="E191" s="31" t="str">
        <x:v>MLB</x:v>
      </x:c>
      <x:c r="F191" s="31" t="str">
        <x:v>STL @ LAD</x:v>
      </x:c>
      <x:c r="G191" s="31" t="str">
        <x:v>Yoshinobu Yamamoto</x:v>
      </x:c>
      <x:c r="H191" s="31" t="str">
        <x:v>Pitcher Outs</x:v>
      </x:c>
      <x:c r="I191" s="31" t="str">
        <x:v>Over 18.5 outs</x:v>
      </x:c>
      <x:c r="J191" s="80" t="n">
        <x:v>-115</x:v>
      </x:c>
      <x:c r="K191" s="31" t="str">
        <x:v>HYBRID</x:v>
      </x:c>
      <x:c r="L191" s="31" t="str">
        <x:v>B+</x:v>
      </x:c>
      <x:c r="M191" s="31" t="str">
        <x:v>Paired workload arm at near-even price.</x:v>
      </x:c>
      <x:c r="N191" s="31" t="str">
        <x:v>N</x:v>
      </x:c>
      <x:c r="O191" s="31" t="str">
        <x:v>Win</x:v>
      </x:c>
      <x:c r="P191" s="31" t="n">
        <x:v>1</x:v>
      </x:c>
      <x:c r="Q191" s="33" t="n">
        <x:v>21</x:v>
      </x:c>
      <x:c r="R191" s="33" t="n">
        <x:v>1.8695652173913042</x:v>
      </x:c>
      <x:c r="S191" s="31" t="n">
        <x:v>0.8695652173913042</x:v>
      </x:c>
      <x:c r="T191" s="32" t="str"/>
      <x:c r="U191" s="31" t="str">
        <x:v>Exact DK 13:33 ET.</x:v>
      </x:c>
      <x:c r="V191" s="31" t="str">
        <x:v>ALT_MARKET_TEST</x:v>
      </x:c>
      <x:c r="W191" s="31" t="str">
        <x:v>EXP-01</x:v>
      </x:c>
      <x:c r="X191" s="31" t="str">
        <x:v>OUTS ARM</x:v>
      </x:c>
      <x:c r="Y191" s="31" t="str">
        <x:v>P02-007</x:v>
      </x:c>
      <x:c r="Z191" s="31" t="str">
        <x:v>If efficiency and leash are stronger than pure whiff volume, 19 outs can beat seven Ks at a cheaper price.</x:v>
      </x:c>
      <x:c r="AA191" s="31" t="str">
        <x:v>He reaches 7+ Ks but exits after six innings.</x:v>
      </x:c>
      <x:c r="AB191" s="31" t="str">
        <x:v>Yamamoto completed 7.0 IP = 21 outs. Both K and outs arms won; no market separation.</x:v>
      </x:c>
    </x:row>
    <x:row r="192">
      <x:c r="A192" s="79" t="str">
        <x:v>2026-09-02</x:v>
      </x:c>
      <x:c r="B192" s="31" t="str">
        <x:v>P02-009</x:v>
      </x:c>
      <x:c r="C192" s="31" t="str">
        <x:v>S02-R12</x:v>
      </x:c>
      <x:c r="D192" s="31" t="str">
        <x:v>PAPER</x:v>
      </x:c>
      <x:c r="E192" s="31" t="str">
        <x:v>MLB</x:v>
      </x:c>
      <x:c r="F192" s="31" t="str">
        <x:v>MIA @ KC</x:v>
      </x:c>
      <x:c r="G192" s="31" t="str">
        <x:v>Noah Cameron</x:v>
      </x:c>
      <x:c r="H192" s="31" t="str">
        <x:v>Strikeouts</x:v>
      </x:c>
      <x:c r="I192" s="31" t="str">
        <x:v>5+ strikeouts</x:v>
      </x:c>
      <x:c r="J192" s="80" t="n">
        <x:v>-123</x:v>
      </x:c>
      <x:c r="K192" s="31" t="str">
        <x:v>HYBRID</x:v>
      </x:c>
      <x:c r="L192" s="31" t="str">
        <x:v>B</x:v>
      </x:c>
      <x:c r="M192" s="31" t="str">
        <x:v>Source threshold held near original price and offers a clean moderate K hurdle.</x:v>
      </x:c>
      <x:c r="N192" s="31" t="str">
        <x:v>N</x:v>
      </x:c>
      <x:c r="O192" s="31" t="str">
        <x:v>Win</x:v>
      </x:c>
      <x:c r="P192" s="31" t="n">
        <x:v>1</x:v>
      </x:c>
      <x:c r="Q192" s="33" t="n">
        <x:v>5</x:v>
      </x:c>
      <x:c r="R192" s="33" t="n">
        <x:v>1.8130081300813008</x:v>
      </x:c>
      <x:c r="S192" s="31" t="n">
        <x:v>0.8130081300813008</x:v>
      </x:c>
      <x:c r="T192" s="32" t="str"/>
      <x:c r="U192" s="31" t="str">
        <x:v>Exact DK 13:32 ET.</x:v>
      </x:c>
      <x:c r="V192" s="31" t="str">
        <x:v>HYPOTHESIS_TEST</x:v>
      </x:c>
      <x:c r="W192" s="31" t="str">
        <x:v>EXP-02</x:v>
      </x:c>
      <x:c r="X192" s="31" t="str">
        <x:v>K OVER ARM</x:v>
      </x:c>
      <x:c r="Y192" s="31" t="str"/>
      <x:c r="Z192" s="31" t="str">
        <x:v>Five Ks can clear without a full six-inning workload.</x:v>
      </x:c>
      <x:c r="AA192" s="31" t="str">
        <x:v>Low season K rate manifests and he finishes with four or fewer.</x:v>
      </x:c>
      <x:c r="AB192" s="31" t="str">
        <x:v>Cameron cleared 5+ Ks but did not reach six innings. Positive evidence for modest K threshold over outs in this matchup.</x:v>
      </x:c>
    </x:row>
    <x:row r="193">
      <x:c r="A193" s="79" t="str">
        <x:v>2026-09-02</x:v>
      </x:c>
      <x:c r="B193" s="31" t="str">
        <x:v>P02-010</x:v>
      </x:c>
      <x:c r="C193" s="31" t="str">
        <x:v>S02-R12</x:v>
      </x:c>
      <x:c r="D193" s="31" t="str">
        <x:v>PAPER</x:v>
      </x:c>
      <x:c r="E193" s="31" t="str">
        <x:v>MLB</x:v>
      </x:c>
      <x:c r="F193" s="31" t="str">
        <x:v>MIA @ KC</x:v>
      </x:c>
      <x:c r="G193" s="31" t="str">
        <x:v>Noah Cameron</x:v>
      </x:c>
      <x:c r="H193" s="31" t="str">
        <x:v>Pitcher Outs</x:v>
      </x:c>
      <x:c r="I193" s="31" t="str">
        <x:v>Over 17.5 outs</x:v>
      </x:c>
      <x:c r="J193" s="80" t="n">
        <x:v>-133</x:v>
      </x:c>
      <x:c r="K193" s="31" t="str">
        <x:v>HYBRID</x:v>
      </x:c>
      <x:c r="L193" s="31" t="str">
        <x:v>B</x:v>
      </x:c>
      <x:c r="M193" s="31" t="str">
        <x:v>Paired workload arm against 5+ Ks.</x:v>
      </x:c>
      <x:c r="N193" s="31" t="str">
        <x:v>N</x:v>
      </x:c>
      <x:c r="O193" s="31" t="str">
        <x:v>Loss</x:v>
      </x:c>
      <x:c r="P193" s="31" t="n">
        <x:v>0</x:v>
      </x:c>
      <x:c r="Q193" s="33" t="n">
        <x:v>15</x:v>
      </x:c>
      <x:c r="R193" s="33" t="n">
        <x:v>0</x:v>
      </x:c>
      <x:c r="S193" s="31" t="n">
        <x:v>-1</x:v>
      </x:c>
      <x:c r="T193" s="32" t="str"/>
      <x:c r="U193" s="31" t="str">
        <x:v>Exact DK 13:32 ET.</x:v>
      </x:c>
      <x:c r="V193" s="31" t="str">
        <x:v>ALT_MARKET_TEST</x:v>
      </x:c>
      <x:c r="W193" s="31" t="str">
        <x:v>EXP-01</x:v>
      </x:c>
      <x:c r="X193" s="31" t="str">
        <x:v>OUTS ARM</x:v>
      </x:c>
      <x:c r="Y193" s="31" t="str">
        <x:v>P02-009</x:v>
      </x:c>
      <x:c r="Z193" s="31" t="str">
        <x:v>Efficient contact management may make six innings more attainable than five strikeouts.</x:v>
      </x:c>
      <x:c r="AA193" s="31" t="str">
        <x:v>Five Ks clear but he misses 18 outs due pitch count or hook.</x:v>
      </x:c>
      <x:c r="AB193" s="31" t="str">
        <x:v>Cameron exited after five innings (15 outs), so O17.5 failed while 5+ K won. Pitcher-specific counterexample to outs-first bias.</x:v>
      </x:c>
    </x:row>
    <x:row r="194">
      <x:c r="A194" s="79" t="str">
        <x:v>2026-09-02</x:v>
      </x:c>
      <x:c r="B194" s="31" t="str">
        <x:v>P02-011</x:v>
      </x:c>
      <x:c r="C194" s="31" t="str"/>
      <x:c r="D194" s="31" t="str">
        <x:v>PAPER</x:v>
      </x:c>
      <x:c r="E194" s="31" t="str">
        <x:v>MLB</x:v>
      </x:c>
      <x:c r="F194" s="31" t="str">
        <x:v>MIA @ KC</x:v>
      </x:c>
      <x:c r="G194" s="31" t="str">
        <x:v>Eury Perez</x:v>
      </x:c>
      <x:c r="H194" s="31" t="str">
        <x:v>Strikeouts</x:v>
      </x:c>
      <x:c r="I194" s="31" t="str">
        <x:v>5+ strikeouts</x:v>
      </x:c>
      <x:c r="J194" s="80" t="n">
        <x:v>-164</x:v>
      </x:c>
      <x:c r="K194" s="31" t="str">
        <x:v>HYBRID</x:v>
      </x:c>
      <x:c r="L194" s="31" t="str">
        <x:v>B</x:v>
      </x:c>
      <x:c r="M194" s="31" t="str">
        <x:v>Independent K profile supports a modest threshold, but juice is meaningful.</x:v>
      </x:c>
      <x:c r="N194" s="31" t="str">
        <x:v>N</x:v>
      </x:c>
      <x:c r="O194" s="31" t="str">
        <x:v>Loss</x:v>
      </x:c>
      <x:c r="P194" s="31" t="n">
        <x:v>0</x:v>
      </x:c>
      <x:c r="Q194" s="33" t="n">
        <x:v>3</x:v>
      </x:c>
      <x:c r="R194" s="33" t="n">
        <x:v>0</x:v>
      </x:c>
      <x:c r="S194" s="31" t="n">
        <x:v>-1</x:v>
      </x:c>
      <x:c r="T194" s="32" t="str"/>
      <x:c r="U194" s="31" t="str">
        <x:v>Exact DK 13:32 ET.</x:v>
      </x:c>
      <x:c r="V194" s="31" t="str">
        <x:v>HYPOTHESIS_TEST</x:v>
      </x:c>
      <x:c r="W194" s="31" t="str">
        <x:v>EXP-02</x:v>
      </x:c>
      <x:c r="X194" s="31" t="str">
        <x:v>K OVER ARM</x:v>
      </x:c>
      <x:c r="Y194" s="31" t="str"/>
      <x:c r="Z194" s="31" t="str">
        <x:v>Perez's superior K rate to Cameron should make 5+ robust despite the price.</x:v>
      </x:c>
      <x:c r="AA194" s="31" t="str">
        <x:v>He works five-plus innings and still finishes below five Ks.</x:v>
      </x:c>
      <x:c r="AB194" s="31" t="str">
        <x:v>Eury Perez struck out 3 and allowed 6 runs in 4.2 IP. K thesis failed.</x:v>
      </x:c>
    </x:row>
    <x:row r="195">
      <x:c r="A195" s="79" t="str">
        <x:v>2026-09-02</x:v>
      </x:c>
      <x:c r="B195" s="31" t="str">
        <x:v>P02-012</x:v>
      </x:c>
      <x:c r="C195" s="31" t="str"/>
      <x:c r="D195" s="31" t="str">
        <x:v>PAPER</x:v>
      </x:c>
      <x:c r="E195" s="31" t="str">
        <x:v>MLB</x:v>
      </x:c>
      <x:c r="F195" s="31" t="str">
        <x:v>MIA @ KC</x:v>
      </x:c>
      <x:c r="G195" s="31" t="str">
        <x:v>Eury Perez</x:v>
      </x:c>
      <x:c r="H195" s="31" t="str">
        <x:v>Pitcher Outs</x:v>
      </x:c>
      <x:c r="I195" s="31" t="str">
        <x:v>Over 15.5 outs</x:v>
      </x:c>
      <x:c r="J195" s="80" t="n">
        <x:v>-136</x:v>
      </x:c>
      <x:c r="K195" s="31" t="str">
        <x:v>HYBRID</x:v>
      </x:c>
      <x:c r="L195" s="31" t="str">
        <x:v>B+</x:v>
      </x:c>
      <x:c r="M195" s="31" t="str">
        <x:v>Only 16 outs required; useful workload-vs-K test.</x:v>
      </x:c>
      <x:c r="N195" s="31" t="str">
        <x:v>N</x:v>
      </x:c>
      <x:c r="O195" s="31" t="str">
        <x:v>Loss</x:v>
      </x:c>
      <x:c r="P195" s="31" t="n">
        <x:v>0</x:v>
      </x:c>
      <x:c r="Q195" s="33" t="n">
        <x:v>14</x:v>
      </x:c>
      <x:c r="R195" s="33" t="n">
        <x:v>0</x:v>
      </x:c>
      <x:c r="S195" s="31" t="n">
        <x:v>-1</x:v>
      </x:c>
      <x:c r="T195" s="32" t="str"/>
      <x:c r="U195" s="31" t="str">
        <x:v>Exact DK 13:32 ET.</x:v>
      </x:c>
      <x:c r="V195" s="31" t="str">
        <x:v>ALT_MARKET_TEST</x:v>
      </x:c>
      <x:c r="W195" s="31" t="str">
        <x:v>EXP-01</x:v>
      </x:c>
      <x:c r="X195" s="31" t="str">
        <x:v>OUTS ARM</x:v>
      </x:c>
      <x:c r="Y195" s="31" t="str">
        <x:v>P02-011</x:v>
      </x:c>
      <x:c r="Z195" s="31" t="str">
        <x:v>Low outs threshold can outperform a juiced K milestone if he reaches the sixth.</x:v>
      </x:c>
      <x:c r="AA195" s="31" t="str">
        <x:v>Short leash/inefficiency prevents 16 outs while strikeouts still clear.</x:v>
      </x:c>
      <x:c r="AB195" s="31" t="str">
        <x:v>Eury Perez recorded 14 outs (4.2 IP), missing O15.5. Both K and outs arms failed: underlying handicap was wrong.</x:v>
      </x:c>
    </x:row>
    <x:row r="196">
      <x:c r="A196" s="79" t="str">
        <x:v>2026-09-02</x:v>
      </x:c>
      <x:c r="B196" s="31" t="str">
        <x:v>P02-013</x:v>
      </x:c>
      <x:c r="C196" s="31" t="str">
        <x:v>S02-R03</x:v>
      </x:c>
      <x:c r="D196" s="31" t="str">
        <x:v>PAPER</x:v>
      </x:c>
      <x:c r="E196" s="31" t="str">
        <x:v>MLB</x:v>
      </x:c>
      <x:c r="F196" s="31" t="str">
        <x:v>NYM @ TB</x:v>
      </x:c>
      <x:c r="G196" s="31" t="str">
        <x:v>Junior Caminero</x:v>
      </x:c>
      <x:c r="H196" s="31" t="str">
        <x:v>H+R+RBI</x:v>
      </x:c>
      <x:c r="I196" s="31" t="str">
        <x:v>2+ H+R+RBI</x:v>
      </x:c>
      <x:c r="J196" s="80" t="n">
        <x:v>-150</x:v>
      </x:c>
      <x:c r="K196" s="31" t="str">
        <x:v>HYBRID</x:v>
      </x:c>
      <x:c r="L196" s="31" t="str">
        <x:v>A-</x:v>
      </x:c>
      <x:c r="M196" s="31" t="str">
        <x:v>Paired composite arm against real 2+ TB.</x:v>
      </x:c>
      <x:c r="N196" s="31" t="str">
        <x:v>N</x:v>
      </x:c>
      <x:c r="O196" s="31" t="str">
        <x:v>Loss</x:v>
      </x:c>
      <x:c r="P196" s="31" t="n">
        <x:v>0</x:v>
      </x:c>
      <x:c r="Q196" s="33" t="n">
        <x:v>0</x:v>
      </x:c>
      <x:c r="R196" s="33" t="n">
        <x:v>0</x:v>
      </x:c>
      <x:c r="S196" s="31" t="n">
        <x:v>-1</x:v>
      </x:c>
      <x:c r="T196" s="32" t="str"/>
      <x:c r="U196" s="31" t="str">
        <x:v>DK exact market supplied 13:48 ET.</x:v>
      </x:c>
      <x:c r="V196" s="31" t="str">
        <x:v>ALT_MARKET_TEST</x:v>
      </x:c>
      <x:c r="W196" s="31" t="str">
        <x:v>EXP-03</x:v>
      </x:c>
      <x:c r="X196" s="31" t="str">
        <x:v>HRR ARM</x:v>
      </x:c>
      <x:c r="Y196" s="31" t="str">
        <x:v>S02-R03</x:v>
      </x:c>
      <x:c r="Z196" s="31" t="str">
        <x:v>Broad offensive involvement may be more robust than TB because runs/RBI add paths.</x:v>
      </x:c>
      <x:c r="AA196" s="31" t="str">
        <x:v>He reaches two bases without scoring/driving in a run while HRR stays below two.</x:v>
      </x:c>
      <x:c r="AB196" s="31" t="str">
        <x:v>Caminero went 0-for-4: 0 H/R/RBI. HRR did not rescue the matchup.</x:v>
      </x:c>
    </x:row>
    <x:row r="197">
      <x:c r="A197" s="79" t="str">
        <x:v>2026-09-02</x:v>
      </x:c>
      <x:c r="B197" s="31" t="str">
        <x:v>P02-014</x:v>
      </x:c>
      <x:c r="C197" s="31" t="str">
        <x:v>S02-R03</x:v>
      </x:c>
      <x:c r="D197" s="31" t="str">
        <x:v>PAPER</x:v>
      </x:c>
      <x:c r="E197" s="31" t="str">
        <x:v>MLB</x:v>
      </x:c>
      <x:c r="F197" s="31" t="str">
        <x:v>NYM @ TB</x:v>
      </x:c>
      <x:c r="G197" s="31" t="str">
        <x:v>Junior Caminero</x:v>
      </x:c>
      <x:c r="H197" s="31" t="str">
        <x:v>Hits</x:v>
      </x:c>
      <x:c r="I197" s="31" t="str">
        <x:v>1+ hit</x:v>
      </x:c>
      <x:c r="J197" s="80" t="n">
        <x:v>-264</x:v>
      </x:c>
      <x:c r="K197" s="31" t="str">
        <x:v>HYBRID</x:v>
      </x:c>
      <x:c r="L197" s="31" t="str">
        <x:v>WATCH</x:v>
      </x:c>
      <x:c r="M197" s="31" t="str">
        <x:v>Expensive glue control against plus-money TB.</x:v>
      </x:c>
      <x:c r="N197" s="31" t="str">
        <x:v>N</x:v>
      </x:c>
      <x:c r="O197" s="31" t="str">
        <x:v>Loss</x:v>
      </x:c>
      <x:c r="P197" s="31" t="n">
        <x:v>0</x:v>
      </x:c>
      <x:c r="Q197" s="33" t="n">
        <x:v>0</x:v>
      </x:c>
      <x:c r="R197" s="33" t="n">
        <x:v>0</x:v>
      </x:c>
      <x:c r="S197" s="31" t="n">
        <x:v>-1</x:v>
      </x:c>
      <x:c r="T197" s="32" t="str"/>
      <x:c r="U197" s="31" t="str">
        <x:v>DK exact market supplied 13:48 ET.</x:v>
      </x:c>
      <x:c r="V197" s="31" t="str">
        <x:v>GLUE_TEST</x:v>
      </x:c>
      <x:c r="W197" s="31" t="str">
        <x:v>EXP-26</x:v>
      </x:c>
      <x:c r="X197" s="31" t="str">
        <x:v>1+ HIT GLUE ARM</x:v>
      </x:c>
      <x:c r="Y197" s="31" t="str">
        <x:v>S02-R03</x:v>
      </x:c>
      <x:c r="Z197" s="31" t="str">
        <x:v>High raw hit probability may still underperform economically because price is too expensive.</x:v>
      </x:c>
      <x:c r="AA197" s="31" t="str">
        <x:v>Hit loses less often but produces inferior price-adjusted ROI over sample.</x:v>
      </x:c>
      <x:c r="AB197" s="31" t="str">
        <x:v>Caminero had no hit. Expensive 1+ hit glue failed outright, illustrating that high implied probability is not protection from a bad game.</x:v>
      </x:c>
    </x:row>
    <x:row r="198">
      <x:c r="A198" s="79" t="str">
        <x:v>2026-09-02</x:v>
      </x:c>
      <x:c r="B198" s="31" t="str">
        <x:v>P02-015</x:v>
      </x:c>
      <x:c r="C198" s="31" t="str">
        <x:v>S02-R03</x:v>
      </x:c>
      <x:c r="D198" s="31" t="str">
        <x:v>PAPER</x:v>
      </x:c>
      <x:c r="E198" s="31" t="str">
        <x:v>MLB</x:v>
      </x:c>
      <x:c r="F198" s="31" t="str">
        <x:v>NYM @ TB</x:v>
      </x:c>
      <x:c r="G198" s="31" t="str">
        <x:v>Junior Caminero</x:v>
      </x:c>
      <x:c r="H198" s="31" t="str">
        <x:v>Home Run</x:v>
      </x:c>
      <x:c r="I198" s="31" t="str">
        <x:v>1+ home run</x:v>
      </x:c>
      <x:c r="J198" s="80" t="n">
        <x:v>284</x:v>
      </x:c>
      <x:c r="K198" s="31" t="str">
        <x:v>HYBRID</x:v>
      </x:c>
      <x:c r="L198" s="31" t="str">
        <x:v>B</x:v>
      </x:c>
      <x:c r="M198" s="31" t="str">
        <x:v>Power ceiling arm and Grand Slam-qualifier candidate.</x:v>
      </x:c>
      <x:c r="N198" s="31" t="str">
        <x:v>N</x:v>
      </x:c>
      <x:c r="O198" s="31" t="str">
        <x:v>Loss</x:v>
      </x:c>
      <x:c r="P198" s="31" t="n">
        <x:v>0</x:v>
      </x:c>
      <x:c r="Q198" s="33" t="n">
        <x:v>0</x:v>
      </x:c>
      <x:c r="R198" s="33" t="n">
        <x:v>0</x:v>
      </x:c>
      <x:c r="S198" s="31" t="n">
        <x:v>-1</x:v>
      </x:c>
      <x:c r="T198" s="32" t="str"/>
      <x:c r="U198" s="31" t="str">
        <x:v>DK exact HR price supplied 13:47 ET.</x:v>
      </x:c>
      <x:c r="V198" s="31" t="str">
        <x:v>HYPOTHESIS_TEST</x:v>
      </x:c>
      <x:c r="W198" s="31" t="str">
        <x:v>EXP-16</x:v>
      </x:c>
      <x:c r="X198" s="31" t="str">
        <x:v>HR ARM</x:v>
      </x:c>
      <x:c r="Y198" s="31" t="str">
        <x:v>S02-R03</x:v>
      </x:c>
      <x:c r="Z198" s="31" t="str">
        <x:v>Elite contact quality can create HR value even when TB is the more robust real expression.</x:v>
      </x:c>
      <x:c r="AA198" s="31" t="str">
        <x:v>No HR despite strong contact, reinforcing variance and price sensitivity.</x:v>
      </x:c>
      <x:c r="AB198" s="31" t="str">
        <x:v>Caminero did not homer. All four Caminero market arms failed, so market choice was not the root cause.</x:v>
      </x:c>
    </x:row>
    <x:row r="199">
      <x:c r="A199" s="79" t="str">
        <x:v>2026-09-02</x:v>
      </x:c>
      <x:c r="B199" s="31" t="str">
        <x:v>P02-016</x:v>
      </x:c>
      <x:c r="C199" s="31" t="str">
        <x:v>S02-R06</x:v>
      </x:c>
      <x:c r="D199" s="31" t="str">
        <x:v>PAPER</x:v>
      </x:c>
      <x:c r="E199" s="31" t="str">
        <x:v>MLB</x:v>
      </x:c>
      <x:c r="F199" s="31" t="str">
        <x:v>MIL @ CHC</x:v>
      </x:c>
      <x:c r="G199" s="31" t="str">
        <x:v>William Contreras</x:v>
      </x:c>
      <x:c r="H199" s="31" t="str">
        <x:v>Total Bases</x:v>
      </x:c>
      <x:c r="I199" s="31" t="str">
        <x:v>2+ total bases</x:v>
      </x:c>
      <x:c r="J199" s="80" t="n">
        <x:v>116</x:v>
      </x:c>
      <x:c r="K199" s="31" t="str">
        <x:v>HYBRID</x:v>
      </x:c>
      <x:c r="L199" s="31" t="str">
        <x:v>A-</x:v>
      </x:c>
      <x:c r="M199" s="31" t="str">
        <x:v>Clean lefty matchup and intact source price.</x:v>
      </x:c>
      <x:c r="N199" s="31" t="str">
        <x:v>N</x:v>
      </x:c>
      <x:c r="O199" s="31" t="str">
        <x:v>Win</x:v>
      </x:c>
      <x:c r="P199" s="31" t="n">
        <x:v>1</x:v>
      </x:c>
      <x:c r="Q199" s="33" t="n">
        <x:v>2</x:v>
      </x:c>
      <x:c r="R199" s="33" t="n">
        <x:v>2.16</x:v>
      </x:c>
      <x:c r="S199" s="31" t="n">
        <x:v>1.1600000000000001</x:v>
      </x:c>
      <x:c r="T199" s="32" t="str"/>
      <x:c r="U199" s="31" t="str">
        <x:v>DK exact market supplied 13:50 ET.</x:v>
      </x:c>
      <x:c r="V199" s="31" t="str">
        <x:v>ALT_MARKET_TEST</x:v>
      </x:c>
      <x:c r="W199" s="31" t="str">
        <x:v>EXP-03</x:v>
      </x:c>
      <x:c r="X199" s="31" t="str">
        <x:v>TB ARM</x:v>
      </x:c>
      <x:c r="Y199" s="31" t="str"/>
      <x:c r="Z199" s="31" t="str">
        <x:v>Extra-base/contact paths can make TB more efficient than a juiced composite.</x:v>
      </x:c>
      <x:c r="AA199" s="31" t="str">
        <x:v>Single plus run/RBI clears HRR while TB stays at one.</x:v>
      </x:c>
      <x:c r="AB199" s="31" t="str">
        <x:v>Contreras had 2 hits, so 2+ TB cleared at minimum. TB expression worked.</x:v>
      </x:c>
    </x:row>
    <x:row r="200">
      <x:c r="A200" s="79" t="str">
        <x:v>2026-09-02</x:v>
      </x:c>
      <x:c r="B200" s="31" t="str">
        <x:v>P02-017</x:v>
      </x:c>
      <x:c r="C200" s="31" t="str">
        <x:v>S02-R06</x:v>
      </x:c>
      <x:c r="D200" s="31" t="str">
        <x:v>PAPER</x:v>
      </x:c>
      <x:c r="E200" s="31" t="str">
        <x:v>MLB</x:v>
      </x:c>
      <x:c r="F200" s="31" t="str">
        <x:v>MIL @ CHC</x:v>
      </x:c>
      <x:c r="G200" s="31" t="str">
        <x:v>William Contreras</x:v>
      </x:c>
      <x:c r="H200" s="31" t="str">
        <x:v>H+R+RBI</x:v>
      </x:c>
      <x:c r="I200" s="31" t="str">
        <x:v>2+ H+R+RBI</x:v>
      </x:c>
      <x:c r="J200" s="80" t="n">
        <x:v>-138</x:v>
      </x:c>
      <x:c r="K200" s="31" t="str">
        <x:v>HYBRID</x:v>
      </x:c>
      <x:c r="L200" s="31" t="str">
        <x:v>A-</x:v>
      </x:c>
      <x:c r="M200" s="31" t="str">
        <x:v>Paired composite arm versus TB +116.</x:v>
      </x:c>
      <x:c r="N200" s="31" t="str">
        <x:v>N</x:v>
      </x:c>
      <x:c r="O200" s="31" t="str">
        <x:v>Win</x:v>
      </x:c>
      <x:c r="P200" s="31" t="n">
        <x:v>1</x:v>
      </x:c>
      <x:c r="Q200" s="33" t="n">
        <x:v>4</x:v>
      </x:c>
      <x:c r="R200" s="33" t="n">
        <x:v>1.7246376811594204</x:v>
      </x:c>
      <x:c r="S200" s="31" t="n">
        <x:v>0.7246376811594204</x:v>
      </x:c>
      <x:c r="T200" s="32" t="str"/>
      <x:c r="U200" s="31" t="str">
        <x:v>DK exact market supplied 13:50 ET.</x:v>
      </x:c>
      <x:c r="V200" s="31" t="str">
        <x:v>ALT_MARKET_TEST</x:v>
      </x:c>
      <x:c r="W200" s="31" t="str">
        <x:v>EXP-03</x:v>
      </x:c>
      <x:c r="X200" s="31" t="str">
        <x:v>HRR ARM</x:v>
      </x:c>
      <x:c r="Y200" s="31" t="str">
        <x:v>P02-016</x:v>
      </x:c>
      <x:c r="Z200" s="31" t="str">
        <x:v>Multiple involvement paths may justify the juice versus requiring two bases.</x:v>
      </x:c>
      <x:c r="AA200" s="31" t="str">
        <x:v>Two bases clear with no run/RBI, making TB the better conversion.</x:v>
      </x:c>
      <x:c r="AB200" s="31" t="str">
        <x:v>Contreras produced 2 H + 1 R + 1 RBI = 4 HRR. Composite also cleared comfortably.</x:v>
      </x:c>
    </x:row>
    <x:row r="201">
      <x:c r="A201" s="79" t="str">
        <x:v>2026-09-02</x:v>
      </x:c>
      <x:c r="B201" s="31" t="str">
        <x:v>P02-018</x:v>
      </x:c>
      <x:c r="C201" s="31" t="str">
        <x:v>S02-R06</x:v>
      </x:c>
      <x:c r="D201" s="31" t="str">
        <x:v>PAPER</x:v>
      </x:c>
      <x:c r="E201" s="31" t="str">
        <x:v>MLB</x:v>
      </x:c>
      <x:c r="F201" s="31" t="str">
        <x:v>MIL @ CHC</x:v>
      </x:c>
      <x:c r="G201" s="31" t="str">
        <x:v>William Contreras</x:v>
      </x:c>
      <x:c r="H201" s="31" t="str">
        <x:v>Home Run</x:v>
      </x:c>
      <x:c r="I201" s="31" t="str">
        <x:v>1+ home run</x:v>
      </x:c>
      <x:c r="J201" s="80" t="n">
        <x:v>481</x:v>
      </x:c>
      <x:c r="K201" s="31" t="str">
        <x:v>HYBRID</x:v>
      </x:c>
      <x:c r="L201" s="31" t="str">
        <x:v>B</x:v>
      </x:c>
      <x:c r="M201" s="31" t="str">
        <x:v>Independent HR sources also like Contreras; high-price HR arm.</x:v>
      </x:c>
      <x:c r="N201" s="31" t="str">
        <x:v>N</x:v>
      </x:c>
      <x:c r="O201" s="31" t="str">
        <x:v>Loss</x:v>
      </x:c>
      <x:c r="P201" s="31" t="n">
        <x:v>0</x:v>
      </x:c>
      <x:c r="Q201" s="33" t="n">
        <x:v>0</x:v>
      </x:c>
      <x:c r="R201" s="33" t="n">
        <x:v>0</x:v>
      </x:c>
      <x:c r="S201" s="31" t="n">
        <x:v>-1</x:v>
      </x:c>
      <x:c r="T201" s="32" t="str"/>
      <x:c r="U201" s="31" t="str">
        <x:v>DK exact HR price supplied 13:49 ET.</x:v>
      </x:c>
      <x:c r="V201" s="31" t="str">
        <x:v>HYPOTHESIS_TEST</x:v>
      </x:c>
      <x:c r="W201" s="31" t="str">
        <x:v>EXP-16</x:v>
      </x:c>
      <x:c r="X201" s="31" t="str">
        <x:v>HR ARM</x:v>
      </x:c>
      <x:c r="Y201" s="31" t="str">
        <x:v>P02-016</x:v>
      </x:c>
      <x:c r="Z201" s="31" t="str">
        <x:v>Pitcher/platoon contact profile may create enough lift for a long HR price.</x:v>
      </x:c>
      <x:c r="AA201" s="31" t="str">
        <x:v>Good offensive game without HR shows broad-edge thesis should remain TB/HRR.</x:v>
      </x:c>
      <x:c r="AB201" s="31" t="str">
        <x:v>Contreras did not homer despite a productive offensive game. Supports broader TB/HRR over HR when thesis is general involvement.</x:v>
      </x:c>
    </x:row>
    <x:row r="202">
      <x:c r="A202" s="79" t="str">
        <x:v>2026-09-02</x:v>
      </x:c>
      <x:c r="B202" s="31" t="str">
        <x:v>P02-019</x:v>
      </x:c>
      <x:c r="C202" s="31" t="str">
        <x:v>S02-R07</x:v>
      </x:c>
      <x:c r="D202" s="31" t="str">
        <x:v>PAPER</x:v>
      </x:c>
      <x:c r="E202" s="31" t="str">
        <x:v>MLB</x:v>
      </x:c>
      <x:c r="F202" s="31" t="str">
        <x:v>CHW @ HOU</x:v>
      </x:c>
      <x:c r="G202" s="31" t="str">
        <x:v>Isaac Paredes</x:v>
      </x:c>
      <x:c r="H202" s="31" t="str">
        <x:v>H+R+RBI</x:v>
      </x:c>
      <x:c r="I202" s="31" t="str">
        <x:v>2+ H+R+RBI</x:v>
      </x:c>
      <x:c r="J202" s="80" t="n">
        <x:v>-116</x:v>
      </x:c>
      <x:c r="K202" s="31" t="str">
        <x:v>SOURCED</x:v>
      </x:c>
      <x:c r="L202" s="31" t="str">
        <x:v>A-</x:v>
      </x:c>
      <x:c r="M202" s="31" t="str">
        <x:v>Source best-bet thesis is explicitly broad involvement.</x:v>
      </x:c>
      <x:c r="N202" s="31" t="str">
        <x:v>N</x:v>
      </x:c>
      <x:c r="O202" s="31" t="str">
        <x:v>Win</x:v>
      </x:c>
      <x:c r="P202" s="31" t="n">
        <x:v>1</x:v>
      </x:c>
      <x:c r="Q202" s="33" t="n">
        <x:v>2</x:v>
      </x:c>
      <x:c r="R202" s="33" t="n">
        <x:v>1.8620689655172413</x:v>
      </x:c>
      <x:c r="S202" s="31" t="n">
        <x:v>0.8620689655172413</x:v>
      </x:c>
      <x:c r="T202" s="32" t="str"/>
      <x:c r="U202" s="31" t="str">
        <x:v>DK exact market supplied 13:52 ET.</x:v>
      </x:c>
      <x:c r="V202" s="31" t="str">
        <x:v>ALT_MARKET_TEST</x:v>
      </x:c>
      <x:c r="W202" s="31" t="str">
        <x:v>EXP-03</x:v>
      </x:c>
      <x:c r="X202" s="31" t="str">
        <x:v>HRR ARM</x:v>
      </x:c>
      <x:c r="Y202" s="31" t="str"/>
      <x:c r="Z202" s="31" t="str">
        <x:v>Home RHP matchup creates multiple ways to reach two combined events.</x:v>
      </x:c>
      <x:c r="AA202" s="31" t="str">
        <x:v>He records extra bases but no run/RBI support, exposing composite sequencing dependence.</x:v>
      </x:c>
      <x:c r="AB202" s="31" t="str">
        <x:v>Paredes had 1 hit and 1 run = 2 HRR. Composite won even though 2+ TB failed.</x:v>
      </x:c>
    </x:row>
    <x:row r="203">
      <x:c r="A203" s="79" t="str">
        <x:v>2026-09-02</x:v>
      </x:c>
      <x:c r="B203" s="31" t="str">
        <x:v>P02-020</x:v>
      </x:c>
      <x:c r="C203" s="31" t="str">
        <x:v>S02-R07</x:v>
      </x:c>
      <x:c r="D203" s="31" t="str">
        <x:v>PAPER</x:v>
      </x:c>
      <x:c r="E203" s="31" t="str">
        <x:v>MLB</x:v>
      </x:c>
      <x:c r="F203" s="31" t="str">
        <x:v>CHW @ HOU</x:v>
      </x:c>
      <x:c r="G203" s="31" t="str">
        <x:v>Isaac Paredes</x:v>
      </x:c>
      <x:c r="H203" s="31" t="str">
        <x:v>Total Bases</x:v>
      </x:c>
      <x:c r="I203" s="31" t="str">
        <x:v>2+ total bases</x:v>
      </x:c>
      <x:c r="J203" s="80" t="n">
        <x:v>138</x:v>
      </x:c>
      <x:c r="K203" s="31" t="str">
        <x:v>HYBRID</x:v>
      </x:c>
      <x:c r="L203" s="31" t="str">
        <x:v>B+</x:v>
      </x:c>
      <x:c r="M203" s="31" t="str">
        <x:v>Plus-money challenger to the sourced HRR market.</x:v>
      </x:c>
      <x:c r="N203" s="31" t="str">
        <x:v>N</x:v>
      </x:c>
      <x:c r="O203" s="31" t="str">
        <x:v>Loss</x:v>
      </x:c>
      <x:c r="P203" s="31" t="n">
        <x:v>0</x:v>
      </x:c>
      <x:c r="Q203" s="33" t="n">
        <x:v>1</x:v>
      </x:c>
      <x:c r="R203" s="33" t="n">
        <x:v>0</x:v>
      </x:c>
      <x:c r="S203" s="31" t="n">
        <x:v>-1</x:v>
      </x:c>
      <x:c r="T203" s="32" t="str"/>
      <x:c r="U203" s="31" t="str">
        <x:v>DK exact market supplied 13:51 ET.</x:v>
      </x:c>
      <x:c r="V203" s="31" t="str">
        <x:v>ALT_MARKET_TEST</x:v>
      </x:c>
      <x:c r="W203" s="31" t="str">
        <x:v>EXP-03</x:v>
      </x:c>
      <x:c r="X203" s="31" t="str">
        <x:v>TB ARM</x:v>
      </x:c>
      <x:c r="Y203" s="31" t="str">
        <x:v>P02-019</x:v>
      </x:c>
      <x:c r="Z203" s="31" t="str">
        <x:v>If the matchup is truly about hard contact, TB can beat HRR despite narrower paths.</x:v>
      </x:c>
      <x:c r="AA203" s="31" t="str">
        <x:v>Walk/run/RBI involvement clears HRR while TB remains below two.</x:v>
      </x:c>
      <x:c r="AB203" s="31" t="str">
        <x:v>Paredes had one single = 1 TB. Clean paired win for HRR over TB on this observation.</x:v>
      </x:c>
    </x:row>
    <x:row r="204">
      <x:c r="A204" s="79" t="str">
        <x:v>2026-09-02</x:v>
      </x:c>
      <x:c r="B204" s="31" t="str">
        <x:v>P02-021</x:v>
      </x:c>
      <x:c r="C204" s="31" t="str">
        <x:v>S02-R08</x:v>
      </x:c>
      <x:c r="D204" s="31" t="str">
        <x:v>PAPER</x:v>
      </x:c>
      <x:c r="E204" s="31" t="str">
        <x:v>MLB</x:v>
      </x:c>
      <x:c r="F204" s="31" t="str">
        <x:v>ATH @ TEX</x:v>
      </x:c>
      <x:c r="G204" s="31" t="str">
        <x:v>Lawrence Butler</x:v>
      </x:c>
      <x:c r="H204" s="31" t="str">
        <x:v>H+R+RBI</x:v>
      </x:c>
      <x:c r="I204" s="31" t="str">
        <x:v>2+ H+R+RBI</x:v>
      </x:c>
      <x:c r="J204" s="80" t="n">
        <x:v>108</x:v>
      </x:c>
      <x:c r="K204" s="31" t="str">
        <x:v>HYBRID</x:v>
      </x:c>
      <x:c r="L204" s="31" t="str">
        <x:v>A-</x:v>
      </x:c>
      <x:c r="M204" s="31" t="str">
        <x:v>Natural plus-money composite and source trend support.</x:v>
      </x:c>
      <x:c r="N204" s="31" t="str">
        <x:v>N</x:v>
      </x:c>
      <x:c r="O204" s="31" t="str">
        <x:v>Loss</x:v>
      </x:c>
      <x:c r="P204" s="31" t="n">
        <x:v>0</x:v>
      </x:c>
      <x:c r="Q204" s="33" t="n">
        <x:v>1</x:v>
      </x:c>
      <x:c r="R204" s="33" t="n">
        <x:v>0</x:v>
      </x:c>
      <x:c r="S204" s="31" t="n">
        <x:v>-1</x:v>
      </x:c>
      <x:c r="T204" s="32" t="str"/>
      <x:c r="U204" s="31" t="str">
        <x:v>DK exact market supplied 13:55 ET; game 2:35 ET.</x:v>
      </x:c>
      <x:c r="V204" s="31" t="str">
        <x:v>ALT_MARKET_TEST</x:v>
      </x:c>
      <x:c r="W204" s="31" t="str">
        <x:v>EXP-03</x:v>
      </x:c>
      <x:c r="X204" s="31" t="str">
        <x:v>HRR ARM</x:v>
      </x:c>
      <x:c r="Y204" s="31" t="str"/>
      <x:c r="Z204" s="31" t="str">
        <x:v>Broad involvement can monetize contact plus lineup context better than 2+ TB.</x:v>
      </x:c>
      <x:c r="AA204" s="31" t="str">
        <x:v>He gets two bases but no run/RBI, favoring TB.</x:v>
      </x:c>
      <x:c r="AB204" s="31" t="str">
        <x:v>Butler had 1 hit, 0 runs, 0 RBI = 1 HRR. Composite missed.</x:v>
      </x:c>
    </x:row>
    <x:row r="205">
      <x:c r="A205" s="79" t="str">
        <x:v>2026-09-02</x:v>
      </x:c>
      <x:c r="B205" s="31" t="str">
        <x:v>P02-022</x:v>
      </x:c>
      <x:c r="C205" s="31" t="str">
        <x:v>S02-R08</x:v>
      </x:c>
      <x:c r="D205" s="31" t="str">
        <x:v>PAPER</x:v>
      </x:c>
      <x:c r="E205" s="31" t="str">
        <x:v>MLB</x:v>
      </x:c>
      <x:c r="F205" s="31" t="str">
        <x:v>ATH @ TEX</x:v>
      </x:c>
      <x:c r="G205" s="31" t="str">
        <x:v>Lawrence Butler</x:v>
      </x:c>
      <x:c r="H205" s="31" t="str">
        <x:v>Total Bases</x:v>
      </x:c>
      <x:c r="I205" s="31" t="str">
        <x:v>2+ total bases</x:v>
      </x:c>
      <x:c r="J205" s="80" t="n">
        <x:v>153</x:v>
      </x:c>
      <x:c r="K205" s="31" t="str">
        <x:v>HYBRID</x:v>
      </x:c>
      <x:c r="L205" s="31" t="str">
        <x:v>B+</x:v>
      </x:c>
      <x:c r="M205" s="31" t="str">
        <x:v>Higher-payout TB challenger.</x:v>
      </x:c>
      <x:c r="N205" s="31" t="str">
        <x:v>N</x:v>
      </x:c>
      <x:c r="O205" s="31" t="str">
        <x:v>Loss</x:v>
      </x:c>
      <x:c r="P205" s="31" t="n">
        <x:v>0</x:v>
      </x:c>
      <x:c r="Q205" s="33" t="n">
        <x:v>1</x:v>
      </x:c>
      <x:c r="R205" s="33" t="n">
        <x:v>0</x:v>
      </x:c>
      <x:c r="S205" s="31" t="n">
        <x:v>-1</x:v>
      </x:c>
      <x:c r="T205" s="32" t="str"/>
      <x:c r="U205" s="31" t="str">
        <x:v>DK exact market supplied 13:55 ET.</x:v>
      </x:c>
      <x:c r="V205" s="31" t="str">
        <x:v>ALT_MARKET_TEST</x:v>
      </x:c>
      <x:c r="W205" s="31" t="str">
        <x:v>EXP-03</x:v>
      </x:c>
      <x:c r="X205" s="31" t="str">
        <x:v>TB ARM</x:v>
      </x:c>
      <x:c r="Y205" s="31" t="str">
        <x:v>P02-021</x:v>
      </x:c>
      <x:c r="Z205" s="31" t="str">
        <x:v>The contact matchup may be strong enough that plus-money TB outperforms HRR.</x:v>
      </x:c>
      <x:c r="AA205" s="31" t="str">
        <x:v>Single plus run/RBI clears HRR while TB misses.</x:v>
      </x:c>
      <x:c r="AB205" s="31" t="str">
        <x:v>Butler recorded one hit and no extra-base damage; 2+ TB lost.</x:v>
      </x:c>
    </x:row>
    <x:row r="206">
      <x:c r="A206" s="79" t="str">
        <x:v>2026-09-02</x:v>
      </x:c>
      <x:c r="B206" s="31" t="str">
        <x:v>P02-023</x:v>
      </x:c>
      <x:c r="C206" s="31" t="str">
        <x:v>S02-R09</x:v>
      </x:c>
      <x:c r="D206" s="31" t="str">
        <x:v>PAPER</x:v>
      </x:c>
      <x:c r="E206" s="31" t="str">
        <x:v>MLB</x:v>
      </x:c>
      <x:c r="F206" s="31" t="str">
        <x:v>DET @ MIN</x:v>
      </x:c>
      <x:c r="G206" s="31" t="str">
        <x:v>Gleyber Torres</x:v>
      </x:c>
      <x:c r="H206" s="31" t="str">
        <x:v>H+R+RBI</x:v>
      </x:c>
      <x:c r="I206" s="31" t="str">
        <x:v>2+ H+R+RBI</x:v>
      </x:c>
      <x:c r="J206" s="80" t="n">
        <x:v>-108</x:v>
      </x:c>
      <x:c r="K206" s="31" t="str">
        <x:v>HYBRID</x:v>
      </x:c>
      <x:c r="L206" s="31" t="str">
        <x:v>A-</x:v>
      </x:c>
      <x:c r="M206" s="31" t="str">
        <x:v>BvP/recent-form cluster with a multi-path price near even.</x:v>
      </x:c>
      <x:c r="N206" s="31" t="str">
        <x:v>N</x:v>
      </x:c>
      <x:c r="O206" s="31" t="str">
        <x:v>Void</x:v>
      </x:c>
      <x:c r="P206" s="31" t="str"/>
      <x:c r="Q206" s="33" t="str"/>
      <x:c r="R206" s="33" t="str"/>
      <x:c r="S206" s="31" t="n">
        <x:v>0</x:v>
      </x:c>
      <x:c r="T206" s="32" t="str"/>
      <x:c r="U206" s="31" t="str">
        <x:v>DK exact market supplied 13:53 ET.</x:v>
      </x:c>
      <x:c r="V206" s="31" t="str">
        <x:v>ALT_MARKET_TEST</x:v>
      </x:c>
      <x:c r="W206" s="31" t="str">
        <x:v>EXP-03</x:v>
      </x:c>
      <x:c r="X206" s="31" t="str">
        <x:v>HRR ARM</x:v>
      </x:c>
      <x:c r="Y206" s="31" t="str"/>
      <x:c r="Z206" s="31" t="str">
        <x:v>Composite should monetize broad matchup better than expensive hit or TB requirement.</x:v>
      </x:c>
      <x:c r="AA206" s="31" t="str">
        <x:v>Two total bases with no scoring context makes TB superior.</x:v>
      </x:c>
      <x:c r="AB206" s="31" t="str">
        <x:v>Gleyber Torres did not play. Paper proposition excluded from hit-rate/ROI sample.</x:v>
      </x:c>
    </x:row>
    <x:row r="207">
      <x:c r="A207" s="79" t="str">
        <x:v>2026-09-02</x:v>
      </x:c>
      <x:c r="B207" s="31" t="str">
        <x:v>P02-024</x:v>
      </x:c>
      <x:c r="C207" s="31" t="str">
        <x:v>S02-R09</x:v>
      </x:c>
      <x:c r="D207" s="31" t="str">
        <x:v>PAPER</x:v>
      </x:c>
      <x:c r="E207" s="31" t="str">
        <x:v>MLB</x:v>
      </x:c>
      <x:c r="F207" s="31" t="str">
        <x:v>DET @ MIN</x:v>
      </x:c>
      <x:c r="G207" s="31" t="str">
        <x:v>Gleyber Torres</x:v>
      </x:c>
      <x:c r="H207" s="31" t="str">
        <x:v>Total Bases</x:v>
      </x:c>
      <x:c r="I207" s="31" t="str">
        <x:v>2+ total bases</x:v>
      </x:c>
      <x:c r="J207" s="80" t="n">
        <x:v>146</x:v>
      </x:c>
      <x:c r="K207" s="31" t="str">
        <x:v>HYBRID</x:v>
      </x:c>
      <x:c r="L207" s="31" t="str">
        <x:v>B+</x:v>
      </x:c>
      <x:c r="M207" s="31" t="str">
        <x:v>Plus-money challenger to HRR -108.</x:v>
      </x:c>
      <x:c r="N207" s="31" t="str">
        <x:v>N</x:v>
      </x:c>
      <x:c r="O207" s="31" t="str">
        <x:v>Void</x:v>
      </x:c>
      <x:c r="P207" s="31" t="str"/>
      <x:c r="Q207" s="33" t="str"/>
      <x:c r="R207" s="33" t="str"/>
      <x:c r="S207" s="31" t="n">
        <x:v>0</x:v>
      </x:c>
      <x:c r="T207" s="32" t="str"/>
      <x:c r="U207" s="31" t="str">
        <x:v>DK exact market supplied 13:53 ET.</x:v>
      </x:c>
      <x:c r="V207" s="31" t="str">
        <x:v>ALT_MARKET_TEST</x:v>
      </x:c>
      <x:c r="W207" s="31" t="str">
        <x:v>EXP-03</x:v>
      </x:c>
      <x:c r="X207" s="31" t="str">
        <x:v>TB ARM</x:v>
      </x:c>
      <x:c r="Y207" s="31" t="str">
        <x:v>P02-023</x:v>
      </x:c>
      <x:c r="Z207" s="31" t="str">
        <x:v>BvP contact quality may translate specifically into bases rather than sequencing-dependent HRR.</x:v>
      </x:c>
      <x:c r="AA207" s="31" t="str">
        <x:v>One hit plus run/RBI clears HRR while TB misses.</x:v>
      </x:c>
      <x:c r="AB207" s="31" t="str">
        <x:v>Gleyber Torres did not play. Paper proposition excluded from hit-rate/ROI sample.</x:v>
      </x:c>
    </x:row>
    <x:row r="208">
      <x:c r="A208" s="79" t="str">
        <x:v>2026-09-02</x:v>
      </x:c>
      <x:c r="B208" s="31" t="str">
        <x:v>P02-025</x:v>
      </x:c>
      <x:c r="C208" s="31" t="str">
        <x:v>S02-R10</x:v>
      </x:c>
      <x:c r="D208" s="31" t="str">
        <x:v>PAPER</x:v>
      </x:c>
      <x:c r="E208" s="31" t="str">
        <x:v>MLB</x:v>
      </x:c>
      <x:c r="F208" s="31" t="str">
        <x:v>DET @ MIN</x:v>
      </x:c>
      <x:c r="G208" s="31" t="str">
        <x:v>Luke Keaschall</x:v>
      </x:c>
      <x:c r="H208" s="31" t="str">
        <x:v>Total Bases</x:v>
      </x:c>
      <x:c r="I208" s="31" t="str">
        <x:v>2+ total bases</x:v>
      </x:c>
      <x:c r="J208" s="80" t="n">
        <x:v>133</x:v>
      </x:c>
      <x:c r="K208" s="31" t="str">
        <x:v>HYBRID</x:v>
      </x:c>
      <x:c r="L208" s="31" t="str">
        <x:v>B+</x:v>
      </x:c>
      <x:c r="M208" s="31" t="str">
        <x:v>Recent TB trend gives direct market-specific motivation.</x:v>
      </x:c>
      <x:c r="N208" s="31" t="str">
        <x:v>N</x:v>
      </x:c>
      <x:c r="O208" s="31" t="str">
        <x:v>Loss</x:v>
      </x:c>
      <x:c r="P208" s="31" t="n">
        <x:v>0</x:v>
      </x:c>
      <x:c r="Q208" s="33" t="n">
        <x:v>1</x:v>
      </x:c>
      <x:c r="R208" s="33" t="n">
        <x:v>0</x:v>
      </x:c>
      <x:c r="S208" s="31" t="n">
        <x:v>-1</x:v>
      </x:c>
      <x:c r="T208" s="32" t="str"/>
      <x:c r="U208" s="31" t="str">
        <x:v>DK exact market supplied 13:53 ET.</x:v>
      </x:c>
      <x:c r="V208" s="31" t="str">
        <x:v>ALT_MARKET_TEST</x:v>
      </x:c>
      <x:c r="W208" s="31" t="str">
        <x:v>EXP-03</x:v>
      </x:c>
      <x:c r="X208" s="31" t="str">
        <x:v>TB ARM</x:v>
      </x:c>
      <x:c r="Y208" s="31" t="str"/>
      <x:c r="Z208" s="31" t="str">
        <x:v>Market-specific recent TB production can justify plus-money TB over broad composite.</x:v>
      </x:c>
      <x:c r="AA208" s="31" t="str">
        <x:v>He produces run/RBI involvement without two bases.</x:v>
      </x:c>
      <x:c r="AB208" s="31" t="str">
        <x:v>Keaschall had one RBI single = 1 TB, so 2+ TB lost.</x:v>
      </x:c>
    </x:row>
    <x:row r="209">
      <x:c r="A209" s="79" t="str">
        <x:v>2026-09-02</x:v>
      </x:c>
      <x:c r="B209" s="31" t="str">
        <x:v>P02-026</x:v>
      </x:c>
      <x:c r="C209" s="31" t="str">
        <x:v>S02-R10</x:v>
      </x:c>
      <x:c r="D209" s="31" t="str">
        <x:v>PAPER</x:v>
      </x:c>
      <x:c r="E209" s="31" t="str">
        <x:v>MLB</x:v>
      </x:c>
      <x:c r="F209" s="31" t="str">
        <x:v>DET @ MIN</x:v>
      </x:c>
      <x:c r="G209" s="31" t="str">
        <x:v>Luke Keaschall</x:v>
      </x:c>
      <x:c r="H209" s="31" t="str">
        <x:v>H+R+RBI</x:v>
      </x:c>
      <x:c r="I209" s="31" t="str">
        <x:v>2+ H+R+RBI</x:v>
      </x:c>
      <x:c r="J209" s="80" t="n">
        <x:v>-126</x:v>
      </x:c>
      <x:c r="K209" s="31" t="str">
        <x:v>HYBRID</x:v>
      </x:c>
      <x:c r="L209" s="31" t="str">
        <x:v>B+</x:v>
      </x:c>
      <x:c r="M209" s="31" t="str">
        <x:v>Safer composite control against TB +133.</x:v>
      </x:c>
      <x:c r="N209" s="31" t="str">
        <x:v>N</x:v>
      </x:c>
      <x:c r="O209" s="31" t="str">
        <x:v>Win</x:v>
      </x:c>
      <x:c r="P209" s="31" t="n">
        <x:v>1</x:v>
      </x:c>
      <x:c r="Q209" s="33" t="n">
        <x:v>2</x:v>
      </x:c>
      <x:c r="R209" s="33" t="n">
        <x:v>1.7936507936507935</x:v>
      </x:c>
      <x:c r="S209" s="31" t="n">
        <x:v>0.7936507936507935</x:v>
      </x:c>
      <x:c r="T209" s="32" t="str"/>
      <x:c r="U209" s="31" t="str">
        <x:v>DK exact market supplied 13:53 ET.</x:v>
      </x:c>
      <x:c r="V209" s="31" t="str">
        <x:v>ALT_MARKET_TEST</x:v>
      </x:c>
      <x:c r="W209" s="31" t="str">
        <x:v>EXP-03</x:v>
      </x:c>
      <x:c r="X209" s="31" t="str">
        <x:v>HRR ARM</x:v>
      </x:c>
      <x:c r="Y209" s="31" t="str">
        <x:v>P02-025</x:v>
      </x:c>
      <x:c r="Z209" s="31" t="str">
        <x:v>Broader paths may reduce threshold misses enough to justify the juice.</x:v>
      </x:c>
      <x:c r="AA209" s="31" t="str">
        <x:v>TB clears while composite stalls below two.</x:v>
      </x:c>
      <x:c r="AB209" s="31" t="str">
        <x:v>Keaschall had 1 hit + 1 RBI = 2 HRR. Another paired win for HRR over TB.</x:v>
      </x:c>
    </x:row>
    <x:row r="210">
      <x:c r="A210" s="79" t="str">
        <x:v>2026-09-02</x:v>
      </x:c>
      <x:c r="B210" s="31" t="str">
        <x:v>P02-027</x:v>
      </x:c>
      <x:c r="C210" s="31" t="str">
        <x:v>S02-R03</x:v>
      </x:c>
      <x:c r="D210" s="31" t="str">
        <x:v>PAPER</x:v>
      </x:c>
      <x:c r="E210" s="31" t="str">
        <x:v>MLB</x:v>
      </x:c>
      <x:c r="F210" s="31" t="str">
        <x:v>NYM @ TB</x:v>
      </x:c>
      <x:c r="G210" s="31" t="str">
        <x:v>Junior Caminero</x:v>
      </x:c>
      <x:c r="H210" s="31" t="str">
        <x:v>Promo Control</x:v>
      </x:c>
      <x:c r="I210" s="31" t="str">
        <x:v>2+ total bases +101 (unboosted control)</x:v>
      </x:c>
      <x:c r="J210" s="80" t="n">
        <x:v>101</x:v>
      </x:c>
      <x:c r="K210" s="31" t="str">
        <x:v>HYBRID</x:v>
      </x:c>
      <x:c r="L210" s="31" t="str">
        <x:v>A</x:v>
      </x:c>
      <x:c r="M210" s="31" t="str">
        <x:v>Same real proposition without the 50% profit boost isolates promo contribution.</x:v>
      </x:c>
      <x:c r="N210" s="31" t="str">
        <x:v>N</x:v>
      </x:c>
      <x:c r="O210" s="31" t="str">
        <x:v>Loss</x:v>
      </x:c>
      <x:c r="P210" s="31" t="n">
        <x:v>0</x:v>
      </x:c>
      <x:c r="Q210" s="33" t="n">
        <x:v>0</x:v>
      </x:c>
      <x:c r="R210" s="33" t="n">
        <x:v>0</x:v>
      </x:c>
      <x:c r="S210" s="31" t="n">
        <x:v>-1</x:v>
      </x:c>
      <x:c r="T210" s="32" t="str"/>
      <x:c r="U210" s="31" t="str">
        <x:v>Real plan uses 50% any-sport boost if lineup/price hold.</x:v>
      </x:c>
      <x:c r="V210" s="31" t="str">
        <x:v>PROMO_CONTROL</x:v>
      </x:c>
      <x:c r="W210" s="31" t="str">
        <x:v>EXP-24</x:v>
      </x:c>
      <x:c r="X210" s="31" t="str">
        <x:v>UNBOOSTED NATURAL +100 ARM</x:v>
      </x:c>
      <x:c r="Y210" s="31" t="str">
        <x:v>S02-R03</x:v>
      </x:c>
      <x:c r="Z210" s="31" t="str">
        <x:v>A naturally qualifying +100 edge should retain positive economics before the boost; the promo should amplify rather than rescue it.</x:v>
      </x:c>
      <x:c r="AA210" s="31" t="str">
        <x:v>Unboosted economics are poor enough that only the boost creates apparent value.</x:v>
      </x:c>
      <x:c r="AB210" s="31" t="str">
        <x:v>Unboosted Caminero 2+ TB control lost with the real boosted version. Promo amplified payout only; it did not rescue the underlying proposition.</x:v>
      </x:c>
    </x:row>
    <x:row r="211">
      <x:c r="A211" s="79" t="str">
        <x:v>2026-09-02</x:v>
      </x:c>
      <x:c r="B211" s="31" t="str">
        <x:v>P02-028</x:v>
      </x:c>
      <x:c r="C211" s="31" t="str"/>
      <x:c r="D211" s="31" t="str">
        <x:v>PAPER</x:v>
      </x:c>
      <x:c r="E211" s="31" t="str">
        <x:v>MLB</x:v>
      </x:c>
      <x:c r="F211" s="31" t="str">
        <x:v>CHW @ HOU</x:v>
      </x:c>
      <x:c r="G211" s="31" t="str">
        <x:v>Yordan Alvarez</x:v>
      </x:c>
      <x:c r="H211" s="31" t="str">
        <x:v>Home Run</x:v>
      </x:c>
      <x:c r="I211" s="31" t="str">
        <x:v>1+ home run</x:v>
      </x:c>
      <x:c r="J211" s="80" t="n">
        <x:v>296</x:v>
      </x:c>
      <x:c r="K211" s="31" t="str">
        <x:v>HYBRID</x:v>
      </x:c>
      <x:c r="L211" s="31" t="str">
        <x:v>A-</x:v>
      </x:c>
      <x:c r="M211" s="31" t="str">
        <x:v>Top HR source/model candidate and potential Grand Slam qualifier.</x:v>
      </x:c>
      <x:c r="N211" s="31" t="str">
        <x:v>N</x:v>
      </x:c>
      <x:c r="O211" s="31" t="str">
        <x:v>Loss</x:v>
      </x:c>
      <x:c r="P211" s="31" t="n">
        <x:v>0</x:v>
      </x:c>
      <x:c r="Q211" s="33" t="n">
        <x:v>0</x:v>
      </x:c>
      <x:c r="R211" s="33" t="n">
        <x:v>0</x:v>
      </x:c>
      <x:c r="S211" s="31" t="n">
        <x:v>-1</x:v>
      </x:c>
      <x:c r="T211" s="32" t="str"/>
      <x:c r="U211" s="31" t="str">
        <x:v>DK exact HR price supplied 13:51 ET.</x:v>
      </x:c>
      <x:c r="V211" s="31" t="str">
        <x:v>PROMO_ECONOMICS_TEST</x:v>
      </x:c>
      <x:c r="W211" s="31" t="str">
        <x:v>EXP-25</x:v>
      </x:c>
      <x:c r="X211" s="31" t="str">
        <x:v>GRAND SLAM HR ARM</x:v>
      </x:c>
      <x:c r="Y211" s="31" t="str"/>
      <x:c r="Z211" s="31" t="str">
        <x:v>A Grand Slam qualifier should only be considered when the base HR bet independently grades well; Yordan is the cleanest current example.</x:v>
      </x:c>
      <x:c r="AA211" s="31" t="str">
        <x:v>The HR thesis is not strong enough at market price or bankroll cost overwhelms the uncertain jackpot overlay.</x:v>
      </x:c>
      <x:c r="AB211" s="31" t="str">
        <x:v>Yordan produced 3 TB but no HR. Good offensive thesis, wrong high-variance HR expression for this outcome.</x:v>
      </x:c>
    </x:row>
    <x:row r="212">
      <x:c r="A212" s="79" t="str">
        <x:v>2026-09-02</x:v>
      </x:c>
      <x:c r="B212" s="31" t="str">
        <x:v>P02-029</x:v>
      </x:c>
      <x:c r="C212" s="31" t="str"/>
      <x:c r="D212" s="31" t="str">
        <x:v>PAPER</x:v>
      </x:c>
      <x:c r="E212" s="31" t="str">
        <x:v>MLB</x:v>
      </x:c>
      <x:c r="F212" s="31" t="str">
        <x:v>SF @ PIT</x:v>
      </x:c>
      <x:c r="G212" s="31" t="str">
        <x:v>Rafael Devers</x:v>
      </x:c>
      <x:c r="H212" s="31" t="str">
        <x:v>Home Run</x:v>
      </x:c>
      <x:c r="I212" s="31" t="str">
        <x:v>1+ home run</x:v>
      </x:c>
      <x:c r="J212" s="80" t="n">
        <x:v>403</x:v>
      </x:c>
      <x:c r="K212" s="31" t="str">
        <x:v>HYBRID</x:v>
      </x:c>
      <x:c r="L212" s="31" t="str">
        <x:v>B+</x:v>
      </x:c>
      <x:c r="M212" s="31" t="str">
        <x:v>Multiple source signals plus long HR price; qualifier challenger.</x:v>
      </x:c>
      <x:c r="N212" s="31" t="str">
        <x:v>N</x:v>
      </x:c>
      <x:c r="O212" s="31" t="str">
        <x:v>Win</x:v>
      </x:c>
      <x:c r="P212" s="31" t="n">
        <x:v>1</x:v>
      </x:c>
      <x:c r="Q212" s="33" t="n">
        <x:v>1</x:v>
      </x:c>
      <x:c r="R212" s="33" t="n">
        <x:v>5.03</x:v>
      </x:c>
      <x:c r="S212" s="31" t="n">
        <x:v>4.03</x:v>
      </x:c>
      <x:c r="T212" s="32" t="str"/>
      <x:c r="U212" s="31" t="str">
        <x:v>DK exact HR price supplied 13:45 ET.</x:v>
      </x:c>
      <x:c r="V212" s="31" t="str">
        <x:v>PROMO_ECONOMICS_TEST</x:v>
      </x:c>
      <x:c r="W212" s="31" t="str">
        <x:v>EXP-25</x:v>
      </x:c>
      <x:c r="X212" s="31" t="str">
        <x:v>GRAND SLAM HR CHALLENGER</x:v>
      </x:c>
      <x:c r="Y212" s="31" t="str"/>
      <x:c r="Z212" s="31" t="str">
        <x:v>Longer HR price can improve base-bet economics if matchup power survives independent adjustment.</x:v>
      </x:c>
      <x:c r="AA212" s="31" t="str">
        <x:v>Underlying matchup does not justify the raw long-shot price.</x:v>
      </x:c>
      <x:c r="AB212" s="31" t="str">
        <x:v>Devers homered in the first inning. Base HR challenger won; however the homer was not a grand slam, so the Grand Slam promo still would not have paid.</x:v>
      </x:c>
    </x:row>
    <x:row r="213">
      <x:c r="A213" s="79" t="str">
        <x:v>2026-09-02</x:v>
      </x:c>
      <x:c r="B213" s="31" t="str">
        <x:v>P02-030</x:v>
      </x:c>
      <x:c r="C213" s="31" t="str"/>
      <x:c r="D213" s="31" t="str">
        <x:v>PAPER</x:v>
      </x:c>
      <x:c r="E213" s="31" t="str">
        <x:v>MLB</x:v>
      </x:c>
      <x:c r="F213" s="31" t="str">
        <x:v>MIL @ CHC</x:v>
      </x:c>
      <x:c r="G213" s="31" t="str">
        <x:v>Pete Crow-Armstrong</x:v>
      </x:c>
      <x:c r="H213" s="31" t="str">
        <x:v>Home Run</x:v>
      </x:c>
      <x:c r="I213" s="31" t="str">
        <x:v>1+ home run</x:v>
      </x:c>
      <x:c r="J213" s="80" t="n">
        <x:v>340</x:v>
      </x:c>
      <x:c r="K213" s="31" t="str">
        <x:v>SOURCED</x:v>
      </x:c>
      <x:c r="L213" s="31" t="str">
        <x:v>B</x:v>
      </x:c>
      <x:c r="M213" s="31" t="str">
        <x:v>HR source candidate but directly conflicts with Misiorowski dominance thesis.</x:v>
      </x:c>
      <x:c r="N213" s="31" t="str">
        <x:v>N</x:v>
      </x:c>
      <x:c r="O213" s="31" t="str">
        <x:v>Loss</x:v>
      </x:c>
      <x:c r="P213" s="31" t="n">
        <x:v>0</x:v>
      </x:c>
      <x:c r="Q213" s="33" t="n">
        <x:v>0</x:v>
      </x:c>
      <x:c r="R213" s="33" t="n">
        <x:v>0</x:v>
      </x:c>
      <x:c r="S213" s="31" t="n">
        <x:v>-1</x:v>
      </x:c>
      <x:c r="T213" s="32" t="str"/>
      <x:c r="U213" s="31" t="str">
        <x:v>DK exact HR price supplied 13:49 ET.</x:v>
      </x:c>
      <x:c r="V213" s="31" t="str">
        <x:v>PORTFOLIO_CONFLICT_TEST</x:v>
      </x:c>
      <x:c r="W213" s="31" t="str">
        <x:v>EXP-25</x:v>
      </x:c>
      <x:c r="X213" s="31" t="str">
        <x:v>CONFLICTING HR ARM</x:v>
      </x:c>
      <x:c r="Y213" s="31" t="str">
        <x:v>S02-R01</x:v>
      </x:c>
      <x:c r="Z213" s="31" t="str">
        <x:v>Even a qualified HR price should be downgraded when it directly opposes a higher-ranked pitcher thesis.</x:v>
      </x:c>
      <x:c r="AA213" s="31" t="str">
        <x:v>PCA HR wins while Misiorowski still clears outs, showing conflict may be less severe than assumed.</x:v>
      </x:c>
      <x:c r="AB213" s="31" t="str">
        <x:v>PCA did not homer. The portfolio-conflict arm lost while Misiorowski also lost; avoiding conflict did not matter to realized result.</x:v>
      </x:c>
    </x:row>
    <x:row r="214">
      <x:c r="A214" s="79" t="str">
        <x:v>2026-09-02</x:v>
      </x:c>
      <x:c r="B214" s="31" t="str">
        <x:v>P02-031</x:v>
      </x:c>
      <x:c r="C214" s="31" t="str">
        <x:v>S02-R01;S02-R02</x:v>
      </x:c>
      <x:c r="D214" s="31" t="str">
        <x:v>PAPER</x:v>
      </x:c>
      <x:c r="E214" s="31" t="str">
        <x:v>MLB</x:v>
      </x:c>
      <x:c r="F214" s="31" t="str">
        <x:v>2-game pair</x:v>
      </x:c>
      <x:c r="G214" s="31" t="str">
        <x:v>Misiorowski + Cease</x:v>
      </x:c>
      <x:c r="H214" s="31" t="str">
        <x:v>2-leg pitcher pair</x:v>
      </x:c>
      <x:c r="I214" s="31" t="str">
        <x:v>Misiorowski O17.5 outs + Cease 7+ K</x:v>
      </x:c>
      <x:c r="J214" s="80" t="str"/>
      <x:c r="K214" s="31" t="str">
        <x:v>HYBRID</x:v>
      </x:c>
      <x:c r="L214" s="31" t="str">
        <x:v>A</x:v>
      </x:c>
      <x:c r="M214" s="31" t="str">
        <x:v>Two top independently qualified pitcher singles packaged as a control.</x:v>
      </x:c>
      <x:c r="N214" s="31" t="str">
        <x:v>N</x:v>
      </x:c>
      <x:c r="O214" s="31" t="str">
        <x:v>Loss</x:v>
      </x:c>
      <x:c r="P214" s="31" t="n">
        <x:v>0</x:v>
      </x:c>
      <x:c r="Q214" s="33" t="str"/>
      <x:c r="R214" s="33" t="n">
        <x:v>0</x:v>
      </x:c>
      <x:c r="S214" s="31" t="str"/>
      <x:c r="T214" s="32" t="str"/>
      <x:c r="U214" s="31" t="str">
        <x:v>Combined price not captured; do not fabricate.</x:v>
      </x:c>
      <x:c r="V214" s="31" t="str">
        <x:v>CONSTRUCTION_TEST</x:v>
      </x:c>
      <x:c r="W214" s="31" t="str">
        <x:v>EXP-20</x:v>
      </x:c>
      <x:c r="X214" s="31" t="str">
        <x:v>2-LEG PAIR ARM</x:v>
      </x:c>
      <x:c r="Y214" s="31" t="str">
        <x:v>S02-R01;S02-R02</x:v>
      </x:c>
      <x:c r="Z214" s="31" t="str">
        <x:v>If both singles are truly A-tier, packaging them should not outperform the lower-variance standalone allocation over time.</x:v>
      </x:c>
      <x:c r="AA214" s="31" t="str">
        <x:v>One leg miss wipes ticket while the other single wins, reinforcing singles preference.</x:v>
      </x:c>
      <x:c r="AB214" s="31" t="str">
        <x:v>Two-leg Misiorowski outs + Cease 7+ K control lost because both real components lost.</x:v>
      </x:c>
    </x:row>
    <x:row r="215">
      <x:c r="A215" s="79" t="str">
        <x:v>2026-09-02</x:v>
      </x:c>
      <x:c r="B215" s="31" t="str">
        <x:v>P02-032</x:v>
      </x:c>
      <x:c r="C215" s="31" t="str">
        <x:v>S02-R01;S02-R02;S02-R03</x:v>
      </x:c>
      <x:c r="D215" s="31" t="str">
        <x:v>PAPER</x:v>
      </x:c>
      <x:c r="E215" s="31" t="str">
        <x:v>MLB</x:v>
      </x:c>
      <x:c r="F215" s="31" t="str">
        <x:v>3-game parlay</x:v>
      </x:c>
      <x:c r="G215" s="31" t="str">
        <x:v>Misiorowski + Cease + Caminero</x:v>
      </x:c>
      <x:c r="H215" s="31" t="str">
        <x:v>3-leg mixed parlay</x:v>
      </x:c>
      <x:c r="I215" s="31" t="str">
        <x:v>Misiorowski O17.5 outs + Cease 7+ K + Caminero 2+ TB</x:v>
      </x:c>
      <x:c r="J215" s="80" t="str"/>
      <x:c r="K215" s="31" t="str">
        <x:v>HYBRID</x:v>
      </x:c>
      <x:c r="L215" s="31" t="str">
        <x:v>A-</x:v>
      </x:c>
      <x:c r="M215" s="31" t="str">
        <x:v>Best current real candidates packaged strictly as a construction control.</x:v>
      </x:c>
      <x:c r="N215" s="31" t="str">
        <x:v>N</x:v>
      </x:c>
      <x:c r="O215" s="31" t="str">
        <x:v>Loss</x:v>
      </x:c>
      <x:c r="P215" s="31" t="n">
        <x:v>0</x:v>
      </x:c>
      <x:c r="Q215" s="33" t="str"/>
      <x:c r="R215" s="33" t="n">
        <x:v>0</x:v>
      </x:c>
      <x:c r="S215" s="31" t="str"/>
      <x:c r="T215" s="32" t="str"/>
      <x:c r="U215" s="31" t="str">
        <x:v>No real-money recommendation; combined odds not captured.</x:v>
      </x:c>
      <x:c r="V215" s="31" t="str">
        <x:v>CONSTRUCTION_TEST</x:v>
      </x:c>
      <x:c r="W215" s="31" t="str">
        <x:v>EXP-09</x:v>
      </x:c>
      <x:c r="X215" s="31" t="str">
        <x:v>3-LEG TOP-CANDIDATE ARM</x:v>
      </x:c>
      <x:c r="Y215" s="31" t="str">
        <x:v>P02-031</x:v>
      </x:c>
      <x:c r="Z215" s="31" t="str">
        <x:v>Even top legs may lose economic efficiency when forced into a 3-leg ticket.</x:v>
      </x:c>
      <x:c r="AA215" s="31" t="str">
        <x:v>Any single miss destroys ticket while standalone real card remains partially profitable.</x:v>
      </x:c>
      <x:c r="AB215" s="31" t="str">
        <x:v>Three-leg Misiorowski outs + Cease 7+ K + Caminero 2+ TB control went 0/3.</x:v>
      </x:c>
    </x:row>
    <x:row r="216">
      <x:c r="A216" s="79" t="str">
        <x:v>2026-09-02</x:v>
      </x:c>
      <x:c r="B216" s="31" t="str">
        <x:v>P02-033</x:v>
      </x:c>
      <x:c r="C216" s="31" t="str">
        <x:v>S02-R13</x:v>
      </x:c>
      <x:c r="D216" s="31" t="str">
        <x:v>PAPER</x:v>
      </x:c>
      <x:c r="E216" s="31" t="str">
        <x:v>MLB</x:v>
      </x:c>
      <x:c r="F216" s="31" t="str">
        <x:v>BAL @ COL</x:v>
      </x:c>
      <x:c r="G216" s="31" t="str">
        <x:v>Pete Alonso</x:v>
      </x:c>
      <x:c r="H216" s="31" t="str">
        <x:v>Home Run</x:v>
      </x:c>
      <x:c r="I216" s="31" t="str">
        <x:v>1+ home run — raw control</x:v>
      </x:c>
      <x:c r="J216" s="80" t="n">
        <x:v>251</x:v>
      </x:c>
      <x:c r="K216" s="31" t="str">
        <x:v>HYBRID</x:v>
      </x:c>
      <x:c r="L216" s="31" t="str">
        <x:v>A-</x:v>
      </x:c>
      <x:c r="M216" s="31" t="str">
        <x:v>Unboosted control isolates the incremental value of the 50% HR promo.</x:v>
      </x:c>
      <x:c r="N216" s="31" t="str">
        <x:v>Y</x:v>
      </x:c>
      <x:c r="O216" s="31" t="str">
        <x:v>Loss</x:v>
      </x:c>
      <x:c r="P216" s="31" t="n">
        <x:v>0</x:v>
      </x:c>
      <x:c r="Q216" s="33" t="n">
        <x:v>0</x:v>
      </x:c>
      <x:c r="R216" s="33" t="n">
        <x:v>0</x:v>
      </x:c>
      <x:c r="S216" s="31" t="n">
        <x:v>-1</x:v>
      </x:c>
      <x:c r="T216" s="32" t="str"/>
      <x:c r="U216" s="31" t="str">
        <x:v>Real ticket used +377 boosted price; raw market was +251.</x:v>
      </x:c>
      <x:c r="V216" s="31" t="str">
        <x:v>PROMO_CONTROL</x:v>
      </x:c>
      <x:c r="W216" s="31" t="str">
        <x:v>EXP-16</x:v>
      </x:c>
      <x:c r="X216" s="31" t="str">
        <x:v>UNBOOSTED HR ARM</x:v>
      </x:c>
      <x:c r="Y216" s="31" t="str">
        <x:v>S02-R13</x:v>
      </x:c>
      <x:c r="Z216" s="31" t="str">
        <x:v>If Alonso is a legitimate HR edge before the promo, raw +251 should remain defensible; boost should amplify rather than create the thesis.</x:v>
      </x:c>
      <x:c r="AA216" s="31" t="str">
        <x:v>If the raw matchup grade is weak relative to market, the promo is masking a poor underlying HR selection.</x:v>
      </x:c>
      <x:c r="AB216" s="31" t="str">
        <x:v>Alonso raw HR control lost. The 50% boost improved economics but the base HR proposition still failed.</x:v>
      </x:c>
    </x:row>
    <x:row r="217">
      <x:c r="A217" s="79" t="str">
        <x:v>2026-09-02</x:v>
      </x:c>
      <x:c r="B217" s="31" t="str">
        <x:v>P02-034</x:v>
      </x:c>
      <x:c r="C217" s="31" t="str"/>
      <x:c r="D217" s="31" t="str">
        <x:v>PAPER</x:v>
      </x:c>
      <x:c r="E217" s="31" t="str">
        <x:v>MLB</x:v>
      </x:c>
      <x:c r="F217" s="31" t="str">
        <x:v>BAL @ COL</x:v>
      </x:c>
      <x:c r="G217" s="31" t="str">
        <x:v>Hunter Goodman</x:v>
      </x:c>
      <x:c r="H217" s="31" t="str">
        <x:v>Home Run</x:v>
      </x:c>
      <x:c r="I217" s="31" t="str">
        <x:v>1+ home run</x:v>
      </x:c>
      <x:c r="J217" s="80" t="n">
        <x:v>273</x:v>
      </x:c>
      <x:c r="K217" s="31" t="str">
        <x:v>HYBRID</x:v>
      </x:c>
      <x:c r="L217" s="31" t="str">
        <x:v>A-</x:v>
      </x:c>
      <x:c r="M217" s="31" t="str">
        <x:v>Runner-up in eligible 2–4 PM HR audit; same Coors environment but different opponent/pitcher mechanism.</x:v>
      </x:c>
      <x:c r="N217" s="31" t="str">
        <x:v>N</x:v>
      </x:c>
      <x:c r="O217" s="31" t="str">
        <x:v>Loss</x:v>
      </x:c>
      <x:c r="P217" s="31" t="n">
        <x:v>0</x:v>
      </x:c>
      <x:c r="Q217" s="33" t="n">
        <x:v>0</x:v>
      </x:c>
      <x:c r="R217" s="33" t="n">
        <x:v>0</x:v>
      </x:c>
      <x:c r="S217" s="31" t="n">
        <x:v>-1</x:v>
      </x:c>
      <x:c r="T217" s="32" t="str"/>
      <x:c r="U217" s="31" t="str">
        <x:v>Exact DK +273 supplied 14:05 ET.</x:v>
      </x:c>
      <x:c r="V217" s="31" t="str">
        <x:v>PROMO_CHALLENGER</x:v>
      </x:c>
      <x:c r="W217" s="31" t="str">
        <x:v>EXP-16</x:v>
      </x:c>
      <x:c r="X217" s="31" t="str">
        <x:v>ELIGIBLE HR CHALLENGER</x:v>
      </x:c>
      <x:c r="Y217" s="31" t="str">
        <x:v>P02-033</x:v>
      </x:c>
      <x:c r="Z217" s="31" t="str">
        <x:v>Goodman's platoon/hard-contact setup may outperform the chosen Alonso HR despite slightly longer raw price.</x:v>
      </x:c>
      <x:c r="AA217" s="31" t="str">
        <x:v>Alonso clears while Goodman misses or Goodman matchup quality proves overstated relative to Rogers.</x:v>
      </x:c>
      <x:c r="AB217" s="31" t="str">
        <x:v>Goodman did not homer. Runner-up HR challenger also failed.</x:v>
      </x:c>
    </x:row>
    <x:row r="218">
      <x:c r="A218" s="79" t="str">
        <x:v>2026-09-02</x:v>
      </x:c>
      <x:c r="B218" s="31" t="str">
        <x:v>P02-035</x:v>
      </x:c>
      <x:c r="C218" s="31" t="str"/>
      <x:c r="D218" s="31" t="str">
        <x:v>PAPER</x:v>
      </x:c>
      <x:c r="E218" s="31" t="str">
        <x:v>MLB</x:v>
      </x:c>
      <x:c r="F218" s="31" t="str">
        <x:v>STL @ LAD</x:v>
      </x:c>
      <x:c r="G218" s="31" t="str">
        <x:v>Los Angeles Dodgers</x:v>
      </x:c>
      <x:c r="H218" s="31" t="str">
        <x:v>Moneyline</x:v>
      </x:c>
      <x:c r="I218" s="31" t="str">
        <x:v>LAD ML</x:v>
      </x:c>
      <x:c r="J218" s="80" t="str"/>
      <x:c r="K218" s="31" t="str">
        <x:v>SOURCED</x:v>
      </x:c>
      <x:c r="L218" s="31" t="str">
        <x:v>WATCH</x:v>
      </x:c>
      <x:c r="M218" s="31" t="str">
        <x:v>Source lists LAD as its top game pick at 67% win probability; prospectively test source calibration rather than treating 67% as fair odds.</x:v>
      </x:c>
      <x:c r="N218" s="31" t="str">
        <x:v>N</x:v>
      </x:c>
      <x:c r="O218" s="31" t="str">
        <x:v>Loss</x:v>
      </x:c>
      <x:c r="P218" s="31" t="n">
        <x:v>0</x:v>
      </x:c>
      <x:c r="Q218" s="33" t="str"/>
      <x:c r="R218" s="33" t="n">
        <x:v>0</x:v>
      </x:c>
      <x:c r="S218" s="31" t="str"/>
      <x:c r="T218" s="32" t="str"/>
      <x:c r="U218" s="31" t="str">
        <x:v>Source screenshot supplied 14:39 ET; exact DK price not provided.</x:v>
      </x:c>
      <x:c r="V218" s="31" t="str">
        <x:v>SOURCE_CALIBRATION_TEST</x:v>
      </x:c>
      <x:c r="W218" s="31" t="str">
        <x:v>EXP-27</x:v>
      </x:c>
      <x:c r="X218" s="31" t="str">
        <x:v>67% ML ARM</x:v>
      </x:c>
      <x:c r="Y218" s="31" t="str"/>
      <x:c r="Z218" s="31" t="str">
        <x:v>If the source probability ranking contains signal, the 67% top-ranked ML should win at a rate broadly consistent with its stated confidence and later show acceptable price-adjusted value.</x:v>
      </x:c>
      <x:c r="AA218" s="31" t="str">
        <x:v>Repeated misses or materially worse market-implied pricing than the source probability would weaken the signal.</x:v>
      </x:c>
      <x:c r="AB218" s="31" t="str">
        <x:v>Source 67% LAD ML lost 8-6 in 10 innings. One negative observation for source calibration.</x:v>
      </x:c>
    </x:row>
    <x:row r="219">
      <x:c r="A219" s="79" t="str">
        <x:v>2026-09-02</x:v>
      </x:c>
      <x:c r="B219" s="31" t="str">
        <x:v>P02-036</x:v>
      </x:c>
      <x:c r="C219" s="31" t="str"/>
      <x:c r="D219" s="31" t="str">
        <x:v>PAPER</x:v>
      </x:c>
      <x:c r="E219" s="31" t="str">
        <x:v>MLB</x:v>
      </x:c>
      <x:c r="F219" s="31" t="str">
        <x:v>MIL @ CHC</x:v>
      </x:c>
      <x:c r="G219" s="31" t="str">
        <x:v>Milwaukee Brewers</x:v>
      </x:c>
      <x:c r="H219" s="31" t="str">
        <x:v>Moneyline</x:v>
      </x:c>
      <x:c r="I219" s="31" t="str">
        <x:v>MIL ML</x:v>
      </x:c>
      <x:c r="J219" s="80" t="str"/>
      <x:c r="K219" s="31" t="str">
        <x:v>SOURCED</x:v>
      </x:c>
      <x:c r="L219" s="31" t="str">
        <x:v>WATCH</x:v>
      </x:c>
      <x:c r="M219" s="31" t="str">
        <x:v>Source lists MIL at 66%; preserve as a prospective source-only game-side observation for calibration.</x:v>
      </x:c>
      <x:c r="N219" s="31" t="str">
        <x:v>N</x:v>
      </x:c>
      <x:c r="O219" s="31" t="str">
        <x:v>Win</x:v>
      </x:c>
      <x:c r="P219" s="31" t="n">
        <x:v>1</x:v>
      </x:c>
      <x:c r="Q219" s="33" t="str"/>
      <x:c r="R219" s="33" t="str"/>
      <x:c r="S219" s="31" t="str"/>
      <x:c r="T219" s="32" t="str"/>
      <x:c r="U219" s="31" t="str">
        <x:v>Source screenshot supplied 14:39 ET; exact DK price not provided.</x:v>
      </x:c>
      <x:c r="V219" s="31" t="str">
        <x:v>SOURCE_CALIBRATION_TEST</x:v>
      </x:c>
      <x:c r="W219" s="31" t="str">
        <x:v>EXP-27</x:v>
      </x:c>
      <x:c r="X219" s="31" t="str">
        <x:v>66% ML ARM</x:v>
      </x:c>
      <x:c r="Y219" s="31" t="str"/>
      <x:c r="Z219" s="31" t="str">
        <x:v>A genuinely calibrated source should convert a 66% moneyline signal at roughly that frequency over a large sample and retain value once exact prices are added.</x:v>
      </x:c>
      <x:c r="AA219" s="31" t="str">
        <x:v>Poor hit-rate calibration or negative price-adjusted ROI after enough samples would falsify the usefulness of the source score.</x:v>
      </x:c>
      <x:c r="AB219" s="31" t="str">
        <x:v>Source 66% MIL ML won 9-5. Positive source-calibration observation.</x:v>
      </x:c>
    </x:row>
    <x:row r="220">
      <x:c r="A220" s="79" t="str">
        <x:v>2026-09-02</x:v>
      </x:c>
      <x:c r="B220" s="31" t="str">
        <x:v>P02-037</x:v>
      </x:c>
      <x:c r="C220" s="31" t="str"/>
      <x:c r="D220" s="31" t="str">
        <x:v>PAPER</x:v>
      </x:c>
      <x:c r="E220" s="31" t="str">
        <x:v>MLB</x:v>
      </x:c>
      <x:c r="F220" s="31" t="str">
        <x:v>PHI @ ARI</x:v>
      </x:c>
      <x:c r="G220" s="31" t="str">
        <x:v>Arizona Diamondbacks</x:v>
      </x:c>
      <x:c r="H220" s="31" t="str">
        <x:v>Moneyline</x:v>
      </x:c>
      <x:c r="I220" s="31" t="str">
        <x:v>ARI ML</x:v>
      </x:c>
      <x:c r="J220" s="80" t="str"/>
      <x:c r="K220" s="31" t="str">
        <x:v>SOURCED</x:v>
      </x:c>
      <x:c r="L220" s="31" t="str">
        <x:v>WATCH</x:v>
      </x:c>
      <x:c r="M220" s="31" t="str">
        <x:v>Source lists ARI at 65%; log before the 3:40 ET start as a prospective source-only paper trade.</x:v>
      </x:c>
      <x:c r="N220" s="31" t="str">
        <x:v>N</x:v>
      </x:c>
      <x:c r="O220" s="31" t="str">
        <x:v>Win</x:v>
      </x:c>
      <x:c r="P220" s="31" t="n">
        <x:v>1</x:v>
      </x:c>
      <x:c r="Q220" s="33" t="str"/>
      <x:c r="R220" s="33" t="str"/>
      <x:c r="S220" s="31" t="str"/>
      <x:c r="T220" s="32" t="str"/>
      <x:c r="U220" s="31" t="str">
        <x:v>Source screenshot supplied 14:39 ET; exact DK price not provided.</x:v>
      </x:c>
      <x:c r="V220" s="31" t="str">
        <x:v>SOURCE_CALIBRATION_TEST</x:v>
      </x:c>
      <x:c r="W220" s="31" t="str">
        <x:v>EXP-27</x:v>
      </x:c>
      <x:c r="X220" s="31" t="str">
        <x:v>65% ML ARM</x:v>
      </x:c>
      <x:c r="Y220" s="31" t="str"/>
      <x:c r="Z220" s="31" t="str">
        <x:v>If the model's game-level probabilities are useful, a 65% selection should contribute positively to calibration and later ROI when exact market price is captured.</x:v>
      </x:c>
      <x:c r="AA220" s="31" t="str">
        <x:v>A pattern of 60–69% selections underperforming their stated confidence or market baseline would weaken the hypothesis.</x:v>
      </x:c>
      <x:c r="AB220" s="31" t="str">
        <x:v>Source 65% ARI ML won 1-0. Source 60–69% bucket finished 2-1 on this first tiny cluster.</x:v>
      </x:c>
    </x:row>
    <x:row r="221">
      <x:c r="A221" s="79" t="str">
        <x:v>2026-09-10</x:v>
      </x:c>
      <x:c r="B221" s="31" t="str">
        <x:v>S10-P01</x:v>
      </x:c>
      <x:c r="C221" s="31" t="str">
        <x:v>S10-A04</x:v>
      </x:c>
      <x:c r="D221" s="31" t="str">
        <x:v>PAPER</x:v>
      </x:c>
      <x:c r="E221" s="31" t="str">
        <x:v>NCAAF</x:v>
      </x:c>
      <x:c r="F221" s="31" t="str">
        <x:v>FAMU @ MIA</x:v>
      </x:c>
      <x:c r="G221" s="31" t="str">
        <x:v>Florida A&amp;M at Miami</x:v>
      </x:c>
      <x:c r="H221" s="31" t="str">
        <x:v>First-half total</x:v>
      </x:c>
      <x:c r="I221" s="31" t="str">
        <x:v>Under 38.5</x:v>
      </x:c>
      <x:c r="J221" s="80" t="n">
        <x:v>-122</x:v>
      </x:c>
      <x:c r="K221" s="31" t="str">
        <x:v>DISCOVERED</x:v>
      </x:c>
      <x:c r="L221" s="31" t="str">
        <x:v>WATCH</x:v>
      </x:c>
      <x:c r="M221" s="31" t="str">
        <x:v>First-half control for the full-team-total under.</x:v>
      </x:c>
      <x:c r="N221" s="31" t="str">
        <x:v>N</x:v>
      </x:c>
      <x:c r="O221" s="31" t="str">
        <x:v>Loss</x:v>
      </x:c>
      <x:c r="P221" s="31" t="n">
        <x:v>0</x:v>
      </x:c>
      <x:c r="Q221" s="33" t="n">
        <x:v>0</x:v>
      </x:c>
      <x:c r="R221" s="33" t="n">
        <x:v>-1</x:v>
      </x:c>
      <x:c r="S221" s="31" t="str"/>
      <x:c r="T221" s="32" t="str"/>
      <x:c r="U221" s="31" t="str">
        <x:v>Miami scored 49 in the first half.</x:v>
      </x:c>
      <x:c r="V221" s="31" t="str">
        <x:v>MARKET_EXPRESSION_TEST</x:v>
      </x:c>
      <x:c r="W221" s="31" t="str">
        <x:v>EXP-39</x:v>
      </x:c>
      <x:c r="X221" s="31" t="str">
        <x:v>FIRST-HALF UNDER ARM</x:v>
      </x:c>
      <x:c r="Y221" s="31" t="str">
        <x:v>S10-T02</x:v>
      </x:c>
      <x:c r="Z221" s="31" t="str">
        <x:v>Rotation and game control may suppress late first-half scoring.</x:v>
      </x:c>
      <x:c r="AA221" s="31" t="str">
        <x:v>Miami scoring above 38.5 before halftime.</x:v>
      </x:c>
      <x:c r="AB221" s="31" t="str">
        <x:v>Lost decisively; rotation did not create scoring suppression.</x:v>
      </x:c>
    </x:row>
    <x:row r="222">
      <x:c r="A222" s="79" t="str">
        <x:v>2026-09-10</x:v>
      </x:c>
      <x:c r="B222" s="31" t="str">
        <x:v>S10-P02</x:v>
      </x:c>
      <x:c r="C222" s="31" t="str">
        <x:v>S10-A05</x:v>
      </x:c>
      <x:c r="D222" s="31" t="str">
        <x:v>PAPER</x:v>
      </x:c>
      <x:c r="E222" s="31" t="str">
        <x:v>MLB</x:v>
      </x:c>
      <x:c r="F222" s="31" t="str">
        <x:v>COL @ NYY</x:v>
      </x:c>
      <x:c r="G222" s="31" t="str">
        <x:v>Luis García Jr.</x:v>
      </x:c>
      <x:c r="H222" s="31" t="str">
        <x:v>2+ Total Bases</x:v>
      </x:c>
      <x:c r="I222" s="31" t="str">
        <x:v>2+ total bases</x:v>
      </x:c>
      <x:c r="J222" s="80" t="n">
        <x:v>103</x:v>
      </x:c>
      <x:c r="K222" s="31" t="str">
        <x:v>DISCOVERED</x:v>
      </x:c>
      <x:c r="L222" s="31" t="str">
        <x:v>WATCH</x:v>
      </x:c>
      <x:c r="M222" s="31" t="str">
        <x:v>Hitter-specific control inside the broad Feltner fade.</x:v>
      </x:c>
      <x:c r="N222" s="31" t="str">
        <x:v>N</x:v>
      </x:c>
      <x:c r="O222" s="31" t="str">
        <x:v>Win</x:v>
      </x:c>
      <x:c r="P222" s="31" t="n">
        <x:v>1</x:v>
      </x:c>
      <x:c r="Q222" s="33" t="n">
        <x:v>2.03</x:v>
      </x:c>
      <x:c r="R222" s="33" t="n">
        <x:v>1.03</x:v>
      </x:c>
      <x:c r="S222" s="31" t="str"/>
      <x:c r="T222" s="32" t="str"/>
      <x:c r="U222" s="31" t="str">
        <x:v>Official MLB box score: four total bases on a home run.</x:v>
      </x:c>
      <x:c r="V222" s="31" t="str">
        <x:v>MARKET_EXPRESSION_TEST</x:v>
      </x:c>
      <x:c r="W222" s="31" t="str">
        <x:v>EXP-26</x:v>
      </x:c>
      <x:c r="X222" s="31" t="str">
        <x:v>HITTER TB ARM</x:v>
      </x:c>
      <x:c r="Y222" s="31" t="str">
        <x:v>S10-T04</x:v>
      </x:c>
      <x:c r="Z222" s="31" t="str">
        <x:v>A selected hitter may capture the same pitcher-fade thesis.</x:v>
      </x:c>
      <x:c r="AA222" s="31" t="str">
        <x:v>The broad team market wins while the hitter misses.</x:v>
      </x:c>
      <x:c r="AB222" s="31" t="str">
        <x:v>Won; both the hitter arm and broad team expression converted.</x:v>
      </x:c>
    </x:row>
    <x:row r="223">
      <x:c r="A223" s="79" t="str">
        <x:v>2026-09-10</x:v>
      </x:c>
      <x:c r="B223" s="31" t="str">
        <x:v>S10-P03</x:v>
      </x:c>
      <x:c r="C223" s="31" t="str">
        <x:v>S10-A05</x:v>
      </x:c>
      <x:c r="D223" s="31" t="str">
        <x:v>PAPER</x:v>
      </x:c>
      <x:c r="E223" s="31" t="str">
        <x:v>MLB</x:v>
      </x:c>
      <x:c r="F223" s="31" t="str">
        <x:v>COL @ NYY</x:v>
      </x:c>
      <x:c r="G223" s="31" t="str">
        <x:v>Ben Rice</x:v>
      </x:c>
      <x:c r="H223" s="31" t="str">
        <x:v>2+ Total Bases</x:v>
      </x:c>
      <x:c r="I223" s="31" t="str">
        <x:v>2+ total bases</x:v>
      </x:c>
      <x:c r="J223" s="80" t="n">
        <x:v>-105</x:v>
      </x:c>
      <x:c r="K223" s="31" t="str">
        <x:v>DISCOVERED</x:v>
      </x:c>
      <x:c r="L223" s="31" t="str">
        <x:v>WATCH</x:v>
      </x:c>
      <x:c r="M223" s="31" t="str">
        <x:v>Second hitter control inside the broad Feltner fade.</x:v>
      </x:c>
      <x:c r="N223" s="31" t="str">
        <x:v>N</x:v>
      </x:c>
      <x:c r="O223" s="31" t="str">
        <x:v>Loss</x:v>
      </x:c>
      <x:c r="P223" s="31" t="n">
        <x:v>0</x:v>
      </x:c>
      <x:c r="Q223" s="33" t="n">
        <x:v>0</x:v>
      </x:c>
      <x:c r="R223" s="33" t="n">
        <x:v>-1</x:v>
      </x:c>
      <x:c r="S223" s="31" t="str"/>
      <x:c r="T223" s="32" t="str"/>
      <x:c r="U223" s="31" t="str">
        <x:v>Official MLB box score: one total base.</x:v>
      </x:c>
      <x:c r="V223" s="31" t="str">
        <x:v>MARKET_EXPRESSION_TEST</x:v>
      </x:c>
      <x:c r="W223" s="31" t="str">
        <x:v>EXP-26</x:v>
      </x:c>
      <x:c r="X223" s="31" t="str">
        <x:v>HITTER TB ARM</x:v>
      </x:c>
      <x:c r="Y223" s="31" t="str">
        <x:v>S10-T04</x:v>
      </x:c>
      <x:c r="Z223" s="31" t="str">
        <x:v>A selected hitter may capture the same pitcher-fade thesis.</x:v>
      </x:c>
      <x:c r="AA223" s="31" t="str">
        <x:v>The broad team market wins while Rice misses.</x:v>
      </x:c>
      <x:c r="AB223" s="31" t="str">
        <x:v>Lost while the broad Yankees team total won, supporting broad-market-first.</x:v>
      </x:c>
    </x:row>
    <x:row r="224">
      <x:c r="A224" s="79" t="str">
        <x:v>2026-09-10</x:v>
      </x:c>
      <x:c r="B224" s="31" t="str">
        <x:v>S10-P04</x:v>
      </x:c>
      <x:c r="C224" s="31" t="str">
        <x:v>S10-A05</x:v>
      </x:c>
      <x:c r="D224" s="31" t="str">
        <x:v>PAPER</x:v>
      </x:c>
      <x:c r="E224" s="31" t="str">
        <x:v>MLB</x:v>
      </x:c>
      <x:c r="F224" s="31" t="str">
        <x:v>COL @ NYY</x:v>
      </x:c>
      <x:c r="G224" s="31" t="str">
        <x:v>Ben Rice</x:v>
      </x:c>
      <x:c r="H224" s="31" t="str">
        <x:v>Home Run</x:v>
      </x:c>
      <x:c r="I224" s="31" t="str">
        <x:v>1+ home run</x:v>
      </x:c>
      <x:c r="J224" s="80" t="n">
        <x:v>272</x:v>
      </x:c>
      <x:c r="K224" s="31" t="str">
        <x:v>DISCOVERED</x:v>
      </x:c>
      <x:c r="L224" s="31" t="str">
        <x:v>WATCH</x:v>
      </x:c>
      <x:c r="M224" s="31" t="str">
        <x:v>High-variance satellite in the same Rice/Feltner cluster.</x:v>
      </x:c>
      <x:c r="N224" s="31" t="str">
        <x:v>N</x:v>
      </x:c>
      <x:c r="O224" s="31" t="str">
        <x:v>Loss</x:v>
      </x:c>
      <x:c r="P224" s="31" t="n">
        <x:v>0</x:v>
      </x:c>
      <x:c r="Q224" s="33" t="n">
        <x:v>0</x:v>
      </x:c>
      <x:c r="R224" s="33" t="n">
        <x:v>-1</x:v>
      </x:c>
      <x:c r="S224" s="31" t="str"/>
      <x:c r="T224" s="32" t="str"/>
      <x:c r="U224" s="31" t="str">
        <x:v>Rice did not homer; correlated with S10-P03, not independent N.</x:v>
      </x:c>
      <x:c r="V224" s="31" t="str">
        <x:v>HR_SATELLITE</x:v>
      </x:c>
      <x:c r="W224" s="31" t="str">
        <x:v>EXP-16</x:v>
      </x:c>
      <x:c r="X224" s="31" t="str">
        <x:v>CORRELATED HR ARM</x:v>
      </x:c>
      <x:c r="Y224" s="31" t="str">
        <x:v>S10-P03</x:v>
      </x:c>
      <x:c r="Z224" s="31" t="str">
        <x:v>Rice may convert the pitcher fade through power.</x:v>
      </x:c>
      <x:c r="AA224" s="31" t="str">
        <x:v>No home run.</x:v>
      </x:c>
      <x:c r="AB224" s="31" t="str">
        <x:v>Lost; do not count separately from the Rice TB cluster for independent sample size.</x:v>
      </x:c>
    </x:row>
    <x:row r="225">
      <x:c r="A225" s="79" t="str">
        <x:v>2026-09-10</x:v>
      </x:c>
      <x:c r="B225" s="31" t="str">
        <x:v>S10-P05</x:v>
      </x:c>
      <x:c r="C225" s="31" t="str">
        <x:v>S10-A01</x:v>
      </x:c>
      <x:c r="D225" s="31" t="str">
        <x:v>PAPER</x:v>
      </x:c>
      <x:c r="E225" s="31" t="str">
        <x:v>MLB</x:v>
      </x:c>
      <x:c r="F225" s="31" t="str">
        <x:v>PIT @ CWS</x:v>
      </x:c>
      <x:c r="G225" s="31" t="str">
        <x:v>Jared Jones</x:v>
      </x:c>
      <x:c r="H225" s="31" t="str">
        <x:v>Pitcher Strikeouts</x:v>
      </x:c>
      <x:c r="I225" s="31" t="str">
        <x:v>7+ strikeouts</x:v>
      </x:c>
      <x:c r="J225" s="80" t="n">
        <x:v>126</x:v>
      </x:c>
      <x:c r="K225" s="31" t="str">
        <x:v>DISCOVERED</x:v>
      </x:c>
      <x:c r="L225" s="31" t="str">
        <x:v>WATCH</x:v>
      </x:c>
      <x:c r="M225" s="31" t="str">
        <x:v>Strikeout counterfactual to the real workload-sensitive outs under.</x:v>
      </x:c>
      <x:c r="N225" s="31" t="str">
        <x:v>N</x:v>
      </x:c>
      <x:c r="O225" s="31" t="str">
        <x:v>Win</x:v>
      </x:c>
      <x:c r="P225" s="31" t="n">
        <x:v>1</x:v>
      </x:c>
      <x:c r="Q225" s="33" t="n">
        <x:v>2.26</x:v>
      </x:c>
      <x:c r="R225" s="33" t="n">
        <x:v>1.26</x:v>
      </x:c>
      <x:c r="S225" s="31" t="str"/>
      <x:c r="T225" s="32" t="str"/>
      <x:c r="U225" s="31" t="str">
        <x:v>Official MLB box score: eight strikeouts in seven innings.</x:v>
      </x:c>
      <x:c r="V225" s="31" t="str">
        <x:v>MARKET_EXPRESSION_TEST</x:v>
      </x:c>
      <x:c r="W225" s="31" t="str">
        <x:v>EXP-06</x:v>
      </x:c>
      <x:c r="X225" s="31" t="str">
        <x:v>STRIKEOUT ARM</x:v>
      </x:c>
      <x:c r="Y225" s="31" t="str">
        <x:v>S10-T03</x:v>
      </x:c>
      <x:c r="Z225" s="31" t="str">
        <x:v>Jones quality may be better expressed through strikeouts than an outs under.</x:v>
      </x:c>
      <x:c r="AA225" s="31" t="str">
        <x:v>Jones fails to reach seven strikeouts.</x:v>
      </x:c>
      <x:c r="AB225" s="31" t="str">
        <x:v>Won while the real outs under lost; talent read survived but workload regime did not.</x:v>
      </x:c>
    </x:row>
    <x:row r="226">
      <x:c r="A226" s="79" t="str">
        <x:v>2026-09-10</x:v>
      </x:c>
      <x:c r="B226" s="31" t="str">
        <x:v>S10-P06</x:v>
      </x:c>
      <x:c r="C226" s="31" t="str"/>
      <x:c r="D226" s="31" t="str">
        <x:v>PAPER</x:v>
      </x:c>
      <x:c r="E226" s="31" t="str">
        <x:v>MLB</x:v>
      </x:c>
      <x:c r="F226" s="31" t="str">
        <x:v>TEX @ SEA</x:v>
      </x:c>
      <x:c r="G226" s="31" t="str">
        <x:v>Jacob deGrom</x:v>
      </x:c>
      <x:c r="H226" s="31" t="str">
        <x:v>Pitcher Strikeouts</x:v>
      </x:c>
      <x:c r="I226" s="31" t="str">
        <x:v>7+ strikeouts</x:v>
      </x:c>
      <x:c r="J226" s="80" t="n">
        <x:v>-138</x:v>
      </x:c>
      <x:c r="K226" s="31" t="str">
        <x:v>HYBRID</x:v>
      </x:c>
      <x:c r="L226" s="31" t="str">
        <x:v>WATCH</x:v>
      </x:c>
      <x:c r="M226" s="31" t="str">
        <x:v>Price-rejected real candidate retained for price sensitivity.</x:v>
      </x:c>
      <x:c r="N226" s="31" t="str">
        <x:v>N</x:v>
      </x:c>
      <x:c r="O226" s="31" t="str">
        <x:v>Win</x:v>
      </x:c>
      <x:c r="P226" s="31" t="n">
        <x:v>1</x:v>
      </x:c>
      <x:c r="Q226" s="33" t="n">
        <x:v>1.72</x:v>
      </x:c>
      <x:c r="R226" s="33" t="n">
        <x:v>0.72</x:v>
      </x:c>
      <x:c r="S226" s="31" t="str"/>
      <x:c r="T226" s="32" t="str"/>
      <x:c r="U226" s="31" t="str">
        <x:v>Official MLB box score: 12 strikeouts in six innings.</x:v>
      </x:c>
      <x:c r="V226" s="31" t="str">
        <x:v>PRICE_SENSITIVITY_TEST</x:v>
      </x:c>
      <x:c r="W226" s="31" t="str">
        <x:v>EXP-05</x:v>
      </x:c>
      <x:c r="X226" s="31" t="str">
        <x:v>REJECTED PRICE ARM</x:v>
      </x:c>
      <x:c r="Y226" s="31" t="str"/>
      <x:c r="Z226" s="31" t="str">
        <x:v>The threshold can clear even when the real-card price is rejected.</x:v>
      </x:c>
      <x:c r="AA226" s="31" t="str">
        <x:v>Failure to clear seven strikeouts.</x:v>
      </x:c>
      <x:c r="AB226" s="31" t="str">
        <x:v>Outcome won; price-quality and result must remain separate evaluations.</x:v>
      </x:c>
    </x:row>
    <x:row r="227">
      <x:c r="A227" s="79" t="str">
        <x:v>2026-09-11</x:v>
      </x:c>
      <x:c r="B227" s="31" t="str">
        <x:v>S11-P01</x:v>
      </x:c>
      <x:c r="C227" s="31" t="str"/>
      <x:c r="D227" s="31" t="str">
        <x:v>PAPER</x:v>
      </x:c>
      <x:c r="E227" s="31" t="str">
        <x:v>MLB</x:v>
      </x:c>
      <x:c r="F227" s="31" t="str">
        <x:v>KC @ BOS</x:v>
      </x:c>
      <x:c r="G227" s="31" t="str">
        <x:v>Sonny Gray</x:v>
      </x:c>
      <x:c r="H227" s="31" t="str">
        <x:v>Pitcher Hits Allowed</x:v>
      </x:c>
      <x:c r="I227" s="31" t="str">
        <x:v>Under 5.5 hits allowed</x:v>
      </x:c>
      <x:c r="J227" s="80" t="str"/>
      <x:c r="K227" s="31" t="str">
        <x:v>SOURCED</x:v>
      </x:c>
      <x:c r="L227" s="31" t="str">
        <x:v>WATCH</x:v>
      </x:c>
      <x:c r="M227" s="31" t="str">
        <x:v>Paired market-expression test against the independent Gray pitching-outs thesis.</x:v>
      </x:c>
      <x:c r="N227" s="31" t="str">
        <x:v>N</x:v>
      </x:c>
      <x:c r="O227" s="31" t="str">
        <x:v>Pending</x:v>
      </x:c>
      <x:c r="P227" s="31" t="str"/>
      <x:c r="Q227" s="33" t="str"/>
      <x:c r="R227" s="33" t="str"/>
      <x:c r="S227" s="31" t="str"/>
      <x:c r="T227" s="32" t="str"/>
      <x:c r="U227" s="31" t="str">
        <x:v>Exact DraftKings price unavailable.</x:v>
      </x:c>
      <x:c r="V227" s="31" t="str">
        <x:v>MARKET_EXPRESSION_TEST</x:v>
      </x:c>
      <x:c r="W227" s="31" t="str">
        <x:v>EXP-01</x:v>
      </x:c>
      <x:c r="X227" s="31" t="str">
        <x:v>HITS-ALLOWED ARM</x:v>
      </x:c>
      <x:c r="Y227" s="31" t="str"/>
      <x:c r="Z227" s="31" t="str">
        <x:v>Hits allowed may express the source’s Gray thesis differently from pitching outs.</x:v>
      </x:c>
      <x:c r="AA227" s="31" t="str">
        <x:v>The hits arm misses while the workload-based outs read is directionally stronger.</x:v>
      </x:c>
      <x:c r="AB227" s="31" t="str">
        <x:v>Pending.</x:v>
      </x:c>
    </x:row>
    <x:row r="228">
      <x:c r="A228" s="79" t="str">
        <x:v>2026-09-11</x:v>
      </x:c>
      <x:c r="B228" s="31" t="str">
        <x:v>S11-P02</x:v>
      </x:c>
      <x:c r="C228" s="31" t="str">
        <x:v>S11-A17</x:v>
      </x:c>
      <x:c r="D228" s="31" t="str">
        <x:v>PAPER</x:v>
      </x:c>
      <x:c r="E228" s="31" t="str">
        <x:v>MLB</x:v>
      </x:c>
      <x:c r="F228" s="31" t="str">
        <x:v>PHI @ ATL</x:v>
      </x:c>
      <x:c r="G228" s="31" t="str">
        <x:v>Aaron Nola</x:v>
      </x:c>
      <x:c r="H228" s="31" t="str">
        <x:v>Pitcher Outs</x:v>
      </x:c>
      <x:c r="I228" s="31" t="str">
        <x:v>Over 16.5 pitching outs</x:v>
      </x:c>
      <x:c r="J228" s="80" t="str"/>
      <x:c r="K228" s="31" t="str">
        <x:v>SOURCED</x:v>
      </x:c>
      <x:c r="L228" s="31" t="str">
        <x:v>WATCH</x:v>
      </x:c>
      <x:c r="M228" s="31" t="str">
        <x:v>Workload control against the Olson HR thesis; the outcomes can coexist.</x:v>
      </x:c>
      <x:c r="N228" s="31" t="str">
        <x:v>N</x:v>
      </x:c>
      <x:c r="O228" s="31" t="str">
        <x:v>Pending</x:v>
      </x:c>
      <x:c r="P228" s="31" t="str"/>
      <x:c r="Q228" s="33" t="str"/>
      <x:c r="R228" s="33" t="str"/>
      <x:c r="S228" s="31" t="str"/>
      <x:c r="T228" s="32" t="str"/>
      <x:c r="U228" s="31" t="str">
        <x:v>Exact DraftKings price unavailable.</x:v>
      </x:c>
      <x:c r="V228" s="31" t="str">
        <x:v>CONFLICT_CLUSTER</x:v>
      </x:c>
      <x:c r="W228" s="31" t="str">
        <x:v>EXP-01</x:v>
      </x:c>
      <x:c r="X228" s="31" t="str">
        <x:v>NOLA OUTS ARM</x:v>
      </x:c>
      <x:c r="Y228" s="31" t="str">
        <x:v>S11-A17</x:v>
      </x:c>
      <x:c r="Z228" s="31" t="str">
        <x:v>Nola can work six innings even if Atlanta produces a home run.</x:v>
      </x:c>
      <x:c r="AA228" s="31" t="str">
        <x:v>An early exit below 18 outs.</x:v>
      </x:c>
      <x:c r="AB228" s="31" t="str">
        <x:v>Pending.</x:v>
      </x:c>
    </x:row>
    <x:row r="229">
      <x:c r="A229" s="79" t="str">
        <x:v>2026-09-11</x:v>
      </x:c>
      <x:c r="B229" s="31" t="str">
        <x:v>S11-P03</x:v>
      </x:c>
      <x:c r="C229" s="31" t="str"/>
      <x:c r="D229" s="31" t="str">
        <x:v>PAPER</x:v>
      </x:c>
      <x:c r="E229" s="31" t="str">
        <x:v>MLB</x:v>
      </x:c>
      <x:c r="F229" s="31" t="str">
        <x:v>SEA @ ATH</x:v>
      </x:c>
      <x:c r="G229" s="31" t="str">
        <x:v>George Kirby</x:v>
      </x:c>
      <x:c r="H229" s="31" t="str">
        <x:v>Pitcher Strikeouts</x:v>
      </x:c>
      <x:c r="I229" s="31" t="str">
        <x:v>Over 4.5 strikeouts</x:v>
      </x:c>
      <x:c r="J229" s="80" t="str"/>
      <x:c r="K229" s="31" t="str">
        <x:v>SOURCED</x:v>
      </x:c>
      <x:c r="L229" s="31" t="str">
        <x:v>WATCH</x:v>
      </x:c>
      <x:c r="M229" s="31" t="str">
        <x:v>Preserve the external strikeout-model output without promoting it to cash exposure.</x:v>
      </x:c>
      <x:c r="N229" s="31" t="str">
        <x:v>N</x:v>
      </x:c>
      <x:c r="O229" s="31" t="str">
        <x:v>Pending</x:v>
      </x:c>
      <x:c r="P229" s="31" t="str"/>
      <x:c r="Q229" s="33" t="str"/>
      <x:c r="R229" s="33" t="str"/>
      <x:c r="S229" s="31" t="str"/>
      <x:c r="T229" s="32" t="str"/>
      <x:c r="U229" s="31" t="str">
        <x:v>Recent strikeout distribution remains mixed; exact DraftKings price unavailable.</x:v>
      </x:c>
      <x:c r="V229" s="31" t="str">
        <x:v>SOURCE_CALIBRATION_TEST</x:v>
      </x:c>
      <x:c r="W229" s="31" t="str">
        <x:v>EXP-02</x:v>
      </x:c>
      <x:c r="X229" s="31" t="str">
        <x:v>KIRBY K-OVER ARM</x:v>
      </x:c>
      <x:c r="Y229" s="31" t="str"/>
      <x:c r="Z229" s="31" t="str">
        <x:v>The source’s matchup model adds value beyond the recent strikeout distribution.</x:v>
      </x:c>
      <x:c r="AA229" s="31" t="str">
        <x:v>Kirby finishes below five strikeouts or the mechanism remains unexplained.</x:v>
      </x:c>
      <x:c r="AB229" s="31" t="str">
        <x:v>Pending.</x:v>
      </x:c>
    </x:row>
    <x:row r="230">
      <x:c r="A230" s="79" t="str">
        <x:v>2026-09-11</x:v>
      </x:c>
      <x:c r="B230" s="31" t="str">
        <x:v>S11-P04</x:v>
      </x:c>
      <x:c r="C230" s="31" t="str">
        <x:v>S11-A07</x:v>
      </x:c>
      <x:c r="D230" s="31" t="str">
        <x:v>PAPER</x:v>
      </x:c>
      <x:c r="E230" s="31" t="str">
        <x:v>MLB</x:v>
      </x:c>
      <x:c r="F230" s="31" t="str">
        <x:v>CWS @ STL</x:v>
      </x:c>
      <x:c r="G230" s="31" t="str">
        <x:v>Matthew Liberatore</x:v>
      </x:c>
      <x:c r="H230" s="31" t="str">
        <x:v>Pitcher Strikeouts</x:v>
      </x:c>
      <x:c r="I230" s="31" t="str">
        <x:v>Under 5.5 strikeouts</x:v>
      </x:c>
      <x:c r="J230" s="80" t="str"/>
      <x:c r="K230" s="31" t="str">
        <x:v>SOURCED</x:v>
      </x:c>
      <x:c r="L230" s="31" t="str">
        <x:v>REJECT</x:v>
      </x:c>
      <x:c r="M230" s="31" t="str">
        <x:v>Rejected real-money source arm retained solely for source-model evaluation.</x:v>
      </x:c>
      <x:c r="N230" s="31" t="str">
        <x:v>N</x:v>
      </x:c>
      <x:c r="O230" s="31" t="str">
        <x:v>Pending</x:v>
      </x:c>
      <x:c r="P230" s="31" t="str"/>
      <x:c r="Q230" s="33" t="str"/>
      <x:c r="R230" s="33" t="str"/>
      <x:c r="S230" s="31" t="str"/>
      <x:c r="T230" s="32" t="str"/>
      <x:c r="U230" s="31" t="str">
        <x:v>Recent strikeout results directly oppose the under; exact DraftKings price unavailable.</x:v>
      </x:c>
      <x:c r="V230" s="31" t="str">
        <x:v>REJECTED_SOURCE_TEST</x:v>
      </x:c>
      <x:c r="W230" s="31" t="str">
        <x:v>EXP-02</x:v>
      </x:c>
      <x:c r="X230" s="31" t="str">
        <x:v>LIBERATORE K-UNDER ARM</x:v>
      </x:c>
      <x:c r="Y230" s="31" t="str"/>
      <x:c r="Z230" s="31" t="str">
        <x:v>The source matchup model can overcome Liberatore’s recent strikeout production.</x:v>
      </x:c>
      <x:c r="AA230" s="31" t="str">
        <x:v>Six or more strikeouts.</x:v>
      </x:c>
      <x:c r="AB230" s="31" t="str">
        <x:v>Pending.</x:v>
      </x:c>
    </x:row>
    <x:row r="231">
      <x:c r="A231" s="79" t="str">
        <x:v>2026-09-11</x:v>
      </x:c>
      <x:c r="B231" s="31" t="str">
        <x:v>S11-P05</x:v>
      </x:c>
      <x:c r="C231" s="31" t="str"/>
      <x:c r="D231" s="31" t="str">
        <x:v>PAPER</x:v>
      </x:c>
      <x:c r="E231" s="31" t="str">
        <x:v>MLB</x:v>
      </x:c>
      <x:c r="F231" s="31" t="str">
        <x:v>CIN @ MIL</x:v>
      </x:c>
      <x:c r="G231" s="31" t="str">
        <x:v>Dustin May</x:v>
      </x:c>
      <x:c r="H231" s="31" t="str">
        <x:v>Pitcher Strikeouts</x:v>
      </x:c>
      <x:c r="I231" s="31" t="str">
        <x:v>Over 5.5 strikeouts</x:v>
      </x:c>
      <x:c r="J231" s="80" t="str"/>
      <x:c r="K231" s="31" t="str">
        <x:v>SOURCED</x:v>
      </x:c>
      <x:c r="L231" s="31" t="str">
        <x:v>WATCH</x:v>
      </x:c>
      <x:c r="M231" s="31" t="str">
        <x:v>Source arm retained behind a starter data-quality gate.</x:v>
      </x:c>
      <x:c r="N231" s="31" t="str">
        <x:v>N</x:v>
      </x:c>
      <x:c r="O231" s="31" t="str">
        <x:v>Pending</x:v>
      </x:c>
      <x:c r="P231" s="31" t="str"/>
      <x:c r="Q231" s="33" t="str"/>
      <x:c r="R231" s="33" t="str"/>
      <x:c r="S231" s="31" t="str"/>
      <x:c r="T231" s="32" t="str"/>
      <x:c r="U231" s="31" t="str">
        <x:v>Morning sources conflicted on Milwaukee’s starter; exact DraftKings price unavailable.</x:v>
      </x:c>
      <x:c r="V231" s="31" t="str">
        <x:v>DATA_QUALITY_TEST</x:v>
      </x:c>
      <x:c r="W231" s="31" t="str">
        <x:v>EXP-02</x:v>
      </x:c>
      <x:c r="X231" s="31" t="str">
        <x:v>MAY K-OVER ARM</x:v>
      </x:c>
      <x:c r="Y231" s="31" t="str"/>
      <x:c r="Z231" s="31" t="str">
        <x:v>The source strikeout thesis remains valid after starter and role verification.</x:v>
      </x:c>
      <x:c r="AA231" s="31" t="str">
        <x:v>Starter information remains unresolved or May records fewer than six strikeouts.</x:v>
      </x:c>
      <x:c r="AB231" s="31" t="str">
        <x:v>Pending.</x:v>
      </x:c>
    </x:row>
    <x:row r="232">
      <x:c r="A232" s="79" t="str">
        <x:v>2026-09-11</x:v>
      </x:c>
      <x:c r="B232" s="31" t="str">
        <x:v>S11-P06</x:v>
      </x:c>
      <x:c r="C232" s="31" t="str">
        <x:v>S11-A19</x:v>
      </x:c>
      <x:c r="D232" s="31" t="str">
        <x:v>PAPER</x:v>
      </x:c>
      <x:c r="E232" s="31" t="str">
        <x:v>MLB</x:v>
      </x:c>
      <x:c r="F232" s="31" t="str">
        <x:v>MULTI</x:v>
      </x:c>
      <x:c r="G232" s="31" t="str">
        <x:v>Pete Crow-Armstrong + Teoscar Hernández + Elly De La Cruz</x:v>
      </x:c>
      <x:c r="H232" s="31" t="str">
        <x:v>Hit Parlay</x:v>
      </x:c>
      <x:c r="I232" s="31" t="str">
        <x:v>Each player 1+ hit</x:v>
      </x:c>
      <x:c r="J232" s="80" t="str"/>
      <x:c r="K232" s="31" t="str">
        <x:v>SOURCED</x:v>
      </x:c>
      <x:c r="L232" s="31" t="str">
        <x:v>WATCH</x:v>
      </x:c>
      <x:c r="M232" s="31" t="str">
        <x:v>Preserve the external original construction without treating it as a final candidate universe.</x:v>
      </x:c>
      <x:c r="N232" s="31" t="str">
        <x:v>N</x:v>
      </x:c>
      <x:c r="O232" s="31" t="str">
        <x:v>Pending</x:v>
      </x:c>
      <x:c r="P232" s="31" t="str"/>
      <x:c r="Q232" s="33" t="str"/>
      <x:c r="R232" s="33" t="str"/>
      <x:c r="S232" s="31" t="str"/>
      <x:c r="T232" s="32" t="str"/>
      <x:c r="U232" s="31" t="str">
        <x:v>Source price unavailable; exact three-leg construction retained.</x:v>
      </x:c>
      <x:c r="V232" s="31" t="str">
        <x:v>EXT_ORIGINAL</x:v>
      </x:c>
      <x:c r="W232" s="31" t="str">
        <x:v>EXP-20</x:v>
      </x:c>
      <x:c r="X232" s="31" t="str">
        <x:v>THREE-HITTER PARLAY</x:v>
      </x:c>
      <x:c r="Y232" s="31" t="str"/>
      <x:c r="Z232" s="31" t="str">
        <x:v>All three source-selected hitters can clear one hit without hidden weak-leg contamination.</x:v>
      </x:c>
      <x:c r="AA232" s="31" t="str">
        <x:v>Any leg fails or one component lacked standalone qualification.</x:v>
      </x:c>
      <x:c r="AB232" s="31" t="str">
        <x:v>Pending.</x:v>
      </x:c>
    </x:row>
    <x:row r="233">
      <x:c r="A233" s="79" t="str">
        <x:v>2026-09-11</x:v>
      </x:c>
      <x:c r="B233" s="31" t="str">
        <x:v>S11-P07</x:v>
      </x:c>
      <x:c r="C233" s="31" t="str"/>
      <x:c r="D233" s="31" t="str">
        <x:v>PAPER</x:v>
      </x:c>
      <x:c r="E233" s="31" t="str">
        <x:v>MLB</x:v>
      </x:c>
      <x:c r="F233" s="31" t="str">
        <x:v>MULTI</x:v>
      </x:c>
      <x:c r="G233" s="31" t="str">
        <x:v>Three-game NRFI source card</x:v>
      </x:c>
      <x:c r="H233" s="31" t="str">
        <x:v>NRFI Parlay</x:v>
      </x:c>
      <x:c r="I233" s="31" t="str">
        <x:v>Three-leg NRFI parlay</x:v>
      </x:c>
      <x:c r="J233" s="80" t="str"/>
      <x:c r="K233" s="31" t="str">
        <x:v>SOURCED</x:v>
      </x:c>
      <x:c r="L233" s="31" t="str">
        <x:v>WATCH</x:v>
      </x:c>
      <x:c r="M233" s="31" t="str">
        <x:v>Preserve the external original NRFI construction for settlement and construction testing.</x:v>
      </x:c>
      <x:c r="N233" s="31" t="str">
        <x:v>N</x:v>
      </x:c>
      <x:c r="O233" s="31" t="str">
        <x:v>Pending</x:v>
      </x:c>
      <x:c r="P233" s="31" t="str"/>
      <x:c r="Q233" s="33" t="str"/>
      <x:c r="R233" s="33" t="str"/>
      <x:c r="S233" s="31" t="str"/>
      <x:c r="T233" s="32" t="str"/>
      <x:c r="U233" s="31" t="str">
        <x:v>Exact component games and source price were not preserved in the readable chat extract.</x:v>
      </x:c>
      <x:c r="V233" s="31" t="str">
        <x:v>EXT_ORIGINAL</x:v>
      </x:c>
      <x:c r="W233" s="31" t="str">
        <x:v>EXP-10</x:v>
      </x:c>
      <x:c r="X233" s="31" t="str">
        <x:v>THREE-NRFI PARLAY</x:v>
      </x:c>
      <x:c r="Y233" s="31" t="str"/>
      <x:c r="Z233" s="31" t="str">
        <x:v>The external three-leg NRFI construction can clear without one weak leg dominating failure risk.</x:v>
      </x:c>
      <x:c r="AA233" s="31" t="str">
        <x:v>Any NRFI component loses or lacks independent qualification.</x:v>
      </x:c>
      <x:c r="AB233" s="31" t="str">
        <x:v>Pending.</x:v>
      </x:c>
    </x:row>
    <x:row r="234">
      <x:c r="A234" s="79" t="str">
        <x:v>2026-09-11</x:v>
      </x:c>
      <x:c r="B234" s="31" t="str">
        <x:v>S11-P08</x:v>
      </x:c>
      <x:c r="C234" s="31" t="str">
        <x:v>S11-A09</x:v>
      </x:c>
      <x:c r="D234" s="31" t="str">
        <x:v>PAPER</x:v>
      </x:c>
      <x:c r="E234" s="31" t="str">
        <x:v>NCAAF</x:v>
      </x:c>
      <x:c r="F234" s="31" t="str">
        <x:v>MIZ @ KU</x:v>
      </x:c>
      <x:c r="G234" s="31" t="str">
        <x:v>Kansas Jayhawks + game under</x:v>
      </x:c>
      <x:c r="H234" s="31" t="str">
        <x:v>Spread / Total</x:v>
      </x:c>
      <x:c r="I234" s="31" t="str">
        <x:v>Kansas +5.5 / under 50.5</x:v>
      </x:c>
      <x:c r="J234" s="80" t="str"/>
      <x:c r="K234" s="31" t="str">
        <x:v>SOURCED</x:v>
      </x:c>
      <x:c r="L234" s="31" t="str">
        <x:v>WATCH</x:v>
      </x:c>
      <x:c r="M234" s="31" t="str">
        <x:v>One side of a direct source-disagreement cluster in the same game.</x:v>
      </x:c>
      <x:c r="N234" s="31" t="str">
        <x:v>N</x:v>
      </x:c>
      <x:c r="O234" s="31" t="str">
        <x:v>Pending</x:v>
      </x:c>
      <x:c r="P234" s="31" t="str"/>
      <x:c r="Q234" s="33" t="str"/>
      <x:c r="R234" s="33" t="str"/>
      <x:c r="S234" s="31" t="str"/>
      <x:c r="T234" s="32" t="str"/>
      <x:c r="U234" s="31" t="str">
        <x:v>Source prices unavailable; preserve both thresholds exactly.</x:v>
      </x:c>
      <x:c r="V234" s="31" t="str">
        <x:v>CONFLICT_CLUSTER</x:v>
      </x:c>
      <x:c r="W234" s="31" t="str">
        <x:v>EXP-23</x:v>
      </x:c>
      <x:c r="X234" s="31" t="str">
        <x:v>KANSAS PLUS UNDER ARM</x:v>
      </x:c>
      <x:c r="Y234" s="31" t="str">
        <x:v>S11-P09</x:v>
      </x:c>
      <x:c r="Z234" s="31" t="str">
        <x:v>Kansas stays within 5.5 in a game finishing below 50.5.</x:v>
      </x:c>
      <x:c r="AA234" s="31" t="str">
        <x:v>Kansas fails to cover or the total exceeds 50.5.</x:v>
      </x:c>
      <x:c r="AB234" s="31" t="str">
        <x:v>Pending.</x:v>
      </x:c>
    </x:row>
    <x:row r="235">
      <x:c r="A235" s="79" t="str">
        <x:v>2026-09-11</x:v>
      </x:c>
      <x:c r="B235" s="31" t="str">
        <x:v>S11-P09</x:v>
      </x:c>
      <x:c r="C235" s="31" t="str">
        <x:v>S11-A09</x:v>
      </x:c>
      <x:c r="D235" s="31" t="str">
        <x:v>PAPER</x:v>
      </x:c>
      <x:c r="E235" s="31" t="str">
        <x:v>NCAAF</x:v>
      </x:c>
      <x:c r="F235" s="31" t="str">
        <x:v>MIZ @ KU</x:v>
      </x:c>
      <x:c r="G235" s="31" t="str">
        <x:v>Austin Simmons + Nik McMillan</x:v>
      </x:c>
      <x:c r="H235" s="31" t="str">
        <x:v>Player Prop Parlay</x:v>
      </x:c>
      <x:c r="I235" s="31" t="str">
        <x:v>Simmons over 1.5 pass TD + McMillan over 49.5 receiving yards</x:v>
      </x:c>
      <x:c r="J235" s="80" t="str"/>
      <x:c r="K235" s="31" t="str">
        <x:v>SOURCED</x:v>
      </x:c>
      <x:c r="L235" s="31" t="str">
        <x:v>WATCH</x:v>
      </x:c>
      <x:c r="M235" s="31" t="str">
        <x:v>Opposing side of the direct source-disagreement cluster.</x:v>
      </x:c>
      <x:c r="N235" s="31" t="str">
        <x:v>N</x:v>
      </x:c>
      <x:c r="O235" s="31" t="str">
        <x:v>Pending</x:v>
      </x:c>
      <x:c r="P235" s="31" t="str"/>
      <x:c r="Q235" s="33" t="str"/>
      <x:c r="R235" s="33" t="str"/>
      <x:c r="S235" s="31" t="str"/>
      <x:c r="T235" s="32" t="str"/>
      <x:c r="U235" s="31" t="str">
        <x:v>Source price unavailable; the opener came against a much weaker opponent.</x:v>
      </x:c>
      <x:c r="V235" s="31" t="str">
        <x:v>CONFLICT_CLUSTER</x:v>
      </x:c>
      <x:c r="W235" s="31" t="str">
        <x:v>EXP-23</x:v>
      </x:c>
      <x:c r="X235" s="31" t="str">
        <x:v>MISSOURI PASSING ARM</x:v>
      </x:c>
      <x:c r="Y235" s="31" t="str">
        <x:v>S11-P08</x:v>
      </x:c>
      <x:c r="Z235" s="31" t="str">
        <x:v>Missouri passing production clears both supplied player thresholds.</x:v>
      </x:c>
      <x:c r="AA235" s="31" t="str">
        <x:v>Either player threshold misses or the opener proves non-transferable.</x:v>
      </x:c>
      <x:c r="AB235" s="31" t="str">
        <x:v>Pending.</x:v>
      </x:c>
    </x:row>
    <x:row r="236">
      <x:c r="A236" s="79" t="str">
        <x:v>2026-09-11</x:v>
      </x:c>
      <x:c r="B236" s="31" t="str">
        <x:v>S11-P10</x:v>
      </x:c>
      <x:c r="C236" s="31" t="str">
        <x:v>S11-A16</x:v>
      </x:c>
      <x:c r="D236" s="31" t="str">
        <x:v>PAPER</x:v>
      </x:c>
      <x:c r="E236" s="31" t="str">
        <x:v>MLB</x:v>
      </x:c>
      <x:c r="F236" s="31" t="str">
        <x:v>NYM @ NYY</x:v>
      </x:c>
      <x:c r="G236" s="31" t="str">
        <x:v>Nolan McLean</x:v>
      </x:c>
      <x:c r="H236" s="31" t="str">
        <x:v>Pitcher Outs</x:v>
      </x:c>
      <x:c r="I236" s="31" t="str">
        <x:v>Under 17.5 pitching outs</x:v>
      </x:c>
      <x:c r="J236" s="80" t="str"/>
      <x:c r="K236" s="31" t="str">
        <x:v>SOURCED</x:v>
      </x:c>
      <x:c r="L236" s="31" t="str">
        <x:v>WATCH</x:v>
      </x:c>
      <x:c r="M236" s="31" t="str">
        <x:v>Direct opposing-side control for the independent over 17.5 workload thesis.</x:v>
      </x:c>
      <x:c r="N236" s="31" t="str">
        <x:v>N</x:v>
      </x:c>
      <x:c r="O236" s="31" t="str">
        <x:v>Pending</x:v>
      </x:c>
      <x:c r="P236" s="31" t="str"/>
      <x:c r="Q236" s="33" t="str"/>
      <x:c r="R236" s="33" t="str"/>
      <x:c r="S236" s="31" t="str"/>
      <x:c r="T236" s="32" t="str"/>
      <x:c r="U236" s="31" t="str">
        <x:v>External optimizer price unavailable.</x:v>
      </x:c>
      <x:c r="V236" s="31" t="str">
        <x:v>CONFLICT_CLUSTER</x:v>
      </x:c>
      <x:c r="W236" s="31" t="str">
        <x:v>EXP-01</x:v>
      </x:c>
      <x:c r="X236" s="31" t="str">
        <x:v>MCLEAN OUTS UNDER ARM</x:v>
      </x:c>
      <x:c r="Y236" s="31" t="str">
        <x:v>S11-A16</x:v>
      </x:c>
      <x:c r="Z236" s="31" t="str">
        <x:v>The source’s under signal defeats the recent six-inning workload regime.</x:v>
      </x:c>
      <x:c r="AA236" s="31" t="str">
        <x:v>McLean records 18 or more outs.</x:v>
      </x:c>
      <x:c r="AB236" s="31" t="str">
        <x:v>Pending.</x:v>
      </x:c>
    </x:row>
    <x:row r="237">
      <x:c r="A237" s="79" t="str">
        <x:v>2026-09-11</x:v>
      </x:c>
      <x:c r="B237" s="31" t="str">
        <x:v>S11-P11</x:v>
      </x:c>
      <x:c r="C237" s="31" t="str">
        <x:v>S11-A17</x:v>
      </x:c>
      <x:c r="D237" s="31" t="str">
        <x:v>PAPER</x:v>
      </x:c>
      <x:c r="E237" s="31" t="str">
        <x:v>MLB</x:v>
      </x:c>
      <x:c r="F237" s="31" t="str">
        <x:v>PHI @ ATL</x:v>
      </x:c>
      <x:c r="G237" s="31" t="str">
        <x:v>Austin Riley</x:v>
      </x:c>
      <x:c r="H237" s="31" t="str">
        <x:v>Home Run</x:v>
      </x:c>
      <x:c r="I237" s="31" t="str">
        <x:v>1+ home run</x:v>
      </x:c>
      <x:c r="J237" s="80" t="n">
        <x:v>490</x:v>
      </x:c>
      <x:c r="K237" s="31" t="str">
        <x:v>SOURCED</x:v>
      </x:c>
      <x:c r="L237" s="31" t="str">
        <x:v>WATCH</x:v>
      </x:c>
      <x:c r="M237" s="31" t="str">
        <x:v>Corrected BvP evidence supports a Paper HR challenger, but current power quality trails Olson.</x:v>
      </x:c>
      <x:c r="N237" s="31" t="str">
        <x:v>N</x:v>
      </x:c>
      <x:c r="O237" s="31" t="str">
        <x:v>Pending</x:v>
      </x:c>
      <x:c r="P237" s="31" t="str"/>
      <x:c r="Q237" s="33" t="str"/>
      <x:c r="R237" s="33" t="str"/>
      <x:c r="S237" s="31" t="str"/>
      <x:c r="T237" s="32" t="str"/>
      <x:c r="U237" s="31" t="str">
        <x:v>The source BvP counts were stale; price requires current recheck.</x:v>
      </x:c>
      <x:c r="V237" s="31" t="str">
        <x:v>HR_SATELLITE</x:v>
      </x:c>
      <x:c r="W237" s="31" t="str">
        <x:v>EXP-16</x:v>
      </x:c>
      <x:c r="X237" s="31" t="str">
        <x:v>RILEY HR ARM</x:v>
      </x:c>
      <x:c r="Y237" s="31" t="str">
        <x:v>S11-A17</x:v>
      </x:c>
      <x:c r="Z237" s="31" t="str">
        <x:v>Riley’s corrected historical matchup can overcome weaker current power quality.</x:v>
      </x:c>
      <x:c r="AA237" s="31" t="str">
        <x:v>No home run or materially worse current contact than the source implied.</x:v>
      </x:c>
      <x:c r="AB237" s="31" t="str">
        <x:v>Pending.</x:v>
      </x:c>
    </x:row>
    <x:row r="238">
      <x:c r="A238" s="79" t="str">
        <x:v>2026-09-11</x:v>
      </x:c>
      <x:c r="B238" s="31" t="str">
        <x:v>S11-P12</x:v>
      </x:c>
      <x:c r="C238" s="31" t="str"/>
      <x:c r="D238" s="31" t="str">
        <x:v>PAPER</x:v>
      </x:c>
      <x:c r="E238" s="31" t="str">
        <x:v>MLB</x:v>
      </x:c>
      <x:c r="F238" s="31" t="str">
        <x:v>LAD @ MIA</x:v>
      </x:c>
      <x:c r="G238" s="31" t="str">
        <x:v>Blake Snell</x:v>
      </x:c>
      <x:c r="H238" s="31" t="str">
        <x:v>Pitcher Strikeouts</x:v>
      </x:c>
      <x:c r="I238" s="31" t="str">
        <x:v>Under 7.5 strikeouts</x:v>
      </x:c>
      <x:c r="J238" s="80" t="str"/>
      <x:c r="K238" s="31" t="str">
        <x:v>SOURCED</x:v>
      </x:c>
      <x:c r="L238" s="31" t="str">
        <x:v>WATCH</x:v>
      </x:c>
      <x:c r="M238" s="31" t="str">
        <x:v>Source optimizer challenger awaiting a complete workload and whiff audit.</x:v>
      </x:c>
      <x:c r="N238" s="31" t="str">
        <x:v>N</x:v>
      </x:c>
      <x:c r="O238" s="31" t="str">
        <x:v>Pending</x:v>
      </x:c>
      <x:c r="P238" s="31" t="str"/>
      <x:c r="Q238" s="33" t="str"/>
      <x:c r="R238" s="33" t="str"/>
      <x:c r="S238" s="31" t="str"/>
      <x:c r="T238" s="32" t="str"/>
      <x:c r="U238" s="31" t="str">
        <x:v>Exact DraftKings price unavailable.</x:v>
      </x:c>
      <x:c r="V238" s="31" t="str">
        <x:v>SOURCE_CALIBRATION_TEST</x:v>
      </x:c>
      <x:c r="W238" s="31" t="str">
        <x:v>EXP-02</x:v>
      </x:c>
      <x:c r="X238" s="31" t="str">
        <x:v>SNELL K-UNDER ARM</x:v>
      </x:c>
      <x:c r="Y238" s="31" t="str"/>
      <x:c r="Z238" s="31" t="str">
        <x:v>The supplied under signal adds value beyond Miami’s baseline strikeout profile.</x:v>
      </x:c>
      <x:c r="AA238" s="31" t="str">
        <x:v>Snell records eight or more strikeouts or the source mechanism remains unsupported.</x:v>
      </x:c>
      <x:c r="AB238" s="31" t="str">
        <x:v>Pending.</x:v>
      </x:c>
    </x:row>
    <x:row r="239">
      <x:c r="A239" s="79" t="str">
        <x:v>2026-09-11</x:v>
      </x:c>
      <x:c r="B239" s="31" t="str">
        <x:v>S11-P13</x:v>
      </x:c>
      <x:c r="C239" s="31" t="str">
        <x:v>S11-A18</x:v>
      </x:c>
      <x:c r="D239" s="31" t="str">
        <x:v>PAPER</x:v>
      </x:c>
      <x:c r="E239" s="31" t="str">
        <x:v>MLB</x:v>
      </x:c>
      <x:c r="F239" s="31" t="str">
        <x:v>BAL @ TOR</x:v>
      </x:c>
      <x:c r="G239" s="31" t="str">
        <x:v>Chris Bassitt</x:v>
      </x:c>
      <x:c r="H239" s="31" t="str">
        <x:v>Pitcher Strikeouts</x:v>
      </x:c>
      <x:c r="I239" s="31" t="str">
        <x:v>4+ / over 3.5 strikeouts</x:v>
      </x:c>
      <x:c r="J239" s="80" t="n">
        <x:v>118</x:v>
      </x:c>
      <x:c r="K239" s="31" t="str">
        <x:v>SOURCED</x:v>
      </x:c>
      <x:c r="L239" s="31" t="str">
        <x:v>WATCH</x:v>
      </x:c>
      <x:c r="M239" s="31" t="str">
        <x:v>Strikeout-expression control against the Bassitt outs-under thesis.</x:v>
      </x:c>
      <x:c r="N239" s="31" t="str">
        <x:v>N</x:v>
      </x:c>
      <x:c r="O239" s="31" t="str">
        <x:v>Pending</x:v>
      </x:c>
      <x:c r="P239" s="31" t="str"/>
      <x:c r="Q239" s="33" t="str"/>
      <x:c r="R239" s="33" t="str"/>
      <x:c r="S239" s="31" t="str"/>
      <x:c r="T239" s="32" t="str"/>
      <x:c r="U239" s="31" t="str">
        <x:v>External +118 source price; exact DraftKings price unavailable.</x:v>
      </x:c>
      <x:c r="V239" s="31" t="str">
        <x:v>MARKET_EXPRESSION_TEST</x:v>
      </x:c>
      <x:c r="W239" s="31" t="str">
        <x:v>EXP-01</x:v>
      </x:c>
      <x:c r="X239" s="31" t="str">
        <x:v>BASSITT K ARM</x:v>
      </x:c>
      <x:c r="Y239" s="31" t="str">
        <x:v>S11-A18</x:v>
      </x:c>
      <x:c r="Z239" s="31" t="str">
        <x:v>Bassitt’s strikeout threshold is a better expression than the deteriorated outs under.</x:v>
      </x:c>
      <x:c r="AA239" s="31" t="str">
        <x:v>Bassitt finishes below four strikeouts.</x:v>
      </x:c>
      <x:c r="AB239" s="31" t="str">
        <x:v>Pending.</x:v>
      </x:c>
    </x:row>
    <x:row r="240">
      <x:c r="A240" s="79" t="str">
        <x:v>2026-09-11</x:v>
      </x:c>
      <x:c r="B240" s="31" t="str">
        <x:v>S11-P14</x:v>
      </x:c>
      <x:c r="C240" s="31" t="str">
        <x:v>S11-A10</x:v>
      </x:c>
      <x:c r="D240" s="31" t="str">
        <x:v>PAPER</x:v>
      </x:c>
      <x:c r="E240" s="31" t="str">
        <x:v>NCAAF</x:v>
      </x:c>
      <x:c r="F240" s="31" t="str">
        <x:v>VILL @ LOU</x:v>
      </x:c>
      <x:c r="G240" s="31" t="str">
        <x:v>Louisville Cardinals</x:v>
      </x:c>
      <x:c r="H240" s="31" t="str">
        <x:v>First-Half Spread</x:v>
      </x:c>
      <x:c r="I240" s="31" t="str">
        <x:v>Louisville -23.5 first half</x:v>
      </x:c>
      <x:c r="J240" s="80" t="n">
        <x:v>-108</x:v>
      </x:c>
      <x:c r="K240" s="31" t="str">
        <x:v>DISCOVERED</x:v>
      </x:c>
      <x:c r="L240" s="31" t="str">
        <x:v>PASS</x:v>
      </x:c>
      <x:c r="M240" s="31" t="str">
        <x:v>The mismatch thesis survived, but the exact threshold failed the cash gate.</x:v>
      </x:c>
      <x:c r="N240" s="31" t="str">
        <x:v>N</x:v>
      </x:c>
      <x:c r="O240" s="31" t="str">
        <x:v>Pending</x:v>
      </x:c>
      <x:c r="P240" s="31" t="str"/>
      <x:c r="Q240" s="33" t="str"/>
      <x:c r="R240" s="33" t="str"/>
      <x:c r="S240" s="31" t="str"/>
      <x:c r="T240" s="32" t="str"/>
      <x:c r="U240" s="31" t="str">
        <x:v>DraftKings required a 24-point halftime lead.</x:v>
      </x:c>
      <x:c r="V240" s="31" t="str">
        <x:v>THRESHOLD_TEST</x:v>
      </x:c>
      <x:c r="W240" s="31" t="str">
        <x:v>EXP-22</x:v>
      </x:c>
      <x:c r="X240" s="31" t="str">
        <x:v>LOUISVILLE 1H -23.5 ARM</x:v>
      </x:c>
      <x:c r="Y240" s="31" t="str"/>
      <x:c r="Z240" s="31" t="str">
        <x:v>Louisville’s starters create a four-touchdown halftime margin.</x:v>
      </x:c>
      <x:c r="AA240" s="31" t="str">
        <x:v>Louisville leads by fewer than 24 at halftime.</x:v>
      </x:c>
      <x:c r="AB240" s="31" t="str">
        <x:v>Pending.</x:v>
      </x:c>
    </x:row>
    <x:row r="241">
      <x:c r="A241" s="79" t="str">
        <x:v>2026-09-11</x:v>
      </x:c>
      <x:c r="B241" s="31" t="str">
        <x:v>S11-P15</x:v>
      </x:c>
      <x:c r="C241" s="31" t="str"/>
      <x:c r="D241" s="31" t="str">
        <x:v>PAPER</x:v>
      </x:c>
      <x:c r="E241" s="31" t="str">
        <x:v>MLB</x:v>
      </x:c>
      <x:c r="F241" s="31" t="str">
        <x:v>SD @ SF</x:v>
      </x:c>
      <x:c r="G241" s="31" t="str">
        <x:v>Rejected Rafael Devers source row</x:v>
      </x:c>
      <x:c r="H241" s="31" t="str">
        <x:v>Source Data Quality</x:v>
      </x:c>
      <x:c r="I241" s="31" t="str">
        <x:v>Source claimed Devers 2+ total bases versus teammate Robbie Ray</x:v>
      </x:c>
      <x:c r="J241" s="80" t="str"/>
      <x:c r="K241" s="31" t="str">
        <x:v>SOURCED</x:v>
      </x:c>
      <x:c r="L241" s="31" t="str">
        <x:v>REJECT</x:v>
      </x:c>
      <x:c r="M241" s="31" t="str">
        <x:v>Preserve a hard factual-integrity failure without allowing it into candidate performance.</x:v>
      </x:c>
      <x:c r="N241" s="31" t="str">
        <x:v>N</x:v>
      </x:c>
      <x:c r="O241" s="31" t="str">
        <x:v>N/A</x:v>
      </x:c>
      <x:c r="P241" s="31" t="str"/>
      <x:c r="Q241" s="33" t="str"/>
      <x:c r="R241" s="33" t="str"/>
      <x:c r="S241" s="31" t="str"/>
      <x:c r="T241" s="32" t="str"/>
      <x:c r="U241" s="31" t="str">
        <x:v>Devers and Ray are teammates; the described batter-versus-pitcher matchup cannot occur.</x:v>
      </x:c>
      <x:c r="V241" s="31" t="str">
        <x:v>SOURCE_DATA_QUALITY</x:v>
      </x:c>
      <x:c r="W241" s="31" t="str">
        <x:v>EXP-07</x:v>
      </x:c>
      <x:c r="X241" s="31" t="str">
        <x:v>IMPOSSIBLE MATCHUP ERROR</x:v>
      </x:c>
      <x:c r="Y241" s="31" t="str"/>
      <x:c r="Z241" s="31" t="str">
        <x:v>Source rows must survive identity and matchup validation before use.</x:v>
      </x:c>
      <x:c r="AA241" s="31" t="str">
        <x:v>A verified active roster and matchup showed the source row was possible.</x:v>
      </x:c>
      <x:c r="AB241" s="31" t="str">
        <x:v>Rejected before use; excluded from performance results.</x:v>
      </x:c>
    </x:row>
    <x:row r="242">
      <x:c r="A242" s="79" t="str">
        <x:v>2026-09-12</x:v>
      </x:c>
      <x:c r="B242" s="31" t="str">
        <x:v>S12-P01</x:v>
      </x:c>
      <x:c r="C242" s="31" t="str"/>
      <x:c r="D242" s="31" t="str">
        <x:v>PAPER</x:v>
      </x:c>
      <x:c r="E242" s="31" t="str">
        <x:v>NCAAF</x:v>
      </x:c>
      <x:c r="F242" s="31" t="str">
        <x:v>OSU @ TEX</x:v>
      </x:c>
      <x:c r="G242" s="31" t="str">
        <x:v>Ohio State Buckeyes</x:v>
      </x:c>
      <x:c r="H242" s="31" t="str">
        <x:v>Spread / moneyline</x:v>
      </x:c>
      <x:c r="I242" s="31" t="str">
        <x:v>Ohio State +1.5 / ML -102</x:v>
      </x:c>
      <x:c r="J242" s="80" t="n">
        <x:v>-102</x:v>
      </x:c>
      <x:c r="K242" s="31" t="str">
        <x:v>SOURCED</x:v>
      </x:c>
      <x:c r="L242" s="31" t="str">
        <x:v>WATCH</x:v>
      </x:c>
      <x:c r="M242" s="31" t="str">
        <x:v>Source-disagreement cluster versus a Texas -1.5 independent source view; treat spread and ML as one correlated hypothesis.</x:v>
      </x:c>
      <x:c r="N242" s="31" t="str">
        <x:v>N</x:v>
      </x:c>
      <x:c r="O242" s="31" t="str">
        <x:v>Pending</x:v>
      </x:c>
      <x:c r="P242" s="31" t="str"/>
      <x:c r="Q242" s="33" t="str"/>
      <x:c r="R242" s="33" t="str"/>
      <x:c r="S242" s="31" t="str"/>
      <x:c r="T242" s="32" t="str"/>
      <x:c r="U242" s="31" t="str">
        <x:v>Source-led Paper row from CFB Late Refresh; official event schedule: https://www.espn.com/college-football/game/_/gameId/401856682/ohio-state-texas. Exact DraftKings price is blank unless explicitly shown in the source text.</x:v>
      </x:c>
      <x:c r="V242" s="31" t="str">
        <x:v>CONFLICT_CLUSTER</x:v>
      </x:c>
      <x:c r="W242" s="31" t="str">
        <x:v>EXP-23</x:v>
      </x:c>
      <x:c r="X242" s="31" t="str">
        <x:v>OHIO STATE +1.5 / ML -102</x:v>
      </x:c>
      <x:c r="Y242" s="31" t="str"/>
      <x:c r="Z242" s="31" t="str">
        <x:v>Source-disagreement cluster versus a Texas -1.5 independent source view; treat spread and ML as one correlated hypothesis.</x:v>
      </x:c>
      <x:c r="AA242" s="31" t="str">
        <x:v>The proposition loses, the role/event is invalid, or price verification removes the claimed edge.</x:v>
      </x:c>
      <x:c r="AB242" s="31" t="str">
        <x:v>Pending.</x:v>
      </x:c>
    </x:row>
    <x:row r="243">
      <x:c r="A243" s="79" t="str">
        <x:v>2026-09-12</x:v>
      </x:c>
      <x:c r="B243" s="31" t="str">
        <x:v>S12-P02</x:v>
      </x:c>
      <x:c r="C243" s="31" t="str"/>
      <x:c r="D243" s="31" t="str">
        <x:v>PAPER</x:v>
      </x:c>
      <x:c r="E243" s="31" t="str">
        <x:v>NCAAF</x:v>
      </x:c>
      <x:c r="F243" s="31" t="str">
        <x:v>OSU @ TEX</x:v>
      </x:c>
      <x:c r="G243" s="31" t="str">
        <x:v>Ohio State–Texas</x:v>
      </x:c>
      <x:c r="H243" s="31" t="str">
        <x:v>Game total</x:v>
      </x:c>
      <x:c r="I243" s="31" t="str">
        <x:v>Under 50 / Over 54.5</x:v>
      </x:c>
      <x:c r="J243" s="80" t="str"/>
      <x:c r="K243" s="31" t="str">
        <x:v>SOURCED</x:v>
      </x:c>
      <x:c r="L243" s="31" t="str">
        <x:v>WATCH</x:v>
      </x:c>
      <x:c r="M243" s="31" t="str">
        <x:v>Directional total disagreement retained as paired Paper arms, not independent observations.</x:v>
      </x:c>
      <x:c r="N243" s="31" t="str">
        <x:v>N</x:v>
      </x:c>
      <x:c r="O243" s="31" t="str">
        <x:v>Pending</x:v>
      </x:c>
      <x:c r="P243" s="31" t="str"/>
      <x:c r="Q243" s="33" t="str"/>
      <x:c r="R243" s="33" t="str"/>
      <x:c r="S243" s="31" t="str"/>
      <x:c r="T243" s="32" t="str"/>
      <x:c r="U243" s="31" t="str">
        <x:v>Source-led Paper row from CFB Late Refresh; official event schedule: https://www.espn.com/college-football/game/_/gameId/401856682/ohio-state-texas. Exact DraftKings price is blank unless explicitly shown in the source text.</x:v>
      </x:c>
      <x:c r="V243" s="31" t="str">
        <x:v>CONFLICT_CLUSTER</x:v>
      </x:c>
      <x:c r="W243" s="31" t="str">
        <x:v>EXP-23</x:v>
      </x:c>
      <x:c r="X243" s="31" t="str">
        <x:v>UNDER 50 / OVER 54.5</x:v>
      </x:c>
      <x:c r="Y243" s="31" t="str"/>
      <x:c r="Z243" s="31" t="str">
        <x:v>Directional total disagreement retained as paired Paper arms, not independent observations.</x:v>
      </x:c>
      <x:c r="AA243" s="31" t="str">
        <x:v>The proposition loses, the role/event is invalid, or price verification removes the claimed edge.</x:v>
      </x:c>
      <x:c r="AB243" s="31" t="str">
        <x:v>Pending.</x:v>
      </x:c>
    </x:row>
    <x:row r="244">
      <x:c r="A244" s="79" t="str">
        <x:v>2026-09-12</x:v>
      </x:c>
      <x:c r="B244" s="31" t="str">
        <x:v>S12-P03</x:v>
      </x:c>
      <x:c r="C244" s="31" t="str"/>
      <x:c r="D244" s="31" t="str">
        <x:v>PAPER</x:v>
      </x:c>
      <x:c r="E244" s="31" t="str">
        <x:v>NCAAF</x:v>
      </x:c>
      <x:c r="F244" s="31" t="str">
        <x:v>ODU @ VT</x:v>
      </x:c>
      <x:c r="G244" s="31" t="str">
        <x:v>Old Dominion Monarchs</x:v>
      </x:c>
      <x:c r="H244" s="31" t="str">
        <x:v>Spread</x:v>
      </x:c>
      <x:c r="I244" s="31" t="str">
        <x:v>Old Dominion +19</x:v>
      </x:c>
      <x:c r="J244" s="80" t="str"/>
      <x:c r="K244" s="31" t="str">
        <x:v>SOURCED</x:v>
      </x:c>
      <x:c r="L244" s="31" t="str">
        <x:v>WATCH</x:v>
      </x:c>
      <x:c r="M244" s="31" t="str">
        <x:v>Source-led large-underdog spread requiring independent matchup and price verification.</x:v>
      </x:c>
      <x:c r="N244" s="31" t="str">
        <x:v>N</x:v>
      </x:c>
      <x:c r="O244" s="31" t="str">
        <x:v>Pending</x:v>
      </x:c>
      <x:c r="P244" s="31" t="str"/>
      <x:c r="Q244" s="33" t="str"/>
      <x:c r="R244" s="33" t="str"/>
      <x:c r="S244" s="31" t="str"/>
      <x:c r="T244" s="32" t="str"/>
      <x:c r="U244" s="31" t="str">
        <x:v>Source-led Paper row from CFB Late Refresh; official event schedule: https://www.espn.com/college-football/game/_/gameId/401858221/old-dominion-virginia-tech. Exact DraftKings price is blank unless explicitly shown in the source text.</x:v>
      </x:c>
      <x:c r="V244" s="31" t="str">
        <x:v>REPLICATION</x:v>
      </x:c>
      <x:c r="W244" s="31" t="str">
        <x:v>EXP-43</x:v>
      </x:c>
      <x:c r="X244" s="31" t="str">
        <x:v>OLD DOMINION +19</x:v>
      </x:c>
      <x:c r="Y244" s="31" t="str"/>
      <x:c r="Z244" s="31" t="str">
        <x:v>Source-led large-underdog spread requiring independent matchup and price verification.</x:v>
      </x:c>
      <x:c r="AA244" s="31" t="str">
        <x:v>The proposition loses, the role/event is invalid, or price verification removes the claimed edge.</x:v>
      </x:c>
      <x:c r="AB244" s="31" t="str">
        <x:v>Pending.</x:v>
      </x:c>
    </x:row>
    <x:row r="245">
      <x:c r="A245" s="79" t="str">
        <x:v>2026-09-12</x:v>
      </x:c>
      <x:c r="B245" s="31" t="str">
        <x:v>S12-P04</x:v>
      </x:c>
      <x:c r="C245" s="31" t="str"/>
      <x:c r="D245" s="31" t="str">
        <x:v>PAPER</x:v>
      </x:c>
      <x:c r="E245" s="31" t="str">
        <x:v>NCAAF</x:v>
      </x:c>
      <x:c r="F245" s="31" t="str">
        <x:v>EMU @ MSU</x:v>
      </x:c>
      <x:c r="G245" s="31" t="str">
        <x:v>Eastern Michigan Eagles</x:v>
      </x:c>
      <x:c r="H245" s="31" t="str">
        <x:v>Spread / moneyline</x:v>
      </x:c>
      <x:c r="I245" s="31" t="str">
        <x:v>Eastern Michigan +17.5 / ML +600</x:v>
      </x:c>
      <x:c r="J245" s="80" t="n">
        <x:v>600</x:v>
      </x:c>
      <x:c r="K245" s="31" t="str">
        <x:v>SOURCED</x:v>
      </x:c>
      <x:c r="L245" s="31" t="str">
        <x:v>WATCH</x:v>
      </x:c>
      <x:c r="M245" s="31" t="str">
        <x:v>Paired competitive-underdog and upset expressions; one correlated source-led cluster.</x:v>
      </x:c>
      <x:c r="N245" s="31" t="str">
        <x:v>N</x:v>
      </x:c>
      <x:c r="O245" s="31" t="str">
        <x:v>Pending</x:v>
      </x:c>
      <x:c r="P245" s="31" t="str"/>
      <x:c r="Q245" s="33" t="str"/>
      <x:c r="R245" s="33" t="str"/>
      <x:c r="S245" s="31" t="str"/>
      <x:c r="T245" s="32" t="str"/>
      <x:c r="U245" s="31" t="str">
        <x:v>Source-led Paper row from CFB Late Refresh; official event schedule: https://www.espn.com/college-football/game/_/gameId/401858440/e-michigan-michigan-st. Exact DraftKings price is blank unless explicitly shown in the source text.</x:v>
      </x:c>
      <x:c r="V245" s="31" t="str">
        <x:v>CONFLICT_CLUSTER</x:v>
      </x:c>
      <x:c r="W245" s="31" t="str">
        <x:v>EXP-23</x:v>
      </x:c>
      <x:c r="X245" s="31" t="str">
        <x:v>EASTERN MICHIGAN +17.5 / ML +600</x:v>
      </x:c>
      <x:c r="Y245" s="31" t="str"/>
      <x:c r="Z245" s="31" t="str">
        <x:v>Paired competitive-underdog and upset expressions; one correlated source-led cluster.</x:v>
      </x:c>
      <x:c r="AA245" s="31" t="str">
        <x:v>The proposition loses, the role/event is invalid, or price verification removes the claimed edge.</x:v>
      </x:c>
      <x:c r="AB245" s="31" t="str">
        <x:v>Pending.</x:v>
      </x:c>
    </x:row>
    <x:row r="246">
      <x:c r="A246" s="79" t="str">
        <x:v>2026-09-12</x:v>
      </x:c>
      <x:c r="B246" s="31" t="str">
        <x:v>S12-P05</x:v>
      </x:c>
      <x:c r="C246" s="31" t="str"/>
      <x:c r="D246" s="31" t="str">
        <x:v>PAPER</x:v>
      </x:c>
      <x:c r="E246" s="31" t="str">
        <x:v>NCAAF</x:v>
      </x:c>
      <x:c r="F246" s="31" t="str">
        <x:v>MD @ CONN</x:v>
      </x:c>
      <x:c r="G246" s="31" t="str">
        <x:v>UConn Huskies</x:v>
      </x:c>
      <x:c r="H246" s="31" t="str">
        <x:v>Spread / moneyline</x:v>
      </x:c>
      <x:c r="I246" s="31" t="str">
        <x:v>UConn +12.5 / ML +350</x:v>
      </x:c>
      <x:c r="J246" s="80" t="n">
        <x:v>350</x:v>
      </x:c>
      <x:c r="K246" s="31" t="str">
        <x:v>SOURCED</x:v>
      </x:c>
      <x:c r="L246" s="31" t="str">
        <x:v>WATCH</x:v>
      </x:c>
      <x:c r="M246" s="31" t="str">
        <x:v>Paired competitive-underdog and upset expressions; one correlated source-led cluster.</x:v>
      </x:c>
      <x:c r="N246" s="31" t="str">
        <x:v>N</x:v>
      </x:c>
      <x:c r="O246" s="31" t="str">
        <x:v>Pending</x:v>
      </x:c>
      <x:c r="P246" s="31" t="str"/>
      <x:c r="Q246" s="33" t="str"/>
      <x:c r="R246" s="33" t="str"/>
      <x:c r="S246" s="31" t="str"/>
      <x:c r="T246" s="32" t="str"/>
      <x:c r="U246" s="31" t="str">
        <x:v>Source-led Paper row from CFB Late Refresh; official event schedule: https://www.espn.com/college-football/game/_/gameId/401858444/maryland-uconn. Exact DraftKings price is blank unless explicitly shown in the source text.</x:v>
      </x:c>
      <x:c r="V246" s="31" t="str">
        <x:v>CONFLICT_CLUSTER</x:v>
      </x:c>
      <x:c r="W246" s="31" t="str">
        <x:v>EXP-23</x:v>
      </x:c>
      <x:c r="X246" s="31" t="str">
        <x:v>UCONN +12.5 / ML +350</x:v>
      </x:c>
      <x:c r="Y246" s="31" t="str"/>
      <x:c r="Z246" s="31" t="str">
        <x:v>Paired competitive-underdog and upset expressions; one correlated source-led cluster.</x:v>
      </x:c>
      <x:c r="AA246" s="31" t="str">
        <x:v>The proposition loses, the role/event is invalid, or price verification removes the claimed edge.</x:v>
      </x:c>
      <x:c r="AB246" s="31" t="str">
        <x:v>Pending.</x:v>
      </x:c>
    </x:row>
    <x:row r="247">
      <x:c r="A247" s="79" t="str">
        <x:v>2026-09-12</x:v>
      </x:c>
      <x:c r="B247" s="31" t="str">
        <x:v>S12-P06</x:v>
      </x:c>
      <x:c r="C247" s="31" t="str"/>
      <x:c r="D247" s="31" t="str">
        <x:v>PAPER</x:v>
      </x:c>
      <x:c r="E247" s="31" t="str">
        <x:v>NCAAF</x:v>
      </x:c>
      <x:c r="F247" s="31" t="str">
        <x:v>SAC @ FRES</x:v>
      </x:c>
      <x:c r="G247" s="31" t="str">
        <x:v>Sacramento State Hornets</x:v>
      </x:c>
      <x:c r="H247" s="31" t="str">
        <x:v>Spread</x:v>
      </x:c>
      <x:c r="I247" s="31" t="str">
        <x:v>Sacramento State +18.5</x:v>
      </x:c>
      <x:c r="J247" s="80" t="str"/>
      <x:c r="K247" s="31" t="str">
        <x:v>SOURCED</x:v>
      </x:c>
      <x:c r="L247" s="31" t="str">
        <x:v>WATCH</x:v>
      </x:c>
      <x:c r="M247" s="31" t="str">
        <x:v>Source-led large-underdog spread requiring independent matchup and price verification.</x:v>
      </x:c>
      <x:c r="N247" s="31" t="str">
        <x:v>N</x:v>
      </x:c>
      <x:c r="O247" s="31" t="str">
        <x:v>Pending</x:v>
      </x:c>
      <x:c r="P247" s="31" t="str"/>
      <x:c r="Q247" s="33" t="str"/>
      <x:c r="R247" s="33" t="str"/>
      <x:c r="S247" s="31" t="str"/>
      <x:c r="T247" s="32" t="str"/>
      <x:c r="U247" s="31" t="str">
        <x:v>Source-led Paper row from CFB Late Refresh; official event schedule: https://www.espn.com/college-football/game/_/gameId/401860883/sacramento-st-fresno-st. Exact DraftKings price is blank unless explicitly shown in the source text.</x:v>
      </x:c>
      <x:c r="V247" s="31" t="str">
        <x:v>REPLICATION</x:v>
      </x:c>
      <x:c r="W247" s="31" t="str">
        <x:v>EXP-43</x:v>
      </x:c>
      <x:c r="X247" s="31" t="str">
        <x:v>SACRAMENTO STATE +18.5</x:v>
      </x:c>
      <x:c r="Y247" s="31" t="str"/>
      <x:c r="Z247" s="31" t="str">
        <x:v>Source-led large-underdog spread requiring independent matchup and price verification.</x:v>
      </x:c>
      <x:c r="AA247" s="31" t="str">
        <x:v>The proposition loses, the role/event is invalid, or price verification removes the claimed edge.</x:v>
      </x:c>
      <x:c r="AB247" s="31" t="str">
        <x:v>Pending.</x:v>
      </x:c>
    </x:row>
    <x:row r="248">
      <x:c r="A248" s="79" t="str">
        <x:v>2026-09-12</x:v>
      </x:c>
      <x:c r="B248" s="31" t="str">
        <x:v>S12-P07</x:v>
      </x:c>
      <x:c r="C248" s="31" t="str"/>
      <x:c r="D248" s="31" t="str">
        <x:v>PAPER</x:v>
      </x:c>
      <x:c r="E248" s="31" t="str">
        <x:v>MLB</x:v>
      </x:c>
      <x:c r="F248" s="31" t="str">
        <x:v>LAD @ MIA</x:v>
      </x:c>
      <x:c r="G248" s="31" t="str">
        <x:v>Tyler Phillips</x:v>
      </x:c>
      <x:c r="H248" s="31" t="str">
        <x:v>Pitcher strikeouts</x:v>
      </x:c>
      <x:c r="I248" s="31" t="str">
        <x:v>Over 3.5 strikeouts</x:v>
      </x:c>
      <x:c r="J248" s="80" t="str"/>
      <x:c r="K248" s="31" t="str">
        <x:v>SOURCED</x:v>
      </x:c>
      <x:c r="L248" s="31" t="str">
        <x:v>WATCH</x:v>
      </x:c>
      <x:c r="M248" s="31" t="str">
        <x:v>External optimizer reports an 8.0% edge, but exact DraftKings price and independent current-regime audit are unavailable.</x:v>
      </x:c>
      <x:c r="N248" s="31" t="str">
        <x:v>N</x:v>
      </x:c>
      <x:c r="O248" s="31" t="str">
        <x:v>Pending</x:v>
      </x:c>
      <x:c r="P248" s="31" t="str"/>
      <x:c r="Q248" s="33" t="str"/>
      <x:c r="R248" s="33" t="str"/>
      <x:c r="S248" s="31" t="str"/>
      <x:c r="T248" s="32" t="str"/>
      <x:c r="U248" s="31" t="str">
        <x:v>Source-led Paper row from CFB Late Refresh; official event schedule: https://www.mlb.com/gameday/823819. Exact DraftKings price is blank unless explicitly shown in the source text.</x:v>
      </x:c>
      <x:c r="V248" s="31" t="str">
        <x:v>CHALLENGER</x:v>
      </x:c>
      <x:c r="W248" s="31" t="str">
        <x:v>EXP-43</x:v>
      </x:c>
      <x:c r="X248" s="31" t="str">
        <x:v>OVER 3.5 STRIKEOUTS</x:v>
      </x:c>
      <x:c r="Y248" s="31" t="str"/>
      <x:c r="Z248" s="31" t="str">
        <x:v>External optimizer reports an 8.0% edge, but exact DraftKings price and independent current-regime audit are unavailable.</x:v>
      </x:c>
      <x:c r="AA248" s="31" t="str">
        <x:v>The proposition loses, the role/event is invalid, or price verification removes the claimed edge.</x:v>
      </x:c>
      <x:c r="AB248" s="31" t="str">
        <x:v>Pending.</x:v>
      </x:c>
    </x:row>
    <x:row r="249">
      <x:c r="A249" s="79" t="str">
        <x:v>2026-09-12</x:v>
      </x:c>
      <x:c r="B249" s="31" t="str">
        <x:v>S12-P08</x:v>
      </x:c>
      <x:c r="C249" s="31" t="str"/>
      <x:c r="D249" s="31" t="str">
        <x:v>PAPER</x:v>
      </x:c>
      <x:c r="E249" s="31" t="str">
        <x:v>MLB</x:v>
      </x:c>
      <x:c r="F249" s="31" t="str">
        <x:v>BAL @ TOR</x:v>
      </x:c>
      <x:c r="G249" s="31" t="str">
        <x:v>Kyle Bradish</x:v>
      </x:c>
      <x:c r="H249" s="31" t="str">
        <x:v>Pitcher outs</x:v>
      </x:c>
      <x:c r="I249" s="31" t="str">
        <x:v>Over 16.5 pitching outs</x:v>
      </x:c>
      <x:c r="J249" s="80" t="str"/>
      <x:c r="K249" s="31" t="str">
        <x:v>SOURCED</x:v>
      </x:c>
      <x:c r="L249" s="31" t="str">
        <x:v>WATCH</x:v>
      </x:c>
      <x:c r="M249" s="31" t="str">
        <x:v>External optimizer reports a 5.2% edge; compare with the independently reviewed hits and walks expressions as one correlated thesis.</x:v>
      </x:c>
      <x:c r="N249" s="31" t="str">
        <x:v>N</x:v>
      </x:c>
      <x:c r="O249" s="31" t="str">
        <x:v>Pending</x:v>
      </x:c>
      <x:c r="P249" s="31" t="str"/>
      <x:c r="Q249" s="33" t="str"/>
      <x:c r="R249" s="33" t="str"/>
      <x:c r="S249" s="31" t="str"/>
      <x:c r="T249" s="32" t="str"/>
      <x:c r="U249" s="31" t="str">
        <x:v>Source-led Paper row from CFB Late Refresh; official event schedule: https://www.mlb.com/gameday/822768. Exact DraftKings price is blank unless explicitly shown in the source text.</x:v>
      </x:c>
      <x:c r="V249" s="31" t="str">
        <x:v>CHALLENGER</x:v>
      </x:c>
      <x:c r="W249" s="31" t="str">
        <x:v>EXP-43</x:v>
      </x:c>
      <x:c r="X249" s="31" t="str">
        <x:v>OVER 16.5 PITCHING OUTS</x:v>
      </x:c>
      <x:c r="Y249" s="31" t="str"/>
      <x:c r="Z249" s="31" t="str">
        <x:v>External optimizer reports a 5.2% edge; compare with the independently reviewed hits and walks expressions as one correlated thesis.</x:v>
      </x:c>
      <x:c r="AA249" s="31" t="str">
        <x:v>The proposition loses, the role/event is invalid, or price verification removes the claimed edge.</x:v>
      </x:c>
      <x:c r="AB249" s="31" t="str">
        <x:v>Pending.</x:v>
      </x:c>
    </x:row>
    <x:row r="250">
      <x:c r="A250" s="79" t="str">
        <x:v>2026-09-12</x:v>
      </x:c>
      <x:c r="B250" s="31" t="str">
        <x:v>S12-P09</x:v>
      </x:c>
      <x:c r="C250" s="31" t="str"/>
      <x:c r="D250" s="31" t="str">
        <x:v>PAPER</x:v>
      </x:c>
      <x:c r="E250" s="31" t="str">
        <x:v>MLB</x:v>
      </x:c>
      <x:c r="F250" s="31" t="str">
        <x:v>KC @ BOS</x:v>
      </x:c>
      <x:c r="G250" s="31" t="str">
        <x:v>Ranger Suárez</x:v>
      </x:c>
      <x:c r="H250" s="31" t="str">
        <x:v>Pitcher outs</x:v>
      </x:c>
      <x:c r="I250" s="31" t="str">
        <x:v>Over 17.5 pitching outs</x:v>
      </x:c>
      <x:c r="J250" s="80" t="str"/>
      <x:c r="K250" s="31" t="str">
        <x:v>SOURCED</x:v>
      </x:c>
      <x:c r="L250" s="31" t="str">
        <x:v>WATCH</x:v>
      </x:c>
      <x:c r="M250" s="31" t="str">
        <x:v>External optimizer reports a 4.7% edge; exact price and recent workload re-audit remain required.</x:v>
      </x:c>
      <x:c r="N250" s="31" t="str">
        <x:v>N</x:v>
      </x:c>
      <x:c r="O250" s="31" t="str">
        <x:v>Pending</x:v>
      </x:c>
      <x:c r="P250" s="31" t="str"/>
      <x:c r="Q250" s="33" t="str"/>
      <x:c r="R250" s="33" t="str"/>
      <x:c r="S250" s="31" t="str"/>
      <x:c r="T250" s="32" t="str"/>
      <x:c r="U250" s="31" t="str">
        <x:v>Source-led Paper row from CFB Late Refresh; official event schedule: https://www.mlb.com/gameday/824712. Exact DraftKings price is blank unless explicitly shown in the source text.</x:v>
      </x:c>
      <x:c r="V250" s="31" t="str">
        <x:v>CHALLENGER</x:v>
      </x:c>
      <x:c r="W250" s="31" t="str">
        <x:v>EXP-43</x:v>
      </x:c>
      <x:c r="X250" s="31" t="str">
        <x:v>OVER 17.5 PITCHING OUTS</x:v>
      </x:c>
      <x:c r="Y250" s="31" t="str"/>
      <x:c r="Z250" s="31" t="str">
        <x:v>External optimizer reports a 4.7% edge; exact price and recent workload re-audit remain required.</x:v>
      </x:c>
      <x:c r="AA250" s="31" t="str">
        <x:v>The proposition loses, the role/event is invalid, or price verification removes the claimed edge.</x:v>
      </x:c>
      <x:c r="AB250" s="31" t="str">
        <x:v>Pending.</x:v>
      </x:c>
    </x:row>
    <x:row r="251">
      <x:c r="A251" s="79" t="str">
        <x:v>2026-09-12</x:v>
      </x:c>
      <x:c r="B251" s="31" t="str">
        <x:v>S12-P10</x:v>
      </x:c>
      <x:c r="C251" s="31" t="str"/>
      <x:c r="D251" s="31" t="str">
        <x:v>PAPER</x:v>
      </x:c>
      <x:c r="E251" s="31" t="str">
        <x:v>MLB</x:v>
      </x:c>
      <x:c r="F251" s="31" t="str">
        <x:v>LAA @ WSH</x:v>
      </x:c>
      <x:c r="G251" s="31" t="str">
        <x:v>Walbert Ureña</x:v>
      </x:c>
      <x:c r="H251" s="31" t="str">
        <x:v>Pitcher strikeouts</x:v>
      </x:c>
      <x:c r="I251" s="31" t="str">
        <x:v>Over 4.5 strikeouts</x:v>
      </x:c>
      <x:c r="J251" s="80" t="str"/>
      <x:c r="K251" s="31" t="str">
        <x:v>SOURCED</x:v>
      </x:c>
      <x:c r="L251" s="31" t="str">
        <x:v>WATCH</x:v>
      </x:c>
      <x:c r="M251" s="31" t="str">
        <x:v>External optimizer reports a 4.6% edge; compare with the independently surfaced workload and command expressions.</x:v>
      </x:c>
      <x:c r="N251" s="31" t="str">
        <x:v>N</x:v>
      </x:c>
      <x:c r="O251" s="31" t="str">
        <x:v>Pending</x:v>
      </x:c>
      <x:c r="P251" s="31" t="str"/>
      <x:c r="Q251" s="33" t="str"/>
      <x:c r="R251" s="33" t="str"/>
      <x:c r="S251" s="31" t="str"/>
      <x:c r="T251" s="32" t="str"/>
      <x:c r="U251" s="31" t="str">
        <x:v>Source-led Paper row from CFB Late Refresh; official event schedule: https://www.mlb.com/gameday/822685. Exact DraftKings price is blank unless explicitly shown in the source text.</x:v>
      </x:c>
      <x:c r="V251" s="31" t="str">
        <x:v>CHALLENGER</x:v>
      </x:c>
      <x:c r="W251" s="31" t="str">
        <x:v>EXP-43</x:v>
      </x:c>
      <x:c r="X251" s="31" t="str">
        <x:v>OVER 4.5 STRIKEOUTS</x:v>
      </x:c>
      <x:c r="Y251" s="31" t="str"/>
      <x:c r="Z251" s="31" t="str">
        <x:v>External optimizer reports a 4.6% edge; compare with the independently surfaced workload and command expressions.</x:v>
      </x:c>
      <x:c r="AA251" s="31" t="str">
        <x:v>The proposition loses, the role/event is invalid, or price verification removes the claimed edge.</x:v>
      </x:c>
      <x:c r="AB251" s="31" t="str">
        <x:v>Pending.</x:v>
      </x:c>
    </x:row>
    <x:row r="252">
      <x:c r="A252" s="79" t="str">
        <x:v>2026-09-12</x:v>
      </x:c>
      <x:c r="B252" s="31" t="str">
        <x:v>S12-P11</x:v>
      </x:c>
      <x:c r="C252" s="31" t="str"/>
      <x:c r="D252" s="31" t="str">
        <x:v>PAPER</x:v>
      </x:c>
      <x:c r="E252" s="31" t="str">
        <x:v>MLB</x:v>
      </x:c>
      <x:c r="F252" s="31" t="str">
        <x:v>PHI @ ATL</x:v>
      </x:c>
      <x:c r="G252" s="31" t="str">
        <x:v>Tyler Mahle</x:v>
      </x:c>
      <x:c r="H252" s="31" t="str">
        <x:v>Pitcher outs</x:v>
      </x:c>
      <x:c r="I252" s="31" t="str">
        <x:v>Under 16.5 pitching outs</x:v>
      </x:c>
      <x:c r="J252" s="80" t="str"/>
      <x:c r="K252" s="31" t="str">
        <x:v>SOURCED</x:v>
      </x:c>
      <x:c r="L252" s="31" t="str">
        <x:v>WATCH</x:v>
      </x:c>
      <x:c r="M252" s="31" t="str">
        <x:v>External optimizer reports a 5.0% edge; exact price and independent workload audit remain unavailable.</x:v>
      </x:c>
      <x:c r="N252" s="31" t="str">
        <x:v>N</x:v>
      </x:c>
      <x:c r="O252" s="31" t="str">
        <x:v>Pending</x:v>
      </x:c>
      <x:c r="P252" s="31" t="str"/>
      <x:c r="Q252" s="33" t="str"/>
      <x:c r="R252" s="33" t="str"/>
      <x:c r="S252" s="31" t="str"/>
      <x:c r="T252" s="32" t="str"/>
      <x:c r="U252" s="31" t="str">
        <x:v>Source-led Paper row from CFB Late Refresh; official event schedule: https://www.mlb.com/gameday/824870. Exact DraftKings price is blank unless explicitly shown in the source text.</x:v>
      </x:c>
      <x:c r="V252" s="31" t="str">
        <x:v>REPLICATION</x:v>
      </x:c>
      <x:c r="W252" s="31" t="str">
        <x:v>EXP-43</x:v>
      </x:c>
      <x:c r="X252" s="31" t="str">
        <x:v>UNDER 16.5 PITCHING OUTS</x:v>
      </x:c>
      <x:c r="Y252" s="31" t="str"/>
      <x:c r="Z252" s="31" t="str">
        <x:v>External optimizer reports a 5.0% edge; exact price and independent workload audit remain unavailable.</x:v>
      </x:c>
      <x:c r="AA252" s="31" t="str">
        <x:v>The proposition loses, the role/event is invalid, or price verification removes the claimed edge.</x:v>
      </x:c>
      <x:c r="AB252" s="31" t="str">
        <x:v>Pending.</x:v>
      </x:c>
    </x:row>
    <x:row r="253">
      <x:c r="A253" s="79" t="str">
        <x:v>2026-09-12</x:v>
      </x:c>
      <x:c r="B253" s="31" t="str">
        <x:v>S12-P12</x:v>
      </x:c>
      <x:c r="C253" s="31" t="str"/>
      <x:c r="D253" s="31" t="str">
        <x:v>PAPER</x:v>
      </x:c>
      <x:c r="E253" s="31" t="str">
        <x:v>NCAAF</x:v>
      </x:c>
      <x:c r="F253" s="31" t="str">
        <x:v>OSU @ TEX</x:v>
      </x:c>
      <x:c r="G253" s="31" t="str">
        <x:v>Cam Coleman</x:v>
      </x:c>
      <x:c r="H253" s="31" t="str">
        <x:v>Receptions</x:v>
      </x:c>
      <x:c r="I253" s="31" t="str">
        <x:v>Over 4.5 receptions</x:v>
      </x:c>
      <x:c r="J253" s="80" t="str"/>
      <x:c r="K253" s="31" t="str">
        <x:v>SOURCED</x:v>
      </x:c>
      <x:c r="L253" s="31" t="str">
        <x:v>WATCH</x:v>
      </x:c>
      <x:c r="M253" s="31" t="str">
        <x:v>External optimizer reports 6.0% EV; role, lineup, threshold price and opponent matchup have not been independently verified.</x:v>
      </x:c>
      <x:c r="N253" s="31" t="str">
        <x:v>N</x:v>
      </x:c>
      <x:c r="O253" s="31" t="str">
        <x:v>Pending</x:v>
      </x:c>
      <x:c r="P253" s="31" t="str"/>
      <x:c r="Q253" s="33" t="str"/>
      <x:c r="R253" s="33" t="str"/>
      <x:c r="S253" s="31" t="str"/>
      <x:c r="T253" s="32" t="str"/>
      <x:c r="U253" s="31" t="str">
        <x:v>Source-led Paper row from CFB Late Refresh; official event schedule: https://www.espn.com/college-football/game/_/gameId/401856682/ohio-state-texas. Exact DraftKings price is blank unless explicitly shown in the source text.</x:v>
      </x:c>
      <x:c r="V253" s="31" t="str">
        <x:v>SOURCE_PROP</x:v>
      </x:c>
      <x:c r="W253" s="31" t="str">
        <x:v>EXP-42</x:v>
      </x:c>
      <x:c r="X253" s="31" t="str">
        <x:v>OVER 4.5 RECEPTIONS</x:v>
      </x:c>
      <x:c r="Y253" s="31" t="str"/>
      <x:c r="Z253" s="31" t="str">
        <x:v>External optimizer reports 6.0% EV; role, lineup, threshold price and opponent matchup have not been independently verified.</x:v>
      </x:c>
      <x:c r="AA253" s="31" t="str">
        <x:v>The proposition loses, the role/event is invalid, or price verification removes the claimed edge.</x:v>
      </x:c>
      <x:c r="AB253" s="31" t="str">
        <x:v>Pending.</x:v>
      </x:c>
    </x:row>
    <x:row r="254">
      <x:c r="A254" s="79" t="str">
        <x:v>2026-09-12</x:v>
      </x:c>
      <x:c r="B254" s="31" t="str">
        <x:v>S12-P13</x:v>
      </x:c>
      <x:c r="C254" s="31" t="str"/>
      <x:c r="D254" s="31" t="str">
        <x:v>PAPER</x:v>
      </x:c>
      <x:c r="E254" s="31" t="str">
        <x:v>NCAAF</x:v>
      </x:c>
      <x:c r="F254" s="31" t="str">
        <x:v>ARK @ UTAH</x:v>
      </x:c>
      <x:c r="G254" s="31" t="str">
        <x:v>CJ Brown</x:v>
      </x:c>
      <x:c r="H254" s="31" t="str">
        <x:v>Receiving yards</x:v>
      </x:c>
      <x:c r="I254" s="31" t="str">
        <x:v>Over 33.5 receiving yards</x:v>
      </x:c>
      <x:c r="J254" s="80" t="str"/>
      <x:c r="K254" s="31" t="str">
        <x:v>SOURCED</x:v>
      </x:c>
      <x:c r="L254" s="31" t="str">
        <x:v>WATCH</x:v>
      </x:c>
      <x:c r="M254" s="31" t="str">
        <x:v>External optimizer reports 5.8% EV; role, lineup, threshold price and opponent matchup have not been independently verified.</x:v>
      </x:c>
      <x:c r="N254" s="31" t="str">
        <x:v>N</x:v>
      </x:c>
      <x:c r="O254" s="31" t="str">
        <x:v>Pending</x:v>
      </x:c>
      <x:c r="P254" s="31" t="str"/>
      <x:c r="Q254" s="33" t="str"/>
      <x:c r="R254" s="33" t="str"/>
      <x:c r="S254" s="31" t="str"/>
      <x:c r="T254" s="32" t="str"/>
      <x:c r="U254" s="31" t="str">
        <x:v>Source-led Paper row from CFB Late Refresh; official event schedule: https://www.espn.com/college-football/game/_/gameId/401856670/arkansas-utah. Exact DraftKings price is blank unless explicitly shown in the source text.</x:v>
      </x:c>
      <x:c r="V254" s="31" t="str">
        <x:v>SOURCE_PROP</x:v>
      </x:c>
      <x:c r="W254" s="31" t="str">
        <x:v>EXP-42</x:v>
      </x:c>
      <x:c r="X254" s="31" t="str">
        <x:v>OVER 33.5 RECEIVING YARDS</x:v>
      </x:c>
      <x:c r="Y254" s="31" t="str"/>
      <x:c r="Z254" s="31" t="str">
        <x:v>External optimizer reports 5.8% EV; role, lineup, threshold price and opponent matchup have not been independently verified.</x:v>
      </x:c>
      <x:c r="AA254" s="31" t="str">
        <x:v>The proposition loses, the role/event is invalid, or price verification removes the claimed edge.</x:v>
      </x:c>
      <x:c r="AB254" s="31" t="str">
        <x:v>Pending.</x:v>
      </x:c>
    </x:row>
    <x:row r="255">
      <x:c r="A255" s="79" t="str">
        <x:v>2026-09-12</x:v>
      </x:c>
      <x:c r="B255" s="31" t="str">
        <x:v>S12-P14</x:v>
      </x:c>
      <x:c r="C255" s="31" t="str"/>
      <x:c r="D255" s="31" t="str">
        <x:v>PAPER</x:v>
      </x:c>
      <x:c r="E255" s="31" t="str">
        <x:v>NCAAF</x:v>
      </x:c>
      <x:c r="F255" s="31" t="str">
        <x:v>ARK @ UTAH</x:v>
      </x:c>
      <x:c r="G255" s="31" t="str">
        <x:v>Sutton Smith</x:v>
      </x:c>
      <x:c r="H255" s="31" t="str">
        <x:v>Receptions</x:v>
      </x:c>
      <x:c r="I255" s="31" t="str">
        <x:v>Under 2.5 receptions</x:v>
      </x:c>
      <x:c r="J255" s="80" t="str"/>
      <x:c r="K255" s="31" t="str">
        <x:v>SOURCED</x:v>
      </x:c>
      <x:c r="L255" s="31" t="str">
        <x:v>WATCH</x:v>
      </x:c>
      <x:c r="M255" s="31" t="str">
        <x:v>External optimizer reports 4.8% EV; role, lineup, threshold price and opponent matchup have not been independently verified.</x:v>
      </x:c>
      <x:c r="N255" s="31" t="str">
        <x:v>N</x:v>
      </x:c>
      <x:c r="O255" s="31" t="str">
        <x:v>Pending</x:v>
      </x:c>
      <x:c r="P255" s="31" t="str"/>
      <x:c r="Q255" s="33" t="str"/>
      <x:c r="R255" s="33" t="str"/>
      <x:c r="S255" s="31" t="str"/>
      <x:c r="T255" s="32" t="str"/>
      <x:c r="U255" s="31" t="str">
        <x:v>Source-led Paper row from CFB Late Refresh; official event schedule: https://www.espn.com/college-football/game/_/gameId/401856670/arkansas-utah. Exact DraftKings price is blank unless explicitly shown in the source text.</x:v>
      </x:c>
      <x:c r="V255" s="31" t="str">
        <x:v>SOURCE_PROP</x:v>
      </x:c>
      <x:c r="W255" s="31" t="str">
        <x:v>EXP-42</x:v>
      </x:c>
      <x:c r="X255" s="31" t="str">
        <x:v>UNDER 2.5 RECEPTIONS</x:v>
      </x:c>
      <x:c r="Y255" s="31" t="str"/>
      <x:c r="Z255" s="31" t="str">
        <x:v>External optimizer reports 4.8% EV; role, lineup, threshold price and opponent matchup have not been independently verified.</x:v>
      </x:c>
      <x:c r="AA255" s="31" t="str">
        <x:v>The proposition loses, the role/event is invalid, or price verification removes the claimed edge.</x:v>
      </x:c>
      <x:c r="AB255" s="31" t="str">
        <x:v>Pending.</x:v>
      </x:c>
    </x:row>
    <x:row r="256">
      <x:c r="A256" s="79"/>
      <x:c r="B256" s="31"/>
      <x:c r="C256" s="31"/>
      <x:c r="D256" s="31"/>
      <x:c r="E256" s="31"/>
      <x:c r="F256" s="31"/>
      <x:c r="G256" s="31"/>
      <x:c r="H256" s="31"/>
      <x:c r="I256" s="31"/>
      <x:c r="J256" s="80"/>
      <x:c r="K256" s="31"/>
      <x:c r="L256" s="31"/>
      <x:c r="M256" s="31"/>
      <x:c r="N256" s="31"/>
      <x:c r="O256" s="31"/>
      <x:c r="P256" s="31"/>
      <x:c r="Q256" s="33"/>
      <x:c r="R256" s="33"/>
      <x:c r="S256" s="31"/>
      <x:c r="T256" s="32"/>
      <x:c r="U256" s="31"/>
      <x:c r="V256" s="31"/>
      <x:c r="W256" s="31"/>
      <x:c r="X256" s="31"/>
      <x:c r="Y256" s="31"/>
      <x:c r="Z256" s="31"/>
      <x:c r="AA256" s="31"/>
      <x:c r="AB256" s="31"/>
    </x:row>
    <x:row r="257">
      <x:c r="A257" s="79"/>
      <x:c r="B257" s="31"/>
      <x:c r="C257" s="31"/>
      <x:c r="D257" s="31"/>
      <x:c r="E257" s="31"/>
      <x:c r="F257" s="31"/>
      <x:c r="G257" s="31"/>
      <x:c r="H257" s="31"/>
      <x:c r="I257" s="31"/>
      <x:c r="J257" s="80"/>
      <x:c r="K257" s="31"/>
      <x:c r="L257" s="31"/>
      <x:c r="M257" s="31"/>
      <x:c r="N257" s="31"/>
      <x:c r="O257" s="31"/>
      <x:c r="P257" s="31"/>
      <x:c r="Q257" s="33"/>
      <x:c r="R257" s="33"/>
      <x:c r="S257" s="31"/>
      <x:c r="T257" s="32"/>
      <x:c r="U257" s="31"/>
      <x:c r="V257" s="31"/>
      <x:c r="W257" s="31"/>
      <x:c r="X257" s="31"/>
      <x:c r="Y257" s="31"/>
      <x:c r="Z257" s="31"/>
      <x:c r="AA257" s="31"/>
      <x:c r="AB257" s="31"/>
    </x:row>
    <x:row r="258">
      <x:c r="A258" s="79"/>
      <x:c r="B258" s="31"/>
      <x:c r="C258" s="31"/>
      <x:c r="D258" s="31"/>
      <x:c r="E258" s="31"/>
      <x:c r="F258" s="31"/>
      <x:c r="G258" s="31"/>
      <x:c r="H258" s="31"/>
      <x:c r="I258" s="31"/>
      <x:c r="J258" s="80"/>
      <x:c r="K258" s="31"/>
      <x:c r="L258" s="31"/>
      <x:c r="M258" s="31"/>
      <x:c r="N258" s="31"/>
      <x:c r="O258" s="31"/>
      <x:c r="P258" s="31"/>
      <x:c r="Q258" s="33"/>
      <x:c r="R258" s="33"/>
      <x:c r="S258" s="31"/>
      <x:c r="T258" s="32"/>
      <x:c r="U258" s="31"/>
      <x:c r="V258" s="31"/>
      <x:c r="W258" s="31"/>
      <x:c r="X258" s="31"/>
      <x:c r="Y258" s="31"/>
      <x:c r="Z258" s="31"/>
      <x:c r="AA258" s="31"/>
      <x:c r="AB258" s="31"/>
    </x:row>
    <x:row r="259">
      <x:c r="A259" s="79"/>
      <x:c r="B259" s="31"/>
      <x:c r="C259" s="31"/>
      <x:c r="D259" s="31"/>
      <x:c r="E259" s="31"/>
      <x:c r="F259" s="31"/>
      <x:c r="G259" s="31"/>
      <x:c r="H259" s="31"/>
      <x:c r="I259" s="31"/>
      <x:c r="J259" s="80"/>
      <x:c r="K259" s="31"/>
      <x:c r="L259" s="31"/>
      <x:c r="M259" s="31"/>
      <x:c r="N259" s="31"/>
      <x:c r="O259" s="31"/>
      <x:c r="P259" s="31"/>
      <x:c r="Q259" s="33"/>
      <x:c r="R259" s="33"/>
      <x:c r="S259" s="31"/>
      <x:c r="T259" s="32"/>
      <x:c r="U259" s="31"/>
      <x:c r="V259" s="31"/>
      <x:c r="W259" s="31"/>
      <x:c r="X259" s="31"/>
      <x:c r="Y259" s="31"/>
      <x:c r="Z259" s="31"/>
      <x:c r="AA259" s="31"/>
      <x:c r="AB259" s="31"/>
    </x:row>
    <x:row r="260">
      <x:c r="A260" s="79"/>
      <x:c r="B260" s="31"/>
      <x:c r="C260" s="31"/>
      <x:c r="D260" s="31"/>
      <x:c r="E260" s="31"/>
      <x:c r="F260" s="31"/>
      <x:c r="G260" s="31"/>
      <x:c r="H260" s="31"/>
      <x:c r="I260" s="31"/>
      <x:c r="J260" s="80"/>
      <x:c r="K260" s="31"/>
      <x:c r="L260" s="31"/>
      <x:c r="M260" s="31"/>
      <x:c r="N260" s="31"/>
      <x:c r="O260" s="31"/>
      <x:c r="P260" s="31"/>
      <x:c r="Q260" s="33"/>
      <x:c r="R260" s="33"/>
      <x:c r="S260" s="31"/>
      <x:c r="T260" s="32"/>
      <x:c r="U260" s="31"/>
      <x:c r="V260" s="31"/>
      <x:c r="W260" s="31"/>
      <x:c r="X260" s="31"/>
      <x:c r="Y260" s="31"/>
      <x:c r="Z260" s="31"/>
      <x:c r="AA260" s="31"/>
      <x:c r="AB260" s="31"/>
    </x:row>
    <x:row r="261">
      <x:c r="A261" s="79"/>
      <x:c r="B261" s="31"/>
      <x:c r="C261" s="31"/>
      <x:c r="D261" s="31"/>
      <x:c r="E261" s="31"/>
      <x:c r="F261" s="31"/>
      <x:c r="G261" s="31"/>
      <x:c r="H261" s="31"/>
      <x:c r="I261" s="31"/>
      <x:c r="J261" s="80"/>
      <x:c r="K261" s="31"/>
      <x:c r="L261" s="31"/>
      <x:c r="M261" s="31"/>
      <x:c r="N261" s="31"/>
      <x:c r="O261" s="31"/>
      <x:c r="P261" s="31"/>
      <x:c r="Q261" s="33"/>
      <x:c r="R261" s="33"/>
      <x:c r="S261" s="31"/>
      <x:c r="T261" s="32"/>
      <x:c r="U261" s="31"/>
      <x:c r="V261" s="31"/>
      <x:c r="W261" s="31"/>
      <x:c r="X261" s="31"/>
      <x:c r="Y261" s="31"/>
      <x:c r="Z261" s="31"/>
      <x:c r="AA261" s="31"/>
      <x:c r="AB261" s="31"/>
    </x:row>
    <x:row r="262">
      <x:c r="A262" s="79"/>
      <x:c r="B262" s="31"/>
      <x:c r="C262" s="31"/>
      <x:c r="D262" s="31"/>
      <x:c r="E262" s="31"/>
      <x:c r="F262" s="31"/>
      <x:c r="G262" s="31"/>
      <x:c r="H262" s="31"/>
      <x:c r="I262" s="31"/>
      <x:c r="J262" s="80"/>
      <x:c r="K262" s="31"/>
      <x:c r="L262" s="31"/>
      <x:c r="M262" s="31"/>
      <x:c r="N262" s="31"/>
      <x:c r="O262" s="31"/>
      <x:c r="P262" s="31"/>
      <x:c r="Q262" s="33"/>
      <x:c r="R262" s="33"/>
      <x:c r="S262" s="31"/>
      <x:c r="T262" s="32"/>
      <x:c r="U262" s="31"/>
      <x:c r="V262" s="31"/>
      <x:c r="W262" s="31"/>
      <x:c r="X262" s="31"/>
      <x:c r="Y262" s="31"/>
      <x:c r="Z262" s="31"/>
      <x:c r="AA262" s="31"/>
      <x:c r="AB262" s="31"/>
    </x:row>
    <x:row r="263">
      <x:c r="A263" s="79"/>
      <x:c r="B263" s="31"/>
      <x:c r="C263" s="31"/>
      <x:c r="D263" s="31"/>
      <x:c r="E263" s="31"/>
      <x:c r="F263" s="31"/>
      <x:c r="G263" s="31"/>
      <x:c r="H263" s="31"/>
      <x:c r="I263" s="31"/>
      <x:c r="J263" s="80"/>
      <x:c r="K263" s="31"/>
      <x:c r="L263" s="31"/>
      <x:c r="M263" s="31"/>
      <x:c r="N263" s="31"/>
      <x:c r="O263" s="31"/>
      <x:c r="P263" s="31"/>
      <x:c r="Q263" s="33"/>
      <x:c r="R263" s="33"/>
      <x:c r="S263" s="31"/>
      <x:c r="T263" s="32"/>
      <x:c r="U263" s="31"/>
      <x:c r="V263" s="31"/>
      <x:c r="W263" s="31"/>
      <x:c r="X263" s="31"/>
      <x:c r="Y263" s="31"/>
      <x:c r="Z263" s="31"/>
      <x:c r="AA263" s="31"/>
      <x:c r="AB263" s="31"/>
    </x:row>
    <x:row r="264">
      <x:c r="A264" s="79"/>
      <x:c r="B264" s="31"/>
      <x:c r="C264" s="31"/>
      <x:c r="D264" s="31"/>
      <x:c r="E264" s="31"/>
      <x:c r="F264" s="31"/>
      <x:c r="G264" s="31"/>
      <x:c r="H264" s="31"/>
      <x:c r="I264" s="31"/>
      <x:c r="J264" s="80"/>
      <x:c r="K264" s="31"/>
      <x:c r="L264" s="31"/>
      <x:c r="M264" s="31"/>
      <x:c r="N264" s="31"/>
      <x:c r="O264" s="31"/>
      <x:c r="P264" s="31"/>
      <x:c r="Q264" s="33"/>
      <x:c r="R264" s="33"/>
      <x:c r="S264" s="31"/>
      <x:c r="T264" s="32"/>
      <x:c r="U264" s="31"/>
      <x:c r="V264" s="31"/>
      <x:c r="W264" s="31"/>
      <x:c r="X264" s="31"/>
      <x:c r="Y264" s="31"/>
      <x:c r="Z264" s="31"/>
      <x:c r="AA264" s="31"/>
      <x:c r="AB264" s="31"/>
    </x:row>
    <x:row r="265">
      <x:c r="A265" s="79"/>
      <x:c r="B265" s="31"/>
      <x:c r="C265" s="31"/>
      <x:c r="D265" s="31"/>
      <x:c r="E265" s="31"/>
      <x:c r="F265" s="31"/>
      <x:c r="G265" s="31"/>
      <x:c r="H265" s="31"/>
      <x:c r="I265" s="31"/>
      <x:c r="J265" s="80"/>
      <x:c r="K265" s="31"/>
      <x:c r="L265" s="31"/>
      <x:c r="M265" s="31"/>
      <x:c r="N265" s="31"/>
      <x:c r="O265" s="31"/>
      <x:c r="P265" s="31"/>
      <x:c r="Q265" s="33"/>
      <x:c r="R265" s="33"/>
      <x:c r="S265" s="31"/>
      <x:c r="T265" s="32"/>
      <x:c r="U265" s="31"/>
      <x:c r="V265" s="31"/>
      <x:c r="W265" s="31"/>
      <x:c r="X265" s="31"/>
      <x:c r="Y265" s="31"/>
      <x:c r="Z265" s="31"/>
      <x:c r="AA265" s="31"/>
      <x:c r="AB265" s="31"/>
    </x:row>
    <x:row r="266">
      <x:c r="A266" s="79"/>
      <x:c r="B266" s="31"/>
      <x:c r="C266" s="31"/>
      <x:c r="D266" s="31"/>
      <x:c r="E266" s="31"/>
      <x:c r="F266" s="31"/>
      <x:c r="G266" s="31"/>
      <x:c r="H266" s="31"/>
      <x:c r="I266" s="31"/>
      <x:c r="J266" s="80"/>
      <x:c r="K266" s="31"/>
      <x:c r="L266" s="31"/>
      <x:c r="M266" s="31"/>
      <x:c r="N266" s="31"/>
      <x:c r="O266" s="31"/>
      <x:c r="P266" s="31"/>
      <x:c r="Q266" s="33"/>
      <x:c r="R266" s="33"/>
      <x:c r="S266" s="31"/>
      <x:c r="T266" s="32"/>
      <x:c r="U266" s="31"/>
      <x:c r="V266" s="31"/>
      <x:c r="W266" s="31"/>
      <x:c r="X266" s="31"/>
      <x:c r="Y266" s="31"/>
      <x:c r="Z266" s="31"/>
      <x:c r="AA266" s="31"/>
      <x:c r="AB266" s="31"/>
    </x:row>
    <x:row r="267">
      <x:c r="A267" s="79"/>
      <x:c r="B267" s="31"/>
      <x:c r="C267" s="31"/>
      <x:c r="D267" s="31"/>
      <x:c r="E267" s="31"/>
      <x:c r="F267" s="31"/>
      <x:c r="G267" s="31"/>
      <x:c r="H267" s="31"/>
      <x:c r="I267" s="31"/>
      <x:c r="J267" s="80"/>
      <x:c r="K267" s="31"/>
      <x:c r="L267" s="31"/>
      <x:c r="M267" s="31"/>
      <x:c r="N267" s="31"/>
      <x:c r="O267" s="31"/>
      <x:c r="P267" s="31"/>
      <x:c r="Q267" s="33"/>
      <x:c r="R267" s="33"/>
      <x:c r="S267" s="31"/>
      <x:c r="T267" s="32"/>
      <x:c r="U267" s="31"/>
      <x:c r="V267" s="31"/>
      <x:c r="W267" s="31"/>
      <x:c r="X267" s="31"/>
      <x:c r="Y267" s="31"/>
      <x:c r="Z267" s="31"/>
      <x:c r="AA267" s="31"/>
      <x:c r="AB267" s="31"/>
    </x:row>
    <x:row r="268">
      <x:c r="A268" s="79"/>
      <x:c r="B268" s="31"/>
      <x:c r="C268" s="31"/>
      <x:c r="D268" s="31"/>
      <x:c r="E268" s="31"/>
      <x:c r="F268" s="31"/>
      <x:c r="G268" s="31"/>
      <x:c r="H268" s="31"/>
      <x:c r="I268" s="31"/>
      <x:c r="J268" s="80"/>
      <x:c r="K268" s="31"/>
      <x:c r="L268" s="31"/>
      <x:c r="M268" s="31"/>
      <x:c r="N268" s="31"/>
      <x:c r="O268" s="31"/>
      <x:c r="P268" s="31"/>
      <x:c r="Q268" s="33"/>
      <x:c r="R268" s="33"/>
      <x:c r="S268" s="31"/>
      <x:c r="T268" s="32"/>
      <x:c r="U268" s="31"/>
      <x:c r="V268" s="31"/>
      <x:c r="W268" s="31"/>
      <x:c r="X268" s="31"/>
      <x:c r="Y268" s="31"/>
      <x:c r="Z268" s="31"/>
      <x:c r="AA268" s="31"/>
      <x:c r="AB268" s="31"/>
    </x:row>
    <x:row r="269">
      <x:c r="A269" s="79"/>
      <x:c r="B269" s="31"/>
      <x:c r="C269" s="31"/>
      <x:c r="D269" s="31"/>
      <x:c r="E269" s="31"/>
      <x:c r="F269" s="31"/>
      <x:c r="G269" s="31"/>
      <x:c r="H269" s="31"/>
      <x:c r="I269" s="31"/>
      <x:c r="J269" s="80"/>
      <x:c r="K269" s="31"/>
      <x:c r="L269" s="31"/>
      <x:c r="M269" s="31"/>
      <x:c r="N269" s="31"/>
      <x:c r="O269" s="31"/>
      <x:c r="P269" s="31"/>
      <x:c r="Q269" s="33"/>
      <x:c r="R269" s="33"/>
      <x:c r="S269" s="31"/>
      <x:c r="T269" s="32"/>
      <x:c r="U269" s="31"/>
      <x:c r="V269" s="31"/>
      <x:c r="W269" s="31"/>
      <x:c r="X269" s="31"/>
      <x:c r="Y269" s="31"/>
      <x:c r="Z269" s="31"/>
      <x:c r="AA269" s="31"/>
      <x:c r="AB269" s="31"/>
    </x:row>
    <x:row r="270">
      <x:c r="A270" s="79"/>
      <x:c r="B270" s="31"/>
      <x:c r="C270" s="31"/>
      <x:c r="D270" s="31"/>
      <x:c r="E270" s="31"/>
      <x:c r="F270" s="31"/>
      <x:c r="G270" s="31"/>
      <x:c r="H270" s="31"/>
      <x:c r="I270" s="31"/>
      <x:c r="J270" s="80"/>
      <x:c r="K270" s="31"/>
      <x:c r="L270" s="31"/>
      <x:c r="M270" s="31"/>
      <x:c r="N270" s="31"/>
      <x:c r="O270" s="31"/>
      <x:c r="P270" s="31"/>
      <x:c r="Q270" s="33"/>
      <x:c r="R270" s="33"/>
      <x:c r="S270" s="31"/>
      <x:c r="T270" s="32"/>
      <x:c r="U270" s="31"/>
      <x:c r="V270" s="31"/>
      <x:c r="W270" s="31"/>
      <x:c r="X270" s="31"/>
      <x:c r="Y270" s="31"/>
      <x:c r="Z270" s="31"/>
      <x:c r="AA270" s="31"/>
      <x:c r="AB270" s="31"/>
    </x:row>
    <x:row r="271">
      <x:c r="A271" s="79"/>
      <x:c r="B271" s="31"/>
      <x:c r="C271" s="31"/>
      <x:c r="D271" s="31"/>
      <x:c r="E271" s="31"/>
      <x:c r="F271" s="31"/>
      <x:c r="G271" s="31"/>
      <x:c r="H271" s="31"/>
      <x:c r="I271" s="31"/>
      <x:c r="J271" s="80"/>
      <x:c r="K271" s="31"/>
      <x:c r="L271" s="31"/>
      <x:c r="M271" s="31"/>
      <x:c r="N271" s="31"/>
      <x:c r="O271" s="31"/>
      <x:c r="P271" s="31"/>
      <x:c r="Q271" s="33"/>
      <x:c r="R271" s="33"/>
      <x:c r="S271" s="31"/>
      <x:c r="T271" s="32"/>
      <x:c r="U271" s="31"/>
      <x:c r="V271" s="31"/>
      <x:c r="W271" s="31"/>
      <x:c r="X271" s="31"/>
      <x:c r="Y271" s="31"/>
      <x:c r="Z271" s="31"/>
      <x:c r="AA271" s="31"/>
      <x:c r="AB271" s="31"/>
    </x:row>
    <x:row r="272">
      <x:c r="A272" s="79"/>
      <x:c r="B272" s="31"/>
      <x:c r="C272" s="31"/>
      <x:c r="D272" s="31"/>
      <x:c r="E272" s="31"/>
      <x:c r="F272" s="31"/>
      <x:c r="G272" s="31"/>
      <x:c r="H272" s="31"/>
      <x:c r="I272" s="31"/>
      <x:c r="J272" s="80"/>
      <x:c r="K272" s="31"/>
      <x:c r="L272" s="31"/>
      <x:c r="M272" s="31"/>
      <x:c r="N272" s="31"/>
      <x:c r="O272" s="31"/>
      <x:c r="P272" s="31"/>
      <x:c r="Q272" s="33"/>
      <x:c r="R272" s="33"/>
      <x:c r="S272" s="31"/>
      <x:c r="T272" s="32"/>
      <x:c r="U272" s="31"/>
      <x:c r="V272" s="31"/>
      <x:c r="W272" s="31"/>
      <x:c r="X272" s="31"/>
      <x:c r="Y272" s="31"/>
      <x:c r="Z272" s="31"/>
      <x:c r="AA272" s="31"/>
      <x:c r="AB272" s="31"/>
    </x:row>
    <x:row r="273">
      <x:c r="A273" s="79"/>
      <x:c r="B273" s="31"/>
      <x:c r="C273" s="31"/>
      <x:c r="D273" s="31"/>
      <x:c r="E273" s="31"/>
      <x:c r="F273" s="31"/>
      <x:c r="G273" s="31"/>
      <x:c r="H273" s="31"/>
      <x:c r="I273" s="31"/>
      <x:c r="J273" s="80"/>
      <x:c r="K273" s="31"/>
      <x:c r="L273" s="31"/>
      <x:c r="M273" s="31"/>
      <x:c r="N273" s="31"/>
      <x:c r="O273" s="31"/>
      <x:c r="P273" s="31"/>
      <x:c r="Q273" s="33"/>
      <x:c r="R273" s="33"/>
      <x:c r="S273" s="31"/>
      <x:c r="T273" s="32"/>
      <x:c r="U273" s="31"/>
      <x:c r="V273" s="31"/>
      <x:c r="W273" s="31"/>
      <x:c r="X273" s="31"/>
      <x:c r="Y273" s="31"/>
      <x:c r="Z273" s="31"/>
      <x:c r="AA273" s="31"/>
      <x:c r="AB273" s="31"/>
    </x:row>
    <x:row r="274">
      <x:c r="A274" s="79"/>
      <x:c r="B274" s="31"/>
      <x:c r="C274" s="31"/>
      <x:c r="D274" s="31"/>
      <x:c r="E274" s="31"/>
      <x:c r="F274" s="31"/>
      <x:c r="G274" s="31"/>
      <x:c r="H274" s="31"/>
      <x:c r="I274" s="31"/>
      <x:c r="J274" s="80"/>
      <x:c r="K274" s="31"/>
      <x:c r="L274" s="31"/>
      <x:c r="M274" s="31"/>
      <x:c r="N274" s="31"/>
      <x:c r="O274" s="31"/>
      <x:c r="P274" s="31"/>
      <x:c r="Q274" s="33"/>
      <x:c r="R274" s="33"/>
      <x:c r="S274" s="31"/>
      <x:c r="T274" s="32"/>
      <x:c r="U274" s="31"/>
      <x:c r="V274" s="31"/>
      <x:c r="W274" s="31"/>
      <x:c r="X274" s="31"/>
      <x:c r="Y274" s="31"/>
      <x:c r="Z274" s="31"/>
      <x:c r="AA274" s="31"/>
      <x:c r="AB274" s="31"/>
    </x:row>
    <x:row r="275">
      <x:c r="A275" s="79"/>
      <x:c r="B275" s="31"/>
      <x:c r="C275" s="31"/>
      <x:c r="D275" s="31"/>
      <x:c r="E275" s="31"/>
      <x:c r="F275" s="31"/>
      <x:c r="G275" s="31"/>
      <x:c r="H275" s="31"/>
      <x:c r="I275" s="31"/>
      <x:c r="J275" s="80"/>
      <x:c r="K275" s="31"/>
      <x:c r="L275" s="31"/>
      <x:c r="M275" s="31"/>
      <x:c r="N275" s="31"/>
      <x:c r="O275" s="31"/>
      <x:c r="P275" s="31"/>
      <x:c r="Q275" s="33"/>
      <x:c r="R275" s="33"/>
      <x:c r="S275" s="31"/>
      <x:c r="T275" s="32"/>
      <x:c r="U275" s="31"/>
      <x:c r="V275" s="31"/>
      <x:c r="W275" s="31"/>
      <x:c r="X275" s="31"/>
      <x:c r="Y275" s="31"/>
      <x:c r="Z275" s="31"/>
      <x:c r="AA275" s="31"/>
      <x:c r="AB275" s="31"/>
    </x:row>
    <x:row r="276">
      <x:c r="A276" s="79"/>
      <x:c r="B276" s="31"/>
      <x:c r="C276" s="31"/>
      <x:c r="D276" s="31"/>
      <x:c r="E276" s="31"/>
      <x:c r="F276" s="31"/>
      <x:c r="G276" s="31"/>
      <x:c r="H276" s="31"/>
      <x:c r="I276" s="31"/>
      <x:c r="J276" s="80"/>
      <x:c r="K276" s="31"/>
      <x:c r="L276" s="31"/>
      <x:c r="M276" s="31"/>
      <x:c r="N276" s="31"/>
      <x:c r="O276" s="31"/>
      <x:c r="P276" s="31"/>
      <x:c r="Q276" s="33"/>
      <x:c r="R276" s="33"/>
      <x:c r="S276" s="31"/>
      <x:c r="T276" s="32"/>
      <x:c r="U276" s="31"/>
      <x:c r="V276" s="31"/>
      <x:c r="W276" s="31"/>
      <x:c r="X276" s="31"/>
      <x:c r="Y276" s="31"/>
      <x:c r="Z276" s="31"/>
      <x:c r="AA276" s="31"/>
      <x:c r="AB276" s="31"/>
    </x:row>
    <x:row r="277">
      <x:c r="A277" s="79"/>
      <x:c r="B277" s="31"/>
      <x:c r="C277" s="31"/>
      <x:c r="D277" s="31"/>
      <x:c r="E277" s="31"/>
      <x:c r="F277" s="31"/>
      <x:c r="G277" s="31"/>
      <x:c r="H277" s="31"/>
      <x:c r="I277" s="31"/>
      <x:c r="J277" s="80"/>
      <x:c r="K277" s="31"/>
      <x:c r="L277" s="31"/>
      <x:c r="M277" s="31"/>
      <x:c r="N277" s="31"/>
      <x:c r="O277" s="31"/>
      <x:c r="P277" s="31"/>
      <x:c r="Q277" s="33"/>
      <x:c r="R277" s="33"/>
      <x:c r="S277" s="31"/>
      <x:c r="T277" s="32"/>
      <x:c r="U277" s="31"/>
      <x:c r="V277" s="31"/>
      <x:c r="W277" s="31"/>
      <x:c r="X277" s="31"/>
      <x:c r="Y277" s="31"/>
      <x:c r="Z277" s="31"/>
      <x:c r="AA277" s="31"/>
      <x:c r="AB277" s="31"/>
    </x:row>
    <x:row r="278">
      <x:c r="A278" s="79"/>
      <x:c r="B278" s="31"/>
      <x:c r="C278" s="31"/>
      <x:c r="D278" s="31"/>
      <x:c r="E278" s="31"/>
      <x:c r="F278" s="31"/>
      <x:c r="G278" s="31"/>
      <x:c r="H278" s="31"/>
      <x:c r="I278" s="31"/>
      <x:c r="J278" s="80"/>
      <x:c r="K278" s="31"/>
      <x:c r="L278" s="31"/>
      <x:c r="M278" s="31"/>
      <x:c r="N278" s="31"/>
      <x:c r="O278" s="31"/>
      <x:c r="P278" s="31"/>
      <x:c r="Q278" s="33"/>
      <x:c r="R278" s="33"/>
      <x:c r="S278" s="31"/>
      <x:c r="T278" s="32"/>
      <x:c r="U278" s="31"/>
      <x:c r="V278" s="31"/>
      <x:c r="W278" s="31"/>
      <x:c r="X278" s="31"/>
      <x:c r="Y278" s="31"/>
      <x:c r="Z278" s="31"/>
      <x:c r="AA278" s="31"/>
      <x:c r="AB278" s="31"/>
    </x:row>
    <x:row r="279">
      <x:c r="A279" s="79"/>
      <x:c r="B279" s="31"/>
      <x:c r="C279" s="31"/>
      <x:c r="D279" s="31"/>
      <x:c r="E279" s="31"/>
      <x:c r="F279" s="31"/>
      <x:c r="G279" s="31"/>
      <x:c r="H279" s="31"/>
      <x:c r="I279" s="31"/>
      <x:c r="J279" s="80"/>
      <x:c r="K279" s="31"/>
      <x:c r="L279" s="31"/>
      <x:c r="M279" s="31"/>
      <x:c r="N279" s="31"/>
      <x:c r="O279" s="31"/>
      <x:c r="P279" s="31"/>
      <x:c r="Q279" s="33"/>
      <x:c r="R279" s="33"/>
      <x:c r="S279" s="31"/>
      <x:c r="T279" s="32"/>
      <x:c r="U279" s="31"/>
      <x:c r="V279" s="31"/>
      <x:c r="W279" s="31"/>
      <x:c r="X279" s="31"/>
      <x:c r="Y279" s="31"/>
      <x:c r="Z279" s="31"/>
      <x:c r="AA279" s="31"/>
      <x:c r="AB279" s="31"/>
    </x:row>
    <x:row r="280">
      <x:c r="A280" s="79"/>
      <x:c r="B280" s="31"/>
      <x:c r="C280" s="31"/>
      <x:c r="D280" s="31"/>
      <x:c r="E280" s="31"/>
      <x:c r="F280" s="31"/>
      <x:c r="G280" s="31"/>
      <x:c r="H280" s="31"/>
      <x:c r="I280" s="31"/>
      <x:c r="J280" s="80"/>
      <x:c r="K280" s="31"/>
      <x:c r="L280" s="31"/>
      <x:c r="M280" s="31"/>
      <x:c r="N280" s="31"/>
      <x:c r="O280" s="31"/>
      <x:c r="P280" s="31"/>
      <x:c r="Q280" s="33"/>
      <x:c r="R280" s="33"/>
      <x:c r="S280" s="31"/>
      <x:c r="T280" s="32"/>
      <x:c r="U280" s="31"/>
      <x:c r="V280" s="31"/>
      <x:c r="W280" s="31"/>
      <x:c r="X280" s="31"/>
      <x:c r="Y280" s="31"/>
      <x:c r="Z280" s="31"/>
      <x:c r="AA280" s="31"/>
      <x:c r="AB280" s="31"/>
    </x:row>
    <x:row r="281">
      <x:c r="A281" s="79"/>
      <x:c r="B281" s="31"/>
      <x:c r="C281" s="31"/>
      <x:c r="D281" s="31"/>
      <x:c r="E281" s="31"/>
      <x:c r="F281" s="31"/>
      <x:c r="G281" s="31"/>
      <x:c r="H281" s="31"/>
      <x:c r="I281" s="31"/>
      <x:c r="J281" s="80"/>
      <x:c r="K281" s="31"/>
      <x:c r="L281" s="31"/>
      <x:c r="M281" s="31"/>
      <x:c r="N281" s="31"/>
      <x:c r="O281" s="31"/>
      <x:c r="P281" s="31"/>
      <x:c r="Q281" s="33"/>
      <x:c r="R281" s="33"/>
      <x:c r="S281" s="31"/>
      <x:c r="T281" s="32"/>
      <x:c r="U281" s="31"/>
      <x:c r="V281" s="31"/>
      <x:c r="W281" s="31"/>
      <x:c r="X281" s="31"/>
      <x:c r="Y281" s="31"/>
      <x:c r="Z281" s="31"/>
      <x:c r="AA281" s="31"/>
      <x:c r="AB281" s="31"/>
    </x:row>
    <x:row r="282">
      <x:c r="A282" s="79"/>
      <x:c r="B282" s="31"/>
      <x:c r="C282" s="31"/>
      <x:c r="D282" s="31"/>
      <x:c r="E282" s="31"/>
      <x:c r="F282" s="31"/>
      <x:c r="G282" s="31"/>
      <x:c r="H282" s="31"/>
      <x:c r="I282" s="31"/>
      <x:c r="J282" s="80"/>
      <x:c r="K282" s="31"/>
      <x:c r="L282" s="31"/>
      <x:c r="M282" s="31"/>
      <x:c r="N282" s="31"/>
      <x:c r="O282" s="31"/>
      <x:c r="P282" s="31"/>
      <x:c r="Q282" s="33"/>
      <x:c r="R282" s="33"/>
      <x:c r="S282" s="31"/>
      <x:c r="T282" s="32"/>
      <x:c r="U282" s="31"/>
      <x:c r="V282" s="31"/>
      <x:c r="W282" s="31"/>
      <x:c r="X282" s="31"/>
      <x:c r="Y282" s="31"/>
      <x:c r="Z282" s="31"/>
      <x:c r="AA282" s="31"/>
      <x:c r="AB282" s="31"/>
    </x:row>
    <x:row r="283">
      <x:c r="A283" s="79"/>
      <x:c r="B283" s="31"/>
      <x:c r="C283" s="31"/>
      <x:c r="D283" s="31"/>
      <x:c r="E283" s="31"/>
      <x:c r="F283" s="31"/>
      <x:c r="G283" s="31"/>
      <x:c r="H283" s="31"/>
      <x:c r="I283" s="31"/>
      <x:c r="J283" s="80"/>
      <x:c r="K283" s="31"/>
      <x:c r="L283" s="31"/>
      <x:c r="M283" s="31"/>
      <x:c r="N283" s="31"/>
      <x:c r="O283" s="31"/>
      <x:c r="P283" s="31"/>
      <x:c r="Q283" s="33"/>
      <x:c r="R283" s="33"/>
      <x:c r="S283" s="31"/>
      <x:c r="T283" s="32"/>
      <x:c r="U283" s="31"/>
      <x:c r="V283" s="31"/>
      <x:c r="W283" s="31"/>
      <x:c r="X283" s="31"/>
      <x:c r="Y283" s="31"/>
      <x:c r="Z283" s="31"/>
      <x:c r="AA283" s="31"/>
      <x:c r="AB283" s="31"/>
    </x:row>
    <x:row r="284">
      <x:c r="A284" s="79"/>
      <x:c r="B284" s="31"/>
      <x:c r="C284" s="31"/>
      <x:c r="D284" s="31"/>
      <x:c r="E284" s="31"/>
      <x:c r="F284" s="31"/>
      <x:c r="G284" s="31"/>
      <x:c r="H284" s="31"/>
      <x:c r="I284" s="31"/>
      <x:c r="J284" s="80"/>
      <x:c r="K284" s="31"/>
      <x:c r="L284" s="31"/>
      <x:c r="M284" s="31"/>
      <x:c r="N284" s="31"/>
      <x:c r="O284" s="31"/>
      <x:c r="P284" s="31"/>
      <x:c r="Q284" s="33"/>
      <x:c r="R284" s="33"/>
      <x:c r="S284" s="31"/>
      <x:c r="T284" s="32"/>
      <x:c r="U284" s="31"/>
      <x:c r="V284" s="31"/>
      <x:c r="W284" s="31"/>
      <x:c r="X284" s="31"/>
      <x:c r="Y284" s="31"/>
      <x:c r="Z284" s="31"/>
      <x:c r="AA284" s="31"/>
      <x:c r="AB284" s="31"/>
    </x:row>
    <x:row r="285">
      <x:c r="A285" s="79"/>
      <x:c r="B285" s="31"/>
      <x:c r="C285" s="31"/>
      <x:c r="D285" s="31"/>
      <x:c r="E285" s="31"/>
      <x:c r="F285" s="31"/>
      <x:c r="G285" s="31"/>
      <x:c r="H285" s="31"/>
      <x:c r="I285" s="31"/>
      <x:c r="J285" s="80"/>
      <x:c r="K285" s="31"/>
      <x:c r="L285" s="31"/>
      <x:c r="M285" s="31"/>
      <x:c r="N285" s="31"/>
      <x:c r="O285" s="31"/>
      <x:c r="P285" s="31"/>
      <x:c r="Q285" s="33"/>
      <x:c r="R285" s="33"/>
      <x:c r="S285" s="31"/>
      <x:c r="T285" s="32"/>
      <x:c r="U285" s="31"/>
      <x:c r="V285" s="31"/>
      <x:c r="W285" s="31"/>
      <x:c r="X285" s="31"/>
      <x:c r="Y285" s="31"/>
      <x:c r="Z285" s="31"/>
      <x:c r="AA285" s="31"/>
      <x:c r="AB285" s="31"/>
    </x:row>
    <x:row r="286">
      <x:c r="A286" s="79"/>
      <x:c r="B286" s="31"/>
      <x:c r="C286" s="31"/>
      <x:c r="D286" s="31"/>
      <x:c r="E286" s="31"/>
      <x:c r="F286" s="31"/>
      <x:c r="G286" s="31"/>
      <x:c r="H286" s="31"/>
      <x:c r="I286" s="31"/>
      <x:c r="J286" s="80"/>
      <x:c r="K286" s="31"/>
      <x:c r="L286" s="31"/>
      <x:c r="M286" s="31"/>
      <x:c r="N286" s="31"/>
      <x:c r="O286" s="31"/>
      <x:c r="P286" s="31"/>
      <x:c r="Q286" s="33"/>
      <x:c r="R286" s="33"/>
      <x:c r="S286" s="31"/>
      <x:c r="T286" s="32"/>
      <x:c r="U286" s="31"/>
      <x:c r="V286" s="31"/>
      <x:c r="W286" s="31"/>
      <x:c r="X286" s="31"/>
      <x:c r="Y286" s="31"/>
      <x:c r="Z286" s="31"/>
      <x:c r="AA286" s="31"/>
      <x:c r="AB286" s="31"/>
    </x:row>
    <x:row r="287">
      <x:c r="A287" s="79"/>
      <x:c r="B287" s="31"/>
      <x:c r="C287" s="31"/>
      <x:c r="D287" s="31"/>
      <x:c r="E287" s="31"/>
      <x:c r="F287" s="31"/>
      <x:c r="G287" s="31"/>
      <x:c r="H287" s="31"/>
      <x:c r="I287" s="31"/>
      <x:c r="J287" s="80"/>
      <x:c r="K287" s="31"/>
      <x:c r="L287" s="31"/>
      <x:c r="M287" s="31"/>
      <x:c r="N287" s="31"/>
      <x:c r="O287" s="31"/>
      <x:c r="P287" s="31"/>
      <x:c r="Q287" s="33"/>
      <x:c r="R287" s="33"/>
      <x:c r="S287" s="31"/>
      <x:c r="T287" s="32"/>
      <x:c r="U287" s="31"/>
      <x:c r="V287" s="31"/>
      <x:c r="W287" s="31"/>
      <x:c r="X287" s="31"/>
      <x:c r="Y287" s="31"/>
      <x:c r="Z287" s="31"/>
      <x:c r="AA287" s="31"/>
      <x:c r="AB287" s="31"/>
    </x:row>
    <x:row r="288">
      <x:c r="A288" s="79"/>
      <x:c r="B288" s="31"/>
      <x:c r="C288" s="31"/>
      <x:c r="D288" s="31"/>
      <x:c r="E288" s="31"/>
      <x:c r="F288" s="31"/>
      <x:c r="G288" s="31"/>
      <x:c r="H288" s="31"/>
      <x:c r="I288" s="31"/>
      <x:c r="J288" s="80"/>
      <x:c r="K288" s="31"/>
      <x:c r="L288" s="31"/>
      <x:c r="M288" s="31"/>
      <x:c r="N288" s="31"/>
      <x:c r="O288" s="31"/>
      <x:c r="P288" s="31"/>
      <x:c r="Q288" s="33"/>
      <x:c r="R288" s="33"/>
      <x:c r="S288" s="31"/>
      <x:c r="T288" s="32"/>
      <x:c r="U288" s="31"/>
      <x:c r="V288" s="31"/>
      <x:c r="W288" s="31"/>
      <x:c r="X288" s="31"/>
      <x:c r="Y288" s="31"/>
      <x:c r="Z288" s="31"/>
      <x:c r="AA288" s="31"/>
      <x:c r="AB288" s="31"/>
    </x:row>
    <x:row r="289">
      <x:c r="A289" s="79"/>
      <x:c r="B289" s="31"/>
      <x:c r="C289" s="31"/>
      <x:c r="D289" s="31"/>
      <x:c r="E289" s="31"/>
      <x:c r="F289" s="31"/>
      <x:c r="G289" s="31"/>
      <x:c r="H289" s="31"/>
      <x:c r="I289" s="31"/>
      <x:c r="J289" s="80"/>
      <x:c r="K289" s="31"/>
      <x:c r="L289" s="31"/>
      <x:c r="M289" s="31"/>
      <x:c r="N289" s="31"/>
      <x:c r="O289" s="31"/>
      <x:c r="P289" s="31"/>
      <x:c r="Q289" s="33"/>
      <x:c r="R289" s="33"/>
      <x:c r="S289" s="31"/>
      <x:c r="T289" s="32"/>
      <x:c r="U289" s="31"/>
      <x:c r="V289" s="31"/>
      <x:c r="W289" s="31"/>
      <x:c r="X289" s="31"/>
      <x:c r="Y289" s="31"/>
      <x:c r="Z289" s="31"/>
      <x:c r="AA289" s="31"/>
      <x:c r="AB289" s="31"/>
    </x:row>
    <x:row r="290">
      <x:c r="A290" s="79"/>
      <x:c r="B290" s="31"/>
      <x:c r="C290" s="31"/>
      <x:c r="D290" s="31"/>
      <x:c r="E290" s="31"/>
      <x:c r="F290" s="31"/>
      <x:c r="G290" s="31"/>
      <x:c r="H290" s="31"/>
      <x:c r="I290" s="31"/>
      <x:c r="J290" s="80"/>
      <x:c r="K290" s="31"/>
      <x:c r="L290" s="31"/>
      <x:c r="M290" s="31"/>
      <x:c r="N290" s="31"/>
      <x:c r="O290" s="31"/>
      <x:c r="P290" s="31"/>
      <x:c r="Q290" s="33"/>
      <x:c r="R290" s="33"/>
      <x:c r="S290" s="31"/>
      <x:c r="T290" s="32"/>
      <x:c r="U290" s="31"/>
      <x:c r="V290" s="31"/>
      <x:c r="W290" s="31"/>
      <x:c r="X290" s="31"/>
      <x:c r="Y290" s="31"/>
      <x:c r="Z290" s="31"/>
      <x:c r="AA290" s="31"/>
      <x:c r="AB290" s="31"/>
    </x:row>
    <x:row r="291">
      <x:c r="A291" s="79"/>
      <x:c r="B291" s="31"/>
      <x:c r="C291" s="31"/>
      <x:c r="D291" s="31"/>
      <x:c r="E291" s="31"/>
      <x:c r="F291" s="31"/>
      <x:c r="G291" s="31"/>
      <x:c r="H291" s="31"/>
      <x:c r="I291" s="31"/>
      <x:c r="J291" s="80"/>
      <x:c r="K291" s="31"/>
      <x:c r="L291" s="31"/>
      <x:c r="M291" s="31"/>
      <x:c r="N291" s="31"/>
      <x:c r="O291" s="31"/>
      <x:c r="P291" s="31"/>
      <x:c r="Q291" s="33"/>
      <x:c r="R291" s="33"/>
      <x:c r="S291" s="31"/>
      <x:c r="T291" s="32"/>
      <x:c r="U291" s="31"/>
      <x:c r="V291" s="31"/>
      <x:c r="W291" s="31"/>
      <x:c r="X291" s="31"/>
      <x:c r="Y291" s="31"/>
      <x:c r="Z291" s="31"/>
      <x:c r="AA291" s="31"/>
      <x:c r="AB291" s="31"/>
    </x:row>
    <x:row r="292">
      <x:c r="A292" s="79"/>
      <x:c r="B292" s="31"/>
      <x:c r="C292" s="31"/>
      <x:c r="D292" s="31"/>
      <x:c r="E292" s="31"/>
      <x:c r="F292" s="31"/>
      <x:c r="G292" s="31"/>
      <x:c r="H292" s="31"/>
      <x:c r="I292" s="31"/>
      <x:c r="J292" s="80"/>
      <x:c r="K292" s="31"/>
      <x:c r="L292" s="31"/>
      <x:c r="M292" s="31"/>
      <x:c r="N292" s="31"/>
      <x:c r="O292" s="31"/>
      <x:c r="P292" s="31"/>
      <x:c r="Q292" s="33"/>
      <x:c r="R292" s="33"/>
      <x:c r="S292" s="31"/>
      <x:c r="T292" s="32"/>
      <x:c r="U292" s="31"/>
      <x:c r="V292" s="31"/>
      <x:c r="W292" s="31"/>
      <x:c r="X292" s="31"/>
      <x:c r="Y292" s="31"/>
      <x:c r="Z292" s="31"/>
      <x:c r="AA292" s="31"/>
      <x:c r="AB292" s="31"/>
    </x:row>
    <x:row r="293">
      <x:c r="A293" s="79"/>
      <x:c r="B293" s="31"/>
      <x:c r="C293" s="31"/>
      <x:c r="D293" s="31"/>
      <x:c r="E293" s="31"/>
      <x:c r="F293" s="31"/>
      <x:c r="G293" s="31"/>
      <x:c r="H293" s="31"/>
      <x:c r="I293" s="31"/>
      <x:c r="J293" s="80"/>
      <x:c r="K293" s="31"/>
      <x:c r="L293" s="31"/>
      <x:c r="M293" s="31"/>
      <x:c r="N293" s="31"/>
      <x:c r="O293" s="31"/>
      <x:c r="P293" s="31"/>
      <x:c r="Q293" s="33"/>
      <x:c r="R293" s="33"/>
      <x:c r="S293" s="31"/>
      <x:c r="T293" s="32"/>
      <x:c r="U293" s="31"/>
      <x:c r="V293" s="31"/>
      <x:c r="W293" s="31"/>
      <x:c r="X293" s="31"/>
      <x:c r="Y293" s="31"/>
      <x:c r="Z293" s="31"/>
      <x:c r="AA293" s="31"/>
      <x:c r="AB293" s="31"/>
    </x:row>
    <x:row r="294">
      <x:c r="A294" s="79"/>
      <x:c r="B294" s="31"/>
      <x:c r="C294" s="31"/>
      <x:c r="D294" s="31"/>
      <x:c r="E294" s="31"/>
      <x:c r="F294" s="31"/>
      <x:c r="G294" s="31"/>
      <x:c r="H294" s="31"/>
      <x:c r="I294" s="31"/>
      <x:c r="J294" s="80"/>
      <x:c r="K294" s="31"/>
      <x:c r="L294" s="31"/>
      <x:c r="M294" s="31"/>
      <x:c r="N294" s="31"/>
      <x:c r="O294" s="31"/>
      <x:c r="P294" s="31"/>
      <x:c r="Q294" s="33"/>
      <x:c r="R294" s="33"/>
      <x:c r="S294" s="31"/>
      <x:c r="T294" s="32"/>
      <x:c r="U294" s="31"/>
      <x:c r="V294" s="31"/>
      <x:c r="W294" s="31"/>
      <x:c r="X294" s="31"/>
      <x:c r="Y294" s="31"/>
      <x:c r="Z294" s="31"/>
      <x:c r="AA294" s="31"/>
      <x:c r="AB294" s="31"/>
    </x:row>
    <x:row r="295">
      <x:c r="A295" s="79"/>
      <x:c r="B295" s="31"/>
      <x:c r="C295" s="31"/>
      <x:c r="D295" s="31"/>
      <x:c r="E295" s="31"/>
      <x:c r="F295" s="31"/>
      <x:c r="G295" s="31"/>
      <x:c r="H295" s="31"/>
      <x:c r="I295" s="31"/>
      <x:c r="J295" s="80"/>
      <x:c r="K295" s="31"/>
      <x:c r="L295" s="31"/>
      <x:c r="M295" s="31"/>
      <x:c r="N295" s="31"/>
      <x:c r="O295" s="31"/>
      <x:c r="P295" s="31"/>
      <x:c r="Q295" s="33"/>
      <x:c r="R295" s="33"/>
      <x:c r="S295" s="31"/>
      <x:c r="T295" s="32"/>
      <x:c r="U295" s="31"/>
      <x:c r="V295" s="31"/>
      <x:c r="W295" s="31"/>
      <x:c r="X295" s="31"/>
      <x:c r="Y295" s="31"/>
      <x:c r="Z295" s="31"/>
      <x:c r="AA295" s="31"/>
      <x:c r="AB295" s="31"/>
    </x:row>
    <x:row r="296">
      <x:c r="A296" s="79"/>
      <x:c r="B296" s="31"/>
      <x:c r="C296" s="31"/>
      <x:c r="D296" s="31"/>
      <x:c r="E296" s="31"/>
      <x:c r="F296" s="31"/>
      <x:c r="G296" s="31"/>
      <x:c r="H296" s="31"/>
      <x:c r="I296" s="31"/>
      <x:c r="J296" s="80"/>
      <x:c r="K296" s="31"/>
      <x:c r="L296" s="31"/>
      <x:c r="M296" s="31"/>
      <x:c r="N296" s="31"/>
      <x:c r="O296" s="31"/>
      <x:c r="P296" s="31"/>
      <x:c r="Q296" s="33"/>
      <x:c r="R296" s="33"/>
      <x:c r="S296" s="31"/>
      <x:c r="T296" s="32"/>
      <x:c r="U296" s="31"/>
      <x:c r="V296" s="31"/>
      <x:c r="W296" s="31"/>
      <x:c r="X296" s="31"/>
      <x:c r="Y296" s="31"/>
      <x:c r="Z296" s="31"/>
      <x:c r="AA296" s="31"/>
      <x:c r="AB296" s="31"/>
    </x:row>
    <x:row r="297">
      <x:c r="A297" s="79"/>
      <x:c r="B297" s="31"/>
      <x:c r="C297" s="31"/>
      <x:c r="D297" s="31"/>
      <x:c r="E297" s="31"/>
      <x:c r="F297" s="31"/>
      <x:c r="G297" s="31"/>
      <x:c r="H297" s="31"/>
      <x:c r="I297" s="31"/>
      <x:c r="J297" s="80"/>
      <x:c r="K297" s="31"/>
      <x:c r="L297" s="31"/>
      <x:c r="M297" s="31"/>
      <x:c r="N297" s="31"/>
      <x:c r="O297" s="31"/>
      <x:c r="P297" s="31"/>
      <x:c r="Q297" s="33"/>
      <x:c r="R297" s="33"/>
      <x:c r="S297" s="31"/>
      <x:c r="T297" s="32"/>
      <x:c r="U297" s="31"/>
      <x:c r="V297" s="31"/>
      <x:c r="W297" s="31"/>
      <x:c r="X297" s="31"/>
      <x:c r="Y297" s="31"/>
      <x:c r="Z297" s="31"/>
      <x:c r="AA297" s="31"/>
      <x:c r="AB297" s="31"/>
    </x:row>
    <x:row r="298">
      <x:c r="A298" s="79"/>
      <x:c r="B298" s="31"/>
      <x:c r="C298" s="31"/>
      <x:c r="D298" s="31"/>
      <x:c r="E298" s="31"/>
      <x:c r="F298" s="31"/>
      <x:c r="G298" s="31"/>
      <x:c r="H298" s="31"/>
      <x:c r="I298" s="31"/>
      <x:c r="J298" s="80"/>
      <x:c r="K298" s="31"/>
      <x:c r="L298" s="31"/>
      <x:c r="M298" s="31"/>
      <x:c r="N298" s="31"/>
      <x:c r="O298" s="31"/>
      <x:c r="P298" s="31"/>
      <x:c r="Q298" s="33"/>
      <x:c r="R298" s="33"/>
      <x:c r="S298" s="31"/>
      <x:c r="T298" s="32"/>
      <x:c r="U298" s="31"/>
      <x:c r="V298" s="31"/>
      <x:c r="W298" s="31"/>
      <x:c r="X298" s="31"/>
      <x:c r="Y298" s="31"/>
      <x:c r="Z298" s="31"/>
      <x:c r="AA298" s="31"/>
      <x:c r="AB298" s="31"/>
    </x:row>
    <x:row r="299">
      <x:c r="A299" s="79"/>
      <x:c r="B299" s="31"/>
      <x:c r="C299" s="31"/>
      <x:c r="D299" s="31"/>
      <x:c r="E299" s="31"/>
      <x:c r="F299" s="31"/>
      <x:c r="G299" s="31"/>
      <x:c r="H299" s="31"/>
      <x:c r="I299" s="31"/>
      <x:c r="J299" s="80"/>
      <x:c r="K299" s="31"/>
      <x:c r="L299" s="31"/>
      <x:c r="M299" s="31"/>
      <x:c r="N299" s="31"/>
      <x:c r="O299" s="31"/>
      <x:c r="P299" s="31"/>
      <x:c r="Q299" s="33"/>
      <x:c r="R299" s="33"/>
      <x:c r="S299" s="31"/>
      <x:c r="T299" s="32"/>
      <x:c r="U299" s="31"/>
      <x:c r="V299" s="31"/>
      <x:c r="W299" s="31"/>
      <x:c r="X299" s="31"/>
      <x:c r="Y299" s="31"/>
      <x:c r="Z299" s="31"/>
      <x:c r="AA299" s="31"/>
      <x:c r="AB299" s="31"/>
    </x:row>
    <x:row r="300">
      <x:c r="A300" s="79"/>
      <x:c r="B300" s="31"/>
      <x:c r="C300" s="31"/>
      <x:c r="D300" s="31"/>
      <x:c r="E300" s="31"/>
      <x:c r="F300" s="31"/>
      <x:c r="G300" s="31"/>
      <x:c r="H300" s="31"/>
      <x:c r="I300" s="31"/>
      <x:c r="J300" s="80"/>
      <x:c r="K300" s="31"/>
      <x:c r="L300" s="31"/>
      <x:c r="M300" s="31"/>
      <x:c r="N300" s="31"/>
      <x:c r="O300" s="31"/>
      <x:c r="P300" s="31"/>
      <x:c r="Q300" s="33"/>
      <x:c r="R300" s="33"/>
      <x:c r="S300" s="31"/>
      <x:c r="T300" s="32"/>
      <x:c r="U300" s="31"/>
      <x:c r="V300" s="31"/>
      <x:c r="W300" s="31"/>
      <x:c r="X300" s="31"/>
      <x:c r="Y300" s="31"/>
      <x:c r="Z300" s="31"/>
      <x:c r="AA300" s="31"/>
      <x:c r="AB300" s="31"/>
    </x:row>
    <x:row r="301">
      <x:c r="A301" s="79"/>
      <x:c r="B301" s="31"/>
      <x:c r="C301" s="31"/>
      <x:c r="D301" s="31"/>
      <x:c r="E301" s="31"/>
      <x:c r="F301" s="31"/>
      <x:c r="G301" s="31"/>
      <x:c r="H301" s="31"/>
      <x:c r="I301" s="31"/>
      <x:c r="J301" s="80"/>
      <x:c r="K301" s="31"/>
      <x:c r="L301" s="31"/>
      <x:c r="M301" s="31"/>
      <x:c r="N301" s="31"/>
      <x:c r="O301" s="31"/>
      <x:c r="P301" s="31"/>
      <x:c r="Q301" s="33"/>
      <x:c r="R301" s="33"/>
      <x:c r="S301" s="31"/>
      <x:c r="T301" s="32"/>
      <x:c r="U301" s="31"/>
      <x:c r="V301" s="31"/>
      <x:c r="W301" s="31"/>
      <x:c r="X301" s="31"/>
      <x:c r="Y301" s="31"/>
      <x:c r="Z301" s="31"/>
      <x:c r="AA301" s="31"/>
      <x:c r="AB301" s="31"/>
    </x:row>
    <x:row r="302">
      <x:c r="A302" s="79"/>
      <x:c r="B302" s="31"/>
      <x:c r="C302" s="31"/>
      <x:c r="D302" s="31"/>
      <x:c r="E302" s="31"/>
      <x:c r="F302" s="31"/>
      <x:c r="G302" s="31"/>
      <x:c r="H302" s="31"/>
      <x:c r="I302" s="31"/>
      <x:c r="J302" s="80"/>
      <x:c r="K302" s="31"/>
      <x:c r="L302" s="31"/>
      <x:c r="M302" s="31"/>
      <x:c r="N302" s="31"/>
      <x:c r="O302" s="31"/>
      <x:c r="P302" s="31"/>
      <x:c r="Q302" s="33"/>
      <x:c r="R302" s="33"/>
      <x:c r="S302" s="31"/>
      <x:c r="T302" s="32"/>
      <x:c r="U302" s="31"/>
      <x:c r="V302" s="31"/>
      <x:c r="W302" s="31"/>
      <x:c r="X302" s="31"/>
      <x:c r="Y302" s="31"/>
      <x:c r="Z302" s="31"/>
      <x:c r="AA302" s="31"/>
      <x:c r="AB302" s="31"/>
    </x:row>
    <x:row r="303">
      <x:c r="A303" s="79"/>
      <x:c r="B303" s="31"/>
      <x:c r="C303" s="31"/>
      <x:c r="D303" s="31"/>
      <x:c r="E303" s="31"/>
      <x:c r="F303" s="31"/>
      <x:c r="G303" s="31"/>
      <x:c r="H303" s="31"/>
      <x:c r="I303" s="31"/>
      <x:c r="J303" s="80"/>
      <x:c r="K303" s="31"/>
      <x:c r="L303" s="31"/>
      <x:c r="M303" s="31"/>
      <x:c r="N303" s="31"/>
      <x:c r="O303" s="31"/>
      <x:c r="P303" s="31"/>
      <x:c r="Q303" s="33"/>
      <x:c r="R303" s="33"/>
      <x:c r="S303" s="31"/>
      <x:c r="T303" s="32"/>
      <x:c r="U303" s="31"/>
      <x:c r="V303" s="31"/>
      <x:c r="W303" s="31"/>
      <x:c r="X303" s="31"/>
      <x:c r="Y303" s="31"/>
      <x:c r="Z303" s="31"/>
      <x:c r="AA303" s="31"/>
      <x:c r="AB303" s="31"/>
    </x:row>
    <x:row r="304">
      <x:c r="A304" s="79"/>
      <x:c r="B304" s="31"/>
      <x:c r="C304" s="31"/>
      <x:c r="D304" s="31"/>
      <x:c r="E304" s="31"/>
      <x:c r="F304" s="31"/>
      <x:c r="G304" s="31"/>
      <x:c r="H304" s="31"/>
      <x:c r="I304" s="31"/>
      <x:c r="J304" s="80"/>
      <x:c r="K304" s="31"/>
      <x:c r="L304" s="31"/>
      <x:c r="M304" s="31"/>
      <x:c r="N304" s="31"/>
      <x:c r="O304" s="31"/>
      <x:c r="P304" s="31"/>
      <x:c r="Q304" s="33"/>
      <x:c r="R304" s="33"/>
      <x:c r="S304" s="31"/>
      <x:c r="T304" s="32"/>
      <x:c r="U304" s="31"/>
      <x:c r="V304" s="31"/>
      <x:c r="W304" s="31"/>
      <x:c r="X304" s="31"/>
      <x:c r="Y304" s="31"/>
      <x:c r="Z304" s="31"/>
      <x:c r="AA304" s="31"/>
      <x:c r="AB304" s="31"/>
    </x:row>
    <x:row r="305">
      <x:c r="A305" s="79"/>
      <x:c r="B305" s="31"/>
      <x:c r="C305" s="31"/>
      <x:c r="D305" s="31"/>
      <x:c r="E305" s="31"/>
      <x:c r="F305" s="31"/>
      <x:c r="G305" s="31"/>
      <x:c r="H305" s="31"/>
      <x:c r="I305" s="31"/>
      <x:c r="J305" s="80"/>
      <x:c r="K305" s="31"/>
      <x:c r="L305" s="31"/>
      <x:c r="M305" s="31"/>
      <x:c r="N305" s="31"/>
      <x:c r="O305" s="31"/>
      <x:c r="P305" s="31"/>
      <x:c r="Q305" s="33"/>
      <x:c r="R305" s="33"/>
      <x:c r="S305" s="31"/>
      <x:c r="T305" s="32"/>
      <x:c r="U305" s="31"/>
      <x:c r="V305" s="31"/>
      <x:c r="W305" s="31"/>
      <x:c r="X305" s="31"/>
      <x:c r="Y305" s="31"/>
      <x:c r="Z305" s="31"/>
      <x:c r="AA305" s="31"/>
      <x:c r="AB305" s="31"/>
    </x:row>
    <x:row r="306">
      <x:c r="A306" s="79"/>
      <x:c r="B306" s="31"/>
      <x:c r="C306" s="31"/>
      <x:c r="D306" s="31"/>
      <x:c r="E306" s="31"/>
      <x:c r="F306" s="31"/>
      <x:c r="G306" s="31"/>
      <x:c r="H306" s="31"/>
      <x:c r="I306" s="31"/>
      <x:c r="J306" s="80"/>
      <x:c r="K306" s="31"/>
      <x:c r="L306" s="31"/>
      <x:c r="M306" s="31"/>
      <x:c r="N306" s="31"/>
      <x:c r="O306" s="31"/>
      <x:c r="P306" s="31"/>
      <x:c r="Q306" s="33"/>
      <x:c r="R306" s="33"/>
      <x:c r="S306" s="31"/>
      <x:c r="T306" s="32"/>
      <x:c r="U306" s="31"/>
      <x:c r="V306" s="31"/>
      <x:c r="W306" s="31"/>
      <x:c r="X306" s="31"/>
      <x:c r="Y306" s="31"/>
      <x:c r="Z306" s="31"/>
      <x:c r="AA306" s="31"/>
      <x:c r="AB306" s="31"/>
    </x:row>
    <x:row r="307">
      <x:c r="A307" s="79"/>
      <x:c r="B307" s="31"/>
      <x:c r="C307" s="31"/>
      <x:c r="D307" s="31"/>
      <x:c r="E307" s="31"/>
      <x:c r="F307" s="31"/>
      <x:c r="G307" s="31"/>
      <x:c r="H307" s="31"/>
      <x:c r="I307" s="31"/>
      <x:c r="J307" s="80"/>
      <x:c r="K307" s="31"/>
      <x:c r="L307" s="31"/>
      <x:c r="M307" s="31"/>
      <x:c r="N307" s="31"/>
      <x:c r="O307" s="31"/>
      <x:c r="P307" s="31"/>
      <x:c r="Q307" s="33"/>
      <x:c r="R307" s="33"/>
      <x:c r="S307" s="31"/>
      <x:c r="T307" s="32"/>
      <x:c r="U307" s="31"/>
      <x:c r="V307" s="31"/>
      <x:c r="W307" s="31"/>
      <x:c r="X307" s="31"/>
      <x:c r="Y307" s="31"/>
      <x:c r="Z307" s="31"/>
      <x:c r="AA307" s="31"/>
      <x:c r="AB307" s="31"/>
    </x:row>
    <x:row r="308">
      <x:c r="A308" s="79"/>
      <x:c r="B308" s="31"/>
      <x:c r="C308" s="31"/>
      <x:c r="D308" s="31"/>
      <x:c r="E308" s="31"/>
      <x:c r="F308" s="31"/>
      <x:c r="G308" s="31"/>
      <x:c r="H308" s="31"/>
      <x:c r="I308" s="31"/>
      <x:c r="J308" s="80"/>
      <x:c r="K308" s="31"/>
      <x:c r="L308" s="31"/>
      <x:c r="M308" s="31"/>
      <x:c r="N308" s="31"/>
      <x:c r="O308" s="31"/>
      <x:c r="P308" s="31"/>
      <x:c r="Q308" s="33"/>
      <x:c r="R308" s="33"/>
      <x:c r="S308" s="31"/>
      <x:c r="T308" s="32"/>
      <x:c r="U308" s="31"/>
      <x:c r="V308" s="31"/>
      <x:c r="W308" s="31"/>
      <x:c r="X308" s="31"/>
      <x:c r="Y308" s="31"/>
      <x:c r="Z308" s="31"/>
      <x:c r="AA308" s="31"/>
      <x:c r="AB308" s="31"/>
    </x:row>
    <x:row r="309">
      <x:c r="A309" s="79"/>
      <x:c r="B309" s="31"/>
      <x:c r="C309" s="31"/>
      <x:c r="D309" s="31"/>
      <x:c r="E309" s="31"/>
      <x:c r="F309" s="31"/>
      <x:c r="G309" s="31"/>
      <x:c r="H309" s="31"/>
      <x:c r="I309" s="31"/>
      <x:c r="J309" s="80"/>
      <x:c r="K309" s="31"/>
      <x:c r="L309" s="31"/>
      <x:c r="M309" s="31"/>
      <x:c r="N309" s="31"/>
      <x:c r="O309" s="31"/>
      <x:c r="P309" s="31"/>
      <x:c r="Q309" s="33"/>
      <x:c r="R309" s="33"/>
      <x:c r="S309" s="31"/>
      <x:c r="T309" s="32"/>
      <x:c r="U309" s="31"/>
      <x:c r="V309" s="31"/>
      <x:c r="W309" s="31"/>
      <x:c r="X309" s="31"/>
      <x:c r="Y309" s="31"/>
      <x:c r="Z309" s="31"/>
      <x:c r="AA309" s="31"/>
      <x:c r="AB309" s="31"/>
    </x:row>
    <x:row r="310">
      <x:c r="A310" s="79"/>
      <x:c r="B310" s="31"/>
      <x:c r="C310" s="31"/>
      <x:c r="D310" s="31"/>
      <x:c r="E310" s="31"/>
      <x:c r="F310" s="31"/>
      <x:c r="G310" s="31"/>
      <x:c r="H310" s="31"/>
      <x:c r="I310" s="31"/>
      <x:c r="J310" s="80"/>
      <x:c r="K310" s="31"/>
      <x:c r="L310" s="31"/>
      <x:c r="M310" s="31"/>
      <x:c r="N310" s="31"/>
      <x:c r="O310" s="31"/>
      <x:c r="P310" s="31"/>
      <x:c r="Q310" s="33"/>
      <x:c r="R310" s="33"/>
      <x:c r="S310" s="31"/>
      <x:c r="T310" s="32"/>
      <x:c r="U310" s="31"/>
      <x:c r="V310" s="31"/>
      <x:c r="W310" s="31"/>
      <x:c r="X310" s="31"/>
      <x:c r="Y310" s="31"/>
      <x:c r="Z310" s="31"/>
      <x:c r="AA310" s="31"/>
      <x:c r="AB310" s="31"/>
    </x:row>
    <x:row r="311">
      <x:c r="A311" s="79"/>
      <x:c r="B311" s="31"/>
      <x:c r="C311" s="31"/>
      <x:c r="D311" s="31"/>
      <x:c r="E311" s="31"/>
      <x:c r="F311" s="31"/>
      <x:c r="G311" s="31"/>
      <x:c r="H311" s="31"/>
      <x:c r="I311" s="31"/>
      <x:c r="J311" s="80"/>
      <x:c r="K311" s="31"/>
      <x:c r="L311" s="31"/>
      <x:c r="M311" s="31"/>
      <x:c r="N311" s="31"/>
      <x:c r="O311" s="31"/>
      <x:c r="P311" s="31"/>
      <x:c r="Q311" s="33"/>
      <x:c r="R311" s="33"/>
      <x:c r="S311" s="31"/>
      <x:c r="T311" s="32"/>
      <x:c r="U311" s="31"/>
      <x:c r="V311" s="31"/>
      <x:c r="W311" s="31"/>
      <x:c r="X311" s="31"/>
      <x:c r="Y311" s="31"/>
      <x:c r="Z311" s="31"/>
      <x:c r="AA311" s="31"/>
      <x:c r="AB311" s="31"/>
    </x:row>
    <x:row r="312">
      <x:c r="A312" s="79"/>
      <x:c r="B312" s="31"/>
      <x:c r="C312" s="31"/>
      <x:c r="D312" s="31"/>
      <x:c r="E312" s="31"/>
      <x:c r="F312" s="31"/>
      <x:c r="G312" s="31"/>
      <x:c r="H312" s="31"/>
      <x:c r="I312" s="31"/>
      <x:c r="J312" s="80"/>
      <x:c r="K312" s="31"/>
      <x:c r="L312" s="31"/>
      <x:c r="M312" s="31"/>
      <x:c r="N312" s="31"/>
      <x:c r="O312" s="31"/>
      <x:c r="P312" s="31"/>
      <x:c r="Q312" s="33"/>
      <x:c r="R312" s="33"/>
      <x:c r="S312" s="31"/>
      <x:c r="T312" s="32"/>
      <x:c r="U312" s="31"/>
      <x:c r="V312" s="31"/>
      <x:c r="W312" s="31"/>
      <x:c r="X312" s="31"/>
      <x:c r="Y312" s="31"/>
      <x:c r="Z312" s="31"/>
      <x:c r="AA312" s="31"/>
      <x:c r="AB312" s="31"/>
    </x:row>
    <x:row r="313">
      <x:c r="A313" s="79"/>
      <x:c r="B313" s="31"/>
      <x:c r="C313" s="31"/>
      <x:c r="D313" s="31"/>
      <x:c r="E313" s="31"/>
      <x:c r="F313" s="31"/>
      <x:c r="G313" s="31"/>
      <x:c r="H313" s="31"/>
      <x:c r="I313" s="31"/>
      <x:c r="J313" s="80"/>
      <x:c r="K313" s="31"/>
      <x:c r="L313" s="31"/>
      <x:c r="M313" s="31"/>
      <x:c r="N313" s="31"/>
      <x:c r="O313" s="31"/>
      <x:c r="P313" s="31"/>
      <x:c r="Q313" s="33"/>
      <x:c r="R313" s="33"/>
      <x:c r="S313" s="31"/>
      <x:c r="T313" s="32"/>
      <x:c r="U313" s="31"/>
      <x:c r="V313" s="31"/>
      <x:c r="W313" s="31"/>
      <x:c r="X313" s="31"/>
      <x:c r="Y313" s="31"/>
      <x:c r="Z313" s="31"/>
      <x:c r="AA313" s="31"/>
      <x:c r="AB313" s="31"/>
    </x:row>
    <x:row r="314">
      <x:c r="A314" s="79"/>
      <x:c r="B314" s="31"/>
      <x:c r="C314" s="31"/>
      <x:c r="D314" s="31"/>
      <x:c r="E314" s="31"/>
      <x:c r="F314" s="31"/>
      <x:c r="G314" s="31"/>
      <x:c r="H314" s="31"/>
      <x:c r="I314" s="31"/>
      <x:c r="J314" s="80"/>
      <x:c r="K314" s="31"/>
      <x:c r="L314" s="31"/>
      <x:c r="M314" s="31"/>
      <x:c r="N314" s="31"/>
      <x:c r="O314" s="31"/>
      <x:c r="P314" s="31"/>
      <x:c r="Q314" s="33"/>
      <x:c r="R314" s="33"/>
      <x:c r="S314" s="31"/>
      <x:c r="T314" s="32"/>
      <x:c r="U314" s="31"/>
      <x:c r="V314" s="31"/>
      <x:c r="W314" s="31"/>
      <x:c r="X314" s="31"/>
      <x:c r="Y314" s="31"/>
      <x:c r="Z314" s="31"/>
      <x:c r="AA314" s="31"/>
      <x:c r="AB314" s="31"/>
    </x:row>
    <x:row r="315">
      <x:c r="A315" s="79"/>
      <x:c r="B315" s="31"/>
      <x:c r="C315" s="31"/>
      <x:c r="D315" s="31"/>
      <x:c r="E315" s="31"/>
      <x:c r="F315" s="31"/>
      <x:c r="G315" s="31"/>
      <x:c r="H315" s="31"/>
      <x:c r="I315" s="31"/>
      <x:c r="J315" s="80"/>
      <x:c r="K315" s="31"/>
      <x:c r="L315" s="31"/>
      <x:c r="M315" s="31"/>
      <x:c r="N315" s="31"/>
      <x:c r="O315" s="31"/>
      <x:c r="P315" s="31"/>
      <x:c r="Q315" s="33"/>
      <x:c r="R315" s="33"/>
      <x:c r="S315" s="31"/>
      <x:c r="T315" s="32"/>
      <x:c r="U315" s="31"/>
      <x:c r="V315" s="31"/>
      <x:c r="W315" s="31"/>
      <x:c r="X315" s="31"/>
      <x:c r="Y315" s="31"/>
      <x:c r="Z315" s="31"/>
      <x:c r="AA315" s="31"/>
      <x:c r="AB315" s="31"/>
    </x:row>
    <x:row r="316">
      <x:c r="A316" s="79"/>
      <x:c r="B316" s="31"/>
      <x:c r="C316" s="31"/>
      <x:c r="D316" s="31"/>
      <x:c r="E316" s="31"/>
      <x:c r="F316" s="31"/>
      <x:c r="G316" s="31"/>
      <x:c r="H316" s="31"/>
      <x:c r="I316" s="31"/>
      <x:c r="J316" s="80"/>
      <x:c r="K316" s="31"/>
      <x:c r="L316" s="31"/>
      <x:c r="M316" s="31"/>
      <x:c r="N316" s="31"/>
      <x:c r="O316" s="31"/>
      <x:c r="P316" s="31"/>
      <x:c r="Q316" s="33"/>
      <x:c r="R316" s="33"/>
      <x:c r="S316" s="31"/>
      <x:c r="T316" s="32"/>
      <x:c r="U316" s="31"/>
      <x:c r="V316" s="31"/>
      <x:c r="W316" s="31"/>
      <x:c r="X316" s="31"/>
      <x:c r="Y316" s="31"/>
      <x:c r="Z316" s="31"/>
      <x:c r="AA316" s="31"/>
      <x:c r="AB316" s="31"/>
    </x:row>
    <x:row r="317">
      <x:c r="A317" s="79"/>
      <x:c r="B317" s="31"/>
      <x:c r="C317" s="31"/>
      <x:c r="D317" s="31"/>
      <x:c r="E317" s="31"/>
      <x:c r="F317" s="31"/>
      <x:c r="G317" s="31"/>
      <x:c r="H317" s="31"/>
      <x:c r="I317" s="31"/>
      <x:c r="J317" s="80"/>
      <x:c r="K317" s="31"/>
      <x:c r="L317" s="31"/>
      <x:c r="M317" s="31"/>
      <x:c r="N317" s="31"/>
      <x:c r="O317" s="31"/>
      <x:c r="P317" s="31"/>
      <x:c r="Q317" s="33"/>
      <x:c r="R317" s="33"/>
      <x:c r="S317" s="31"/>
      <x:c r="T317" s="32"/>
      <x:c r="U317" s="31"/>
      <x:c r="V317" s="31"/>
      <x:c r="W317" s="31"/>
      <x:c r="X317" s="31"/>
      <x:c r="Y317" s="31"/>
      <x:c r="Z317" s="31"/>
      <x:c r="AA317" s="31"/>
      <x:c r="AB317" s="31"/>
    </x:row>
    <x:row r="318">
      <x:c r="A318" s="79"/>
      <x:c r="B318" s="31"/>
      <x:c r="C318" s="31"/>
      <x:c r="D318" s="31"/>
      <x:c r="E318" s="31"/>
      <x:c r="F318" s="31"/>
      <x:c r="G318" s="31"/>
      <x:c r="H318" s="31"/>
      <x:c r="I318" s="31"/>
      <x:c r="J318" s="80"/>
      <x:c r="K318" s="31"/>
      <x:c r="L318" s="31"/>
      <x:c r="M318" s="31"/>
      <x:c r="N318" s="31"/>
      <x:c r="O318" s="31"/>
      <x:c r="P318" s="31"/>
      <x:c r="Q318" s="33"/>
      <x:c r="R318" s="33"/>
      <x:c r="S318" s="31"/>
      <x:c r="T318" s="32"/>
      <x:c r="U318" s="31"/>
      <x:c r="V318" s="31"/>
      <x:c r="W318" s="31"/>
      <x:c r="X318" s="31"/>
      <x:c r="Y318" s="31"/>
      <x:c r="Z318" s="31"/>
      <x:c r="AA318" s="31"/>
      <x:c r="AB318" s="31"/>
    </x:row>
    <x:row r="319">
      <x:c r="A319" s="79"/>
      <x:c r="B319" s="31"/>
      <x:c r="C319" s="31"/>
      <x:c r="D319" s="31"/>
      <x:c r="E319" s="31"/>
      <x:c r="F319" s="31"/>
      <x:c r="G319" s="31"/>
      <x:c r="H319" s="31"/>
      <x:c r="I319" s="31"/>
      <x:c r="J319" s="80"/>
      <x:c r="K319" s="31"/>
      <x:c r="L319" s="31"/>
      <x:c r="M319" s="31"/>
      <x:c r="N319" s="31"/>
      <x:c r="O319" s="31"/>
      <x:c r="P319" s="31"/>
      <x:c r="Q319" s="33"/>
      <x:c r="R319" s="33"/>
      <x:c r="S319" s="31"/>
      <x:c r="T319" s="32"/>
      <x:c r="U319" s="31"/>
      <x:c r="V319" s="31"/>
      <x:c r="W319" s="31"/>
      <x:c r="X319" s="31"/>
      <x:c r="Y319" s="31"/>
      <x:c r="Z319" s="31"/>
      <x:c r="AA319" s="31"/>
      <x:c r="AB319" s="31"/>
    </x:row>
    <x:row r="320">
      <x:c r="A320" s="79"/>
      <x:c r="B320" s="31"/>
      <x:c r="C320" s="31"/>
      <x:c r="D320" s="31"/>
      <x:c r="E320" s="31"/>
      <x:c r="F320" s="31"/>
      <x:c r="G320" s="31"/>
      <x:c r="H320" s="31"/>
      <x:c r="I320" s="31"/>
      <x:c r="J320" s="80"/>
      <x:c r="K320" s="31"/>
      <x:c r="L320" s="31"/>
      <x:c r="M320" s="31"/>
      <x:c r="N320" s="31"/>
      <x:c r="O320" s="31"/>
      <x:c r="P320" s="31"/>
      <x:c r="Q320" s="33"/>
      <x:c r="R320" s="33"/>
      <x:c r="S320" s="31"/>
      <x:c r="T320" s="32"/>
      <x:c r="U320" s="31"/>
      <x:c r="V320" s="31"/>
      <x:c r="W320" s="31"/>
      <x:c r="X320" s="31"/>
      <x:c r="Y320" s="31"/>
      <x:c r="Z320" s="31"/>
      <x:c r="AA320" s="31"/>
      <x:c r="AB320" s="31"/>
    </x:row>
    <x:row r="321">
      <x:c r="A321" s="79"/>
      <x:c r="B321" s="31"/>
      <x:c r="C321" s="31"/>
      <x:c r="D321" s="31"/>
      <x:c r="E321" s="31"/>
      <x:c r="F321" s="31"/>
      <x:c r="G321" s="31"/>
      <x:c r="H321" s="31"/>
      <x:c r="I321" s="31"/>
      <x:c r="J321" s="80"/>
      <x:c r="K321" s="31"/>
      <x:c r="L321" s="31"/>
      <x:c r="M321" s="31"/>
      <x:c r="N321" s="31"/>
      <x:c r="O321" s="31"/>
      <x:c r="P321" s="31"/>
      <x:c r="Q321" s="33"/>
      <x:c r="R321" s="33"/>
      <x:c r="S321" s="31"/>
      <x:c r="T321" s="32"/>
      <x:c r="U321" s="31"/>
      <x:c r="V321" s="31"/>
      <x:c r="W321" s="31"/>
      <x:c r="X321" s="31"/>
      <x:c r="Y321" s="31"/>
      <x:c r="Z321" s="31"/>
      <x:c r="AA321" s="31"/>
      <x:c r="AB321" s="31"/>
    </x:row>
    <x:row r="322">
      <x:c r="A322" s="79"/>
      <x:c r="B322" s="31"/>
      <x:c r="C322" s="31"/>
      <x:c r="D322" s="31"/>
      <x:c r="E322" s="31"/>
      <x:c r="F322" s="31"/>
      <x:c r="G322" s="31"/>
      <x:c r="H322" s="31"/>
      <x:c r="I322" s="31"/>
      <x:c r="J322" s="80"/>
      <x:c r="K322" s="31"/>
      <x:c r="L322" s="31"/>
      <x:c r="M322" s="31"/>
      <x:c r="N322" s="31"/>
      <x:c r="O322" s="31"/>
      <x:c r="P322" s="31"/>
      <x:c r="Q322" s="33"/>
      <x:c r="R322" s="33"/>
      <x:c r="S322" s="31"/>
      <x:c r="T322" s="32"/>
      <x:c r="U322" s="31"/>
      <x:c r="V322" s="31"/>
      <x:c r="W322" s="31"/>
      <x:c r="X322" s="31"/>
      <x:c r="Y322" s="31"/>
      <x:c r="Z322" s="31"/>
      <x:c r="AA322" s="31"/>
      <x:c r="AB322" s="31"/>
    </x:row>
    <x:row r="323">
      <x:c r="A323" s="79"/>
      <x:c r="B323" s="31"/>
      <x:c r="C323" s="31"/>
      <x:c r="D323" s="31"/>
      <x:c r="E323" s="31"/>
      <x:c r="F323" s="31"/>
      <x:c r="G323" s="31"/>
      <x:c r="H323" s="31"/>
      <x:c r="I323" s="31"/>
      <x:c r="J323" s="80"/>
      <x:c r="K323" s="31"/>
      <x:c r="L323" s="31"/>
      <x:c r="M323" s="31"/>
      <x:c r="N323" s="31"/>
      <x:c r="O323" s="31"/>
      <x:c r="P323" s="31"/>
      <x:c r="Q323" s="33"/>
      <x:c r="R323" s="33"/>
      <x:c r="S323" s="31"/>
      <x:c r="T323" s="32"/>
      <x:c r="U323" s="31"/>
      <x:c r="V323" s="31"/>
      <x:c r="W323" s="31"/>
      <x:c r="X323" s="31"/>
      <x:c r="Y323" s="31"/>
      <x:c r="Z323" s="31"/>
      <x:c r="AA323" s="31"/>
      <x:c r="AB323" s="31"/>
    </x:row>
    <x:row r="324">
      <x:c r="A324" s="79"/>
      <x:c r="B324" s="31"/>
      <x:c r="C324" s="31"/>
      <x:c r="D324" s="31"/>
      <x:c r="E324" s="31"/>
      <x:c r="F324" s="31"/>
      <x:c r="G324" s="31"/>
      <x:c r="H324" s="31"/>
      <x:c r="I324" s="31"/>
      <x:c r="J324" s="80"/>
      <x:c r="K324" s="31"/>
      <x:c r="L324" s="31"/>
      <x:c r="M324" s="31"/>
      <x:c r="N324" s="31"/>
      <x:c r="O324" s="31"/>
      <x:c r="P324" s="31"/>
      <x:c r="Q324" s="33"/>
      <x:c r="R324" s="33"/>
      <x:c r="S324" s="31"/>
      <x:c r="T324" s="32"/>
      <x:c r="U324" s="31"/>
      <x:c r="V324" s="31"/>
      <x:c r="W324" s="31"/>
      <x:c r="X324" s="31"/>
      <x:c r="Y324" s="31"/>
      <x:c r="Z324" s="31"/>
      <x:c r="AA324" s="31"/>
      <x:c r="AB324" s="31"/>
    </x:row>
    <x:row r="325">
      <x:c r="A325" s="79"/>
      <x:c r="B325" s="31"/>
      <x:c r="C325" s="31"/>
      <x:c r="D325" s="31"/>
      <x:c r="E325" s="31"/>
      <x:c r="F325" s="31"/>
      <x:c r="G325" s="31"/>
      <x:c r="H325" s="31"/>
      <x:c r="I325" s="31"/>
      <x:c r="J325" s="80"/>
      <x:c r="K325" s="31"/>
      <x:c r="L325" s="31"/>
      <x:c r="M325" s="31"/>
      <x:c r="N325" s="31"/>
      <x:c r="O325" s="31"/>
      <x:c r="P325" s="31"/>
      <x:c r="Q325" s="33"/>
      <x:c r="R325" s="33"/>
      <x:c r="S325" s="31"/>
      <x:c r="T325" s="32"/>
      <x:c r="U325" s="31"/>
      <x:c r="V325" s="31"/>
      <x:c r="W325" s="31"/>
      <x:c r="X325" s="31"/>
      <x:c r="Y325" s="31"/>
      <x:c r="Z325" s="31"/>
      <x:c r="AA325" s="31"/>
      <x:c r="AB325" s="31"/>
    </x:row>
    <x:row r="326">
      <x:c r="A326" s="79"/>
      <x:c r="B326" s="31"/>
      <x:c r="C326" s="31"/>
      <x:c r="D326" s="31"/>
      <x:c r="E326" s="31"/>
      <x:c r="F326" s="31"/>
      <x:c r="G326" s="31"/>
      <x:c r="H326" s="31"/>
      <x:c r="I326" s="31"/>
      <x:c r="J326" s="80"/>
      <x:c r="K326" s="31"/>
      <x:c r="L326" s="31"/>
      <x:c r="M326" s="31"/>
      <x:c r="N326" s="31"/>
      <x:c r="O326" s="31"/>
      <x:c r="P326" s="31"/>
      <x:c r="Q326" s="33"/>
      <x:c r="R326" s="33"/>
      <x:c r="S326" s="31"/>
      <x:c r="T326" s="32"/>
      <x:c r="U326" s="31"/>
      <x:c r="V326" s="31"/>
      <x:c r="W326" s="31"/>
      <x:c r="X326" s="31"/>
      <x:c r="Y326" s="31"/>
      <x:c r="Z326" s="31"/>
      <x:c r="AA326" s="31"/>
      <x:c r="AB326" s="31"/>
    </x:row>
    <x:row r="327">
      <x:c r="A327" s="79"/>
      <x:c r="B327" s="31"/>
      <x:c r="C327" s="31"/>
      <x:c r="D327" s="31"/>
      <x:c r="E327" s="31"/>
      <x:c r="F327" s="31"/>
      <x:c r="G327" s="31"/>
      <x:c r="H327" s="31"/>
      <x:c r="I327" s="31"/>
      <x:c r="J327" s="80"/>
      <x:c r="K327" s="31"/>
      <x:c r="L327" s="31"/>
      <x:c r="M327" s="31"/>
      <x:c r="N327" s="31"/>
      <x:c r="O327" s="31"/>
      <x:c r="P327" s="31"/>
      <x:c r="Q327" s="33"/>
      <x:c r="R327" s="33"/>
      <x:c r="S327" s="31"/>
      <x:c r="T327" s="32"/>
      <x:c r="U327" s="31"/>
      <x:c r="V327" s="31"/>
      <x:c r="W327" s="31"/>
      <x:c r="X327" s="31"/>
      <x:c r="Y327" s="31"/>
      <x:c r="Z327" s="31"/>
      <x:c r="AA327" s="31"/>
      <x:c r="AB327" s="31"/>
    </x:row>
    <x:row r="328">
      <x:c r="A328" s="79"/>
      <x:c r="B328" s="31"/>
      <x:c r="C328" s="31"/>
      <x:c r="D328" s="31"/>
      <x:c r="E328" s="31"/>
      <x:c r="F328" s="31"/>
      <x:c r="G328" s="31"/>
      <x:c r="H328" s="31"/>
      <x:c r="I328" s="31"/>
      <x:c r="J328" s="80"/>
      <x:c r="K328" s="31"/>
      <x:c r="L328" s="31"/>
      <x:c r="M328" s="31"/>
      <x:c r="N328" s="31"/>
      <x:c r="O328" s="31"/>
      <x:c r="P328" s="31"/>
      <x:c r="Q328" s="33"/>
      <x:c r="R328" s="33"/>
      <x:c r="S328" s="31"/>
      <x:c r="T328" s="32"/>
      <x:c r="U328" s="31"/>
      <x:c r="V328" s="31"/>
      <x:c r="W328" s="31"/>
      <x:c r="X328" s="31"/>
      <x:c r="Y328" s="31"/>
      <x:c r="Z328" s="31"/>
      <x:c r="AA328" s="31"/>
      <x:c r="AB328" s="31"/>
    </x:row>
    <x:row r="329">
      <x:c r="A329" s="79"/>
      <x:c r="B329" s="31"/>
      <x:c r="C329" s="31"/>
      <x:c r="D329" s="31"/>
      <x:c r="E329" s="31"/>
      <x:c r="F329" s="31"/>
      <x:c r="G329" s="31"/>
      <x:c r="H329" s="31"/>
      <x:c r="I329" s="31"/>
      <x:c r="J329" s="80"/>
      <x:c r="K329" s="31"/>
      <x:c r="L329" s="31"/>
      <x:c r="M329" s="31"/>
      <x:c r="N329" s="31"/>
      <x:c r="O329" s="31"/>
      <x:c r="P329" s="31"/>
      <x:c r="Q329" s="33"/>
      <x:c r="R329" s="33"/>
      <x:c r="S329" s="31"/>
      <x:c r="T329" s="32"/>
      <x:c r="U329" s="31"/>
      <x:c r="V329" s="31"/>
      <x:c r="W329" s="31"/>
      <x:c r="X329" s="31"/>
      <x:c r="Y329" s="31"/>
      <x:c r="Z329" s="31"/>
      <x:c r="AA329" s="31"/>
      <x:c r="AB329" s="31"/>
    </x:row>
    <x:row r="330">
      <x:c r="A330" s="79"/>
      <x:c r="B330" s="31"/>
      <x:c r="C330" s="31"/>
      <x:c r="D330" s="31"/>
      <x:c r="E330" s="31"/>
      <x:c r="F330" s="31"/>
      <x:c r="G330" s="31"/>
      <x:c r="H330" s="31"/>
      <x:c r="I330" s="31"/>
      <x:c r="J330" s="80"/>
      <x:c r="K330" s="31"/>
      <x:c r="L330" s="31"/>
      <x:c r="M330" s="31"/>
      <x:c r="N330" s="31"/>
      <x:c r="O330" s="31"/>
      <x:c r="P330" s="31"/>
      <x:c r="Q330" s="33"/>
      <x:c r="R330" s="33"/>
      <x:c r="S330" s="31"/>
      <x:c r="T330" s="32"/>
      <x:c r="U330" s="31"/>
      <x:c r="V330" s="31"/>
      <x:c r="W330" s="31"/>
      <x:c r="X330" s="31"/>
      <x:c r="Y330" s="31"/>
      <x:c r="Z330" s="31"/>
      <x:c r="AA330" s="31"/>
      <x:c r="AB330" s="31"/>
    </x:row>
    <x:row r="331">
      <x:c r="A331" s="79"/>
      <x:c r="B331" s="31"/>
      <x:c r="C331" s="31"/>
      <x:c r="D331" s="31"/>
      <x:c r="E331" s="31"/>
      <x:c r="F331" s="31"/>
      <x:c r="G331" s="31"/>
      <x:c r="H331" s="31"/>
      <x:c r="I331" s="31"/>
      <x:c r="J331" s="80"/>
      <x:c r="K331" s="31"/>
      <x:c r="L331" s="31"/>
      <x:c r="M331" s="31"/>
      <x:c r="N331" s="31"/>
      <x:c r="O331" s="31"/>
      <x:c r="P331" s="31"/>
      <x:c r="Q331" s="33"/>
      <x:c r="R331" s="33"/>
      <x:c r="S331" s="31"/>
      <x:c r="T331" s="32"/>
      <x:c r="U331" s="31"/>
      <x:c r="V331" s="31"/>
      <x:c r="W331" s="31"/>
      <x:c r="X331" s="31"/>
      <x:c r="Y331" s="31"/>
      <x:c r="Z331" s="31"/>
      <x:c r="AA331" s="31"/>
      <x:c r="AB331" s="31"/>
    </x:row>
    <x:row r="332">
      <x:c r="A332" s="79"/>
      <x:c r="B332" s="31"/>
      <x:c r="C332" s="31"/>
      <x:c r="D332" s="31"/>
      <x:c r="E332" s="31"/>
      <x:c r="F332" s="31"/>
      <x:c r="G332" s="31"/>
      <x:c r="H332" s="31"/>
      <x:c r="I332" s="31"/>
      <x:c r="J332" s="80"/>
      <x:c r="K332" s="31"/>
      <x:c r="L332" s="31"/>
      <x:c r="M332" s="31"/>
      <x:c r="N332" s="31"/>
      <x:c r="O332" s="31"/>
      <x:c r="P332" s="31"/>
      <x:c r="Q332" s="33"/>
      <x:c r="R332" s="33"/>
      <x:c r="S332" s="31"/>
      <x:c r="T332" s="32"/>
      <x:c r="U332" s="31"/>
      <x:c r="V332" s="31"/>
      <x:c r="W332" s="31"/>
      <x:c r="X332" s="31"/>
      <x:c r="Y332" s="31"/>
      <x:c r="Z332" s="31"/>
      <x:c r="AA332" s="31"/>
      <x:c r="AB332" s="31"/>
    </x:row>
    <x:row r="333">
      <x:c r="A333" s="79"/>
      <x:c r="B333" s="31"/>
      <x:c r="C333" s="31"/>
      <x:c r="D333" s="31"/>
      <x:c r="E333" s="31"/>
      <x:c r="F333" s="31"/>
      <x:c r="G333" s="31"/>
      <x:c r="H333" s="31"/>
      <x:c r="I333" s="31"/>
      <x:c r="J333" s="80"/>
      <x:c r="K333" s="31"/>
      <x:c r="L333" s="31"/>
      <x:c r="M333" s="31"/>
      <x:c r="N333" s="31"/>
      <x:c r="O333" s="31"/>
      <x:c r="P333" s="31"/>
      <x:c r="Q333" s="33"/>
      <x:c r="R333" s="33"/>
      <x:c r="S333" s="31"/>
      <x:c r="T333" s="32"/>
      <x:c r="U333" s="31"/>
      <x:c r="V333" s="31"/>
      <x:c r="W333" s="31"/>
      <x:c r="X333" s="31"/>
      <x:c r="Y333" s="31"/>
      <x:c r="Z333" s="31"/>
      <x:c r="AA333" s="31"/>
      <x:c r="AB333" s="31"/>
    </x:row>
    <x:row r="334">
      <x:c r="A334" s="79"/>
      <x:c r="B334" s="31"/>
      <x:c r="C334" s="31"/>
      <x:c r="D334" s="31"/>
      <x:c r="E334" s="31"/>
      <x:c r="F334" s="31"/>
      <x:c r="G334" s="31"/>
      <x:c r="H334" s="31"/>
      <x:c r="I334" s="31"/>
      <x:c r="J334" s="80"/>
      <x:c r="K334" s="31"/>
      <x:c r="L334" s="31"/>
      <x:c r="M334" s="31"/>
      <x:c r="N334" s="31"/>
      <x:c r="O334" s="31"/>
      <x:c r="P334" s="31"/>
      <x:c r="Q334" s="33"/>
      <x:c r="R334" s="33"/>
      <x:c r="S334" s="31"/>
      <x:c r="T334" s="32"/>
      <x:c r="U334" s="31"/>
      <x:c r="V334" s="31"/>
      <x:c r="W334" s="31"/>
      <x:c r="X334" s="31"/>
      <x:c r="Y334" s="31"/>
      <x:c r="Z334" s="31"/>
      <x:c r="AA334" s="31"/>
      <x:c r="AB334" s="31"/>
    </x:row>
    <x:row r="335">
      <x:c r="A335" s="79"/>
      <x:c r="B335" s="31"/>
      <x:c r="C335" s="31"/>
      <x:c r="D335" s="31"/>
      <x:c r="E335" s="31"/>
      <x:c r="F335" s="31"/>
      <x:c r="G335" s="31"/>
      <x:c r="H335" s="31"/>
      <x:c r="I335" s="31"/>
      <x:c r="J335" s="80"/>
      <x:c r="K335" s="31"/>
      <x:c r="L335" s="31"/>
      <x:c r="M335" s="31"/>
      <x:c r="N335" s="31"/>
      <x:c r="O335" s="31"/>
      <x:c r="P335" s="31"/>
      <x:c r="Q335" s="33"/>
      <x:c r="R335" s="33"/>
      <x:c r="S335" s="31"/>
      <x:c r="T335" s="32"/>
      <x:c r="U335" s="31"/>
      <x:c r="V335" s="31"/>
      <x:c r="W335" s="31"/>
      <x:c r="X335" s="31"/>
      <x:c r="Y335" s="31"/>
      <x:c r="Z335" s="31"/>
      <x:c r="AA335" s="31"/>
      <x:c r="AB335" s="31"/>
    </x:row>
    <x:row r="336">
      <x:c r="A336" s="79"/>
      <x:c r="B336" s="31"/>
      <x:c r="C336" s="31"/>
      <x:c r="D336" s="31"/>
      <x:c r="E336" s="31"/>
      <x:c r="F336" s="31"/>
      <x:c r="G336" s="31"/>
      <x:c r="H336" s="31"/>
      <x:c r="I336" s="31"/>
      <x:c r="J336" s="80"/>
      <x:c r="K336" s="31"/>
      <x:c r="L336" s="31"/>
      <x:c r="M336" s="31"/>
      <x:c r="N336" s="31"/>
      <x:c r="O336" s="31"/>
      <x:c r="P336" s="31"/>
      <x:c r="Q336" s="33"/>
      <x:c r="R336" s="33"/>
      <x:c r="S336" s="31"/>
      <x:c r="T336" s="32"/>
      <x:c r="U336" s="31"/>
      <x:c r="V336" s="31"/>
      <x:c r="W336" s="31"/>
      <x:c r="X336" s="31"/>
      <x:c r="Y336" s="31"/>
      <x:c r="Z336" s="31"/>
      <x:c r="AA336" s="31"/>
      <x:c r="AB336" s="31"/>
    </x:row>
    <x:row r="337">
      <x:c r="A337" s="79"/>
      <x:c r="B337" s="31"/>
      <x:c r="C337" s="31"/>
      <x:c r="D337" s="31"/>
      <x:c r="E337" s="31"/>
      <x:c r="F337" s="31"/>
      <x:c r="G337" s="31"/>
      <x:c r="H337" s="31"/>
      <x:c r="I337" s="31"/>
      <x:c r="J337" s="80"/>
      <x:c r="K337" s="31"/>
      <x:c r="L337" s="31"/>
      <x:c r="M337" s="31"/>
      <x:c r="N337" s="31"/>
      <x:c r="O337" s="31"/>
      <x:c r="P337" s="31"/>
      <x:c r="Q337" s="33"/>
      <x:c r="R337" s="33"/>
      <x:c r="S337" s="31"/>
      <x:c r="T337" s="32"/>
      <x:c r="U337" s="31"/>
      <x:c r="V337" s="31"/>
      <x:c r="W337" s="31"/>
      <x:c r="X337" s="31"/>
      <x:c r="Y337" s="31"/>
      <x:c r="Z337" s="31"/>
      <x:c r="AA337" s="31"/>
      <x:c r="AB337" s="31"/>
    </x:row>
    <x:row r="338">
      <x:c r="A338" s="79"/>
      <x:c r="B338" s="31"/>
      <x:c r="C338" s="31"/>
      <x:c r="D338" s="31"/>
      <x:c r="E338" s="31"/>
      <x:c r="F338" s="31"/>
      <x:c r="G338" s="31"/>
      <x:c r="H338" s="31"/>
      <x:c r="I338" s="31"/>
      <x:c r="J338" s="80"/>
      <x:c r="K338" s="31"/>
      <x:c r="L338" s="31"/>
      <x:c r="M338" s="31"/>
      <x:c r="N338" s="31"/>
      <x:c r="O338" s="31"/>
      <x:c r="P338" s="31"/>
      <x:c r="Q338" s="33"/>
      <x:c r="R338" s="33"/>
      <x:c r="S338" s="31"/>
      <x:c r="T338" s="32"/>
      <x:c r="U338" s="31"/>
      <x:c r="V338" s="31"/>
      <x:c r="W338" s="31"/>
      <x:c r="X338" s="31"/>
      <x:c r="Y338" s="31"/>
      <x:c r="Z338" s="31"/>
      <x:c r="AA338" s="31"/>
      <x:c r="AB338" s="31"/>
    </x:row>
    <x:row r="339">
      <x:c r="A339" s="79"/>
      <x:c r="B339" s="31"/>
      <x:c r="C339" s="31"/>
      <x:c r="D339" s="31"/>
      <x:c r="E339" s="31"/>
      <x:c r="F339" s="31"/>
      <x:c r="G339" s="31"/>
      <x:c r="H339" s="31"/>
      <x:c r="I339" s="31"/>
      <x:c r="J339" s="80"/>
      <x:c r="K339" s="31"/>
      <x:c r="L339" s="31"/>
      <x:c r="M339" s="31"/>
      <x:c r="N339" s="31"/>
      <x:c r="O339" s="31"/>
      <x:c r="P339" s="31"/>
      <x:c r="Q339" s="33"/>
      <x:c r="R339" s="33"/>
      <x:c r="S339" s="31"/>
      <x:c r="T339" s="32"/>
      <x:c r="U339" s="31"/>
      <x:c r="V339" s="31"/>
      <x:c r="W339" s="31"/>
      <x:c r="X339" s="31"/>
      <x:c r="Y339" s="31"/>
      <x:c r="Z339" s="31"/>
      <x:c r="AA339" s="31"/>
      <x:c r="AB339" s="31"/>
    </x:row>
    <x:row r="340">
      <x:c r="A340" s="79"/>
      <x:c r="B340" s="31"/>
      <x:c r="C340" s="31"/>
      <x:c r="D340" s="31"/>
      <x:c r="E340" s="31"/>
      <x:c r="F340" s="31"/>
      <x:c r="G340" s="31"/>
      <x:c r="H340" s="31"/>
      <x:c r="I340" s="31"/>
      <x:c r="J340" s="80"/>
      <x:c r="K340" s="31"/>
      <x:c r="L340" s="31"/>
      <x:c r="M340" s="31"/>
      <x:c r="N340" s="31"/>
      <x:c r="O340" s="31"/>
      <x:c r="P340" s="31"/>
      <x:c r="Q340" s="33"/>
      <x:c r="R340" s="33"/>
      <x:c r="S340" s="31"/>
      <x:c r="T340" s="32"/>
      <x:c r="U340" s="31"/>
      <x:c r="V340" s="31"/>
      <x:c r="W340" s="31"/>
      <x:c r="X340" s="31"/>
      <x:c r="Y340" s="31"/>
      <x:c r="Z340" s="31"/>
      <x:c r="AA340" s="31"/>
      <x:c r="AB340" s="31"/>
    </x:row>
    <x:row r="341">
      <x:c r="A341" s="79"/>
      <x:c r="B341" s="31"/>
      <x:c r="C341" s="31"/>
      <x:c r="D341" s="31"/>
      <x:c r="E341" s="31"/>
      <x:c r="F341" s="31"/>
      <x:c r="G341" s="31"/>
      <x:c r="H341" s="31"/>
      <x:c r="I341" s="31"/>
      <x:c r="J341" s="80"/>
      <x:c r="K341" s="31"/>
      <x:c r="L341" s="31"/>
      <x:c r="M341" s="31"/>
      <x:c r="N341" s="31"/>
      <x:c r="O341" s="31"/>
      <x:c r="P341" s="31"/>
      <x:c r="Q341" s="33"/>
      <x:c r="R341" s="33"/>
      <x:c r="S341" s="31"/>
      <x:c r="T341" s="32"/>
      <x:c r="U341" s="31"/>
      <x:c r="V341" s="31"/>
      <x:c r="W341" s="31"/>
      <x:c r="X341" s="31"/>
      <x:c r="Y341" s="31"/>
      <x:c r="Z341" s="31"/>
      <x:c r="AA341" s="31"/>
      <x:c r="AB341" s="31"/>
    </x:row>
    <x:row r="342">
      <x:c r="A342" s="79"/>
      <x:c r="B342" s="31"/>
      <x:c r="C342" s="31"/>
      <x:c r="D342" s="31"/>
      <x:c r="E342" s="31"/>
      <x:c r="F342" s="31"/>
      <x:c r="G342" s="31"/>
      <x:c r="H342" s="31"/>
      <x:c r="I342" s="31"/>
      <x:c r="J342" s="80"/>
      <x:c r="K342" s="31"/>
      <x:c r="L342" s="31"/>
      <x:c r="M342" s="31"/>
      <x:c r="N342" s="31"/>
      <x:c r="O342" s="31"/>
      <x:c r="P342" s="31"/>
      <x:c r="Q342" s="33"/>
      <x:c r="R342" s="33"/>
      <x:c r="S342" s="31"/>
      <x:c r="T342" s="32"/>
      <x:c r="U342" s="31"/>
      <x:c r="V342" s="31"/>
      <x:c r="W342" s="31"/>
      <x:c r="X342" s="31"/>
      <x:c r="Y342" s="31"/>
      <x:c r="Z342" s="31"/>
      <x:c r="AA342" s="31"/>
      <x:c r="AB342" s="31"/>
    </x:row>
    <x:row r="343">
      <x:c r="A343" s="79"/>
      <x:c r="B343" s="31"/>
      <x:c r="C343" s="31"/>
      <x:c r="D343" s="31"/>
      <x:c r="E343" s="31"/>
      <x:c r="F343" s="31"/>
      <x:c r="G343" s="31"/>
      <x:c r="H343" s="31"/>
      <x:c r="I343" s="31"/>
      <x:c r="J343" s="80"/>
      <x:c r="K343" s="31"/>
      <x:c r="L343" s="31"/>
      <x:c r="M343" s="31"/>
      <x:c r="N343" s="31"/>
      <x:c r="O343" s="31"/>
      <x:c r="P343" s="31"/>
      <x:c r="Q343" s="33"/>
      <x:c r="R343" s="33"/>
      <x:c r="S343" s="31"/>
      <x:c r="T343" s="32"/>
      <x:c r="U343" s="31"/>
      <x:c r="V343" s="31"/>
      <x:c r="W343" s="31"/>
      <x:c r="X343" s="31"/>
      <x:c r="Y343" s="31"/>
      <x:c r="Z343" s="31"/>
      <x:c r="AA343" s="31"/>
      <x:c r="AB343" s="31"/>
    </x:row>
    <x:row r="344">
      <x:c r="A344" s="79"/>
      <x:c r="B344" s="31"/>
      <x:c r="C344" s="31"/>
      <x:c r="D344" s="31"/>
      <x:c r="E344" s="31"/>
      <x:c r="F344" s="31"/>
      <x:c r="G344" s="31"/>
      <x:c r="H344" s="31"/>
      <x:c r="I344" s="31"/>
      <x:c r="J344" s="80"/>
      <x:c r="K344" s="31"/>
      <x:c r="L344" s="31"/>
      <x:c r="M344" s="31"/>
      <x:c r="N344" s="31"/>
      <x:c r="O344" s="31"/>
      <x:c r="P344" s="31"/>
      <x:c r="Q344" s="33"/>
      <x:c r="R344" s="33"/>
      <x:c r="S344" s="31"/>
      <x:c r="T344" s="32"/>
      <x:c r="U344" s="31"/>
      <x:c r="V344" s="31"/>
      <x:c r="W344" s="31"/>
      <x:c r="X344" s="31"/>
      <x:c r="Y344" s="31"/>
      <x:c r="Z344" s="31"/>
      <x:c r="AA344" s="31"/>
      <x:c r="AB344" s="31"/>
    </x:row>
    <x:row r="345">
      <x:c r="A345" s="79"/>
      <x:c r="B345" s="31"/>
      <x:c r="C345" s="31"/>
      <x:c r="D345" s="31"/>
      <x:c r="E345" s="31"/>
      <x:c r="F345" s="31"/>
      <x:c r="G345" s="31"/>
      <x:c r="H345" s="31"/>
      <x:c r="I345" s="31"/>
      <x:c r="J345" s="80"/>
      <x:c r="K345" s="31"/>
      <x:c r="L345" s="31"/>
      <x:c r="M345" s="31"/>
      <x:c r="N345" s="31"/>
      <x:c r="O345" s="31"/>
      <x:c r="P345" s="31"/>
      <x:c r="Q345" s="33"/>
      <x:c r="R345" s="33"/>
      <x:c r="S345" s="31"/>
      <x:c r="T345" s="32"/>
      <x:c r="U345" s="31"/>
      <x:c r="V345" s="31"/>
      <x:c r="W345" s="31"/>
      <x:c r="X345" s="31"/>
      <x:c r="Y345" s="31"/>
      <x:c r="Z345" s="31"/>
      <x:c r="AA345" s="31"/>
      <x:c r="AB345" s="31"/>
    </x:row>
    <x:row r="346">
      <x:c r="A346" s="79"/>
      <x:c r="B346" s="31"/>
      <x:c r="C346" s="31"/>
      <x:c r="D346" s="31"/>
      <x:c r="E346" s="31"/>
      <x:c r="F346" s="31"/>
      <x:c r="G346" s="31"/>
      <x:c r="H346" s="31"/>
      <x:c r="I346" s="31"/>
      <x:c r="J346" s="80"/>
      <x:c r="K346" s="31"/>
      <x:c r="L346" s="31"/>
      <x:c r="M346" s="31"/>
      <x:c r="N346" s="31"/>
      <x:c r="O346" s="31"/>
      <x:c r="P346" s="31"/>
      <x:c r="Q346" s="33"/>
      <x:c r="R346" s="33"/>
      <x:c r="S346" s="31"/>
      <x:c r="T346" s="32"/>
      <x:c r="U346" s="31"/>
      <x:c r="V346" s="31"/>
      <x:c r="W346" s="31"/>
      <x:c r="X346" s="31"/>
      <x:c r="Y346" s="31"/>
      <x:c r="Z346" s="31"/>
      <x:c r="AA346" s="31"/>
      <x:c r="AB346" s="31"/>
    </x:row>
    <x:row r="347">
      <x:c r="A347" s="79"/>
      <x:c r="B347" s="31"/>
      <x:c r="C347" s="31"/>
      <x:c r="D347" s="31"/>
      <x:c r="E347" s="31"/>
      <x:c r="F347" s="31"/>
      <x:c r="G347" s="31"/>
      <x:c r="H347" s="31"/>
      <x:c r="I347" s="31"/>
      <x:c r="J347" s="80"/>
      <x:c r="K347" s="31"/>
      <x:c r="L347" s="31"/>
      <x:c r="M347" s="31"/>
      <x:c r="N347" s="31"/>
      <x:c r="O347" s="31"/>
      <x:c r="P347" s="31"/>
      <x:c r="Q347" s="33"/>
      <x:c r="R347" s="33"/>
      <x:c r="S347" s="31"/>
      <x:c r="T347" s="32"/>
      <x:c r="U347" s="31"/>
      <x:c r="V347" s="31"/>
      <x:c r="W347" s="31"/>
      <x:c r="X347" s="31"/>
      <x:c r="Y347" s="31"/>
      <x:c r="Z347" s="31"/>
      <x:c r="AA347" s="31"/>
      <x:c r="AB347" s="31"/>
    </x:row>
    <x:row r="348">
      <x:c r="A348" s="79"/>
      <x:c r="B348" s="31"/>
      <x:c r="C348" s="31"/>
      <x:c r="D348" s="31"/>
      <x:c r="E348" s="31"/>
      <x:c r="F348" s="31"/>
      <x:c r="G348" s="31"/>
      <x:c r="H348" s="31"/>
      <x:c r="I348" s="31"/>
      <x:c r="J348" s="80"/>
      <x:c r="K348" s="31"/>
      <x:c r="L348" s="31"/>
      <x:c r="M348" s="31"/>
      <x:c r="N348" s="31"/>
      <x:c r="O348" s="31"/>
      <x:c r="P348" s="31"/>
      <x:c r="Q348" s="33"/>
      <x:c r="R348" s="33"/>
      <x:c r="S348" s="31"/>
      <x:c r="T348" s="32"/>
      <x:c r="U348" s="31"/>
      <x:c r="V348" s="31"/>
      <x:c r="W348" s="31"/>
      <x:c r="X348" s="31"/>
      <x:c r="Y348" s="31"/>
      <x:c r="Z348" s="31"/>
      <x:c r="AA348" s="31"/>
      <x:c r="AB348" s="31"/>
    </x:row>
    <x:row r="349">
      <x:c r="A349" s="79"/>
      <x:c r="B349" s="31"/>
      <x:c r="C349" s="31"/>
      <x:c r="D349" s="31"/>
      <x:c r="E349" s="31"/>
      <x:c r="F349" s="31"/>
      <x:c r="G349" s="31"/>
      <x:c r="H349" s="31"/>
      <x:c r="I349" s="31"/>
      <x:c r="J349" s="80"/>
      <x:c r="K349" s="31"/>
      <x:c r="L349" s="31"/>
      <x:c r="M349" s="31"/>
      <x:c r="N349" s="31"/>
      <x:c r="O349" s="31"/>
      <x:c r="P349" s="31"/>
      <x:c r="Q349" s="33"/>
      <x:c r="R349" s="33"/>
      <x:c r="S349" s="31"/>
      <x:c r="T349" s="32"/>
      <x:c r="U349" s="31"/>
      <x:c r="V349" s="31"/>
      <x:c r="W349" s="31"/>
      <x:c r="X349" s="31"/>
      <x:c r="Y349" s="31"/>
      <x:c r="Z349" s="31"/>
      <x:c r="AA349" s="31"/>
      <x:c r="AB349" s="31"/>
    </x:row>
    <x:row r="350">
      <x:c r="A350" s="79"/>
      <x:c r="B350" s="31"/>
      <x:c r="C350" s="31"/>
      <x:c r="D350" s="31"/>
      <x:c r="E350" s="31"/>
      <x:c r="F350" s="31"/>
      <x:c r="G350" s="31"/>
      <x:c r="H350" s="31"/>
      <x:c r="I350" s="31"/>
      <x:c r="J350" s="80"/>
      <x:c r="K350" s="31"/>
      <x:c r="L350" s="31"/>
      <x:c r="M350" s="31"/>
      <x:c r="N350" s="31"/>
      <x:c r="O350" s="31"/>
      <x:c r="P350" s="31"/>
      <x:c r="Q350" s="33"/>
      <x:c r="R350" s="33"/>
      <x:c r="S350" s="31"/>
      <x:c r="T350" s="32"/>
      <x:c r="U350" s="31"/>
      <x:c r="V350" s="31"/>
      <x:c r="W350" s="31"/>
      <x:c r="X350" s="31"/>
      <x:c r="Y350" s="31"/>
      <x:c r="Z350" s="31"/>
      <x:c r="AA350" s="31"/>
      <x:c r="AB350" s="31"/>
    </x:row>
    <x:row r="351">
      <x:c r="A351" s="79"/>
      <x:c r="B351" s="31"/>
      <x:c r="C351" s="31"/>
      <x:c r="D351" s="31"/>
      <x:c r="E351" s="31"/>
      <x:c r="F351" s="31"/>
      <x:c r="G351" s="31"/>
      <x:c r="H351" s="31"/>
      <x:c r="I351" s="31"/>
      <x:c r="J351" s="80"/>
      <x:c r="K351" s="31"/>
      <x:c r="L351" s="31"/>
      <x:c r="M351" s="31"/>
      <x:c r="N351" s="31"/>
      <x:c r="O351" s="31"/>
      <x:c r="P351" s="31"/>
      <x:c r="Q351" s="33"/>
      <x:c r="R351" s="33"/>
      <x:c r="S351" s="31"/>
      <x:c r="T351" s="32"/>
      <x:c r="U351" s="31"/>
      <x:c r="V351" s="31"/>
      <x:c r="W351" s="31"/>
      <x:c r="X351" s="31"/>
      <x:c r="Y351" s="31"/>
      <x:c r="Z351" s="31"/>
      <x:c r="AA351" s="31"/>
      <x:c r="AB351" s="31"/>
    </x:row>
    <x:row r="352">
      <x:c r="A352" s="79"/>
      <x:c r="B352" s="31"/>
      <x:c r="C352" s="31"/>
      <x:c r="D352" s="31"/>
      <x:c r="E352" s="31"/>
      <x:c r="F352" s="31"/>
      <x:c r="G352" s="31"/>
      <x:c r="H352" s="31"/>
      <x:c r="I352" s="31"/>
      <x:c r="J352" s="80"/>
      <x:c r="K352" s="31"/>
      <x:c r="L352" s="31"/>
      <x:c r="M352" s="31"/>
      <x:c r="N352" s="31"/>
      <x:c r="O352" s="31"/>
      <x:c r="P352" s="31"/>
      <x:c r="Q352" s="33"/>
      <x:c r="R352" s="33"/>
      <x:c r="S352" s="31"/>
      <x:c r="T352" s="32"/>
      <x:c r="U352" s="31"/>
      <x:c r="V352" s="31"/>
      <x:c r="W352" s="31"/>
      <x:c r="X352" s="31"/>
      <x:c r="Y352" s="31"/>
      <x:c r="Z352" s="31"/>
      <x:c r="AA352" s="31"/>
      <x:c r="AB352" s="31"/>
    </x:row>
    <x:row r="353">
      <x:c r="A353" s="79"/>
      <x:c r="B353" s="31"/>
      <x:c r="C353" s="31"/>
      <x:c r="D353" s="31"/>
      <x:c r="E353" s="31"/>
      <x:c r="F353" s="31"/>
      <x:c r="G353" s="31"/>
      <x:c r="H353" s="31"/>
      <x:c r="I353" s="31"/>
      <x:c r="J353" s="80"/>
      <x:c r="K353" s="31"/>
      <x:c r="L353" s="31"/>
      <x:c r="M353" s="31"/>
      <x:c r="N353" s="31"/>
      <x:c r="O353" s="31"/>
      <x:c r="P353" s="31"/>
      <x:c r="Q353" s="33"/>
      <x:c r="R353" s="33"/>
      <x:c r="S353" s="31"/>
      <x:c r="T353" s="32"/>
      <x:c r="U353" s="31"/>
      <x:c r="V353" s="31"/>
      <x:c r="W353" s="31"/>
      <x:c r="X353" s="31"/>
      <x:c r="Y353" s="31"/>
      <x:c r="Z353" s="31"/>
      <x:c r="AA353" s="31"/>
      <x:c r="AB353" s="31"/>
    </x:row>
    <x:row r="354">
      <x:c r="A354" s="79"/>
      <x:c r="B354" s="31"/>
      <x:c r="C354" s="31"/>
      <x:c r="D354" s="31"/>
      <x:c r="E354" s="31"/>
      <x:c r="F354" s="31"/>
      <x:c r="G354" s="31"/>
      <x:c r="H354" s="31"/>
      <x:c r="I354" s="31"/>
      <x:c r="J354" s="80"/>
      <x:c r="K354" s="31"/>
      <x:c r="L354" s="31"/>
      <x:c r="M354" s="31"/>
      <x:c r="N354" s="31"/>
      <x:c r="O354" s="31"/>
      <x:c r="P354" s="31"/>
      <x:c r="Q354" s="33"/>
      <x:c r="R354" s="33"/>
      <x:c r="S354" s="31"/>
      <x:c r="T354" s="32"/>
      <x:c r="U354" s="31"/>
      <x:c r="V354" s="31"/>
      <x:c r="W354" s="31"/>
      <x:c r="X354" s="31"/>
      <x:c r="Y354" s="31"/>
      <x:c r="Z354" s="31"/>
      <x:c r="AA354" s="31"/>
      <x:c r="AB354" s="31"/>
    </x:row>
    <x:row r="355">
      <x:c r="A355" s="79"/>
      <x:c r="B355" s="31"/>
      <x:c r="C355" s="31"/>
      <x:c r="D355" s="31"/>
      <x:c r="E355" s="31"/>
      <x:c r="F355" s="31"/>
      <x:c r="G355" s="31"/>
      <x:c r="H355" s="31"/>
      <x:c r="I355" s="31"/>
      <x:c r="J355" s="80"/>
      <x:c r="K355" s="31"/>
      <x:c r="L355" s="31"/>
      <x:c r="M355" s="31"/>
      <x:c r="N355" s="31"/>
      <x:c r="O355" s="31"/>
      <x:c r="P355" s="31"/>
      <x:c r="Q355" s="33"/>
      <x:c r="R355" s="33"/>
      <x:c r="S355" s="31"/>
      <x:c r="T355" s="32"/>
      <x:c r="U355" s="31"/>
      <x:c r="V355" s="31"/>
      <x:c r="W355" s="31"/>
      <x:c r="X355" s="31"/>
      <x:c r="Y355" s="31"/>
      <x:c r="Z355" s="31"/>
      <x:c r="AA355" s="31"/>
      <x:c r="AB355" s="31"/>
    </x:row>
    <x:row r="356">
      <x:c r="A356" s="79"/>
      <x:c r="B356" s="31"/>
      <x:c r="C356" s="31"/>
      <x:c r="D356" s="31"/>
      <x:c r="E356" s="31"/>
      <x:c r="F356" s="31"/>
      <x:c r="G356" s="31"/>
      <x:c r="H356" s="31"/>
      <x:c r="I356" s="31"/>
      <x:c r="J356" s="80"/>
      <x:c r="K356" s="31"/>
      <x:c r="L356" s="31"/>
      <x:c r="M356" s="31"/>
      <x:c r="N356" s="31"/>
      <x:c r="O356" s="31"/>
      <x:c r="P356" s="31"/>
      <x:c r="Q356" s="33"/>
      <x:c r="R356" s="33"/>
      <x:c r="S356" s="31"/>
      <x:c r="T356" s="32"/>
      <x:c r="U356" s="31"/>
      <x:c r="V356" s="31"/>
      <x:c r="W356" s="31"/>
      <x:c r="X356" s="31"/>
      <x:c r="Y356" s="31"/>
      <x:c r="Z356" s="31"/>
      <x:c r="AA356" s="31"/>
      <x:c r="AB356" s="31"/>
    </x:row>
    <x:row r="357">
      <x:c r="A357" s="79"/>
      <x:c r="B357" s="31"/>
      <x:c r="C357" s="31"/>
      <x:c r="D357" s="31"/>
      <x:c r="E357" s="31"/>
      <x:c r="F357" s="31"/>
      <x:c r="G357" s="31"/>
      <x:c r="H357" s="31"/>
      <x:c r="I357" s="31"/>
      <x:c r="J357" s="80"/>
      <x:c r="K357" s="31"/>
      <x:c r="L357" s="31"/>
      <x:c r="M357" s="31"/>
      <x:c r="N357" s="31"/>
      <x:c r="O357" s="31"/>
      <x:c r="P357" s="31"/>
      <x:c r="Q357" s="33"/>
      <x:c r="R357" s="33"/>
      <x:c r="S357" s="31"/>
      <x:c r="T357" s="32"/>
      <x:c r="U357" s="31"/>
      <x:c r="V357" s="31"/>
      <x:c r="W357" s="31"/>
      <x:c r="X357" s="31"/>
      <x:c r="Y357" s="31"/>
      <x:c r="Z357" s="31"/>
      <x:c r="AA357" s="31"/>
      <x:c r="AB357" s="31"/>
    </x:row>
    <x:row r="358">
      <x:c r="A358" s="79"/>
      <x:c r="B358" s="31"/>
      <x:c r="C358" s="31"/>
      <x:c r="D358" s="31"/>
      <x:c r="E358" s="31"/>
      <x:c r="F358" s="31"/>
      <x:c r="G358" s="31"/>
      <x:c r="H358" s="31"/>
      <x:c r="I358" s="31"/>
      <x:c r="J358" s="80"/>
      <x:c r="K358" s="31"/>
      <x:c r="L358" s="31"/>
      <x:c r="M358" s="31"/>
      <x:c r="N358" s="31"/>
      <x:c r="O358" s="31"/>
      <x:c r="P358" s="31"/>
      <x:c r="Q358" s="33"/>
      <x:c r="R358" s="33"/>
      <x:c r="S358" s="31"/>
      <x:c r="T358" s="32"/>
      <x:c r="U358" s="31"/>
      <x:c r="V358" s="31"/>
      <x:c r="W358" s="31"/>
      <x:c r="X358" s="31"/>
      <x:c r="Y358" s="31"/>
      <x:c r="Z358" s="31"/>
      <x:c r="AA358" s="31"/>
      <x:c r="AB358" s="31"/>
    </x:row>
    <x:row r="359">
      <x:c r="A359" s="79"/>
      <x:c r="B359" s="31"/>
      <x:c r="C359" s="31"/>
      <x:c r="D359" s="31"/>
      <x:c r="E359" s="31"/>
      <x:c r="F359" s="31"/>
      <x:c r="G359" s="31"/>
      <x:c r="H359" s="31"/>
      <x:c r="I359" s="31"/>
      <x:c r="J359" s="80"/>
      <x:c r="K359" s="31"/>
      <x:c r="L359" s="31"/>
      <x:c r="M359" s="31"/>
      <x:c r="N359" s="31"/>
      <x:c r="O359" s="31"/>
      <x:c r="P359" s="31"/>
      <x:c r="Q359" s="33"/>
      <x:c r="R359" s="33"/>
      <x:c r="S359" s="31"/>
      <x:c r="T359" s="32"/>
      <x:c r="U359" s="31"/>
      <x:c r="V359" s="31"/>
      <x:c r="W359" s="31"/>
      <x:c r="X359" s="31"/>
      <x:c r="Y359" s="31"/>
      <x:c r="Z359" s="31"/>
      <x:c r="AA359" s="31"/>
      <x:c r="AB359" s="31"/>
    </x:row>
    <x:row r="360">
      <x:c r="A360" s="79"/>
      <x:c r="B360" s="31"/>
      <x:c r="C360" s="31"/>
      <x:c r="D360" s="31"/>
      <x:c r="E360" s="31"/>
      <x:c r="F360" s="31"/>
      <x:c r="G360" s="31"/>
      <x:c r="H360" s="31"/>
      <x:c r="I360" s="31"/>
      <x:c r="J360" s="80"/>
      <x:c r="K360" s="31"/>
      <x:c r="L360" s="31"/>
      <x:c r="M360" s="31"/>
      <x:c r="N360" s="31"/>
      <x:c r="O360" s="31"/>
      <x:c r="P360" s="31"/>
      <x:c r="Q360" s="33"/>
      <x:c r="R360" s="33"/>
      <x:c r="S360" s="31"/>
      <x:c r="T360" s="32"/>
      <x:c r="U360" s="31"/>
      <x:c r="V360" s="31"/>
      <x:c r="W360" s="31"/>
      <x:c r="X360" s="31"/>
      <x:c r="Y360" s="31"/>
      <x:c r="Z360" s="31"/>
      <x:c r="AA360" s="31"/>
      <x:c r="AB360" s="31"/>
    </x:row>
    <x:row r="361">
      <x:c r="A361" s="79"/>
      <x:c r="B361" s="31"/>
      <x:c r="C361" s="31"/>
      <x:c r="D361" s="31"/>
      <x:c r="E361" s="31"/>
      <x:c r="F361" s="31"/>
      <x:c r="G361" s="31"/>
      <x:c r="H361" s="31"/>
      <x:c r="I361" s="31"/>
      <x:c r="J361" s="80"/>
      <x:c r="K361" s="31"/>
      <x:c r="L361" s="31"/>
      <x:c r="M361" s="31"/>
      <x:c r="N361" s="31"/>
      <x:c r="O361" s="31"/>
      <x:c r="P361" s="31"/>
      <x:c r="Q361" s="33"/>
      <x:c r="R361" s="33"/>
      <x:c r="S361" s="31"/>
      <x:c r="T361" s="32"/>
      <x:c r="U361" s="31"/>
      <x:c r="V361" s="31"/>
      <x:c r="W361" s="31"/>
      <x:c r="X361" s="31"/>
      <x:c r="Y361" s="31"/>
      <x:c r="Z361" s="31"/>
      <x:c r="AA361" s="31"/>
      <x:c r="AB361" s="31"/>
    </x:row>
    <x:row r="362">
      <x:c r="A362" s="79"/>
      <x:c r="B362" s="31"/>
      <x:c r="C362" s="31"/>
      <x:c r="D362" s="31"/>
      <x:c r="E362" s="31"/>
      <x:c r="F362" s="31"/>
      <x:c r="G362" s="31"/>
      <x:c r="H362" s="31"/>
      <x:c r="I362" s="31"/>
      <x:c r="J362" s="80"/>
      <x:c r="K362" s="31"/>
      <x:c r="L362" s="31"/>
      <x:c r="M362" s="31"/>
      <x:c r="N362" s="31"/>
      <x:c r="O362" s="31"/>
      <x:c r="P362" s="31"/>
      <x:c r="Q362" s="33"/>
      <x:c r="R362" s="33"/>
      <x:c r="S362" s="31"/>
      <x:c r="T362" s="32"/>
      <x:c r="U362" s="31"/>
      <x:c r="V362" s="31"/>
      <x:c r="W362" s="31"/>
      <x:c r="X362" s="31"/>
      <x:c r="Y362" s="31"/>
      <x:c r="Z362" s="31"/>
      <x:c r="AA362" s="31"/>
      <x:c r="AB362" s="31"/>
    </x:row>
    <x:row r="363">
      <x:c r="A363" s="79"/>
      <x:c r="B363" s="31"/>
      <x:c r="C363" s="31"/>
      <x:c r="D363" s="31"/>
      <x:c r="E363" s="31"/>
      <x:c r="F363" s="31"/>
      <x:c r="G363" s="31"/>
      <x:c r="H363" s="31"/>
      <x:c r="I363" s="31"/>
      <x:c r="J363" s="80"/>
      <x:c r="K363" s="31"/>
      <x:c r="L363" s="31"/>
      <x:c r="M363" s="31"/>
      <x:c r="N363" s="31"/>
      <x:c r="O363" s="31"/>
      <x:c r="P363" s="31"/>
      <x:c r="Q363" s="33"/>
      <x:c r="R363" s="33"/>
      <x:c r="S363" s="31"/>
      <x:c r="T363" s="32"/>
      <x:c r="U363" s="31"/>
      <x:c r="V363" s="31"/>
      <x:c r="W363" s="31"/>
      <x:c r="X363" s="31"/>
      <x:c r="Y363" s="31"/>
      <x:c r="Z363" s="31"/>
      <x:c r="AA363" s="31"/>
      <x:c r="AB363" s="31"/>
    </x:row>
    <x:row r="364">
      <x:c r="A364" s="79"/>
      <x:c r="B364" s="31"/>
      <x:c r="C364" s="31"/>
      <x:c r="D364" s="31"/>
      <x:c r="E364" s="31"/>
      <x:c r="F364" s="31"/>
      <x:c r="G364" s="31"/>
      <x:c r="H364" s="31"/>
      <x:c r="I364" s="31"/>
      <x:c r="J364" s="80"/>
      <x:c r="K364" s="31"/>
      <x:c r="L364" s="31"/>
      <x:c r="M364" s="31"/>
      <x:c r="N364" s="31"/>
      <x:c r="O364" s="31"/>
      <x:c r="P364" s="31"/>
      <x:c r="Q364" s="33"/>
      <x:c r="R364" s="33"/>
      <x:c r="S364" s="31"/>
      <x:c r="T364" s="32"/>
      <x:c r="U364" s="31"/>
      <x:c r="V364" s="31"/>
      <x:c r="W364" s="31"/>
      <x:c r="X364" s="31"/>
      <x:c r="Y364" s="31"/>
      <x:c r="Z364" s="31"/>
      <x:c r="AA364" s="31"/>
      <x:c r="AB364" s="31"/>
    </x:row>
    <x:row r="365">
      <x:c r="A365" s="79"/>
      <x:c r="B365" s="31"/>
      <x:c r="C365" s="31"/>
      <x:c r="D365" s="31"/>
      <x:c r="E365" s="31"/>
      <x:c r="F365" s="31"/>
      <x:c r="G365" s="31"/>
      <x:c r="H365" s="31"/>
      <x:c r="I365" s="31"/>
      <x:c r="J365" s="80"/>
      <x:c r="K365" s="31"/>
      <x:c r="L365" s="31"/>
      <x:c r="M365" s="31"/>
      <x:c r="N365" s="31"/>
      <x:c r="O365" s="31"/>
      <x:c r="P365" s="31"/>
      <x:c r="Q365" s="33"/>
      <x:c r="R365" s="33"/>
      <x:c r="S365" s="31"/>
      <x:c r="T365" s="32"/>
      <x:c r="U365" s="31"/>
      <x:c r="V365" s="31"/>
      <x:c r="W365" s="31"/>
      <x:c r="X365" s="31"/>
      <x:c r="Y365" s="31"/>
      <x:c r="Z365" s="31"/>
      <x:c r="AA365" s="31"/>
      <x:c r="AB365" s="31"/>
    </x:row>
    <x:row r="366">
      <x:c r="A366" s="79"/>
      <x:c r="B366" s="31"/>
      <x:c r="C366" s="31"/>
      <x:c r="D366" s="31"/>
      <x:c r="E366" s="31"/>
      <x:c r="F366" s="31"/>
      <x:c r="G366" s="31"/>
      <x:c r="H366" s="31"/>
      <x:c r="I366" s="31"/>
      <x:c r="J366" s="80"/>
      <x:c r="K366" s="31"/>
      <x:c r="L366" s="31"/>
      <x:c r="M366" s="31"/>
      <x:c r="N366" s="31"/>
      <x:c r="O366" s="31"/>
      <x:c r="P366" s="31"/>
      <x:c r="Q366" s="33"/>
      <x:c r="R366" s="33"/>
      <x:c r="S366" s="31"/>
      <x:c r="T366" s="32"/>
      <x:c r="U366" s="31"/>
      <x:c r="V366" s="31"/>
      <x:c r="W366" s="31"/>
      <x:c r="X366" s="31"/>
      <x:c r="Y366" s="31"/>
      <x:c r="Z366" s="31"/>
      <x:c r="AA366" s="31"/>
      <x:c r="AB366" s="31"/>
    </x:row>
    <x:row r="367">
      <x:c r="A367" s="79"/>
      <x:c r="B367" s="31"/>
      <x:c r="C367" s="31"/>
      <x:c r="D367" s="31"/>
      <x:c r="E367" s="31"/>
      <x:c r="F367" s="31"/>
      <x:c r="G367" s="31"/>
      <x:c r="H367" s="31"/>
      <x:c r="I367" s="31"/>
      <x:c r="J367" s="80"/>
      <x:c r="K367" s="31"/>
      <x:c r="L367" s="31"/>
      <x:c r="M367" s="31"/>
      <x:c r="N367" s="31"/>
      <x:c r="O367" s="31"/>
      <x:c r="P367" s="31"/>
      <x:c r="Q367" s="33"/>
      <x:c r="R367" s="33"/>
      <x:c r="S367" s="31"/>
      <x:c r="T367" s="32"/>
      <x:c r="U367" s="31"/>
      <x:c r="V367" s="31"/>
      <x:c r="W367" s="31"/>
      <x:c r="X367" s="31"/>
      <x:c r="Y367" s="31"/>
      <x:c r="Z367" s="31"/>
      <x:c r="AA367" s="31"/>
      <x:c r="AB367" s="31"/>
    </x:row>
    <x:row r="368">
      <x:c r="A368" s="79"/>
      <x:c r="B368" s="31"/>
      <x:c r="C368" s="31"/>
      <x:c r="D368" s="31"/>
      <x:c r="E368" s="31"/>
      <x:c r="F368" s="31"/>
      <x:c r="G368" s="31"/>
      <x:c r="H368" s="31"/>
      <x:c r="I368" s="31"/>
      <x:c r="J368" s="80"/>
      <x:c r="K368" s="31"/>
      <x:c r="L368" s="31"/>
      <x:c r="M368" s="31"/>
      <x:c r="N368" s="31"/>
      <x:c r="O368" s="31"/>
      <x:c r="P368" s="31"/>
      <x:c r="Q368" s="33"/>
      <x:c r="R368" s="33"/>
      <x:c r="S368" s="31"/>
      <x:c r="T368" s="32"/>
      <x:c r="U368" s="31"/>
      <x:c r="V368" s="31"/>
      <x:c r="W368" s="31"/>
      <x:c r="X368" s="31"/>
      <x:c r="Y368" s="31"/>
      <x:c r="Z368" s="31"/>
      <x:c r="AA368" s="31"/>
      <x:c r="AB368" s="31"/>
    </x:row>
    <x:row r="369">
      <x:c r="A369" s="79"/>
      <x:c r="B369" s="31"/>
      <x:c r="C369" s="31"/>
      <x:c r="D369" s="31"/>
      <x:c r="E369" s="31"/>
      <x:c r="F369" s="31"/>
      <x:c r="G369" s="31"/>
      <x:c r="H369" s="31"/>
      <x:c r="I369" s="31"/>
      <x:c r="J369" s="80"/>
      <x:c r="K369" s="31"/>
      <x:c r="L369" s="31"/>
      <x:c r="M369" s="31"/>
      <x:c r="N369" s="31"/>
      <x:c r="O369" s="31"/>
      <x:c r="P369" s="31"/>
      <x:c r="Q369" s="33"/>
      <x:c r="R369" s="33"/>
      <x:c r="S369" s="31"/>
      <x:c r="T369" s="32"/>
      <x:c r="U369" s="31"/>
      <x:c r="V369" s="31"/>
      <x:c r="W369" s="31"/>
      <x:c r="X369" s="31"/>
      <x:c r="Y369" s="31"/>
      <x:c r="Z369" s="31"/>
      <x:c r="AA369" s="31"/>
      <x:c r="AB369" s="31"/>
    </x:row>
    <x:row r="370">
      <x:c r="A370" s="79"/>
      <x:c r="B370" s="31"/>
      <x:c r="C370" s="31"/>
      <x:c r="D370" s="31"/>
      <x:c r="E370" s="31"/>
      <x:c r="F370" s="31"/>
      <x:c r="G370" s="31"/>
      <x:c r="H370" s="31"/>
      <x:c r="I370" s="31"/>
      <x:c r="J370" s="80"/>
      <x:c r="K370" s="31"/>
      <x:c r="L370" s="31"/>
      <x:c r="M370" s="31"/>
      <x:c r="N370" s="31"/>
      <x:c r="O370" s="31"/>
      <x:c r="P370" s="31"/>
      <x:c r="Q370" s="33"/>
      <x:c r="R370" s="33"/>
      <x:c r="S370" s="31"/>
      <x:c r="T370" s="32"/>
      <x:c r="U370" s="31"/>
      <x:c r="V370" s="31"/>
      <x:c r="W370" s="31"/>
      <x:c r="X370" s="31"/>
      <x:c r="Y370" s="31"/>
      <x:c r="Z370" s="31"/>
      <x:c r="AA370" s="31"/>
      <x:c r="AB370" s="31"/>
    </x:row>
    <x:row r="371">
      <x:c r="A371" s="79"/>
      <x:c r="B371" s="31"/>
      <x:c r="C371" s="31"/>
      <x:c r="D371" s="31"/>
      <x:c r="E371" s="31"/>
      <x:c r="F371" s="31"/>
      <x:c r="G371" s="31"/>
      <x:c r="H371" s="31"/>
      <x:c r="I371" s="31"/>
      <x:c r="J371" s="80"/>
      <x:c r="K371" s="31"/>
      <x:c r="L371" s="31"/>
      <x:c r="M371" s="31"/>
      <x:c r="N371" s="31"/>
      <x:c r="O371" s="31"/>
      <x:c r="P371" s="31"/>
      <x:c r="Q371" s="33"/>
      <x:c r="R371" s="33"/>
      <x:c r="S371" s="31"/>
      <x:c r="T371" s="32"/>
      <x:c r="U371" s="31"/>
      <x:c r="V371" s="31"/>
      <x:c r="W371" s="31"/>
      <x:c r="X371" s="31"/>
      <x:c r="Y371" s="31"/>
      <x:c r="Z371" s="31"/>
      <x:c r="AA371" s="31"/>
      <x:c r="AB371" s="31"/>
    </x:row>
    <x:row r="372">
      <x:c r="A372" s="79"/>
      <x:c r="B372" s="31"/>
      <x:c r="C372" s="31"/>
      <x:c r="D372" s="31"/>
      <x:c r="E372" s="31"/>
      <x:c r="F372" s="31"/>
      <x:c r="G372" s="31"/>
      <x:c r="H372" s="31"/>
      <x:c r="I372" s="31"/>
      <x:c r="J372" s="80"/>
      <x:c r="K372" s="31"/>
      <x:c r="L372" s="31"/>
      <x:c r="M372" s="31"/>
      <x:c r="N372" s="31"/>
      <x:c r="O372" s="31"/>
      <x:c r="P372" s="31"/>
      <x:c r="Q372" s="33"/>
      <x:c r="R372" s="33"/>
      <x:c r="S372" s="31"/>
      <x:c r="T372" s="32"/>
      <x:c r="U372" s="31"/>
      <x:c r="V372" s="31"/>
      <x:c r="W372" s="31"/>
      <x:c r="X372" s="31"/>
      <x:c r="Y372" s="31"/>
      <x:c r="Z372" s="31"/>
      <x:c r="AA372" s="31"/>
      <x:c r="AB372" s="31"/>
    </x:row>
    <x:row r="373">
      <x:c r="A373" s="79"/>
      <x:c r="B373" s="31"/>
      <x:c r="C373" s="31"/>
      <x:c r="D373" s="31"/>
      <x:c r="E373" s="31"/>
      <x:c r="F373" s="31"/>
      <x:c r="G373" s="31"/>
      <x:c r="H373" s="31"/>
      <x:c r="I373" s="31"/>
      <x:c r="J373" s="80"/>
      <x:c r="K373" s="31"/>
      <x:c r="L373" s="31"/>
      <x:c r="M373" s="31"/>
      <x:c r="N373" s="31"/>
      <x:c r="O373" s="31"/>
      <x:c r="P373" s="31"/>
      <x:c r="Q373" s="33"/>
      <x:c r="R373" s="33"/>
      <x:c r="S373" s="31"/>
      <x:c r="T373" s="32"/>
      <x:c r="U373" s="31"/>
      <x:c r="V373" s="31"/>
      <x:c r="W373" s="31"/>
      <x:c r="X373" s="31"/>
      <x:c r="Y373" s="31"/>
      <x:c r="Z373" s="31"/>
      <x:c r="AA373" s="31"/>
      <x:c r="AB373" s="31"/>
    </x:row>
    <x:row r="374">
      <x:c r="A374" s="79"/>
      <x:c r="B374" s="31"/>
      <x:c r="C374" s="31"/>
      <x:c r="D374" s="31"/>
      <x:c r="E374" s="31"/>
      <x:c r="F374" s="31"/>
      <x:c r="G374" s="31"/>
      <x:c r="H374" s="31"/>
      <x:c r="I374" s="31"/>
      <x:c r="J374" s="80"/>
      <x:c r="K374" s="31"/>
      <x:c r="L374" s="31"/>
      <x:c r="M374" s="31"/>
      <x:c r="N374" s="31"/>
      <x:c r="O374" s="31"/>
      <x:c r="P374" s="31"/>
      <x:c r="Q374" s="33"/>
      <x:c r="R374" s="33"/>
      <x:c r="S374" s="31"/>
      <x:c r="T374" s="32"/>
      <x:c r="U374" s="31"/>
      <x:c r="V374" s="31"/>
      <x:c r="W374" s="31"/>
      <x:c r="X374" s="31"/>
      <x:c r="Y374" s="31"/>
      <x:c r="Z374" s="31"/>
      <x:c r="AA374" s="31"/>
      <x:c r="AB374" s="31"/>
    </x:row>
    <x:row r="375">
      <x:c r="A375" s="79"/>
      <x:c r="B375" s="31"/>
      <x:c r="C375" s="31"/>
      <x:c r="D375" s="31"/>
      <x:c r="E375" s="31"/>
      <x:c r="F375" s="31"/>
      <x:c r="G375" s="31"/>
      <x:c r="H375" s="31"/>
      <x:c r="I375" s="31"/>
      <x:c r="J375" s="80"/>
      <x:c r="K375" s="31"/>
      <x:c r="L375" s="31"/>
      <x:c r="M375" s="31"/>
      <x:c r="N375" s="31"/>
      <x:c r="O375" s="31"/>
      <x:c r="P375" s="31"/>
      <x:c r="Q375" s="33"/>
      <x:c r="R375" s="33"/>
      <x:c r="S375" s="31"/>
      <x:c r="T375" s="32"/>
      <x:c r="U375" s="31"/>
      <x:c r="V375" s="31"/>
      <x:c r="W375" s="31"/>
      <x:c r="X375" s="31"/>
      <x:c r="Y375" s="31"/>
      <x:c r="Z375" s="31"/>
      <x:c r="AA375" s="31"/>
      <x:c r="AB375" s="31"/>
    </x:row>
    <x:row r="376">
      <x:c r="A376" s="79"/>
      <x:c r="B376" s="31"/>
      <x:c r="C376" s="31"/>
      <x:c r="D376" s="31"/>
      <x:c r="E376" s="31"/>
      <x:c r="F376" s="31"/>
      <x:c r="G376" s="31"/>
      <x:c r="H376" s="31"/>
      <x:c r="I376" s="31"/>
      <x:c r="J376" s="80"/>
      <x:c r="K376" s="31"/>
      <x:c r="L376" s="31"/>
      <x:c r="M376" s="31"/>
      <x:c r="N376" s="31"/>
      <x:c r="O376" s="31"/>
      <x:c r="P376" s="31"/>
      <x:c r="Q376" s="33"/>
      <x:c r="R376" s="33"/>
      <x:c r="S376" s="31"/>
      <x:c r="T376" s="32"/>
      <x:c r="U376" s="31"/>
      <x:c r="V376" s="31"/>
      <x:c r="W376" s="31"/>
      <x:c r="X376" s="31"/>
      <x:c r="Y376" s="31"/>
      <x:c r="Z376" s="31"/>
      <x:c r="AA376" s="31"/>
      <x:c r="AB376" s="31"/>
    </x:row>
    <x:row r="377">
      <x:c r="A377" s="79"/>
      <x:c r="B377" s="31"/>
      <x:c r="C377" s="31"/>
      <x:c r="D377" s="31"/>
      <x:c r="E377" s="31"/>
      <x:c r="F377" s="31"/>
      <x:c r="G377" s="31"/>
      <x:c r="H377" s="31"/>
      <x:c r="I377" s="31"/>
      <x:c r="J377" s="80"/>
      <x:c r="K377" s="31"/>
      <x:c r="L377" s="31"/>
      <x:c r="M377" s="31"/>
      <x:c r="N377" s="31"/>
      <x:c r="O377" s="31"/>
      <x:c r="P377" s="31"/>
      <x:c r="Q377" s="33"/>
      <x:c r="R377" s="33"/>
      <x:c r="S377" s="31"/>
      <x:c r="T377" s="32"/>
      <x:c r="U377" s="31"/>
      <x:c r="V377" s="31"/>
      <x:c r="W377" s="31"/>
      <x:c r="X377" s="31"/>
      <x:c r="Y377" s="31"/>
      <x:c r="Z377" s="31"/>
      <x:c r="AA377" s="31"/>
      <x:c r="AB377" s="31"/>
    </x:row>
    <x:row r="378">
      <x:c r="A378" s="79"/>
      <x:c r="B378" s="31"/>
      <x:c r="C378" s="31"/>
      <x:c r="D378" s="31"/>
      <x:c r="E378" s="31"/>
      <x:c r="F378" s="31"/>
      <x:c r="G378" s="31"/>
      <x:c r="H378" s="31"/>
      <x:c r="I378" s="31"/>
      <x:c r="J378" s="80"/>
      <x:c r="K378" s="31"/>
      <x:c r="L378" s="31"/>
      <x:c r="M378" s="31"/>
      <x:c r="N378" s="31"/>
      <x:c r="O378" s="31"/>
      <x:c r="P378" s="31"/>
      <x:c r="Q378" s="33"/>
      <x:c r="R378" s="33"/>
      <x:c r="S378" s="31"/>
      <x:c r="T378" s="32"/>
      <x:c r="U378" s="31"/>
      <x:c r="V378" s="31"/>
      <x:c r="W378" s="31"/>
      <x:c r="X378" s="31"/>
      <x:c r="Y378" s="31"/>
      <x:c r="Z378" s="31"/>
      <x:c r="AA378" s="31"/>
      <x:c r="AB378" s="31"/>
    </x:row>
    <x:row r="379">
      <x:c r="A379" s="79"/>
      <x:c r="B379" s="31"/>
      <x:c r="C379" s="31"/>
      <x:c r="D379" s="31"/>
      <x:c r="E379" s="31"/>
      <x:c r="F379" s="31"/>
      <x:c r="G379" s="31"/>
      <x:c r="H379" s="31"/>
      <x:c r="I379" s="31"/>
      <x:c r="J379" s="80"/>
      <x:c r="K379" s="31"/>
      <x:c r="L379" s="31"/>
      <x:c r="M379" s="31"/>
      <x:c r="N379" s="31"/>
      <x:c r="O379" s="31"/>
      <x:c r="P379" s="31"/>
      <x:c r="Q379" s="33"/>
      <x:c r="R379" s="33"/>
      <x:c r="S379" s="31"/>
      <x:c r="T379" s="32"/>
      <x:c r="U379" s="31"/>
      <x:c r="V379" s="31"/>
      <x:c r="W379" s="31"/>
      <x:c r="X379" s="31"/>
      <x:c r="Y379" s="31"/>
      <x:c r="Z379" s="31"/>
      <x:c r="AA379" s="31"/>
      <x:c r="AB379" s="31"/>
    </x:row>
    <x:row r="380">
      <x:c r="A380" s="79"/>
      <x:c r="B380" s="31"/>
      <x:c r="C380" s="31"/>
      <x:c r="D380" s="31"/>
      <x:c r="E380" s="31"/>
      <x:c r="F380" s="31"/>
      <x:c r="G380" s="31"/>
      <x:c r="H380" s="31"/>
      <x:c r="I380" s="31"/>
      <x:c r="J380" s="80"/>
      <x:c r="K380" s="31"/>
      <x:c r="L380" s="31"/>
      <x:c r="M380" s="31"/>
      <x:c r="N380" s="31"/>
      <x:c r="O380" s="31"/>
      <x:c r="P380" s="31"/>
      <x:c r="Q380" s="33"/>
      <x:c r="R380" s="33"/>
      <x:c r="S380" s="31"/>
      <x:c r="T380" s="32"/>
      <x:c r="U380" s="31"/>
      <x:c r="V380" s="31"/>
      <x:c r="W380" s="31"/>
      <x:c r="X380" s="31"/>
      <x:c r="Y380" s="31"/>
      <x:c r="Z380" s="31"/>
      <x:c r="AA380" s="31"/>
      <x:c r="AB380" s="31"/>
    </x:row>
    <x:row r="381">
      <x:c r="A381" s="79"/>
      <x:c r="B381" s="31"/>
      <x:c r="C381" s="31"/>
      <x:c r="D381" s="31"/>
      <x:c r="E381" s="31"/>
      <x:c r="F381" s="31"/>
      <x:c r="G381" s="31"/>
      <x:c r="H381" s="31"/>
      <x:c r="I381" s="31"/>
      <x:c r="J381" s="80"/>
      <x:c r="K381" s="31"/>
      <x:c r="L381" s="31"/>
      <x:c r="M381" s="31"/>
      <x:c r="N381" s="31"/>
      <x:c r="O381" s="31"/>
      <x:c r="P381" s="31"/>
      <x:c r="Q381" s="33"/>
      <x:c r="R381" s="33"/>
      <x:c r="S381" s="31"/>
      <x:c r="T381" s="32"/>
      <x:c r="U381" s="31"/>
      <x:c r="V381" s="31"/>
      <x:c r="W381" s="31"/>
      <x:c r="X381" s="31"/>
      <x:c r="Y381" s="31"/>
      <x:c r="Z381" s="31"/>
      <x:c r="AA381" s="31"/>
      <x:c r="AB381" s="31"/>
    </x:row>
    <x:row r="382">
      <x:c r="A382" s="79"/>
      <x:c r="B382" s="31"/>
      <x:c r="C382" s="31"/>
      <x:c r="D382" s="31"/>
      <x:c r="E382" s="31"/>
      <x:c r="F382" s="31"/>
      <x:c r="G382" s="31"/>
      <x:c r="H382" s="31"/>
      <x:c r="I382" s="31"/>
      <x:c r="J382" s="80"/>
      <x:c r="K382" s="31"/>
      <x:c r="L382" s="31"/>
      <x:c r="M382" s="31"/>
      <x:c r="N382" s="31"/>
      <x:c r="O382" s="31"/>
      <x:c r="P382" s="31"/>
      <x:c r="Q382" s="33"/>
      <x:c r="R382" s="33"/>
      <x:c r="S382" s="31"/>
      <x:c r="T382" s="32"/>
      <x:c r="U382" s="31"/>
      <x:c r="V382" s="31"/>
      <x:c r="W382" s="31"/>
      <x:c r="X382" s="31"/>
      <x:c r="Y382" s="31"/>
      <x:c r="Z382" s="31"/>
      <x:c r="AA382" s="31"/>
      <x:c r="AB382" s="31"/>
    </x:row>
    <x:row r="383">
      <x:c r="A383" s="79"/>
      <x:c r="B383" s="31"/>
      <x:c r="C383" s="31"/>
      <x:c r="D383" s="31"/>
      <x:c r="E383" s="31"/>
      <x:c r="F383" s="31"/>
      <x:c r="G383" s="31"/>
      <x:c r="H383" s="31"/>
      <x:c r="I383" s="31"/>
      <x:c r="J383" s="80"/>
      <x:c r="K383" s="31"/>
      <x:c r="L383" s="31"/>
      <x:c r="M383" s="31"/>
      <x:c r="N383" s="31"/>
      <x:c r="O383" s="31"/>
      <x:c r="P383" s="31"/>
      <x:c r="Q383" s="33"/>
      <x:c r="R383" s="33"/>
      <x:c r="S383" s="31"/>
      <x:c r="T383" s="32"/>
      <x:c r="U383" s="31"/>
      <x:c r="V383" s="31"/>
      <x:c r="W383" s="31"/>
      <x:c r="X383" s="31"/>
      <x:c r="Y383" s="31"/>
      <x:c r="Z383" s="31"/>
      <x:c r="AA383" s="31"/>
      <x:c r="AB383" s="31"/>
    </x:row>
    <x:row r="384">
      <x:c r="A384" s="79"/>
      <x:c r="B384" s="31"/>
      <x:c r="C384" s="31"/>
      <x:c r="D384" s="31"/>
      <x:c r="E384" s="31"/>
      <x:c r="F384" s="31"/>
      <x:c r="G384" s="31"/>
      <x:c r="H384" s="31"/>
      <x:c r="I384" s="31"/>
      <x:c r="J384" s="80"/>
      <x:c r="K384" s="31"/>
      <x:c r="L384" s="31"/>
      <x:c r="M384" s="31"/>
      <x:c r="N384" s="31"/>
      <x:c r="O384" s="31"/>
      <x:c r="P384" s="31"/>
      <x:c r="Q384" s="33"/>
      <x:c r="R384" s="33"/>
      <x:c r="S384" s="31"/>
      <x:c r="T384" s="32"/>
      <x:c r="U384" s="31"/>
      <x:c r="V384" s="31"/>
      <x:c r="W384" s="31"/>
      <x:c r="X384" s="31"/>
      <x:c r="Y384" s="31"/>
      <x:c r="Z384" s="31"/>
      <x:c r="AA384" s="31"/>
      <x:c r="AB384" s="31"/>
    </x:row>
    <x:row r="385">
      <x:c r="A385" s="79"/>
      <x:c r="B385" s="31"/>
      <x:c r="C385" s="31"/>
      <x:c r="D385" s="31"/>
      <x:c r="E385" s="31"/>
      <x:c r="F385" s="31"/>
      <x:c r="G385" s="31"/>
      <x:c r="H385" s="31"/>
      <x:c r="I385" s="31"/>
      <x:c r="J385" s="80"/>
      <x:c r="K385" s="31"/>
      <x:c r="L385" s="31"/>
      <x:c r="M385" s="31"/>
      <x:c r="N385" s="31"/>
      <x:c r="O385" s="31"/>
      <x:c r="P385" s="31"/>
      <x:c r="Q385" s="33"/>
      <x:c r="R385" s="33"/>
      <x:c r="S385" s="31"/>
      <x:c r="T385" s="32"/>
      <x:c r="U385" s="31"/>
      <x:c r="V385" s="31"/>
      <x:c r="W385" s="31"/>
      <x:c r="X385" s="31"/>
      <x:c r="Y385" s="31"/>
      <x:c r="Z385" s="31"/>
      <x:c r="AA385" s="31"/>
      <x:c r="AB385" s="31"/>
    </x:row>
    <x:row r="386">
      <x:c r="A386" s="79"/>
      <x:c r="B386" s="31"/>
      <x:c r="C386" s="31"/>
      <x:c r="D386" s="31"/>
      <x:c r="E386" s="31"/>
      <x:c r="F386" s="31"/>
      <x:c r="G386" s="31"/>
      <x:c r="H386" s="31"/>
      <x:c r="I386" s="31"/>
      <x:c r="J386" s="80"/>
      <x:c r="K386" s="31"/>
      <x:c r="L386" s="31"/>
      <x:c r="M386" s="31"/>
      <x:c r="N386" s="31"/>
      <x:c r="O386" s="31"/>
      <x:c r="P386" s="31"/>
      <x:c r="Q386" s="33"/>
      <x:c r="R386" s="33"/>
      <x:c r="S386" s="31"/>
      <x:c r="T386" s="32"/>
      <x:c r="U386" s="31"/>
      <x:c r="V386" s="31"/>
      <x:c r="W386" s="31"/>
      <x:c r="X386" s="31"/>
      <x:c r="Y386" s="31"/>
      <x:c r="Z386" s="31"/>
      <x:c r="AA386" s="31"/>
      <x:c r="AB386" s="31"/>
    </x:row>
    <x:row r="387">
      <x:c r="A387" s="79"/>
      <x:c r="B387" s="31"/>
      <x:c r="C387" s="31"/>
      <x:c r="D387" s="31"/>
      <x:c r="E387" s="31"/>
      <x:c r="F387" s="31"/>
      <x:c r="G387" s="31"/>
      <x:c r="H387" s="31"/>
      <x:c r="I387" s="31"/>
      <x:c r="J387" s="80"/>
      <x:c r="K387" s="31"/>
      <x:c r="L387" s="31"/>
      <x:c r="M387" s="31"/>
      <x:c r="N387" s="31"/>
      <x:c r="O387" s="31"/>
      <x:c r="P387" s="31"/>
      <x:c r="Q387" s="33"/>
      <x:c r="R387" s="33"/>
      <x:c r="S387" s="31"/>
      <x:c r="T387" s="32"/>
      <x:c r="U387" s="31"/>
      <x:c r="V387" s="31"/>
      <x:c r="W387" s="31"/>
      <x:c r="X387" s="31"/>
      <x:c r="Y387" s="31"/>
      <x:c r="Z387" s="31"/>
      <x:c r="AA387" s="31"/>
      <x:c r="AB387" s="31"/>
    </x:row>
    <x:row r="388">
      <x:c r="A388" s="79"/>
      <x:c r="B388" s="31"/>
      <x:c r="C388" s="31"/>
      <x:c r="D388" s="31"/>
      <x:c r="E388" s="31"/>
      <x:c r="F388" s="31"/>
      <x:c r="G388" s="31"/>
      <x:c r="H388" s="31"/>
      <x:c r="I388" s="31"/>
      <x:c r="J388" s="80"/>
      <x:c r="K388" s="31"/>
      <x:c r="L388" s="31"/>
      <x:c r="M388" s="31"/>
      <x:c r="N388" s="31"/>
      <x:c r="O388" s="31"/>
      <x:c r="P388" s="31"/>
      <x:c r="Q388" s="33"/>
      <x:c r="R388" s="33"/>
      <x:c r="S388" s="31"/>
      <x:c r="T388" s="32"/>
      <x:c r="U388" s="31"/>
      <x:c r="V388" s="31"/>
      <x:c r="W388" s="31"/>
      <x:c r="X388" s="31"/>
      <x:c r="Y388" s="31"/>
      <x:c r="Z388" s="31"/>
      <x:c r="AA388" s="31"/>
      <x:c r="AB388" s="31"/>
    </x:row>
    <x:row r="389">
      <x:c r="A389" s="79"/>
      <x:c r="B389" s="31"/>
      <x:c r="C389" s="31"/>
      <x:c r="D389" s="31"/>
      <x:c r="E389" s="31"/>
      <x:c r="F389" s="31"/>
      <x:c r="G389" s="31"/>
      <x:c r="H389" s="31"/>
      <x:c r="I389" s="31"/>
      <x:c r="J389" s="80"/>
      <x:c r="K389" s="31"/>
      <x:c r="L389" s="31"/>
      <x:c r="M389" s="31"/>
      <x:c r="N389" s="31"/>
      <x:c r="O389" s="31"/>
      <x:c r="P389" s="31"/>
      <x:c r="Q389" s="33"/>
      <x:c r="R389" s="33"/>
      <x:c r="S389" s="31"/>
      <x:c r="T389" s="32"/>
      <x:c r="U389" s="31"/>
      <x:c r="V389" s="31"/>
      <x:c r="W389" s="31"/>
      <x:c r="X389" s="31"/>
      <x:c r="Y389" s="31"/>
      <x:c r="Z389" s="31"/>
      <x:c r="AA389" s="31"/>
      <x:c r="AB389" s="31"/>
    </x:row>
    <x:row r="390">
      <x:c r="A390" s="79"/>
      <x:c r="B390" s="31"/>
      <x:c r="C390" s="31"/>
      <x:c r="D390" s="31"/>
      <x:c r="E390" s="31"/>
      <x:c r="F390" s="31"/>
      <x:c r="G390" s="31"/>
      <x:c r="H390" s="31"/>
      <x:c r="I390" s="31"/>
      <x:c r="J390" s="80"/>
      <x:c r="K390" s="31"/>
      <x:c r="L390" s="31"/>
      <x:c r="M390" s="31"/>
      <x:c r="N390" s="31"/>
      <x:c r="O390" s="31"/>
      <x:c r="P390" s="31"/>
      <x:c r="Q390" s="33"/>
      <x:c r="R390" s="33"/>
      <x:c r="S390" s="31"/>
      <x:c r="T390" s="32"/>
      <x:c r="U390" s="31"/>
      <x:c r="V390" s="31"/>
      <x:c r="W390" s="31"/>
      <x:c r="X390" s="31"/>
      <x:c r="Y390" s="31"/>
      <x:c r="Z390" s="31"/>
      <x:c r="AA390" s="31"/>
      <x:c r="AB390" s="31"/>
    </x:row>
    <x:row r="391">
      <x:c r="A391" s="79"/>
      <x:c r="B391" s="31"/>
      <x:c r="C391" s="31"/>
      <x:c r="D391" s="31"/>
      <x:c r="E391" s="31"/>
      <x:c r="F391" s="31"/>
      <x:c r="G391" s="31"/>
      <x:c r="H391" s="31"/>
      <x:c r="I391" s="31"/>
      <x:c r="J391" s="80"/>
      <x:c r="K391" s="31"/>
      <x:c r="L391" s="31"/>
      <x:c r="M391" s="31"/>
      <x:c r="N391" s="31"/>
      <x:c r="O391" s="31"/>
      <x:c r="P391" s="31"/>
      <x:c r="Q391" s="33"/>
      <x:c r="R391" s="33"/>
      <x:c r="S391" s="31"/>
      <x:c r="T391" s="32"/>
      <x:c r="U391" s="31"/>
      <x:c r="V391" s="31"/>
      <x:c r="W391" s="31"/>
      <x:c r="X391" s="31"/>
      <x:c r="Y391" s="31"/>
      <x:c r="Z391" s="31"/>
      <x:c r="AA391" s="31"/>
      <x:c r="AB391" s="31"/>
    </x:row>
    <x:row r="392">
      <x:c r="A392" s="79"/>
      <x:c r="B392" s="31"/>
      <x:c r="C392" s="31"/>
      <x:c r="D392" s="31"/>
      <x:c r="E392" s="31"/>
      <x:c r="F392" s="31"/>
      <x:c r="G392" s="31"/>
      <x:c r="H392" s="31"/>
      <x:c r="I392" s="31"/>
      <x:c r="J392" s="80"/>
      <x:c r="K392" s="31"/>
      <x:c r="L392" s="31"/>
      <x:c r="M392" s="31"/>
      <x:c r="N392" s="31"/>
      <x:c r="O392" s="31"/>
      <x:c r="P392" s="31"/>
      <x:c r="Q392" s="33"/>
      <x:c r="R392" s="33"/>
      <x:c r="S392" s="31"/>
      <x:c r="T392" s="32"/>
      <x:c r="U392" s="31"/>
      <x:c r="V392" s="31"/>
      <x:c r="W392" s="31"/>
      <x:c r="X392" s="31"/>
      <x:c r="Y392" s="31"/>
      <x:c r="Z392" s="31"/>
      <x:c r="AA392" s="31"/>
      <x:c r="AB392" s="31"/>
    </x:row>
    <x:row r="393">
      <x:c r="A393" s="79"/>
      <x:c r="B393" s="31"/>
      <x:c r="C393" s="31"/>
      <x:c r="D393" s="31"/>
      <x:c r="E393" s="31"/>
      <x:c r="F393" s="31"/>
      <x:c r="G393" s="31"/>
      <x:c r="H393" s="31"/>
      <x:c r="I393" s="31"/>
      <x:c r="J393" s="80"/>
      <x:c r="K393" s="31"/>
      <x:c r="L393" s="31"/>
      <x:c r="M393" s="31"/>
      <x:c r="N393" s="31"/>
      <x:c r="O393" s="31"/>
      <x:c r="P393" s="31"/>
      <x:c r="Q393" s="33"/>
      <x:c r="R393" s="33"/>
      <x:c r="S393" s="31"/>
      <x:c r="T393" s="32"/>
      <x:c r="U393" s="31"/>
      <x:c r="V393" s="31"/>
      <x:c r="W393" s="31"/>
      <x:c r="X393" s="31"/>
      <x:c r="Y393" s="31"/>
      <x:c r="Z393" s="31"/>
      <x:c r="AA393" s="31"/>
      <x:c r="AB393" s="31"/>
    </x:row>
    <x:row r="394">
      <x:c r="A394" s="79"/>
      <x:c r="B394" s="31"/>
      <x:c r="C394" s="31"/>
      <x:c r="D394" s="31"/>
      <x:c r="E394" s="31"/>
      <x:c r="F394" s="31"/>
      <x:c r="G394" s="31"/>
      <x:c r="H394" s="31"/>
      <x:c r="I394" s="31"/>
      <x:c r="J394" s="80"/>
      <x:c r="K394" s="31"/>
      <x:c r="L394" s="31"/>
      <x:c r="M394" s="31"/>
      <x:c r="N394" s="31"/>
      <x:c r="O394" s="31"/>
      <x:c r="P394" s="31"/>
      <x:c r="Q394" s="33"/>
      <x:c r="R394" s="33"/>
      <x:c r="S394" s="31"/>
      <x:c r="T394" s="32"/>
      <x:c r="U394" s="31"/>
      <x:c r="V394" s="31"/>
      <x:c r="W394" s="31"/>
      <x:c r="X394" s="31"/>
      <x:c r="Y394" s="31"/>
      <x:c r="Z394" s="31"/>
      <x:c r="AA394" s="31"/>
      <x:c r="AB394" s="31"/>
    </x:row>
    <x:row r="395">
      <x:c r="A395" s="79"/>
      <x:c r="B395" s="31"/>
      <x:c r="C395" s="31"/>
      <x:c r="D395" s="31"/>
      <x:c r="E395" s="31"/>
      <x:c r="F395" s="31"/>
      <x:c r="G395" s="31"/>
      <x:c r="H395" s="31"/>
      <x:c r="I395" s="31"/>
      <x:c r="J395" s="80"/>
      <x:c r="K395" s="31"/>
      <x:c r="L395" s="31"/>
      <x:c r="M395" s="31"/>
      <x:c r="N395" s="31"/>
      <x:c r="O395" s="31"/>
      <x:c r="P395" s="31"/>
      <x:c r="Q395" s="33"/>
      <x:c r="R395" s="33"/>
      <x:c r="S395" s="31"/>
      <x:c r="T395" s="32"/>
      <x:c r="U395" s="31"/>
      <x:c r="V395" s="31"/>
      <x:c r="W395" s="31"/>
      <x:c r="X395" s="31"/>
      <x:c r="Y395" s="31"/>
      <x:c r="Z395" s="31"/>
      <x:c r="AA395" s="31"/>
      <x:c r="AB395" s="31"/>
    </x:row>
    <x:row r="396">
      <x:c r="A396" s="79"/>
      <x:c r="B396" s="31"/>
      <x:c r="C396" s="31"/>
      <x:c r="D396" s="31"/>
      <x:c r="E396" s="31"/>
      <x:c r="F396" s="31"/>
      <x:c r="G396" s="31"/>
      <x:c r="H396" s="31"/>
      <x:c r="I396" s="31"/>
      <x:c r="J396" s="80"/>
      <x:c r="K396" s="31"/>
      <x:c r="L396" s="31"/>
      <x:c r="M396" s="31"/>
      <x:c r="N396" s="31"/>
      <x:c r="O396" s="31"/>
      <x:c r="P396" s="31"/>
      <x:c r="Q396" s="33"/>
      <x:c r="R396" s="33"/>
      <x:c r="S396" s="31"/>
      <x:c r="T396" s="32"/>
      <x:c r="U396" s="31"/>
      <x:c r="V396" s="31"/>
      <x:c r="W396" s="31"/>
      <x:c r="X396" s="31"/>
      <x:c r="Y396" s="31"/>
      <x:c r="Z396" s="31"/>
      <x:c r="AA396" s="31"/>
      <x:c r="AB396" s="31"/>
    </x:row>
    <x:row r="397">
      <x:c r="A397" s="79"/>
      <x:c r="B397" s="31"/>
      <x:c r="C397" s="31"/>
      <x:c r="D397" s="31"/>
      <x:c r="E397" s="31"/>
      <x:c r="F397" s="31"/>
      <x:c r="G397" s="31"/>
      <x:c r="H397" s="31"/>
      <x:c r="I397" s="31"/>
      <x:c r="J397" s="80"/>
      <x:c r="K397" s="31"/>
      <x:c r="L397" s="31"/>
      <x:c r="M397" s="31"/>
      <x:c r="N397" s="31"/>
      <x:c r="O397" s="31"/>
      <x:c r="P397" s="31"/>
      <x:c r="Q397" s="33"/>
      <x:c r="R397" s="33"/>
      <x:c r="S397" s="31"/>
      <x:c r="T397" s="32"/>
      <x:c r="U397" s="31"/>
      <x:c r="V397" s="31"/>
      <x:c r="W397" s="31"/>
      <x:c r="X397" s="31"/>
      <x:c r="Y397" s="31"/>
      <x:c r="Z397" s="31"/>
      <x:c r="AA397" s="31"/>
      <x:c r="AB397" s="31"/>
    </x:row>
    <x:row r="398">
      <x:c r="A398" s="79"/>
      <x:c r="B398" s="31"/>
      <x:c r="C398" s="31"/>
      <x:c r="D398" s="31"/>
      <x:c r="E398" s="31"/>
      <x:c r="F398" s="31"/>
      <x:c r="G398" s="31"/>
      <x:c r="H398" s="31"/>
      <x:c r="I398" s="31"/>
      <x:c r="J398" s="80"/>
      <x:c r="K398" s="31"/>
      <x:c r="L398" s="31"/>
      <x:c r="M398" s="31"/>
      <x:c r="N398" s="31"/>
      <x:c r="O398" s="31"/>
      <x:c r="P398" s="31"/>
      <x:c r="Q398" s="33"/>
      <x:c r="R398" s="33"/>
      <x:c r="S398" s="31"/>
      <x:c r="T398" s="32"/>
      <x:c r="U398" s="31"/>
      <x:c r="V398" s="31"/>
      <x:c r="W398" s="31"/>
      <x:c r="X398" s="31"/>
      <x:c r="Y398" s="31"/>
      <x:c r="Z398" s="31"/>
      <x:c r="AA398" s="31"/>
      <x:c r="AB398" s="31"/>
    </x:row>
    <x:row r="399">
      <x:c r="A399" s="79"/>
      <x:c r="B399" s="31"/>
      <x:c r="C399" s="31"/>
      <x:c r="D399" s="31"/>
      <x:c r="E399" s="31"/>
      <x:c r="F399" s="31"/>
      <x:c r="G399" s="31"/>
      <x:c r="H399" s="31"/>
      <x:c r="I399" s="31"/>
      <x:c r="J399" s="80"/>
      <x:c r="K399" s="31"/>
      <x:c r="L399" s="31"/>
      <x:c r="M399" s="31"/>
      <x:c r="N399" s="31"/>
      <x:c r="O399" s="31"/>
      <x:c r="P399" s="31"/>
      <x:c r="Q399" s="33"/>
      <x:c r="R399" s="33"/>
      <x:c r="S399" s="31"/>
      <x:c r="T399" s="32"/>
      <x:c r="U399" s="31"/>
      <x:c r="V399" s="31"/>
      <x:c r="W399" s="31"/>
      <x:c r="X399" s="31"/>
      <x:c r="Y399" s="31"/>
      <x:c r="Z399" s="31"/>
      <x:c r="AA399" s="31"/>
      <x:c r="AB399" s="31"/>
    </x:row>
    <x:row r="400">
      <x:c r="A400" s="79"/>
      <x:c r="B400" s="31"/>
      <x:c r="C400" s="31"/>
      <x:c r="D400" s="31"/>
      <x:c r="E400" s="31"/>
      <x:c r="F400" s="31"/>
      <x:c r="G400" s="31"/>
      <x:c r="H400" s="31"/>
      <x:c r="I400" s="31"/>
      <x:c r="J400" s="80"/>
      <x:c r="K400" s="31"/>
      <x:c r="L400" s="31"/>
      <x:c r="M400" s="31"/>
      <x:c r="N400" s="31"/>
      <x:c r="O400" s="31"/>
      <x:c r="P400" s="31"/>
      <x:c r="Q400" s="33"/>
      <x:c r="R400" s="33"/>
      <x:c r="S400" s="31"/>
      <x:c r="T400" s="32"/>
      <x:c r="U400" s="31"/>
      <x:c r="V400" s="31"/>
      <x:c r="W400" s="31"/>
      <x:c r="X400" s="31"/>
      <x:c r="Y400" s="31"/>
      <x:c r="Z400" s="31"/>
      <x:c r="AA400" s="31"/>
      <x:c r="AB400" s="31"/>
    </x:row>
    <x:row r="401">
      <x:c r="A401" s="79"/>
      <x:c r="B401" s="31"/>
      <x:c r="C401" s="31"/>
      <x:c r="D401" s="31"/>
      <x:c r="E401" s="31"/>
      <x:c r="F401" s="31"/>
      <x:c r="G401" s="31"/>
      <x:c r="H401" s="31"/>
      <x:c r="I401" s="31"/>
      <x:c r="J401" s="80"/>
      <x:c r="K401" s="31"/>
      <x:c r="L401" s="31"/>
      <x:c r="M401" s="31"/>
      <x:c r="N401" s="31"/>
      <x:c r="O401" s="31"/>
      <x:c r="P401" s="31"/>
      <x:c r="Q401" s="33"/>
      <x:c r="R401" s="33"/>
      <x:c r="S401" s="31"/>
      <x:c r="T401" s="32"/>
      <x:c r="U401" s="31"/>
      <x:c r="V401" s="31"/>
      <x:c r="W401" s="31"/>
      <x:c r="X401" s="31"/>
      <x:c r="Y401" s="31"/>
      <x:c r="Z401" s="31"/>
      <x:c r="AA401" s="31"/>
      <x:c r="AB401" s="31"/>
    </x:row>
    <x:row r="402">
      <x:c r="A402" s="79"/>
      <x:c r="B402" s="31"/>
      <x:c r="C402" s="31"/>
      <x:c r="D402" s="31"/>
      <x:c r="E402" s="31"/>
      <x:c r="F402" s="31"/>
      <x:c r="G402" s="31"/>
      <x:c r="H402" s="31"/>
      <x:c r="I402" s="31"/>
      <x:c r="J402" s="80"/>
      <x:c r="K402" s="31"/>
      <x:c r="L402" s="31"/>
      <x:c r="M402" s="31"/>
      <x:c r="N402" s="31"/>
      <x:c r="O402" s="31"/>
      <x:c r="P402" s="31"/>
      <x:c r="Q402" s="33"/>
      <x:c r="R402" s="33"/>
      <x:c r="S402" s="31"/>
      <x:c r="T402" s="32"/>
      <x:c r="U402" s="31"/>
      <x:c r="V402" s="31"/>
      <x:c r="W402" s="31"/>
      <x:c r="X402" s="31"/>
      <x:c r="Y402" s="31"/>
      <x:c r="Z402" s="31"/>
      <x:c r="AA402" s="31"/>
      <x:c r="AB402" s="31"/>
    </x:row>
    <x:row r="403">
      <x:c r="A403" s="79"/>
      <x:c r="B403" s="31"/>
      <x:c r="C403" s="31"/>
      <x:c r="D403" s="31"/>
      <x:c r="E403" s="31"/>
      <x:c r="F403" s="31"/>
      <x:c r="G403" s="31"/>
      <x:c r="H403" s="31"/>
      <x:c r="I403" s="31"/>
      <x:c r="J403" s="80"/>
      <x:c r="K403" s="31"/>
      <x:c r="L403" s="31"/>
      <x:c r="M403" s="31"/>
      <x:c r="N403" s="31"/>
      <x:c r="O403" s="31"/>
      <x:c r="P403" s="31"/>
      <x:c r="Q403" s="33"/>
      <x:c r="R403" s="33"/>
      <x:c r="S403" s="31"/>
      <x:c r="T403" s="32"/>
      <x:c r="U403" s="31"/>
      <x:c r="V403" s="31"/>
      <x:c r="W403" s="31"/>
      <x:c r="X403" s="31"/>
      <x:c r="Y403" s="31"/>
      <x:c r="Z403" s="31"/>
      <x:c r="AA403" s="31"/>
      <x:c r="AB403" s="31"/>
    </x:row>
    <x:row r="404">
      <x:c r="A404" s="79"/>
      <x:c r="B404" s="31"/>
      <x:c r="C404" s="31"/>
      <x:c r="D404" s="31"/>
      <x:c r="E404" s="31"/>
      <x:c r="F404" s="31"/>
      <x:c r="G404" s="31"/>
      <x:c r="H404" s="31"/>
      <x:c r="I404" s="31"/>
      <x:c r="J404" s="80"/>
      <x:c r="K404" s="31"/>
      <x:c r="L404" s="31"/>
      <x:c r="M404" s="31"/>
      <x:c r="N404" s="31"/>
      <x:c r="O404" s="31"/>
      <x:c r="P404" s="31"/>
      <x:c r="Q404" s="33"/>
      <x:c r="R404" s="33"/>
      <x:c r="S404" s="31"/>
      <x:c r="T404" s="32"/>
      <x:c r="U404" s="31"/>
      <x:c r="V404" s="31"/>
      <x:c r="W404" s="31"/>
      <x:c r="X404" s="31"/>
      <x:c r="Y404" s="31"/>
      <x:c r="Z404" s="31"/>
      <x:c r="AA404" s="31"/>
      <x:c r="AB404" s="31"/>
    </x:row>
    <x:row r="405">
      <x:c r="A405" s="79"/>
      <x:c r="B405" s="31"/>
      <x:c r="C405" s="31"/>
      <x:c r="D405" s="31"/>
      <x:c r="E405" s="31"/>
      <x:c r="F405" s="31"/>
      <x:c r="G405" s="31"/>
      <x:c r="H405" s="31"/>
      <x:c r="I405" s="31"/>
      <x:c r="J405" s="80"/>
      <x:c r="K405" s="31"/>
      <x:c r="L405" s="31"/>
      <x:c r="M405" s="31"/>
      <x:c r="N405" s="31"/>
      <x:c r="O405" s="31"/>
      <x:c r="P405" s="31"/>
      <x:c r="Q405" s="33"/>
      <x:c r="R405" s="33"/>
      <x:c r="S405" s="31"/>
      <x:c r="T405" s="32"/>
      <x:c r="U405" s="31"/>
      <x:c r="V405" s="31"/>
      <x:c r="W405" s="31"/>
      <x:c r="X405" s="31"/>
      <x:c r="Y405" s="31"/>
      <x:c r="Z405" s="31"/>
      <x:c r="AA405" s="31"/>
      <x:c r="AB405" s="31"/>
    </x:row>
    <x:row r="406">
      <x:c r="A406" s="79"/>
      <x:c r="B406" s="31"/>
      <x:c r="C406" s="31"/>
      <x:c r="D406" s="31"/>
      <x:c r="E406" s="31"/>
      <x:c r="F406" s="31"/>
      <x:c r="G406" s="31"/>
      <x:c r="H406" s="31"/>
      <x:c r="I406" s="31"/>
      <x:c r="J406" s="80"/>
      <x:c r="K406" s="31"/>
      <x:c r="L406" s="31"/>
      <x:c r="M406" s="31"/>
      <x:c r="N406" s="31"/>
      <x:c r="O406" s="31"/>
      <x:c r="P406" s="31"/>
      <x:c r="Q406" s="33"/>
      <x:c r="R406" s="33"/>
      <x:c r="S406" s="31"/>
      <x:c r="T406" s="32"/>
      <x:c r="U406" s="31"/>
      <x:c r="V406" s="31"/>
      <x:c r="W406" s="31"/>
      <x:c r="X406" s="31"/>
      <x:c r="Y406" s="31"/>
      <x:c r="Z406" s="31"/>
      <x:c r="AA406" s="31"/>
      <x:c r="AB406" s="31"/>
    </x:row>
    <x:row r="407">
      <x:c r="A407" s="79"/>
      <x:c r="B407" s="31"/>
      <x:c r="C407" s="31"/>
      <x:c r="D407" s="31"/>
      <x:c r="E407" s="31"/>
      <x:c r="F407" s="31"/>
      <x:c r="G407" s="31"/>
      <x:c r="H407" s="31"/>
      <x:c r="I407" s="31"/>
      <x:c r="J407" s="80"/>
      <x:c r="K407" s="31"/>
      <x:c r="L407" s="31"/>
      <x:c r="M407" s="31"/>
      <x:c r="N407" s="31"/>
      <x:c r="O407" s="31"/>
      <x:c r="P407" s="31"/>
      <x:c r="Q407" s="33"/>
      <x:c r="R407" s="33"/>
      <x:c r="S407" s="31"/>
      <x:c r="T407" s="32"/>
      <x:c r="U407" s="31"/>
      <x:c r="V407" s="31"/>
      <x:c r="W407" s="31"/>
      <x:c r="X407" s="31"/>
      <x:c r="Y407" s="31"/>
      <x:c r="Z407" s="31"/>
      <x:c r="AA407" s="31"/>
      <x:c r="AB407" s="31"/>
    </x:row>
    <x:row r="408">
      <x:c r="A408" s="79"/>
      <x:c r="B408" s="31"/>
      <x:c r="C408" s="31"/>
      <x:c r="D408" s="31"/>
      <x:c r="E408" s="31"/>
      <x:c r="F408" s="31"/>
      <x:c r="G408" s="31"/>
      <x:c r="H408" s="31"/>
      <x:c r="I408" s="31"/>
      <x:c r="J408" s="80"/>
      <x:c r="K408" s="31"/>
      <x:c r="L408" s="31"/>
      <x:c r="M408" s="31"/>
      <x:c r="N408" s="31"/>
      <x:c r="O408" s="31"/>
      <x:c r="P408" s="31"/>
      <x:c r="Q408" s="33"/>
      <x:c r="R408" s="33"/>
      <x:c r="S408" s="31"/>
      <x:c r="T408" s="32"/>
      <x:c r="U408" s="31"/>
      <x:c r="V408" s="31"/>
      <x:c r="W408" s="31"/>
      <x:c r="X408" s="31"/>
      <x:c r="Y408" s="31"/>
      <x:c r="Z408" s="31"/>
      <x:c r="AA408" s="31"/>
      <x:c r="AB408" s="31"/>
    </x:row>
    <x:row r="409">
      <x:c r="A409" s="79"/>
      <x:c r="B409" s="31"/>
      <x:c r="C409" s="31"/>
      <x:c r="D409" s="31"/>
      <x:c r="E409" s="31"/>
      <x:c r="F409" s="31"/>
      <x:c r="G409" s="31"/>
      <x:c r="H409" s="31"/>
      <x:c r="I409" s="31"/>
      <x:c r="J409" s="80"/>
      <x:c r="K409" s="31"/>
      <x:c r="L409" s="31"/>
      <x:c r="M409" s="31"/>
      <x:c r="N409" s="31"/>
      <x:c r="O409" s="31"/>
      <x:c r="P409" s="31"/>
      <x:c r="Q409" s="33"/>
      <x:c r="R409" s="33"/>
      <x:c r="S409" s="31"/>
      <x:c r="T409" s="32"/>
      <x:c r="U409" s="31"/>
      <x:c r="V409" s="31"/>
      <x:c r="W409" s="31"/>
      <x:c r="X409" s="31"/>
      <x:c r="Y409" s="31"/>
      <x:c r="Z409" s="31"/>
      <x:c r="AA409" s="31"/>
      <x:c r="AB409" s="31"/>
    </x:row>
    <x:row r="410">
      <x:c r="A410" s="79"/>
      <x:c r="B410" s="31"/>
      <x:c r="C410" s="31"/>
      <x:c r="D410" s="31"/>
      <x:c r="E410" s="31"/>
      <x:c r="F410" s="31"/>
      <x:c r="G410" s="31"/>
      <x:c r="H410" s="31"/>
      <x:c r="I410" s="31"/>
      <x:c r="J410" s="80"/>
      <x:c r="K410" s="31"/>
      <x:c r="L410" s="31"/>
      <x:c r="M410" s="31"/>
      <x:c r="N410" s="31"/>
      <x:c r="O410" s="31"/>
      <x:c r="P410" s="31"/>
      <x:c r="Q410" s="33"/>
      <x:c r="R410" s="33"/>
      <x:c r="S410" s="31"/>
      <x:c r="T410" s="32"/>
      <x:c r="U410" s="31"/>
      <x:c r="V410" s="31"/>
      <x:c r="W410" s="31"/>
      <x:c r="X410" s="31"/>
      <x:c r="Y410" s="31"/>
      <x:c r="Z410" s="31"/>
      <x:c r="AA410" s="31"/>
      <x:c r="AB410" s="31"/>
    </x:row>
    <x:row r="411">
      <x:c r="A411" s="79"/>
      <x:c r="B411" s="31"/>
      <x:c r="C411" s="31"/>
      <x:c r="D411" s="31"/>
      <x:c r="E411" s="31"/>
      <x:c r="F411" s="31"/>
      <x:c r="G411" s="31"/>
      <x:c r="H411" s="31"/>
      <x:c r="I411" s="31"/>
      <x:c r="J411" s="80"/>
      <x:c r="K411" s="31"/>
      <x:c r="L411" s="31"/>
      <x:c r="M411" s="31"/>
      <x:c r="N411" s="31"/>
      <x:c r="O411" s="31"/>
      <x:c r="P411" s="31"/>
      <x:c r="Q411" s="33"/>
      <x:c r="R411" s="33"/>
      <x:c r="S411" s="31"/>
      <x:c r="T411" s="32"/>
      <x:c r="U411" s="31"/>
      <x:c r="V411" s="31"/>
      <x:c r="W411" s="31"/>
      <x:c r="X411" s="31"/>
      <x:c r="Y411" s="31"/>
      <x:c r="Z411" s="31"/>
      <x:c r="AA411" s="31"/>
      <x:c r="AB411" s="31"/>
    </x:row>
    <x:row r="412">
      <x:c r="A412" s="79"/>
      <x:c r="B412" s="31"/>
      <x:c r="C412" s="31"/>
      <x:c r="D412" s="31"/>
      <x:c r="E412" s="31"/>
      <x:c r="F412" s="31"/>
      <x:c r="G412" s="31"/>
      <x:c r="H412" s="31"/>
      <x:c r="I412" s="31"/>
      <x:c r="J412" s="80"/>
      <x:c r="K412" s="31"/>
      <x:c r="L412" s="31"/>
      <x:c r="M412" s="31"/>
      <x:c r="N412" s="31"/>
      <x:c r="O412" s="31"/>
      <x:c r="P412" s="31"/>
      <x:c r="Q412" s="33"/>
      <x:c r="R412" s="33"/>
      <x:c r="S412" s="31"/>
      <x:c r="T412" s="32"/>
      <x:c r="U412" s="31"/>
      <x:c r="V412" s="31"/>
      <x:c r="W412" s="31"/>
      <x:c r="X412" s="31"/>
      <x:c r="Y412" s="31"/>
      <x:c r="Z412" s="31"/>
      <x:c r="AA412" s="31"/>
      <x:c r="AB412" s="31"/>
    </x:row>
    <x:row r="413">
      <x:c r="A413" s="79"/>
      <x:c r="B413" s="31"/>
      <x:c r="C413" s="31"/>
      <x:c r="D413" s="31"/>
      <x:c r="E413" s="31"/>
      <x:c r="F413" s="31"/>
      <x:c r="G413" s="31"/>
      <x:c r="H413" s="31"/>
      <x:c r="I413" s="31"/>
      <x:c r="J413" s="80"/>
      <x:c r="K413" s="31"/>
      <x:c r="L413" s="31"/>
      <x:c r="M413" s="31"/>
      <x:c r="N413" s="31"/>
      <x:c r="O413" s="31"/>
      <x:c r="P413" s="31"/>
      <x:c r="Q413" s="33"/>
      <x:c r="R413" s="33"/>
      <x:c r="S413" s="31"/>
      <x:c r="T413" s="32"/>
      <x:c r="U413" s="31"/>
      <x:c r="V413" s="31"/>
      <x:c r="W413" s="31"/>
      <x:c r="X413" s="31"/>
      <x:c r="Y413" s="31"/>
      <x:c r="Z413" s="31"/>
      <x:c r="AA413" s="31"/>
      <x:c r="AB413" s="31"/>
    </x:row>
    <x:row r="414">
      <x:c r="A414" s="79"/>
      <x:c r="B414" s="31"/>
      <x:c r="C414" s="31"/>
      <x:c r="D414" s="31"/>
      <x:c r="E414" s="31"/>
      <x:c r="F414" s="31"/>
      <x:c r="G414" s="31"/>
      <x:c r="H414" s="31"/>
      <x:c r="I414" s="31"/>
      <x:c r="J414" s="80"/>
      <x:c r="K414" s="31"/>
      <x:c r="L414" s="31"/>
      <x:c r="M414" s="31"/>
      <x:c r="N414" s="31"/>
      <x:c r="O414" s="31"/>
      <x:c r="P414" s="31"/>
      <x:c r="Q414" s="33"/>
      <x:c r="R414" s="33"/>
      <x:c r="S414" s="31"/>
      <x:c r="T414" s="32"/>
      <x:c r="U414" s="31"/>
      <x:c r="V414" s="31"/>
      <x:c r="W414" s="31"/>
      <x:c r="X414" s="31"/>
      <x:c r="Y414" s="31"/>
      <x:c r="Z414" s="31"/>
      <x:c r="AA414" s="31"/>
      <x:c r="AB414" s="31"/>
    </x:row>
    <x:row r="415">
      <x:c r="A415" s="79"/>
      <x:c r="B415" s="31"/>
      <x:c r="C415" s="31"/>
      <x:c r="D415" s="31"/>
      <x:c r="E415" s="31"/>
      <x:c r="F415" s="31"/>
      <x:c r="G415" s="31"/>
      <x:c r="H415" s="31"/>
      <x:c r="I415" s="31"/>
      <x:c r="J415" s="80"/>
      <x:c r="K415" s="31"/>
      <x:c r="L415" s="31"/>
      <x:c r="M415" s="31"/>
      <x:c r="N415" s="31"/>
      <x:c r="O415" s="31"/>
      <x:c r="P415" s="31"/>
      <x:c r="Q415" s="33"/>
      <x:c r="R415" s="33"/>
      <x:c r="S415" s="31"/>
      <x:c r="T415" s="32"/>
      <x:c r="U415" s="31"/>
      <x:c r="V415" s="31"/>
      <x:c r="W415" s="31"/>
      <x:c r="X415" s="31"/>
      <x:c r="Y415" s="31"/>
      <x:c r="Z415" s="31"/>
      <x:c r="AA415" s="31"/>
      <x:c r="AB415" s="31"/>
    </x:row>
    <x:row r="416">
      <x:c r="A416" s="79"/>
      <x:c r="B416" s="31"/>
      <x:c r="C416" s="31"/>
      <x:c r="D416" s="31"/>
      <x:c r="E416" s="31"/>
      <x:c r="F416" s="31"/>
      <x:c r="G416" s="31"/>
      <x:c r="H416" s="31"/>
      <x:c r="I416" s="31"/>
      <x:c r="J416" s="80"/>
      <x:c r="K416" s="31"/>
      <x:c r="L416" s="31"/>
      <x:c r="M416" s="31"/>
      <x:c r="N416" s="31"/>
      <x:c r="O416" s="31"/>
      <x:c r="P416" s="31"/>
      <x:c r="Q416" s="33"/>
      <x:c r="R416" s="33"/>
      <x:c r="S416" s="31"/>
      <x:c r="T416" s="32"/>
      <x:c r="U416" s="31"/>
      <x:c r="V416" s="31"/>
      <x:c r="W416" s="31"/>
      <x:c r="X416" s="31"/>
      <x:c r="Y416" s="31"/>
      <x:c r="Z416" s="31"/>
      <x:c r="AA416" s="31"/>
      <x:c r="AB416" s="31"/>
    </x:row>
    <x:row r="417">
      <x:c r="A417" s="79"/>
      <x:c r="B417" s="31"/>
      <x:c r="C417" s="31"/>
      <x:c r="D417" s="31"/>
      <x:c r="E417" s="31"/>
      <x:c r="F417" s="31"/>
      <x:c r="G417" s="31"/>
      <x:c r="H417" s="31"/>
      <x:c r="I417" s="31"/>
      <x:c r="J417" s="80"/>
      <x:c r="K417" s="31"/>
      <x:c r="L417" s="31"/>
      <x:c r="M417" s="31"/>
      <x:c r="N417" s="31"/>
      <x:c r="O417" s="31"/>
      <x:c r="P417" s="31"/>
      <x:c r="Q417" s="33"/>
      <x:c r="R417" s="33"/>
      <x:c r="S417" s="31"/>
      <x:c r="T417" s="32"/>
      <x:c r="U417" s="31"/>
      <x:c r="V417" s="31"/>
      <x:c r="W417" s="31"/>
      <x:c r="X417" s="31"/>
      <x:c r="Y417" s="31"/>
      <x:c r="Z417" s="31"/>
      <x:c r="AA417" s="31"/>
      <x:c r="AB417" s="31"/>
    </x:row>
    <x:row r="418">
      <x:c r="A418" s="79"/>
      <x:c r="B418" s="31"/>
      <x:c r="C418" s="31"/>
      <x:c r="D418" s="31"/>
      <x:c r="E418" s="31"/>
      <x:c r="F418" s="31"/>
      <x:c r="G418" s="31"/>
      <x:c r="H418" s="31"/>
      <x:c r="I418" s="31"/>
      <x:c r="J418" s="80"/>
      <x:c r="K418" s="31"/>
      <x:c r="L418" s="31"/>
      <x:c r="M418" s="31"/>
      <x:c r="N418" s="31"/>
      <x:c r="O418" s="31"/>
      <x:c r="P418" s="31"/>
      <x:c r="Q418" s="33"/>
      <x:c r="R418" s="33"/>
      <x:c r="S418" s="31"/>
      <x:c r="T418" s="32"/>
      <x:c r="U418" s="31"/>
      <x:c r="V418" s="31"/>
      <x:c r="W418" s="31"/>
      <x:c r="X418" s="31"/>
      <x:c r="Y418" s="31"/>
      <x:c r="Z418" s="31"/>
      <x:c r="AA418" s="31"/>
      <x:c r="AB418" s="31"/>
    </x:row>
    <x:row r="419">
      <x:c r="A419" s="79"/>
      <x:c r="B419" s="31"/>
      <x:c r="C419" s="31"/>
      <x:c r="D419" s="31"/>
      <x:c r="E419" s="31"/>
      <x:c r="F419" s="31"/>
      <x:c r="G419" s="31"/>
      <x:c r="H419" s="31"/>
      <x:c r="I419" s="31"/>
      <x:c r="J419" s="80"/>
      <x:c r="K419" s="31"/>
      <x:c r="L419" s="31"/>
      <x:c r="M419" s="31"/>
      <x:c r="N419" s="31"/>
      <x:c r="O419" s="31"/>
      <x:c r="P419" s="31"/>
      <x:c r="Q419" s="33"/>
      <x:c r="R419" s="33"/>
      <x:c r="S419" s="31"/>
      <x:c r="T419" s="32"/>
      <x:c r="U419" s="31"/>
      <x:c r="V419" s="31"/>
      <x:c r="W419" s="31"/>
      <x:c r="X419" s="31"/>
      <x:c r="Y419" s="31"/>
      <x:c r="Z419" s="31"/>
      <x:c r="AA419" s="31"/>
      <x:c r="AB419" s="31"/>
    </x:row>
    <x:row r="420">
      <x:c r="A420" s="79"/>
      <x:c r="B420" s="31"/>
      <x:c r="C420" s="31"/>
      <x:c r="D420" s="31"/>
      <x:c r="E420" s="31"/>
      <x:c r="F420" s="31"/>
      <x:c r="G420" s="31"/>
      <x:c r="H420" s="31"/>
      <x:c r="I420" s="31"/>
      <x:c r="J420" s="80"/>
      <x:c r="K420" s="31"/>
      <x:c r="L420" s="31"/>
      <x:c r="M420" s="31"/>
      <x:c r="N420" s="31"/>
      <x:c r="O420" s="31"/>
      <x:c r="P420" s="31"/>
      <x:c r="Q420" s="33"/>
      <x:c r="R420" s="33"/>
      <x:c r="S420" s="31"/>
      <x:c r="T420" s="32"/>
      <x:c r="U420" s="31"/>
      <x:c r="V420" s="31"/>
      <x:c r="W420" s="31"/>
      <x:c r="X420" s="31"/>
      <x:c r="Y420" s="31"/>
      <x:c r="Z420" s="31"/>
      <x:c r="AA420" s="31"/>
      <x:c r="AB420" s="31"/>
    </x:row>
    <x:row r="421">
      <x:c r="A421" s="79"/>
      <x:c r="B421" s="31"/>
      <x:c r="C421" s="31"/>
      <x:c r="D421" s="31"/>
      <x:c r="E421" s="31"/>
      <x:c r="F421" s="31"/>
      <x:c r="G421" s="31"/>
      <x:c r="H421" s="31"/>
      <x:c r="I421" s="31"/>
      <x:c r="J421" s="80"/>
      <x:c r="K421" s="31"/>
      <x:c r="L421" s="31"/>
      <x:c r="M421" s="31"/>
      <x:c r="N421" s="31"/>
      <x:c r="O421" s="31"/>
      <x:c r="P421" s="31"/>
      <x:c r="Q421" s="33"/>
      <x:c r="R421" s="33"/>
      <x:c r="S421" s="31"/>
      <x:c r="T421" s="32"/>
      <x:c r="U421" s="31"/>
      <x:c r="V421" s="31"/>
      <x:c r="W421" s="31"/>
      <x:c r="X421" s="31"/>
      <x:c r="Y421" s="31"/>
      <x:c r="Z421" s="31"/>
      <x:c r="AA421" s="31"/>
      <x:c r="AB421" s="31"/>
    </x:row>
    <x:row r="422">
      <x:c r="A422" s="79"/>
      <x:c r="B422" s="31"/>
      <x:c r="C422" s="31"/>
      <x:c r="D422" s="31"/>
      <x:c r="E422" s="31"/>
      <x:c r="F422" s="31"/>
      <x:c r="G422" s="31"/>
      <x:c r="H422" s="31"/>
      <x:c r="I422" s="31"/>
      <x:c r="J422" s="80"/>
      <x:c r="K422" s="31"/>
      <x:c r="L422" s="31"/>
      <x:c r="M422" s="31"/>
      <x:c r="N422" s="31"/>
      <x:c r="O422" s="31"/>
      <x:c r="P422" s="31"/>
      <x:c r="Q422" s="33"/>
      <x:c r="R422" s="33"/>
      <x:c r="S422" s="31"/>
      <x:c r="T422" s="32"/>
      <x:c r="U422" s="31"/>
      <x:c r="V422" s="31"/>
      <x:c r="W422" s="31"/>
      <x:c r="X422" s="31"/>
      <x:c r="Y422" s="31"/>
      <x:c r="Z422" s="31"/>
      <x:c r="AA422" s="31"/>
      <x:c r="AB422" s="31"/>
    </x:row>
    <x:row r="423">
      <x:c r="A423" s="79"/>
      <x:c r="B423" s="31"/>
      <x:c r="C423" s="31"/>
      <x:c r="D423" s="31"/>
      <x:c r="E423" s="31"/>
      <x:c r="F423" s="31"/>
      <x:c r="G423" s="31"/>
      <x:c r="H423" s="31"/>
      <x:c r="I423" s="31"/>
      <x:c r="J423" s="80"/>
      <x:c r="K423" s="31"/>
      <x:c r="L423" s="31"/>
      <x:c r="M423" s="31"/>
      <x:c r="N423" s="31"/>
      <x:c r="O423" s="31"/>
      <x:c r="P423" s="31"/>
      <x:c r="Q423" s="33"/>
      <x:c r="R423" s="33"/>
      <x:c r="S423" s="31"/>
      <x:c r="T423" s="32"/>
      <x:c r="U423" s="31"/>
      <x:c r="V423" s="31"/>
      <x:c r="W423" s="31"/>
      <x:c r="X423" s="31"/>
      <x:c r="Y423" s="31"/>
      <x:c r="Z423" s="31"/>
      <x:c r="AA423" s="31"/>
      <x:c r="AB423" s="31"/>
    </x:row>
    <x:row r="424">
      <x:c r="A424" s="79"/>
      <x:c r="B424" s="31"/>
      <x:c r="C424" s="31"/>
      <x:c r="D424" s="31"/>
      <x:c r="E424" s="31"/>
      <x:c r="F424" s="31"/>
      <x:c r="G424" s="31"/>
      <x:c r="H424" s="31"/>
      <x:c r="I424" s="31"/>
      <x:c r="J424" s="80"/>
      <x:c r="K424" s="31"/>
      <x:c r="L424" s="31"/>
      <x:c r="M424" s="31"/>
      <x:c r="N424" s="31"/>
      <x:c r="O424" s="31"/>
      <x:c r="P424" s="31"/>
      <x:c r="Q424" s="33"/>
      <x:c r="R424" s="33"/>
      <x:c r="S424" s="31"/>
      <x:c r="T424" s="32"/>
      <x:c r="U424" s="31"/>
      <x:c r="V424" s="31"/>
      <x:c r="W424" s="31"/>
      <x:c r="X424" s="31"/>
      <x:c r="Y424" s="31"/>
      <x:c r="Z424" s="31"/>
      <x:c r="AA424" s="31"/>
      <x:c r="AB424" s="31"/>
    </x:row>
    <x:row r="425">
      <x:c r="A425" s="79"/>
      <x:c r="B425" s="31"/>
      <x:c r="C425" s="31"/>
      <x:c r="D425" s="31"/>
      <x:c r="E425" s="31"/>
      <x:c r="F425" s="31"/>
      <x:c r="G425" s="31"/>
      <x:c r="H425" s="31"/>
      <x:c r="I425" s="31"/>
      <x:c r="J425" s="80"/>
      <x:c r="K425" s="31"/>
      <x:c r="L425" s="31"/>
      <x:c r="M425" s="31"/>
      <x:c r="N425" s="31"/>
      <x:c r="O425" s="31"/>
      <x:c r="P425" s="31"/>
      <x:c r="Q425" s="33"/>
      <x:c r="R425" s="33"/>
      <x:c r="S425" s="31"/>
      <x:c r="T425" s="32"/>
      <x:c r="U425" s="31"/>
      <x:c r="V425" s="31"/>
      <x:c r="W425" s="31"/>
      <x:c r="X425" s="31"/>
      <x:c r="Y425" s="31"/>
      <x:c r="Z425" s="31"/>
      <x:c r="AA425" s="31"/>
      <x:c r="AB425" s="31"/>
    </x:row>
    <x:row r="426">
      <x:c r="A426" s="79"/>
      <x:c r="B426" s="31"/>
      <x:c r="C426" s="31"/>
      <x:c r="D426" s="31"/>
      <x:c r="E426" s="31"/>
      <x:c r="F426" s="31"/>
      <x:c r="G426" s="31"/>
      <x:c r="H426" s="31"/>
      <x:c r="I426" s="31"/>
      <x:c r="J426" s="80"/>
      <x:c r="K426" s="31"/>
      <x:c r="L426" s="31"/>
      <x:c r="M426" s="31"/>
      <x:c r="N426" s="31"/>
      <x:c r="O426" s="31"/>
      <x:c r="P426" s="31"/>
      <x:c r="Q426" s="33"/>
      <x:c r="R426" s="33"/>
      <x:c r="S426" s="31"/>
      <x:c r="T426" s="32"/>
      <x:c r="U426" s="31"/>
      <x:c r="V426" s="31"/>
      <x:c r="W426" s="31"/>
      <x:c r="X426" s="31"/>
      <x:c r="Y426" s="31"/>
      <x:c r="Z426" s="31"/>
      <x:c r="AA426" s="31"/>
      <x:c r="AB426" s="31"/>
    </x:row>
    <x:row r="427">
      <x:c r="A427" s="79"/>
      <x:c r="B427" s="31"/>
      <x:c r="C427" s="31"/>
      <x:c r="D427" s="31"/>
      <x:c r="E427" s="31"/>
      <x:c r="F427" s="31"/>
      <x:c r="G427" s="31"/>
      <x:c r="H427" s="31"/>
      <x:c r="I427" s="31"/>
      <x:c r="J427" s="80"/>
      <x:c r="K427" s="31"/>
      <x:c r="L427" s="31"/>
      <x:c r="M427" s="31"/>
      <x:c r="N427" s="31"/>
      <x:c r="O427" s="31"/>
      <x:c r="P427" s="31"/>
      <x:c r="Q427" s="33"/>
      <x:c r="R427" s="33"/>
      <x:c r="S427" s="31"/>
      <x:c r="T427" s="32"/>
      <x:c r="U427" s="31"/>
      <x:c r="V427" s="31"/>
      <x:c r="W427" s="31"/>
      <x:c r="X427" s="31"/>
      <x:c r="Y427" s="31"/>
      <x:c r="Z427" s="31"/>
      <x:c r="AA427" s="31"/>
      <x:c r="AB427" s="31"/>
    </x:row>
    <x:row r="428">
      <x:c r="A428" s="79"/>
      <x:c r="B428" s="31"/>
      <x:c r="C428" s="31"/>
      <x:c r="D428" s="31"/>
      <x:c r="E428" s="31"/>
      <x:c r="F428" s="31"/>
      <x:c r="G428" s="31"/>
      <x:c r="H428" s="31"/>
      <x:c r="I428" s="31"/>
      <x:c r="J428" s="80"/>
      <x:c r="K428" s="31"/>
      <x:c r="L428" s="31"/>
      <x:c r="M428" s="31"/>
      <x:c r="N428" s="31"/>
      <x:c r="O428" s="31"/>
      <x:c r="P428" s="31"/>
      <x:c r="Q428" s="33"/>
      <x:c r="R428" s="33"/>
      <x:c r="S428" s="31"/>
      <x:c r="T428" s="32"/>
      <x:c r="U428" s="31"/>
      <x:c r="V428" s="31"/>
      <x:c r="W428" s="31"/>
      <x:c r="X428" s="31"/>
      <x:c r="Y428" s="31"/>
      <x:c r="Z428" s="31"/>
      <x:c r="AA428" s="31"/>
      <x:c r="AB428" s="31"/>
    </x:row>
    <x:row r="429">
      <x:c r="A429" s="79"/>
      <x:c r="B429" s="31"/>
      <x:c r="C429" s="31"/>
      <x:c r="D429" s="31"/>
      <x:c r="E429" s="31"/>
      <x:c r="F429" s="31"/>
      <x:c r="G429" s="31"/>
      <x:c r="H429" s="31"/>
      <x:c r="I429" s="31"/>
      <x:c r="J429" s="80"/>
      <x:c r="K429" s="31"/>
      <x:c r="L429" s="31"/>
      <x:c r="M429" s="31"/>
      <x:c r="N429" s="31"/>
      <x:c r="O429" s="31"/>
      <x:c r="P429" s="31"/>
      <x:c r="Q429" s="33"/>
      <x:c r="R429" s="33"/>
      <x:c r="S429" s="31"/>
      <x:c r="T429" s="32"/>
      <x:c r="U429" s="31"/>
      <x:c r="V429" s="31"/>
      <x:c r="W429" s="31"/>
      <x:c r="X429" s="31"/>
      <x:c r="Y429" s="31"/>
      <x:c r="Z429" s="31"/>
      <x:c r="AA429" s="31"/>
      <x:c r="AB429" s="31"/>
    </x:row>
    <x:row r="430">
      <x:c r="A430" s="79"/>
      <x:c r="B430" s="31"/>
      <x:c r="C430" s="31"/>
      <x:c r="D430" s="31"/>
      <x:c r="E430" s="31"/>
      <x:c r="F430" s="31"/>
      <x:c r="G430" s="31"/>
      <x:c r="H430" s="31"/>
      <x:c r="I430" s="31"/>
      <x:c r="J430" s="80"/>
      <x:c r="K430" s="31"/>
      <x:c r="L430" s="31"/>
      <x:c r="M430" s="31"/>
      <x:c r="N430" s="31"/>
      <x:c r="O430" s="31"/>
      <x:c r="P430" s="31"/>
      <x:c r="Q430" s="33"/>
      <x:c r="R430" s="33"/>
      <x:c r="S430" s="31"/>
      <x:c r="T430" s="32"/>
      <x:c r="U430" s="31"/>
      <x:c r="V430" s="31"/>
      <x:c r="W430" s="31"/>
      <x:c r="X430" s="31"/>
      <x:c r="Y430" s="31"/>
      <x:c r="Z430" s="31"/>
      <x:c r="AA430" s="31"/>
      <x:c r="AB430" s="31"/>
    </x:row>
    <x:row r="431">
      <x:c r="A431" s="79"/>
      <x:c r="B431" s="31"/>
      <x:c r="C431" s="31"/>
      <x:c r="D431" s="31"/>
      <x:c r="E431" s="31"/>
      <x:c r="F431" s="31"/>
      <x:c r="G431" s="31"/>
      <x:c r="H431" s="31"/>
      <x:c r="I431" s="31"/>
      <x:c r="J431" s="80"/>
      <x:c r="K431" s="31"/>
      <x:c r="L431" s="31"/>
      <x:c r="M431" s="31"/>
      <x:c r="N431" s="31"/>
      <x:c r="O431" s="31"/>
      <x:c r="P431" s="31"/>
      <x:c r="Q431" s="33"/>
      <x:c r="R431" s="33"/>
      <x:c r="S431" s="31"/>
      <x:c r="T431" s="32"/>
      <x:c r="U431" s="31"/>
      <x:c r="V431" s="31"/>
      <x:c r="W431" s="31"/>
      <x:c r="X431" s="31"/>
      <x:c r="Y431" s="31"/>
      <x:c r="Z431" s="31"/>
      <x:c r="AA431" s="31"/>
      <x:c r="AB431" s="31"/>
    </x:row>
    <x:row r="432">
      <x:c r="A432" s="79"/>
      <x:c r="B432" s="31"/>
      <x:c r="C432" s="31"/>
      <x:c r="D432" s="31"/>
      <x:c r="E432" s="31"/>
      <x:c r="F432" s="31"/>
      <x:c r="G432" s="31"/>
      <x:c r="H432" s="31"/>
      <x:c r="I432" s="31"/>
      <x:c r="J432" s="80"/>
      <x:c r="K432" s="31"/>
      <x:c r="L432" s="31"/>
      <x:c r="M432" s="31"/>
      <x:c r="N432" s="31"/>
      <x:c r="O432" s="31"/>
      <x:c r="P432" s="31"/>
      <x:c r="Q432" s="33"/>
      <x:c r="R432" s="33"/>
      <x:c r="S432" s="31"/>
      <x:c r="T432" s="32"/>
      <x:c r="U432" s="31"/>
      <x:c r="V432" s="31"/>
      <x:c r="W432" s="31"/>
      <x:c r="X432" s="31"/>
      <x:c r="Y432" s="31"/>
      <x:c r="Z432" s="31"/>
      <x:c r="AA432" s="31"/>
      <x:c r="AB432" s="31"/>
    </x:row>
    <x:row r="433">
      <x:c r="A433" s="79"/>
      <x:c r="B433" s="31"/>
      <x:c r="C433" s="31"/>
      <x:c r="D433" s="31"/>
      <x:c r="E433" s="31"/>
      <x:c r="F433" s="31"/>
      <x:c r="G433" s="31"/>
      <x:c r="H433" s="31"/>
      <x:c r="I433" s="31"/>
      <x:c r="J433" s="80"/>
      <x:c r="K433" s="31"/>
      <x:c r="L433" s="31"/>
      <x:c r="M433" s="31"/>
      <x:c r="N433" s="31"/>
      <x:c r="O433" s="31"/>
      <x:c r="P433" s="31"/>
      <x:c r="Q433" s="33"/>
      <x:c r="R433" s="33"/>
      <x:c r="S433" s="31"/>
      <x:c r="T433" s="32"/>
      <x:c r="U433" s="31"/>
      <x:c r="V433" s="31"/>
      <x:c r="W433" s="31"/>
      <x:c r="X433" s="31"/>
      <x:c r="Y433" s="31"/>
      <x:c r="Z433" s="31"/>
      <x:c r="AA433" s="31"/>
      <x:c r="AB433" s="31"/>
    </x:row>
    <x:row r="434">
      <x:c r="A434" s="79"/>
      <x:c r="B434" s="31"/>
      <x:c r="C434" s="31"/>
      <x:c r="D434" s="31"/>
      <x:c r="E434" s="31"/>
      <x:c r="F434" s="31"/>
      <x:c r="G434" s="31"/>
      <x:c r="H434" s="31"/>
      <x:c r="I434" s="31"/>
      <x:c r="J434" s="80"/>
      <x:c r="K434" s="31"/>
      <x:c r="L434" s="31"/>
      <x:c r="M434" s="31"/>
      <x:c r="N434" s="31"/>
      <x:c r="O434" s="31"/>
      <x:c r="P434" s="31"/>
      <x:c r="Q434" s="33"/>
      <x:c r="R434" s="33"/>
      <x:c r="S434" s="31"/>
      <x:c r="T434" s="32"/>
      <x:c r="U434" s="31"/>
      <x:c r="V434" s="31"/>
      <x:c r="W434" s="31"/>
      <x:c r="X434" s="31"/>
      <x:c r="Y434" s="31"/>
      <x:c r="Z434" s="31"/>
      <x:c r="AA434" s="31"/>
      <x:c r="AB434" s="31"/>
    </x:row>
    <x:row r="435">
      <x:c r="A435" s="79"/>
      <x:c r="B435" s="31"/>
      <x:c r="C435" s="31"/>
      <x:c r="D435" s="31"/>
      <x:c r="E435" s="31"/>
      <x:c r="F435" s="31"/>
      <x:c r="G435" s="31"/>
      <x:c r="H435" s="31"/>
      <x:c r="I435" s="31"/>
      <x:c r="J435" s="80"/>
      <x:c r="K435" s="31"/>
      <x:c r="L435" s="31"/>
      <x:c r="M435" s="31"/>
      <x:c r="N435" s="31"/>
      <x:c r="O435" s="31"/>
      <x:c r="P435" s="31"/>
      <x:c r="Q435" s="33"/>
      <x:c r="R435" s="33"/>
      <x:c r="S435" s="31"/>
      <x:c r="T435" s="32"/>
      <x:c r="U435" s="31"/>
      <x:c r="V435" s="31"/>
      <x:c r="W435" s="31"/>
      <x:c r="X435" s="31"/>
      <x:c r="Y435" s="31"/>
      <x:c r="Z435" s="31"/>
      <x:c r="AA435" s="31"/>
      <x:c r="AB435" s="31"/>
    </x:row>
    <x:row r="436">
      <x:c r="A436" s="79"/>
      <x:c r="B436" s="31"/>
      <x:c r="C436" s="31"/>
      <x:c r="D436" s="31"/>
      <x:c r="E436" s="31"/>
      <x:c r="F436" s="31"/>
      <x:c r="G436" s="31"/>
      <x:c r="H436" s="31"/>
      <x:c r="I436" s="31"/>
      <x:c r="J436" s="80"/>
      <x:c r="K436" s="31"/>
      <x:c r="L436" s="31"/>
      <x:c r="M436" s="31"/>
      <x:c r="N436" s="31"/>
      <x:c r="O436" s="31"/>
      <x:c r="P436" s="31"/>
      <x:c r="Q436" s="33"/>
      <x:c r="R436" s="33"/>
      <x:c r="S436" s="31"/>
      <x:c r="T436" s="32"/>
      <x:c r="U436" s="31"/>
      <x:c r="V436" s="31"/>
      <x:c r="W436" s="31"/>
      <x:c r="X436" s="31"/>
      <x:c r="Y436" s="31"/>
      <x:c r="Z436" s="31"/>
      <x:c r="AA436" s="31"/>
      <x:c r="AB436" s="31"/>
    </x:row>
    <x:row r="437">
      <x:c r="A437" s="79"/>
      <x:c r="B437" s="31"/>
      <x:c r="C437" s="31"/>
      <x:c r="D437" s="31"/>
      <x:c r="E437" s="31"/>
      <x:c r="F437" s="31"/>
      <x:c r="G437" s="31"/>
      <x:c r="H437" s="31"/>
      <x:c r="I437" s="31"/>
      <x:c r="J437" s="80"/>
      <x:c r="K437" s="31"/>
      <x:c r="L437" s="31"/>
      <x:c r="M437" s="31"/>
      <x:c r="N437" s="31"/>
      <x:c r="O437" s="31"/>
      <x:c r="P437" s="31"/>
      <x:c r="Q437" s="33"/>
      <x:c r="R437" s="33"/>
      <x:c r="S437" s="31"/>
      <x:c r="T437" s="32"/>
      <x:c r="U437" s="31"/>
      <x:c r="V437" s="31"/>
      <x:c r="W437" s="31"/>
      <x:c r="X437" s="31"/>
      <x:c r="Y437" s="31"/>
      <x:c r="Z437" s="31"/>
      <x:c r="AA437" s="31"/>
      <x:c r="AB437" s="31"/>
    </x:row>
    <x:row r="438">
      <x:c r="A438" s="79"/>
      <x:c r="B438" s="31"/>
      <x:c r="C438" s="31"/>
      <x:c r="D438" s="31"/>
      <x:c r="E438" s="31"/>
      <x:c r="F438" s="31"/>
      <x:c r="G438" s="31"/>
      <x:c r="H438" s="31"/>
      <x:c r="I438" s="31"/>
      <x:c r="J438" s="80"/>
      <x:c r="K438" s="31"/>
      <x:c r="L438" s="31"/>
      <x:c r="M438" s="31"/>
      <x:c r="N438" s="31"/>
      <x:c r="O438" s="31"/>
      <x:c r="P438" s="31"/>
      <x:c r="Q438" s="33"/>
      <x:c r="R438" s="33"/>
      <x:c r="S438" s="31"/>
      <x:c r="T438" s="32"/>
      <x:c r="U438" s="31"/>
      <x:c r="V438" s="31"/>
      <x:c r="W438" s="31"/>
      <x:c r="X438" s="31"/>
      <x:c r="Y438" s="31"/>
      <x:c r="Z438" s="31"/>
      <x:c r="AA438" s="31"/>
      <x:c r="AB438" s="31"/>
    </x:row>
    <x:row r="439">
      <x:c r="A439" s="79"/>
      <x:c r="B439" s="31"/>
      <x:c r="C439" s="31"/>
      <x:c r="D439" s="31"/>
      <x:c r="E439" s="31"/>
      <x:c r="F439" s="31"/>
      <x:c r="G439" s="31"/>
      <x:c r="H439" s="31"/>
      <x:c r="I439" s="31"/>
      <x:c r="J439" s="80"/>
      <x:c r="K439" s="31"/>
      <x:c r="L439" s="31"/>
      <x:c r="M439" s="31"/>
      <x:c r="N439" s="31"/>
      <x:c r="O439" s="31"/>
      <x:c r="P439" s="31"/>
      <x:c r="Q439" s="33"/>
      <x:c r="R439" s="33"/>
      <x:c r="S439" s="31"/>
      <x:c r="T439" s="32"/>
      <x:c r="U439" s="31"/>
      <x:c r="V439" s="31"/>
      <x:c r="W439" s="31"/>
      <x:c r="X439" s="31"/>
      <x:c r="Y439" s="31"/>
      <x:c r="Z439" s="31"/>
      <x:c r="AA439" s="31"/>
      <x:c r="AB439" s="31"/>
    </x:row>
    <x:row r="440">
      <x:c r="A440" s="79"/>
      <x:c r="B440" s="31"/>
      <x:c r="C440" s="31"/>
      <x:c r="D440" s="31"/>
      <x:c r="E440" s="31"/>
      <x:c r="F440" s="31"/>
      <x:c r="G440" s="31"/>
      <x:c r="H440" s="31"/>
      <x:c r="I440" s="31"/>
      <x:c r="J440" s="80"/>
      <x:c r="K440" s="31"/>
      <x:c r="L440" s="31"/>
      <x:c r="M440" s="31"/>
      <x:c r="N440" s="31"/>
      <x:c r="O440" s="31"/>
      <x:c r="P440" s="31"/>
      <x:c r="Q440" s="33"/>
      <x:c r="R440" s="33"/>
      <x:c r="S440" s="31"/>
      <x:c r="T440" s="32"/>
      <x:c r="U440" s="31"/>
      <x:c r="V440" s="31"/>
      <x:c r="W440" s="31"/>
      <x:c r="X440" s="31"/>
      <x:c r="Y440" s="31"/>
      <x:c r="Z440" s="31"/>
      <x:c r="AA440" s="31"/>
      <x:c r="AB440" s="31"/>
    </x:row>
    <x:row r="441">
      <x:c r="A441" s="79"/>
      <x:c r="B441" s="31"/>
      <x:c r="C441" s="31"/>
      <x:c r="D441" s="31"/>
      <x:c r="E441" s="31"/>
      <x:c r="F441" s="31"/>
      <x:c r="G441" s="31"/>
      <x:c r="H441" s="31"/>
      <x:c r="I441" s="31"/>
      <x:c r="J441" s="80"/>
      <x:c r="K441" s="31"/>
      <x:c r="L441" s="31"/>
      <x:c r="M441" s="31"/>
      <x:c r="N441" s="31"/>
      <x:c r="O441" s="31"/>
      <x:c r="P441" s="31"/>
      <x:c r="Q441" s="33"/>
      <x:c r="R441" s="33"/>
      <x:c r="S441" s="31"/>
      <x:c r="T441" s="32"/>
      <x:c r="U441" s="31"/>
      <x:c r="V441" s="31"/>
      <x:c r="W441" s="31"/>
      <x:c r="X441" s="31"/>
      <x:c r="Y441" s="31"/>
      <x:c r="Z441" s="31"/>
      <x:c r="AA441" s="31"/>
      <x:c r="AB441" s="31"/>
    </x:row>
    <x:row r="442">
      <x:c r="A442" s="79"/>
      <x:c r="B442" s="31"/>
      <x:c r="C442" s="31"/>
      <x:c r="D442" s="31"/>
      <x:c r="E442" s="31"/>
      <x:c r="F442" s="31"/>
      <x:c r="G442" s="31"/>
      <x:c r="H442" s="31"/>
      <x:c r="I442" s="31"/>
      <x:c r="J442" s="80"/>
      <x:c r="K442" s="31"/>
      <x:c r="L442" s="31"/>
      <x:c r="M442" s="31"/>
      <x:c r="N442" s="31"/>
      <x:c r="O442" s="31"/>
      <x:c r="P442" s="31"/>
      <x:c r="Q442" s="33"/>
      <x:c r="R442" s="33"/>
      <x:c r="S442" s="31"/>
      <x:c r="T442" s="32"/>
      <x:c r="U442" s="31"/>
      <x:c r="V442" s="31"/>
      <x:c r="W442" s="31"/>
      <x:c r="X442" s="31"/>
      <x:c r="Y442" s="31"/>
      <x:c r="Z442" s="31"/>
      <x:c r="AA442" s="31"/>
      <x:c r="AB442" s="31"/>
    </x:row>
    <x:row r="443">
      <x:c r="A443" s="79"/>
      <x:c r="B443" s="31"/>
      <x:c r="C443" s="31"/>
      <x:c r="D443" s="31"/>
      <x:c r="E443" s="31"/>
      <x:c r="F443" s="31"/>
      <x:c r="G443" s="31"/>
      <x:c r="H443" s="31"/>
      <x:c r="I443" s="31"/>
      <x:c r="J443" s="80"/>
      <x:c r="K443" s="31"/>
      <x:c r="L443" s="31"/>
      <x:c r="M443" s="31"/>
      <x:c r="N443" s="31"/>
      <x:c r="O443" s="31"/>
      <x:c r="P443" s="31"/>
      <x:c r="Q443" s="33"/>
      <x:c r="R443" s="33"/>
      <x:c r="S443" s="31"/>
      <x:c r="T443" s="32"/>
      <x:c r="U443" s="31"/>
      <x:c r="V443" s="31"/>
      <x:c r="W443" s="31"/>
      <x:c r="X443" s="31"/>
      <x:c r="Y443" s="31"/>
      <x:c r="Z443" s="31"/>
      <x:c r="AA443" s="31"/>
      <x:c r="AB443" s="31"/>
    </x:row>
    <x:row r="444">
      <x:c r="A444" s="79"/>
      <x:c r="B444" s="31"/>
      <x:c r="C444" s="31"/>
      <x:c r="D444" s="31"/>
      <x:c r="E444" s="31"/>
      <x:c r="F444" s="31"/>
      <x:c r="G444" s="31"/>
      <x:c r="H444" s="31"/>
      <x:c r="I444" s="31"/>
      <x:c r="J444" s="80"/>
      <x:c r="K444" s="31"/>
      <x:c r="L444" s="31"/>
      <x:c r="M444" s="31"/>
      <x:c r="N444" s="31"/>
      <x:c r="O444" s="31"/>
      <x:c r="P444" s="31"/>
      <x:c r="Q444" s="33"/>
      <x:c r="R444" s="33"/>
      <x:c r="S444" s="31"/>
      <x:c r="T444" s="32"/>
      <x:c r="U444" s="31"/>
      <x:c r="V444" s="31"/>
      <x:c r="W444" s="31"/>
      <x:c r="X444" s="31"/>
      <x:c r="Y444" s="31"/>
      <x:c r="Z444" s="31"/>
      <x:c r="AA444" s="31"/>
      <x:c r="AB444" s="31"/>
    </x:row>
    <x:row r="445">
      <x:c r="A445" s="79"/>
      <x:c r="B445" s="31"/>
      <x:c r="C445" s="31"/>
      <x:c r="D445" s="31"/>
      <x:c r="E445" s="31"/>
      <x:c r="F445" s="31"/>
      <x:c r="G445" s="31"/>
      <x:c r="H445" s="31"/>
      <x:c r="I445" s="31"/>
      <x:c r="J445" s="80"/>
      <x:c r="K445" s="31"/>
      <x:c r="L445" s="31"/>
      <x:c r="M445" s="31"/>
      <x:c r="N445" s="31"/>
      <x:c r="O445" s="31"/>
      <x:c r="P445" s="31"/>
      <x:c r="Q445" s="33"/>
      <x:c r="R445" s="33"/>
      <x:c r="S445" s="31"/>
      <x:c r="T445" s="32"/>
      <x:c r="U445" s="31"/>
      <x:c r="V445" s="31"/>
      <x:c r="W445" s="31"/>
      <x:c r="X445" s="31"/>
      <x:c r="Y445" s="31"/>
      <x:c r="Z445" s="31"/>
      <x:c r="AA445" s="31"/>
      <x:c r="AB445" s="31"/>
    </x:row>
    <x:row r="446">
      <x:c r="A446" s="79"/>
      <x:c r="B446" s="31"/>
      <x:c r="C446" s="31"/>
      <x:c r="D446" s="31"/>
      <x:c r="E446" s="31"/>
      <x:c r="F446" s="31"/>
      <x:c r="G446" s="31"/>
      <x:c r="H446" s="31"/>
      <x:c r="I446" s="31"/>
      <x:c r="J446" s="80"/>
      <x:c r="K446" s="31"/>
      <x:c r="L446" s="31"/>
      <x:c r="M446" s="31"/>
      <x:c r="N446" s="31"/>
      <x:c r="O446" s="31"/>
      <x:c r="P446" s="31"/>
      <x:c r="Q446" s="33"/>
      <x:c r="R446" s="33"/>
      <x:c r="S446" s="31"/>
      <x:c r="T446" s="32"/>
      <x:c r="U446" s="31"/>
      <x:c r="V446" s="31"/>
      <x:c r="W446" s="31"/>
      <x:c r="X446" s="31"/>
      <x:c r="Y446" s="31"/>
      <x:c r="Z446" s="31"/>
      <x:c r="AA446" s="31"/>
      <x:c r="AB446" s="31"/>
    </x:row>
    <x:row r="447">
      <x:c r="A447" s="79"/>
      <x:c r="B447" s="31"/>
      <x:c r="C447" s="31"/>
      <x:c r="D447" s="31"/>
      <x:c r="E447" s="31"/>
      <x:c r="F447" s="31"/>
      <x:c r="G447" s="31"/>
      <x:c r="H447" s="31"/>
      <x:c r="I447" s="31"/>
      <x:c r="J447" s="80"/>
      <x:c r="K447" s="31"/>
      <x:c r="L447" s="31"/>
      <x:c r="M447" s="31"/>
      <x:c r="N447" s="31"/>
      <x:c r="O447" s="31"/>
      <x:c r="P447" s="31"/>
      <x:c r="Q447" s="33"/>
      <x:c r="R447" s="33"/>
      <x:c r="S447" s="31"/>
      <x:c r="T447" s="32"/>
      <x:c r="U447" s="31"/>
      <x:c r="V447" s="31"/>
      <x:c r="W447" s="31"/>
      <x:c r="X447" s="31"/>
      <x:c r="Y447" s="31"/>
      <x:c r="Z447" s="31"/>
      <x:c r="AA447" s="31"/>
      <x:c r="AB447" s="31"/>
    </x:row>
    <x:row r="448">
      <x:c r="A448" s="79"/>
      <x:c r="B448" s="31"/>
      <x:c r="C448" s="31"/>
      <x:c r="D448" s="31"/>
      <x:c r="E448" s="31"/>
      <x:c r="F448" s="31"/>
      <x:c r="G448" s="31"/>
      <x:c r="H448" s="31"/>
      <x:c r="I448" s="31"/>
      <x:c r="J448" s="80"/>
      <x:c r="K448" s="31"/>
      <x:c r="L448" s="31"/>
      <x:c r="M448" s="31"/>
      <x:c r="N448" s="31"/>
      <x:c r="O448" s="31"/>
      <x:c r="P448" s="31"/>
      <x:c r="Q448" s="33"/>
      <x:c r="R448" s="33"/>
      <x:c r="S448" s="31"/>
      <x:c r="T448" s="32"/>
      <x:c r="U448" s="31"/>
      <x:c r="V448" s="31"/>
      <x:c r="W448" s="31"/>
      <x:c r="X448" s="31"/>
      <x:c r="Y448" s="31"/>
      <x:c r="Z448" s="31"/>
      <x:c r="AA448" s="31"/>
      <x:c r="AB448" s="31"/>
    </x:row>
    <x:row r="449">
      <x:c r="A449" s="79"/>
      <x:c r="B449" s="31"/>
      <x:c r="C449" s="31"/>
      <x:c r="D449" s="31"/>
      <x:c r="E449" s="31"/>
      <x:c r="F449" s="31"/>
      <x:c r="G449" s="31"/>
      <x:c r="H449" s="31"/>
      <x:c r="I449" s="31"/>
      <x:c r="J449" s="80"/>
      <x:c r="K449" s="31"/>
      <x:c r="L449" s="31"/>
      <x:c r="M449" s="31"/>
      <x:c r="N449" s="31"/>
      <x:c r="O449" s="31"/>
      <x:c r="P449" s="31"/>
      <x:c r="Q449" s="33"/>
      <x:c r="R449" s="33"/>
      <x:c r="S449" s="31"/>
      <x:c r="T449" s="32"/>
      <x:c r="U449" s="31"/>
      <x:c r="V449" s="31"/>
      <x:c r="W449" s="31"/>
      <x:c r="X449" s="31"/>
      <x:c r="Y449" s="31"/>
      <x:c r="Z449" s="31"/>
      <x:c r="AA449" s="31"/>
      <x:c r="AB449" s="31"/>
    </x:row>
    <x:row r="450">
      <x:c r="A450" s="79"/>
      <x:c r="B450" s="31"/>
      <x:c r="C450" s="31"/>
      <x:c r="D450" s="31"/>
      <x:c r="E450" s="31"/>
      <x:c r="F450" s="31"/>
      <x:c r="G450" s="31"/>
      <x:c r="H450" s="31"/>
      <x:c r="I450" s="31"/>
      <x:c r="J450" s="80"/>
      <x:c r="K450" s="31"/>
      <x:c r="L450" s="31"/>
      <x:c r="M450" s="31"/>
      <x:c r="N450" s="31"/>
      <x:c r="O450" s="31"/>
      <x:c r="P450" s="31"/>
      <x:c r="Q450" s="33"/>
      <x:c r="R450" s="33"/>
      <x:c r="S450" s="31"/>
      <x:c r="T450" s="32"/>
      <x:c r="U450" s="31"/>
      <x:c r="V450" s="31"/>
      <x:c r="W450" s="31"/>
      <x:c r="X450" s="31"/>
      <x:c r="Y450" s="31"/>
      <x:c r="Z450" s="31"/>
      <x:c r="AA450" s="31"/>
      <x:c r="AB450" s="31"/>
    </x:row>
    <x:row r="451">
      <x:c r="A451" s="79"/>
      <x:c r="B451" s="31"/>
      <x:c r="C451" s="31"/>
      <x:c r="D451" s="31"/>
      <x:c r="E451" s="31"/>
      <x:c r="F451" s="31"/>
      <x:c r="G451" s="31"/>
      <x:c r="H451" s="31"/>
      <x:c r="I451" s="31"/>
      <x:c r="J451" s="80"/>
      <x:c r="K451" s="31"/>
      <x:c r="L451" s="31"/>
      <x:c r="M451" s="31"/>
      <x:c r="N451" s="31"/>
      <x:c r="O451" s="31"/>
      <x:c r="P451" s="31"/>
      <x:c r="Q451" s="33"/>
      <x:c r="R451" s="33"/>
      <x:c r="S451" s="31"/>
      <x:c r="T451" s="32"/>
      <x:c r="U451" s="31"/>
      <x:c r="V451" s="31"/>
      <x:c r="W451" s="31"/>
      <x:c r="X451" s="31"/>
      <x:c r="Y451" s="31"/>
      <x:c r="Z451" s="31"/>
      <x:c r="AA451" s="31"/>
      <x:c r="AB451" s="31"/>
    </x:row>
    <x:row r="452">
      <x:c r="A452" s="79"/>
      <x:c r="B452" s="31"/>
      <x:c r="C452" s="31"/>
      <x:c r="D452" s="31"/>
      <x:c r="E452" s="31"/>
      <x:c r="F452" s="31"/>
      <x:c r="G452" s="31"/>
      <x:c r="H452" s="31"/>
      <x:c r="I452" s="31"/>
      <x:c r="J452" s="80"/>
      <x:c r="K452" s="31"/>
      <x:c r="L452" s="31"/>
      <x:c r="M452" s="31"/>
      <x:c r="N452" s="31"/>
      <x:c r="O452" s="31"/>
      <x:c r="P452" s="31"/>
      <x:c r="Q452" s="33"/>
      <x:c r="R452" s="33"/>
      <x:c r="S452" s="31"/>
      <x:c r="T452" s="32"/>
      <x:c r="U452" s="31"/>
      <x:c r="V452" s="31"/>
      <x:c r="W452" s="31"/>
      <x:c r="X452" s="31"/>
      <x:c r="Y452" s="31"/>
      <x:c r="Z452" s="31"/>
      <x:c r="AA452" s="31"/>
      <x:c r="AB452" s="31"/>
    </x:row>
    <x:row r="453">
      <x:c r="A453" s="79"/>
      <x:c r="B453" s="31"/>
      <x:c r="C453" s="31"/>
      <x:c r="D453" s="31"/>
      <x:c r="E453" s="31"/>
      <x:c r="F453" s="31"/>
      <x:c r="G453" s="31"/>
      <x:c r="H453" s="31"/>
      <x:c r="I453" s="31"/>
      <x:c r="J453" s="80"/>
      <x:c r="K453" s="31"/>
      <x:c r="L453" s="31"/>
      <x:c r="M453" s="31"/>
      <x:c r="N453" s="31"/>
      <x:c r="O453" s="31"/>
      <x:c r="P453" s="31"/>
      <x:c r="Q453" s="33"/>
      <x:c r="R453" s="33"/>
      <x:c r="S453" s="31"/>
      <x:c r="T453" s="32"/>
      <x:c r="U453" s="31"/>
      <x:c r="V453" s="31"/>
      <x:c r="W453" s="31"/>
      <x:c r="X453" s="31"/>
      <x:c r="Y453" s="31"/>
      <x:c r="Z453" s="31"/>
      <x:c r="AA453" s="31"/>
      <x:c r="AB453" s="31"/>
    </x:row>
    <x:row r="454">
      <x:c r="A454" s="79"/>
      <x:c r="B454" s="31"/>
      <x:c r="C454" s="31"/>
      <x:c r="D454" s="31"/>
      <x:c r="E454" s="31"/>
      <x:c r="F454" s="31"/>
      <x:c r="G454" s="31"/>
      <x:c r="H454" s="31"/>
      <x:c r="I454" s="31"/>
      <x:c r="J454" s="80"/>
      <x:c r="K454" s="31"/>
      <x:c r="L454" s="31"/>
      <x:c r="M454" s="31"/>
      <x:c r="N454" s="31"/>
      <x:c r="O454" s="31"/>
      <x:c r="P454" s="31"/>
      <x:c r="Q454" s="33"/>
      <x:c r="R454" s="33"/>
      <x:c r="S454" s="31"/>
      <x:c r="T454" s="32"/>
      <x:c r="U454" s="31"/>
      <x:c r="V454" s="31"/>
      <x:c r="W454" s="31"/>
      <x:c r="X454" s="31"/>
      <x:c r="Y454" s="31"/>
      <x:c r="Z454" s="31"/>
      <x:c r="AA454" s="31"/>
      <x:c r="AB454" s="31"/>
    </x:row>
    <x:row r="455">
      <x:c r="A455" s="79"/>
      <x:c r="B455" s="31"/>
      <x:c r="C455" s="31"/>
      <x:c r="D455" s="31"/>
      <x:c r="E455" s="31"/>
      <x:c r="F455" s="31"/>
      <x:c r="G455" s="31"/>
      <x:c r="H455" s="31"/>
      <x:c r="I455" s="31"/>
      <x:c r="J455" s="80"/>
      <x:c r="K455" s="31"/>
      <x:c r="L455" s="31"/>
      <x:c r="M455" s="31"/>
      <x:c r="N455" s="31"/>
      <x:c r="O455" s="31"/>
      <x:c r="P455" s="31"/>
      <x:c r="Q455" s="33"/>
      <x:c r="R455" s="33"/>
      <x:c r="S455" s="31"/>
      <x:c r="T455" s="32"/>
      <x:c r="U455" s="31"/>
      <x:c r="V455" s="31"/>
      <x:c r="W455" s="31"/>
      <x:c r="X455" s="31"/>
      <x:c r="Y455" s="31"/>
      <x:c r="Z455" s="31"/>
      <x:c r="AA455" s="31"/>
      <x:c r="AB455" s="31"/>
    </x:row>
    <x:row r="456">
      <x:c r="A456" s="79"/>
      <x:c r="B456" s="31"/>
      <x:c r="C456" s="31"/>
      <x:c r="D456" s="31"/>
      <x:c r="E456" s="31"/>
      <x:c r="F456" s="31"/>
      <x:c r="G456" s="31"/>
      <x:c r="H456" s="31"/>
      <x:c r="I456" s="31"/>
      <x:c r="J456" s="80"/>
      <x:c r="K456" s="31"/>
      <x:c r="L456" s="31"/>
      <x:c r="M456" s="31"/>
      <x:c r="N456" s="31"/>
      <x:c r="O456" s="31"/>
      <x:c r="P456" s="31"/>
      <x:c r="Q456" s="33"/>
      <x:c r="R456" s="33"/>
      <x:c r="S456" s="31"/>
      <x:c r="T456" s="32"/>
      <x:c r="U456" s="31"/>
      <x:c r="V456" s="31"/>
      <x:c r="W456" s="31"/>
      <x:c r="X456" s="31"/>
      <x:c r="Y456" s="31"/>
      <x:c r="Z456" s="31"/>
      <x:c r="AA456" s="31"/>
      <x:c r="AB456" s="31"/>
    </x:row>
    <x:row r="457">
      <x:c r="A457" s="79"/>
      <x:c r="B457" s="31"/>
      <x:c r="C457" s="31"/>
      <x:c r="D457" s="31"/>
      <x:c r="E457" s="31"/>
      <x:c r="F457" s="31"/>
      <x:c r="G457" s="31"/>
      <x:c r="H457" s="31"/>
      <x:c r="I457" s="31"/>
      <x:c r="J457" s="80"/>
      <x:c r="K457" s="31"/>
      <x:c r="L457" s="31"/>
      <x:c r="M457" s="31"/>
      <x:c r="N457" s="31"/>
      <x:c r="O457" s="31"/>
      <x:c r="P457" s="31"/>
      <x:c r="Q457" s="33"/>
      <x:c r="R457" s="33"/>
      <x:c r="S457" s="31"/>
      <x:c r="T457" s="32"/>
      <x:c r="U457" s="31"/>
      <x:c r="V457" s="31"/>
      <x:c r="W457" s="31"/>
      <x:c r="X457" s="31"/>
      <x:c r="Y457" s="31"/>
      <x:c r="Z457" s="31"/>
      <x:c r="AA457" s="31"/>
      <x:c r="AB457" s="31"/>
    </x:row>
    <x:row r="458">
      <x:c r="A458" s="79"/>
      <x:c r="B458" s="31"/>
      <x:c r="C458" s="31"/>
      <x:c r="D458" s="31"/>
      <x:c r="E458" s="31"/>
      <x:c r="F458" s="31"/>
      <x:c r="G458" s="31"/>
      <x:c r="H458" s="31"/>
      <x:c r="I458" s="31"/>
      <x:c r="J458" s="80"/>
      <x:c r="K458" s="31"/>
      <x:c r="L458" s="31"/>
      <x:c r="M458" s="31"/>
      <x:c r="N458" s="31"/>
      <x:c r="O458" s="31"/>
      <x:c r="P458" s="31"/>
      <x:c r="Q458" s="33"/>
      <x:c r="R458" s="33"/>
      <x:c r="S458" s="31"/>
      <x:c r="T458" s="32"/>
      <x:c r="U458" s="31"/>
      <x:c r="V458" s="31"/>
      <x:c r="W458" s="31"/>
      <x:c r="X458" s="31"/>
      <x:c r="Y458" s="31"/>
      <x:c r="Z458" s="31"/>
      <x:c r="AA458" s="31"/>
      <x:c r="AB458" s="31"/>
    </x:row>
    <x:row r="459">
      <x:c r="A459" s="79"/>
      <x:c r="B459" s="31"/>
      <x:c r="C459" s="31"/>
      <x:c r="D459" s="31"/>
      <x:c r="E459" s="31"/>
      <x:c r="F459" s="31"/>
      <x:c r="G459" s="31"/>
      <x:c r="H459" s="31"/>
      <x:c r="I459" s="31"/>
      <x:c r="J459" s="80"/>
      <x:c r="K459" s="31"/>
      <x:c r="L459" s="31"/>
      <x:c r="M459" s="31"/>
      <x:c r="N459" s="31"/>
      <x:c r="O459" s="31"/>
      <x:c r="P459" s="31"/>
      <x:c r="Q459" s="33"/>
      <x:c r="R459" s="33"/>
      <x:c r="S459" s="31"/>
      <x:c r="T459" s="32"/>
      <x:c r="U459" s="31"/>
      <x:c r="V459" s="31"/>
      <x:c r="W459" s="31"/>
      <x:c r="X459" s="31"/>
      <x:c r="Y459" s="31"/>
      <x:c r="Z459" s="31"/>
      <x:c r="AA459" s="31"/>
      <x:c r="AB459" s="31"/>
    </x:row>
    <x:row r="460">
      <x:c r="A460" s="79"/>
      <x:c r="B460" s="31"/>
      <x:c r="C460" s="31"/>
      <x:c r="D460" s="31"/>
      <x:c r="E460" s="31"/>
      <x:c r="F460" s="31"/>
      <x:c r="G460" s="31"/>
      <x:c r="H460" s="31"/>
      <x:c r="I460" s="31"/>
      <x:c r="J460" s="80"/>
      <x:c r="K460" s="31"/>
      <x:c r="L460" s="31"/>
      <x:c r="M460" s="31"/>
      <x:c r="N460" s="31"/>
      <x:c r="O460" s="31"/>
      <x:c r="P460" s="31"/>
      <x:c r="Q460" s="33"/>
      <x:c r="R460" s="33"/>
      <x:c r="S460" s="31"/>
      <x:c r="T460" s="32"/>
      <x:c r="U460" s="31"/>
      <x:c r="V460" s="31"/>
      <x:c r="W460" s="31"/>
      <x:c r="X460" s="31"/>
      <x:c r="Y460" s="31"/>
      <x:c r="Z460" s="31"/>
      <x:c r="AA460" s="31"/>
      <x:c r="AB460" s="31"/>
    </x:row>
    <x:row r="461">
      <x:c r="A461" s="79"/>
      <x:c r="B461" s="31"/>
      <x:c r="C461" s="31"/>
      <x:c r="D461" s="31"/>
      <x:c r="E461" s="31"/>
      <x:c r="F461" s="31"/>
      <x:c r="G461" s="31"/>
      <x:c r="H461" s="31"/>
      <x:c r="I461" s="31"/>
      <x:c r="J461" s="80"/>
      <x:c r="K461" s="31"/>
      <x:c r="L461" s="31"/>
      <x:c r="M461" s="31"/>
      <x:c r="N461" s="31"/>
      <x:c r="O461" s="31"/>
      <x:c r="P461" s="31"/>
      <x:c r="Q461" s="33"/>
      <x:c r="R461" s="33"/>
      <x:c r="S461" s="31"/>
      <x:c r="T461" s="32"/>
      <x:c r="U461" s="31"/>
      <x:c r="V461" s="31"/>
      <x:c r="W461" s="31"/>
      <x:c r="X461" s="31"/>
      <x:c r="Y461" s="31"/>
      <x:c r="Z461" s="31"/>
      <x:c r="AA461" s="31"/>
      <x:c r="AB461" s="31"/>
    </x:row>
    <x:row r="462">
      <x:c r="A462" s="79"/>
      <x:c r="B462" s="31"/>
      <x:c r="C462" s="31"/>
      <x:c r="D462" s="31"/>
      <x:c r="E462" s="31"/>
      <x:c r="F462" s="31"/>
      <x:c r="G462" s="31"/>
      <x:c r="H462" s="31"/>
      <x:c r="I462" s="31"/>
      <x:c r="J462" s="80"/>
      <x:c r="K462" s="31"/>
      <x:c r="L462" s="31"/>
      <x:c r="M462" s="31"/>
      <x:c r="N462" s="31"/>
      <x:c r="O462" s="31"/>
      <x:c r="P462" s="31"/>
      <x:c r="Q462" s="33"/>
      <x:c r="R462" s="33"/>
      <x:c r="S462" s="31"/>
      <x:c r="T462" s="32"/>
      <x:c r="U462" s="31"/>
      <x:c r="V462" s="31"/>
      <x:c r="W462" s="31"/>
      <x:c r="X462" s="31"/>
      <x:c r="Y462" s="31"/>
      <x:c r="Z462" s="31"/>
      <x:c r="AA462" s="31"/>
      <x:c r="AB462" s="31"/>
    </x:row>
    <x:row r="463">
      <x:c r="A463" s="79"/>
      <x:c r="B463" s="31"/>
      <x:c r="C463" s="31"/>
      <x:c r="D463" s="31"/>
      <x:c r="E463" s="31"/>
      <x:c r="F463" s="31"/>
      <x:c r="G463" s="31"/>
      <x:c r="H463" s="31"/>
      <x:c r="I463" s="31"/>
      <x:c r="J463" s="80"/>
      <x:c r="K463" s="31"/>
      <x:c r="L463" s="31"/>
      <x:c r="M463" s="31"/>
      <x:c r="N463" s="31"/>
      <x:c r="O463" s="31"/>
      <x:c r="P463" s="31"/>
      <x:c r="Q463" s="33"/>
      <x:c r="R463" s="33"/>
      <x:c r="S463" s="31"/>
      <x:c r="T463" s="32"/>
      <x:c r="U463" s="31"/>
      <x:c r="V463" s="31"/>
      <x:c r="W463" s="31"/>
      <x:c r="X463" s="31"/>
      <x:c r="Y463" s="31"/>
      <x:c r="Z463" s="31"/>
      <x:c r="AA463" s="31"/>
      <x:c r="AB463" s="31"/>
    </x:row>
    <x:row r="464">
      <x:c r="A464" s="79"/>
      <x:c r="B464" s="31"/>
      <x:c r="C464" s="31"/>
      <x:c r="D464" s="31"/>
      <x:c r="E464" s="31"/>
      <x:c r="F464" s="31"/>
      <x:c r="G464" s="31"/>
      <x:c r="H464" s="31"/>
      <x:c r="I464" s="31"/>
      <x:c r="J464" s="80"/>
      <x:c r="K464" s="31"/>
      <x:c r="L464" s="31"/>
      <x:c r="M464" s="31"/>
      <x:c r="N464" s="31"/>
      <x:c r="O464" s="31"/>
      <x:c r="P464" s="31"/>
      <x:c r="Q464" s="33"/>
      <x:c r="R464" s="33"/>
      <x:c r="S464" s="31"/>
      <x:c r="T464" s="32"/>
      <x:c r="U464" s="31"/>
      <x:c r="V464" s="31"/>
      <x:c r="W464" s="31"/>
      <x:c r="X464" s="31"/>
      <x:c r="Y464" s="31"/>
      <x:c r="Z464" s="31"/>
      <x:c r="AA464" s="31"/>
      <x:c r="AB464" s="31"/>
    </x:row>
    <x:row r="465">
      <x:c r="A465" s="79"/>
      <x:c r="B465" s="31"/>
      <x:c r="C465" s="31"/>
      <x:c r="D465" s="31"/>
      <x:c r="E465" s="31"/>
      <x:c r="F465" s="31"/>
      <x:c r="G465" s="31"/>
      <x:c r="H465" s="31"/>
      <x:c r="I465" s="31"/>
      <x:c r="J465" s="80"/>
      <x:c r="K465" s="31"/>
      <x:c r="L465" s="31"/>
      <x:c r="M465" s="31"/>
      <x:c r="N465" s="31"/>
      <x:c r="O465" s="31"/>
      <x:c r="P465" s="31"/>
      <x:c r="Q465" s="33"/>
      <x:c r="R465" s="33"/>
      <x:c r="S465" s="31"/>
      <x:c r="T465" s="32"/>
      <x:c r="U465" s="31"/>
      <x:c r="V465" s="31"/>
      <x:c r="W465" s="31"/>
      <x:c r="X465" s="31"/>
      <x:c r="Y465" s="31"/>
      <x:c r="Z465" s="31"/>
      <x:c r="AA465" s="31"/>
      <x:c r="AB465" s="31"/>
    </x:row>
    <x:row r="466">
      <x:c r="A466" s="79"/>
      <x:c r="B466" s="31"/>
      <x:c r="C466" s="31"/>
      <x:c r="D466" s="31"/>
      <x:c r="E466" s="31"/>
      <x:c r="F466" s="31"/>
      <x:c r="G466" s="31"/>
      <x:c r="H466" s="31"/>
      <x:c r="I466" s="31"/>
      <x:c r="J466" s="80"/>
      <x:c r="K466" s="31"/>
      <x:c r="L466" s="31"/>
      <x:c r="M466" s="31"/>
      <x:c r="N466" s="31"/>
      <x:c r="O466" s="31"/>
      <x:c r="P466" s="31"/>
      <x:c r="Q466" s="33"/>
      <x:c r="R466" s="33"/>
      <x:c r="S466" s="31"/>
      <x:c r="T466" s="32"/>
      <x:c r="U466" s="31"/>
      <x:c r="V466" s="31"/>
      <x:c r="W466" s="31"/>
      <x:c r="X466" s="31"/>
      <x:c r="Y466" s="31"/>
      <x:c r="Z466" s="31"/>
      <x:c r="AA466" s="31"/>
      <x:c r="AB466" s="31"/>
    </x:row>
    <x:row r="467">
      <x:c r="A467" s="79"/>
      <x:c r="B467" s="31"/>
      <x:c r="C467" s="31"/>
      <x:c r="D467" s="31"/>
      <x:c r="E467" s="31"/>
      <x:c r="F467" s="31"/>
      <x:c r="G467" s="31"/>
      <x:c r="H467" s="31"/>
      <x:c r="I467" s="31"/>
      <x:c r="J467" s="80"/>
      <x:c r="K467" s="31"/>
      <x:c r="L467" s="31"/>
      <x:c r="M467" s="31"/>
      <x:c r="N467" s="31"/>
      <x:c r="O467" s="31"/>
      <x:c r="P467" s="31"/>
      <x:c r="Q467" s="33"/>
      <x:c r="R467" s="33"/>
      <x:c r="S467" s="31"/>
      <x:c r="T467" s="32"/>
      <x:c r="U467" s="31"/>
      <x:c r="V467" s="31"/>
      <x:c r="W467" s="31"/>
      <x:c r="X467" s="31"/>
      <x:c r="Y467" s="31"/>
      <x:c r="Z467" s="31"/>
      <x:c r="AA467" s="31"/>
      <x:c r="AB467" s="31"/>
    </x:row>
    <x:row r="468">
      <x:c r="A468" s="79"/>
      <x:c r="B468" s="31"/>
      <x:c r="C468" s="31"/>
      <x:c r="D468" s="31"/>
      <x:c r="E468" s="31"/>
      <x:c r="F468" s="31"/>
      <x:c r="G468" s="31"/>
      <x:c r="H468" s="31"/>
      <x:c r="I468" s="31"/>
      <x:c r="J468" s="80"/>
      <x:c r="K468" s="31"/>
      <x:c r="L468" s="31"/>
      <x:c r="M468" s="31"/>
      <x:c r="N468" s="31"/>
      <x:c r="O468" s="31"/>
      <x:c r="P468" s="31"/>
      <x:c r="Q468" s="33"/>
      <x:c r="R468" s="33"/>
      <x:c r="S468" s="31"/>
      <x:c r="T468" s="32"/>
      <x:c r="U468" s="31"/>
      <x:c r="V468" s="31"/>
      <x:c r="W468" s="31"/>
      <x:c r="X468" s="31"/>
      <x:c r="Y468" s="31"/>
      <x:c r="Z468" s="31"/>
      <x:c r="AA468" s="31"/>
      <x:c r="AB468" s="31"/>
    </x:row>
    <x:row r="469">
      <x:c r="A469" s="79"/>
      <x:c r="B469" s="31"/>
      <x:c r="C469" s="31"/>
      <x:c r="D469" s="31"/>
      <x:c r="E469" s="31"/>
      <x:c r="F469" s="31"/>
      <x:c r="G469" s="31"/>
      <x:c r="H469" s="31"/>
      <x:c r="I469" s="31"/>
      <x:c r="J469" s="80"/>
      <x:c r="K469" s="31"/>
      <x:c r="L469" s="31"/>
      <x:c r="M469" s="31"/>
      <x:c r="N469" s="31"/>
      <x:c r="O469" s="31"/>
      <x:c r="P469" s="31"/>
      <x:c r="Q469" s="33"/>
      <x:c r="R469" s="33"/>
      <x:c r="S469" s="31"/>
      <x:c r="T469" s="32"/>
      <x:c r="U469" s="31"/>
      <x:c r="V469" s="31"/>
      <x:c r="W469" s="31"/>
      <x:c r="X469" s="31"/>
      <x:c r="Y469" s="31"/>
      <x:c r="Z469" s="31"/>
      <x:c r="AA469" s="31"/>
      <x:c r="AB469" s="31"/>
    </x:row>
    <x:row r="470">
      <x:c r="A470" s="79"/>
      <x:c r="B470" s="31"/>
      <x:c r="C470" s="31"/>
      <x:c r="D470" s="31"/>
      <x:c r="E470" s="31"/>
      <x:c r="F470" s="31"/>
      <x:c r="G470" s="31"/>
      <x:c r="H470" s="31"/>
      <x:c r="I470" s="31"/>
      <x:c r="J470" s="80"/>
      <x:c r="K470" s="31"/>
      <x:c r="L470" s="31"/>
      <x:c r="M470" s="31"/>
      <x:c r="N470" s="31"/>
      <x:c r="O470" s="31"/>
      <x:c r="P470" s="31"/>
      <x:c r="Q470" s="33"/>
      <x:c r="R470" s="33"/>
      <x:c r="S470" s="31"/>
      <x:c r="T470" s="32"/>
      <x:c r="U470" s="31"/>
      <x:c r="V470" s="31"/>
      <x:c r="W470" s="31"/>
      <x:c r="X470" s="31"/>
      <x:c r="Y470" s="31"/>
      <x:c r="Z470" s="31"/>
      <x:c r="AA470" s="31"/>
      <x:c r="AB470" s="31"/>
    </x:row>
    <x:row r="471">
      <x:c r="A471" s="79"/>
      <x:c r="B471" s="31"/>
      <x:c r="C471" s="31"/>
      <x:c r="D471" s="31"/>
      <x:c r="E471" s="31"/>
      <x:c r="F471" s="31"/>
      <x:c r="G471" s="31"/>
      <x:c r="H471" s="31"/>
      <x:c r="I471" s="31"/>
      <x:c r="J471" s="80"/>
      <x:c r="K471" s="31"/>
      <x:c r="L471" s="31"/>
      <x:c r="M471" s="31"/>
      <x:c r="N471" s="31"/>
      <x:c r="O471" s="31"/>
      <x:c r="P471" s="31"/>
      <x:c r="Q471" s="33"/>
      <x:c r="R471" s="33"/>
      <x:c r="S471" s="31"/>
      <x:c r="T471" s="32"/>
      <x:c r="U471" s="31"/>
      <x:c r="V471" s="31"/>
      <x:c r="W471" s="31"/>
      <x:c r="X471" s="31"/>
      <x:c r="Y471" s="31"/>
      <x:c r="Z471" s="31"/>
      <x:c r="AA471" s="31"/>
      <x:c r="AB471" s="31"/>
    </x:row>
    <x:row r="472">
      <x:c r="A472" s="79"/>
      <x:c r="B472" s="31"/>
      <x:c r="C472" s="31"/>
      <x:c r="D472" s="31"/>
      <x:c r="E472" s="31"/>
      <x:c r="F472" s="31"/>
      <x:c r="G472" s="31"/>
      <x:c r="H472" s="31"/>
      <x:c r="I472" s="31"/>
      <x:c r="J472" s="80"/>
      <x:c r="K472" s="31"/>
      <x:c r="L472" s="31"/>
      <x:c r="M472" s="31"/>
      <x:c r="N472" s="31"/>
      <x:c r="O472" s="31"/>
      <x:c r="P472" s="31"/>
      <x:c r="Q472" s="33"/>
      <x:c r="R472" s="33"/>
      <x:c r="S472" s="31"/>
      <x:c r="T472" s="32"/>
      <x:c r="U472" s="31"/>
      <x:c r="V472" s="31"/>
      <x:c r="W472" s="31"/>
      <x:c r="X472" s="31"/>
      <x:c r="Y472" s="31"/>
      <x:c r="Z472" s="31"/>
      <x:c r="AA472" s="31"/>
      <x:c r="AB472" s="31"/>
    </x:row>
    <x:row r="473">
      <x:c r="A473" s="79"/>
      <x:c r="B473" s="31"/>
      <x:c r="C473" s="31"/>
      <x:c r="D473" s="31"/>
      <x:c r="E473" s="31"/>
      <x:c r="F473" s="31"/>
      <x:c r="G473" s="31"/>
      <x:c r="H473" s="31"/>
      <x:c r="I473" s="31"/>
      <x:c r="J473" s="80"/>
      <x:c r="K473" s="31"/>
      <x:c r="L473" s="31"/>
      <x:c r="M473" s="31"/>
      <x:c r="N473" s="31"/>
      <x:c r="O473" s="31"/>
      <x:c r="P473" s="31"/>
      <x:c r="Q473" s="33"/>
      <x:c r="R473" s="33"/>
      <x:c r="S473" s="31"/>
      <x:c r="T473" s="32"/>
      <x:c r="U473" s="31"/>
      <x:c r="V473" s="31"/>
      <x:c r="W473" s="31"/>
      <x:c r="X473" s="31"/>
      <x:c r="Y473" s="31"/>
      <x:c r="Z473" s="31"/>
      <x:c r="AA473" s="31"/>
      <x:c r="AB473" s="31"/>
    </x:row>
    <x:row r="474">
      <x:c r="A474" s="79"/>
      <x:c r="B474" s="31"/>
      <x:c r="C474" s="31"/>
      <x:c r="D474" s="31"/>
      <x:c r="E474" s="31"/>
      <x:c r="F474" s="31"/>
      <x:c r="G474" s="31"/>
      <x:c r="H474" s="31"/>
      <x:c r="I474" s="31"/>
      <x:c r="J474" s="80"/>
      <x:c r="K474" s="31"/>
      <x:c r="L474" s="31"/>
      <x:c r="M474" s="31"/>
      <x:c r="N474" s="31"/>
      <x:c r="O474" s="31"/>
      <x:c r="P474" s="31"/>
      <x:c r="Q474" s="33"/>
      <x:c r="R474" s="33"/>
      <x:c r="S474" s="31"/>
      <x:c r="T474" s="32"/>
      <x:c r="U474" s="31"/>
      <x:c r="V474" s="31"/>
      <x:c r="W474" s="31"/>
      <x:c r="X474" s="31"/>
      <x:c r="Y474" s="31"/>
      <x:c r="Z474" s="31"/>
      <x:c r="AA474" s="31"/>
      <x:c r="AB474" s="31"/>
    </x:row>
    <x:row r="475">
      <x:c r="A475" s="79"/>
      <x:c r="B475" s="31"/>
      <x:c r="C475" s="31"/>
      <x:c r="D475" s="31"/>
      <x:c r="E475" s="31"/>
      <x:c r="F475" s="31"/>
      <x:c r="G475" s="31"/>
      <x:c r="H475" s="31"/>
      <x:c r="I475" s="31"/>
      <x:c r="J475" s="80"/>
      <x:c r="K475" s="31"/>
      <x:c r="L475" s="31"/>
      <x:c r="M475" s="31"/>
      <x:c r="N475" s="31"/>
      <x:c r="O475" s="31"/>
      <x:c r="P475" s="31"/>
      <x:c r="Q475" s="33"/>
      <x:c r="R475" s="33"/>
      <x:c r="S475" s="31"/>
      <x:c r="T475" s="32"/>
      <x:c r="U475" s="31"/>
      <x:c r="V475" s="31"/>
      <x:c r="W475" s="31"/>
      <x:c r="X475" s="31"/>
      <x:c r="Y475" s="31"/>
      <x:c r="Z475" s="31"/>
      <x:c r="AA475" s="31"/>
      <x:c r="AB475" s="31"/>
    </x:row>
    <x:row r="476">
      <x:c r="A476" s="79"/>
      <x:c r="B476" s="31"/>
      <x:c r="C476" s="31"/>
      <x:c r="D476" s="31"/>
      <x:c r="E476" s="31"/>
      <x:c r="F476" s="31"/>
      <x:c r="G476" s="31"/>
      <x:c r="H476" s="31"/>
      <x:c r="I476" s="31"/>
      <x:c r="J476" s="80"/>
      <x:c r="K476" s="31"/>
      <x:c r="L476" s="31"/>
      <x:c r="M476" s="31"/>
      <x:c r="N476" s="31"/>
      <x:c r="O476" s="31"/>
      <x:c r="P476" s="31"/>
      <x:c r="Q476" s="33"/>
      <x:c r="R476" s="33"/>
      <x:c r="S476" s="31"/>
      <x:c r="T476" s="32"/>
      <x:c r="U476" s="31"/>
      <x:c r="V476" s="31"/>
      <x:c r="W476" s="31"/>
      <x:c r="X476" s="31"/>
      <x:c r="Y476" s="31"/>
      <x:c r="Z476" s="31"/>
      <x:c r="AA476" s="31"/>
      <x:c r="AB476" s="31"/>
    </x:row>
    <x:row r="477">
      <x:c r="A477" s="79"/>
      <x:c r="B477" s="31"/>
      <x:c r="C477" s="31"/>
      <x:c r="D477" s="31"/>
      <x:c r="E477" s="31"/>
      <x:c r="F477" s="31"/>
      <x:c r="G477" s="31"/>
      <x:c r="H477" s="31"/>
      <x:c r="I477" s="31"/>
      <x:c r="J477" s="80"/>
      <x:c r="K477" s="31"/>
      <x:c r="L477" s="31"/>
      <x:c r="M477" s="31"/>
      <x:c r="N477" s="31"/>
      <x:c r="O477" s="31"/>
      <x:c r="P477" s="31"/>
      <x:c r="Q477" s="33"/>
      <x:c r="R477" s="33"/>
      <x:c r="S477" s="31"/>
      <x:c r="T477" s="32"/>
      <x:c r="U477" s="31"/>
      <x:c r="V477" s="31"/>
      <x:c r="W477" s="31"/>
      <x:c r="X477" s="31"/>
      <x:c r="Y477" s="31"/>
      <x:c r="Z477" s="31"/>
      <x:c r="AA477" s="31"/>
      <x:c r="AB477" s="31"/>
    </x:row>
    <x:row r="478">
      <x:c r="A478" s="79"/>
      <x:c r="B478" s="31"/>
      <x:c r="C478" s="31"/>
      <x:c r="D478" s="31"/>
      <x:c r="E478" s="31"/>
      <x:c r="F478" s="31"/>
      <x:c r="G478" s="31"/>
      <x:c r="H478" s="31"/>
      <x:c r="I478" s="31"/>
      <x:c r="J478" s="80"/>
      <x:c r="K478" s="31"/>
      <x:c r="L478" s="31"/>
      <x:c r="M478" s="31"/>
      <x:c r="N478" s="31"/>
      <x:c r="O478" s="31"/>
      <x:c r="P478" s="31"/>
      <x:c r="Q478" s="33"/>
      <x:c r="R478" s="33"/>
      <x:c r="S478" s="31"/>
      <x:c r="T478" s="32"/>
      <x:c r="U478" s="31"/>
      <x:c r="V478" s="31"/>
      <x:c r="W478" s="31"/>
      <x:c r="X478" s="31"/>
      <x:c r="Y478" s="31"/>
      <x:c r="Z478" s="31"/>
      <x:c r="AA478" s="31"/>
      <x:c r="AB478" s="31"/>
    </x:row>
    <x:row r="479">
      <x:c r="A479" s="79"/>
      <x:c r="B479" s="31"/>
      <x:c r="C479" s="31"/>
      <x:c r="D479" s="31"/>
      <x:c r="E479" s="31"/>
      <x:c r="F479" s="31"/>
      <x:c r="G479" s="31"/>
      <x:c r="H479" s="31"/>
      <x:c r="I479" s="31"/>
      <x:c r="J479" s="80"/>
      <x:c r="K479" s="31"/>
      <x:c r="L479" s="31"/>
      <x:c r="M479" s="31"/>
      <x:c r="N479" s="31"/>
      <x:c r="O479" s="31"/>
      <x:c r="P479" s="31"/>
      <x:c r="Q479" s="33"/>
      <x:c r="R479" s="33"/>
      <x:c r="S479" s="31"/>
      <x:c r="T479" s="32"/>
      <x:c r="U479" s="31"/>
      <x:c r="V479" s="31"/>
      <x:c r="W479" s="31"/>
      <x:c r="X479" s="31"/>
      <x:c r="Y479" s="31"/>
      <x:c r="Z479" s="31"/>
      <x:c r="AA479" s="31"/>
      <x:c r="AB479" s="31"/>
    </x:row>
    <x:row r="480">
      <x:c r="A480" s="79"/>
      <x:c r="B480" s="31"/>
      <x:c r="C480" s="31"/>
      <x:c r="D480" s="31"/>
      <x:c r="E480" s="31"/>
      <x:c r="F480" s="31"/>
      <x:c r="G480" s="31"/>
      <x:c r="H480" s="31"/>
      <x:c r="I480" s="31"/>
      <x:c r="J480" s="80"/>
      <x:c r="K480" s="31"/>
      <x:c r="L480" s="31"/>
      <x:c r="M480" s="31"/>
      <x:c r="N480" s="31"/>
      <x:c r="O480" s="31"/>
      <x:c r="P480" s="31"/>
      <x:c r="Q480" s="33"/>
      <x:c r="R480" s="33"/>
      <x:c r="S480" s="31"/>
      <x:c r="T480" s="32"/>
      <x:c r="U480" s="31"/>
      <x:c r="V480" s="31"/>
      <x:c r="W480" s="31"/>
      <x:c r="X480" s="31"/>
      <x:c r="Y480" s="31"/>
      <x:c r="Z480" s="31"/>
      <x:c r="AA480" s="31"/>
      <x:c r="AB480" s="31"/>
    </x:row>
    <x:row r="481">
      <x:c r="A481" s="79"/>
      <x:c r="B481" s="31"/>
      <x:c r="C481" s="31"/>
      <x:c r="D481" s="31"/>
      <x:c r="E481" s="31"/>
      <x:c r="F481" s="31"/>
      <x:c r="G481" s="31"/>
      <x:c r="H481" s="31"/>
      <x:c r="I481" s="31"/>
      <x:c r="J481" s="80"/>
      <x:c r="K481" s="31"/>
      <x:c r="L481" s="31"/>
      <x:c r="M481" s="31"/>
      <x:c r="N481" s="31"/>
      <x:c r="O481" s="31"/>
      <x:c r="P481" s="31"/>
      <x:c r="Q481" s="33"/>
      <x:c r="R481" s="33"/>
      <x:c r="S481" s="31"/>
      <x:c r="T481" s="32"/>
      <x:c r="U481" s="31"/>
      <x:c r="V481" s="31"/>
      <x:c r="W481" s="31"/>
      <x:c r="X481" s="31"/>
      <x:c r="Y481" s="31"/>
      <x:c r="Z481" s="31"/>
      <x:c r="AA481" s="31"/>
      <x:c r="AB481" s="31"/>
    </x:row>
    <x:row r="482">
      <x:c r="A482" s="79"/>
      <x:c r="B482" s="31"/>
      <x:c r="C482" s="31"/>
      <x:c r="D482" s="31"/>
      <x:c r="E482" s="31"/>
      <x:c r="F482" s="31"/>
      <x:c r="G482" s="31"/>
      <x:c r="H482" s="31"/>
      <x:c r="I482" s="31"/>
      <x:c r="J482" s="80"/>
      <x:c r="K482" s="31"/>
      <x:c r="L482" s="31"/>
      <x:c r="M482" s="31"/>
      <x:c r="N482" s="31"/>
      <x:c r="O482" s="31"/>
      <x:c r="P482" s="31"/>
      <x:c r="Q482" s="33"/>
      <x:c r="R482" s="33"/>
      <x:c r="S482" s="31"/>
      <x:c r="T482" s="32"/>
      <x:c r="U482" s="31"/>
      <x:c r="V482" s="31"/>
      <x:c r="W482" s="31"/>
      <x:c r="X482" s="31"/>
      <x:c r="Y482" s="31"/>
      <x:c r="Z482" s="31"/>
      <x:c r="AA482" s="31"/>
      <x:c r="AB482" s="31"/>
    </x:row>
    <x:row r="483">
      <x:c r="A483" s="79"/>
      <x:c r="B483" s="31"/>
      <x:c r="C483" s="31"/>
      <x:c r="D483" s="31"/>
      <x:c r="E483" s="31"/>
      <x:c r="F483" s="31"/>
      <x:c r="G483" s="31"/>
      <x:c r="H483" s="31"/>
      <x:c r="I483" s="31"/>
      <x:c r="J483" s="80"/>
      <x:c r="K483" s="31"/>
      <x:c r="L483" s="31"/>
      <x:c r="M483" s="31"/>
      <x:c r="N483" s="31"/>
      <x:c r="O483" s="31"/>
      <x:c r="P483" s="31"/>
      <x:c r="Q483" s="33"/>
      <x:c r="R483" s="33"/>
      <x:c r="S483" s="31"/>
      <x:c r="T483" s="32"/>
      <x:c r="U483" s="31"/>
      <x:c r="V483" s="31"/>
      <x:c r="W483" s="31"/>
      <x:c r="X483" s="31"/>
      <x:c r="Y483" s="31"/>
      <x:c r="Z483" s="31"/>
      <x:c r="AA483" s="31"/>
      <x:c r="AB483" s="31"/>
    </x:row>
    <x:row r="484">
      <x:c r="A484" s="79"/>
      <x:c r="B484" s="31"/>
      <x:c r="C484" s="31"/>
      <x:c r="D484" s="31"/>
      <x:c r="E484" s="31"/>
      <x:c r="F484" s="31"/>
      <x:c r="G484" s="31"/>
      <x:c r="H484" s="31"/>
      <x:c r="I484" s="31"/>
      <x:c r="J484" s="80"/>
      <x:c r="K484" s="31"/>
      <x:c r="L484" s="31"/>
      <x:c r="M484" s="31"/>
      <x:c r="N484" s="31"/>
      <x:c r="O484" s="31"/>
      <x:c r="P484" s="31"/>
      <x:c r="Q484" s="33"/>
      <x:c r="R484" s="33"/>
      <x:c r="S484" s="31"/>
      <x:c r="T484" s="32"/>
      <x:c r="U484" s="31"/>
      <x:c r="V484" s="31"/>
      <x:c r="W484" s="31"/>
      <x:c r="X484" s="31"/>
      <x:c r="Y484" s="31"/>
      <x:c r="Z484" s="31"/>
      <x:c r="AA484" s="31"/>
      <x:c r="AB484" s="31"/>
    </x:row>
    <x:row r="485">
      <x:c r="A485" s="79"/>
      <x:c r="B485" s="31"/>
      <x:c r="C485" s="31"/>
      <x:c r="D485" s="31"/>
      <x:c r="E485" s="31"/>
      <x:c r="F485" s="31"/>
      <x:c r="G485" s="31"/>
      <x:c r="H485" s="31"/>
      <x:c r="I485" s="31"/>
      <x:c r="J485" s="80"/>
      <x:c r="K485" s="31"/>
      <x:c r="L485" s="31"/>
      <x:c r="M485" s="31"/>
      <x:c r="N485" s="31"/>
      <x:c r="O485" s="31"/>
      <x:c r="P485" s="31"/>
      <x:c r="Q485" s="33"/>
      <x:c r="R485" s="33"/>
      <x:c r="S485" s="31"/>
      <x:c r="T485" s="32"/>
      <x:c r="U485" s="31"/>
      <x:c r="V485" s="31"/>
      <x:c r="W485" s="31"/>
      <x:c r="X485" s="31"/>
      <x:c r="Y485" s="31"/>
      <x:c r="Z485" s="31"/>
      <x:c r="AA485" s="31"/>
      <x:c r="AB485" s="31"/>
    </x:row>
    <x:row r="486">
      <x:c r="A486" s="79"/>
      <x:c r="B486" s="31"/>
      <x:c r="C486" s="31"/>
      <x:c r="D486" s="31"/>
      <x:c r="E486" s="31"/>
      <x:c r="F486" s="31"/>
      <x:c r="G486" s="31"/>
      <x:c r="H486" s="31"/>
      <x:c r="I486" s="31"/>
      <x:c r="J486" s="80"/>
      <x:c r="K486" s="31"/>
      <x:c r="L486" s="31"/>
      <x:c r="M486" s="31"/>
      <x:c r="N486" s="31"/>
      <x:c r="O486" s="31"/>
      <x:c r="P486" s="31"/>
      <x:c r="Q486" s="33"/>
      <x:c r="R486" s="33"/>
      <x:c r="S486" s="31"/>
      <x:c r="T486" s="32"/>
      <x:c r="U486" s="31"/>
      <x:c r="V486" s="31"/>
      <x:c r="W486" s="31"/>
      <x:c r="X486" s="31"/>
      <x:c r="Y486" s="31"/>
      <x:c r="Z486" s="31"/>
      <x:c r="AA486" s="31"/>
      <x:c r="AB486" s="31"/>
    </x:row>
    <x:row r="487">
      <x:c r="A487" s="79"/>
      <x:c r="B487" s="31"/>
      <x:c r="C487" s="31"/>
      <x:c r="D487" s="31"/>
      <x:c r="E487" s="31"/>
      <x:c r="F487" s="31"/>
      <x:c r="G487" s="31"/>
      <x:c r="H487" s="31"/>
      <x:c r="I487" s="31"/>
      <x:c r="J487" s="80"/>
      <x:c r="K487" s="31"/>
      <x:c r="L487" s="31"/>
      <x:c r="M487" s="31"/>
      <x:c r="N487" s="31"/>
      <x:c r="O487" s="31"/>
      <x:c r="P487" s="31"/>
      <x:c r="Q487" s="33"/>
      <x:c r="R487" s="33"/>
      <x:c r="S487" s="31"/>
      <x:c r="T487" s="32"/>
      <x:c r="U487" s="31"/>
      <x:c r="V487" s="31"/>
      <x:c r="W487" s="31"/>
      <x:c r="X487" s="31"/>
      <x:c r="Y487" s="31"/>
      <x:c r="Z487" s="31"/>
      <x:c r="AA487" s="31"/>
      <x:c r="AB487" s="31"/>
    </x:row>
    <x:row r="488">
      <x:c r="A488" s="79"/>
      <x:c r="B488" s="31"/>
      <x:c r="C488" s="31"/>
      <x:c r="D488" s="31"/>
      <x:c r="E488" s="31"/>
      <x:c r="F488" s="31"/>
      <x:c r="G488" s="31"/>
      <x:c r="H488" s="31"/>
      <x:c r="I488" s="31"/>
      <x:c r="J488" s="80"/>
      <x:c r="K488" s="31"/>
      <x:c r="L488" s="31"/>
      <x:c r="M488" s="31"/>
      <x:c r="N488" s="31"/>
      <x:c r="O488" s="31"/>
      <x:c r="P488" s="31"/>
      <x:c r="Q488" s="33"/>
      <x:c r="R488" s="33"/>
      <x:c r="S488" s="31"/>
      <x:c r="T488" s="32"/>
      <x:c r="U488" s="31"/>
      <x:c r="V488" s="31"/>
      <x:c r="W488" s="31"/>
      <x:c r="X488" s="31"/>
      <x:c r="Y488" s="31"/>
      <x:c r="Z488" s="31"/>
      <x:c r="AA488" s="31"/>
      <x:c r="AB488" s="31"/>
    </x:row>
    <x:row r="489">
      <x:c r="A489" s="79"/>
      <x:c r="B489" s="31"/>
      <x:c r="C489" s="31"/>
      <x:c r="D489" s="31"/>
      <x:c r="E489" s="31"/>
      <x:c r="F489" s="31"/>
      <x:c r="G489" s="31"/>
      <x:c r="H489" s="31"/>
      <x:c r="I489" s="31"/>
      <x:c r="J489" s="80"/>
      <x:c r="K489" s="31"/>
      <x:c r="L489" s="31"/>
      <x:c r="M489" s="31"/>
      <x:c r="N489" s="31"/>
      <x:c r="O489" s="31"/>
      <x:c r="P489" s="31"/>
      <x:c r="Q489" s="33"/>
      <x:c r="R489" s="33"/>
      <x:c r="S489" s="31"/>
      <x:c r="T489" s="32"/>
      <x:c r="U489" s="31"/>
      <x:c r="V489" s="31"/>
      <x:c r="W489" s="31"/>
      <x:c r="X489" s="31"/>
      <x:c r="Y489" s="31"/>
      <x:c r="Z489" s="31"/>
      <x:c r="AA489" s="31"/>
      <x:c r="AB489" s="31"/>
    </x:row>
    <x:row r="490">
      <x:c r="A490" s="79"/>
      <x:c r="B490" s="31"/>
      <x:c r="C490" s="31"/>
      <x:c r="D490" s="31"/>
      <x:c r="E490" s="31"/>
      <x:c r="F490" s="31"/>
      <x:c r="G490" s="31"/>
      <x:c r="H490" s="31"/>
      <x:c r="I490" s="31"/>
      <x:c r="J490" s="80"/>
      <x:c r="K490" s="31"/>
      <x:c r="L490" s="31"/>
      <x:c r="M490" s="31"/>
      <x:c r="N490" s="31"/>
      <x:c r="O490" s="31"/>
      <x:c r="P490" s="31"/>
      <x:c r="Q490" s="33"/>
      <x:c r="R490" s="33"/>
      <x:c r="S490" s="31"/>
      <x:c r="T490" s="32"/>
      <x:c r="U490" s="31"/>
      <x:c r="V490" s="31"/>
      <x:c r="W490" s="31"/>
      <x:c r="X490" s="31"/>
      <x:c r="Y490" s="31"/>
      <x:c r="Z490" s="31"/>
      <x:c r="AA490" s="31"/>
      <x:c r="AB490" s="31"/>
    </x:row>
    <x:row r="491">
      <x:c r="A491" s="79"/>
      <x:c r="B491" s="31"/>
      <x:c r="C491" s="31"/>
      <x:c r="D491" s="31"/>
      <x:c r="E491" s="31"/>
      <x:c r="F491" s="31"/>
      <x:c r="G491" s="31"/>
      <x:c r="H491" s="31"/>
      <x:c r="I491" s="31"/>
      <x:c r="J491" s="80"/>
      <x:c r="K491" s="31"/>
      <x:c r="L491" s="31"/>
      <x:c r="M491" s="31"/>
      <x:c r="N491" s="31"/>
      <x:c r="O491" s="31"/>
      <x:c r="P491" s="31"/>
      <x:c r="Q491" s="33"/>
      <x:c r="R491" s="33"/>
      <x:c r="S491" s="31"/>
      <x:c r="T491" s="32"/>
      <x:c r="U491" s="31"/>
      <x:c r="V491" s="31"/>
      <x:c r="W491" s="31"/>
      <x:c r="X491" s="31"/>
      <x:c r="Y491" s="31"/>
      <x:c r="Z491" s="31"/>
      <x:c r="AA491" s="31"/>
      <x:c r="AB491" s="31"/>
    </x:row>
    <x:row r="492">
      <x:c r="A492" s="79"/>
      <x:c r="B492" s="31"/>
      <x:c r="C492" s="31"/>
      <x:c r="D492" s="31"/>
      <x:c r="E492" s="31"/>
      <x:c r="F492" s="31"/>
      <x:c r="G492" s="31"/>
      <x:c r="H492" s="31"/>
      <x:c r="I492" s="31"/>
      <x:c r="J492" s="80"/>
      <x:c r="K492" s="31"/>
      <x:c r="L492" s="31"/>
      <x:c r="M492" s="31"/>
      <x:c r="N492" s="31"/>
      <x:c r="O492" s="31"/>
      <x:c r="P492" s="31"/>
      <x:c r="Q492" s="33"/>
      <x:c r="R492" s="33"/>
      <x:c r="S492" s="31"/>
      <x:c r="T492" s="32"/>
      <x:c r="U492" s="31"/>
      <x:c r="V492" s="31"/>
      <x:c r="W492" s="31"/>
      <x:c r="X492" s="31"/>
      <x:c r="Y492" s="31"/>
      <x:c r="Z492" s="31"/>
      <x:c r="AA492" s="31"/>
      <x:c r="AB492" s="31"/>
    </x:row>
    <x:row r="493">
      <x:c r="A493" s="79"/>
      <x:c r="B493" s="31"/>
      <x:c r="C493" s="31"/>
      <x:c r="D493" s="31"/>
      <x:c r="E493" s="31"/>
      <x:c r="F493" s="31"/>
      <x:c r="G493" s="31"/>
      <x:c r="H493" s="31"/>
      <x:c r="I493" s="31"/>
      <x:c r="J493" s="80"/>
      <x:c r="K493" s="31"/>
      <x:c r="L493" s="31"/>
      <x:c r="M493" s="31"/>
      <x:c r="N493" s="31"/>
      <x:c r="O493" s="31"/>
      <x:c r="P493" s="31"/>
      <x:c r="Q493" s="33"/>
      <x:c r="R493" s="33"/>
      <x:c r="S493" s="31"/>
      <x:c r="T493" s="32"/>
      <x:c r="U493" s="31"/>
      <x:c r="V493" s="31"/>
      <x:c r="W493" s="31"/>
      <x:c r="X493" s="31"/>
      <x:c r="Y493" s="31"/>
      <x:c r="Z493" s="31"/>
      <x:c r="AA493" s="31"/>
      <x:c r="AB493" s="31"/>
    </x:row>
    <x:row r="494">
      <x:c r="A494" s="79"/>
      <x:c r="B494" s="31"/>
      <x:c r="C494" s="31"/>
      <x:c r="D494" s="31"/>
      <x:c r="E494" s="31"/>
      <x:c r="F494" s="31"/>
      <x:c r="G494" s="31"/>
      <x:c r="H494" s="31"/>
      <x:c r="I494" s="31"/>
      <x:c r="J494" s="80"/>
      <x:c r="K494" s="31"/>
      <x:c r="L494" s="31"/>
      <x:c r="M494" s="31"/>
      <x:c r="N494" s="31"/>
      <x:c r="O494" s="31"/>
      <x:c r="P494" s="31"/>
      <x:c r="Q494" s="33"/>
      <x:c r="R494" s="33"/>
      <x:c r="S494" s="31"/>
      <x:c r="T494" s="32"/>
      <x:c r="U494" s="31"/>
      <x:c r="V494" s="31"/>
      <x:c r="W494" s="31"/>
      <x:c r="X494" s="31"/>
      <x:c r="Y494" s="31"/>
      <x:c r="Z494" s="31"/>
      <x:c r="AA494" s="31"/>
      <x:c r="AB494" s="31"/>
    </x:row>
    <x:row r="495">
      <x:c r="A495" s="79"/>
      <x:c r="B495" s="31"/>
      <x:c r="C495" s="31"/>
      <x:c r="D495" s="31"/>
      <x:c r="E495" s="31"/>
      <x:c r="F495" s="31"/>
      <x:c r="G495" s="31"/>
      <x:c r="H495" s="31"/>
      <x:c r="I495" s="31"/>
      <x:c r="J495" s="80"/>
      <x:c r="K495" s="31"/>
      <x:c r="L495" s="31"/>
      <x:c r="M495" s="31"/>
      <x:c r="N495" s="31"/>
      <x:c r="O495" s="31"/>
      <x:c r="P495" s="31"/>
      <x:c r="Q495" s="33"/>
      <x:c r="R495" s="33"/>
      <x:c r="S495" s="31"/>
      <x:c r="T495" s="32"/>
      <x:c r="U495" s="31"/>
      <x:c r="V495" s="31"/>
      <x:c r="W495" s="31"/>
      <x:c r="X495" s="31"/>
      <x:c r="Y495" s="31"/>
      <x:c r="Z495" s="31"/>
      <x:c r="AA495" s="31"/>
      <x:c r="AB495" s="31"/>
    </x:row>
    <x:row r="496">
      <x:c r="A496" s="79"/>
      <x:c r="B496" s="31"/>
      <x:c r="C496" s="31"/>
      <x:c r="D496" s="31"/>
      <x:c r="E496" s="31"/>
      <x:c r="F496" s="31"/>
      <x:c r="G496" s="31"/>
      <x:c r="H496" s="31"/>
      <x:c r="I496" s="31"/>
      <x:c r="J496" s="80"/>
      <x:c r="K496" s="31"/>
      <x:c r="L496" s="31"/>
      <x:c r="M496" s="31"/>
      <x:c r="N496" s="31"/>
      <x:c r="O496" s="31"/>
      <x:c r="P496" s="31"/>
      <x:c r="Q496" s="33"/>
      <x:c r="R496" s="33"/>
      <x:c r="S496" s="31"/>
      <x:c r="T496" s="32"/>
      <x:c r="U496" s="31"/>
      <x:c r="V496" s="31"/>
      <x:c r="W496" s="31"/>
      <x:c r="X496" s="31"/>
      <x:c r="Y496" s="31"/>
      <x:c r="Z496" s="31"/>
      <x:c r="AA496" s="31"/>
      <x:c r="AB496" s="31"/>
    </x:row>
    <x:row r="497">
      <x:c r="A497" s="79"/>
      <x:c r="B497" s="31"/>
      <x:c r="C497" s="31"/>
      <x:c r="D497" s="31"/>
      <x:c r="E497" s="31"/>
      <x:c r="F497" s="31"/>
      <x:c r="G497" s="31"/>
      <x:c r="H497" s="31"/>
      <x:c r="I497" s="31"/>
      <x:c r="J497" s="80"/>
      <x:c r="K497" s="31"/>
      <x:c r="L497" s="31"/>
      <x:c r="M497" s="31"/>
      <x:c r="N497" s="31"/>
      <x:c r="O497" s="31"/>
      <x:c r="P497" s="31"/>
      <x:c r="Q497" s="33"/>
      <x:c r="R497" s="33"/>
      <x:c r="S497" s="31"/>
      <x:c r="T497" s="32"/>
      <x:c r="U497" s="31"/>
      <x:c r="V497" s="31"/>
      <x:c r="W497" s="31"/>
      <x:c r="X497" s="31"/>
      <x:c r="Y497" s="31"/>
      <x:c r="Z497" s="31"/>
      <x:c r="AA497" s="31"/>
      <x:c r="AB497" s="31"/>
    </x:row>
    <x:row r="498">
      <x:c r="A498" s="79"/>
      <x:c r="B498" s="31"/>
      <x:c r="C498" s="31"/>
      <x:c r="D498" s="31"/>
      <x:c r="E498" s="31"/>
      <x:c r="F498" s="31"/>
      <x:c r="G498" s="31"/>
      <x:c r="H498" s="31"/>
      <x:c r="I498" s="31"/>
      <x:c r="J498" s="80"/>
      <x:c r="K498" s="31"/>
      <x:c r="L498" s="31"/>
      <x:c r="M498" s="31"/>
      <x:c r="N498" s="31"/>
      <x:c r="O498" s="31"/>
      <x:c r="P498" s="31"/>
      <x:c r="Q498" s="33"/>
      <x:c r="R498" s="33"/>
      <x:c r="S498" s="31"/>
      <x:c r="T498" s="32"/>
      <x:c r="U498" s="31"/>
      <x:c r="V498" s="31"/>
      <x:c r="W498" s="31"/>
      <x:c r="X498" s="31"/>
      <x:c r="Y498" s="31"/>
      <x:c r="Z498" s="31"/>
      <x:c r="AA498" s="31"/>
      <x:c r="AB498" s="31"/>
    </x:row>
    <x:row r="499">
      <x:c r="A499" s="79"/>
      <x:c r="B499" s="31"/>
      <x:c r="C499" s="31"/>
      <x:c r="D499" s="31"/>
      <x:c r="E499" s="31"/>
      <x:c r="F499" s="31"/>
      <x:c r="G499" s="31"/>
      <x:c r="H499" s="31"/>
      <x:c r="I499" s="31"/>
      <x:c r="J499" s="80"/>
      <x:c r="K499" s="31"/>
      <x:c r="L499" s="31"/>
      <x:c r="M499" s="31"/>
      <x:c r="N499" s="31"/>
      <x:c r="O499" s="31"/>
      <x:c r="P499" s="31"/>
      <x:c r="Q499" s="33"/>
      <x:c r="R499" s="33"/>
      <x:c r="S499" s="31"/>
      <x:c r="T499" s="32"/>
      <x:c r="U499" s="31"/>
      <x:c r="V499" s="31"/>
      <x:c r="W499" s="31"/>
      <x:c r="X499" s="31"/>
      <x:c r="Y499" s="31"/>
      <x:c r="Z499" s="31"/>
      <x:c r="AA499" s="31"/>
      <x:c r="AB499" s="31"/>
    </x:row>
    <x:row r="500">
      <x:c r="A500" s="79"/>
      <x:c r="B500" s="31"/>
      <x:c r="C500" s="31"/>
      <x:c r="D500" s="31"/>
      <x:c r="E500" s="31"/>
      <x:c r="F500" s="31"/>
      <x:c r="G500" s="31"/>
      <x:c r="H500" s="31"/>
      <x:c r="I500" s="31"/>
      <x:c r="J500" s="80"/>
      <x:c r="K500" s="31"/>
      <x:c r="L500" s="31"/>
      <x:c r="M500" s="31"/>
      <x:c r="N500" s="31"/>
      <x:c r="O500" s="31"/>
      <x:c r="P500" s="31"/>
      <x:c r="Q500" s="33"/>
      <x:c r="R500" s="33"/>
      <x:c r="S500" s="31"/>
      <x:c r="T500" s="32"/>
      <x:c r="U500" s="31"/>
      <x:c r="V500" s="31"/>
      <x:c r="W500" s="31"/>
      <x:c r="X500" s="31"/>
      <x:c r="Y500" s="31"/>
      <x:c r="Z500" s="31"/>
      <x:c r="AA500" s="31"/>
      <x:c r="AB500" s="31"/>
    </x:row>
  </x:sheetData>
  <x:dataValidations count="7">
    <x:dataValidation type="list" sqref="D2:D500">
      <x:formula1>"ACTUAL,PAPER"</x:formula1>
    </x:dataValidation>
    <x:dataValidation type="list" sqref="K2:K500">
      <x:formula1>"SOURCED,DISCOVERED,HYBRID"</x:formula1>
    </x:dataValidation>
    <x:dataValidation type="list" sqref="L2:L500">
      <x:formula1>"A,B,C,WATCH"</x:formula1>
    </x:dataValidation>
    <x:dataValidation type="list" sqref="N2:N500">
      <x:formula1>"Y,N"</x:formula1>
    </x:dataValidation>
    <x:dataValidation type="list" sqref="O2:O500">
      <x:formula1>"Win,Loss,Push,Pending"</x:formula1>
    </x:dataValidation>
    <x:dataValidation type="list" sqref="V2:V500">
      <x:formula1>"LEFT_OFF_REAL_CARD,HYPOTHESIS_TEST,ALT_MARKET_TEST,THRESHOLD_TEST,PRICE_TEST,CONSTRUCTION_TEST"</x:formula1>
    </x:dataValidation>
    <x:dataValidation type="list" sqref="W2:W500">
      <x:formula1>"EXP-01,EXP-02,EXP-03,EXP-04,EXP-05,EXP-06,EXP-07,EXP-08,EXP-09,EXP-10"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8" hidden="0" customWidth="1"/>
    <x:col min="5" max="5" width="18" hidden="0" customWidth="1"/>
    <x:col min="6" max="6" width="9" hidden="0" customWidth="1"/>
    <x:col min="7" max="7" width="10" hidden="0" customWidth="1"/>
    <x:col min="8" max="8" width="10" hidden="0" customWidth="1"/>
    <x:col min="9" max="9" width="9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2" hidden="0" customWidth="1"/>
    <x:col min="15" max="15" width="14" hidden="0" customWidth="1"/>
    <x:col min="16" max="16" width="12" hidden="0" customWidth="1"/>
    <x:col min="17" max="17" width="10" hidden="0" customWidth="1"/>
    <x:col min="18" max="18" width="14" hidden="0" customWidth="1"/>
    <x:col min="19" max="19" width="14" hidden="0" customWidth="1"/>
    <x:col min="20" max="20" width="14" hidden="0" customWidth="1"/>
    <x:col min="21" max="21" width="16" hidden="0" customWidth="1"/>
    <x:col min="22" max="22" width="14" hidden="0" customWidth="1"/>
    <x:col min="23" max="23" width="18" hidden="0" customWidth="1"/>
    <x:col min="24" max="24" width="12" hidden="0" customWidth="1"/>
    <x:col min="25" max="25" width="32" hidden="0" customWidth="1"/>
  </x:cols>
  <x:sheetData>
    <x:row r="1">
      <x:c r="A1" s="78" t="str">
        <x:v>Date</x:v>
      </x:c>
      <x:c r="B1" s="78" t="str">
        <x:v>Candidate ID</x:v>
      </x:c>
      <x:c r="C1" s="78" t="str">
        <x:v>Pitcher</x:v>
      </x:c>
      <x:c r="D1" s="78" t="str">
        <x:v>Opponent</x:v>
      </x:c>
      <x:c r="E1" s="78" t="str">
        <x:v>Market</x:v>
      </x:c>
      <x:c r="F1" s="78" t="str">
        <x:v>Line</x:v>
      </x:c>
      <x:c r="G1" s="78" t="str">
        <x:v>Odds</x:v>
      </x:c>
      <x:c r="H1" s="78" t="str">
        <x:v>Decision</x:v>
      </x:c>
      <x:c r="I1" s="78" t="str">
        <x:v>Result</x:v>
      </x:c>
      <x:c r="J1" s="78" t="str">
        <x:v>Pitcher K%</x:v>
      </x:c>
      <x:c r="K1" s="78" t="str">
        <x:v>SwStr%</x:v>
      </x:c>
      <x:c r="L1" s="78" t="str">
        <x:v>CSW%</x:v>
      </x:c>
      <x:c r="M1" s="78" t="str">
        <x:v>Opp K% vs Hand</x:v>
      </x:c>
      <x:c r="N1" s="78" t="str">
        <x:v>Projected BF</x:v>
      </x:c>
      <x:c r="O1" s="78" t="str">
        <x:v>Avg Pitches/Start</x:v>
      </x:c>
      <x:c r="P1" s="78" t="str">
        <x:v>Avg IP/Start</x:v>
      </x:c>
      <x:c r="Q1" s="78" t="str">
        <x:v>Pitches/PA</x:v>
      </x:c>
      <x:c r="R1" s="78" t="str">
        <x:v>Recent Pitch Count</x:v>
      </x:c>
      <x:c r="S1" s="78" t="str">
        <x:v>Bullpen Availability Score</x:v>
      </x:c>
      <x:c r="T1" s="78" t="str">
        <x:v>Manager Leash Score</x:v>
      </x:c>
      <x:c r="U1" s="78" t="str">
        <x:v>Pitch-Mix Edge Score</x:v>
      </x:c>
      <x:c r="V1" s="78" t="str">
        <x:v>Recent Raw Hit Rate</x:v>
      </x:c>
      <x:c r="W1" s="78" t="str">
        <x:v>Recent Underlying Trend Score</x:v>
      </x:c>
      <x:c r="X1" s="78" t="str">
        <x:v>Price Edge Est.</x:v>
      </x:c>
      <x:c r="Y1" s="78" t="str">
        <x:v>Notes</x:v>
      </x:c>
    </x:row>
    <x:row r="2">
      <x:c r="A2" s="79"/>
      <x:c r="B2" s="31"/>
      <x:c r="C2" s="31"/>
      <x:c r="D2" s="31"/>
      <x:c r="E2" s="31"/>
      <x:c r="F2" s="31"/>
      <x:c r="G2" s="31"/>
      <x:c r="H2" s="31"/>
      <x:c r="I2" s="31"/>
      <x:c r="J2" s="32"/>
      <x:c r="K2" s="32"/>
      <x:c r="L2" s="32"/>
      <x:c r="M2" s="32"/>
      <x:c r="N2" s="31"/>
      <x:c r="O2" s="31"/>
      <x:c r="P2" s="31"/>
      <x:c r="Q2" s="32"/>
      <x:c r="R2" s="31"/>
      <x:c r="S2" s="31"/>
      <x:c r="T2" s="31"/>
      <x:c r="U2" s="31"/>
      <x:c r="V2" s="32"/>
      <x:c r="W2" s="31"/>
      <x:c r="X2" s="32"/>
      <x:c r="Y2" s="31"/>
    </x:row>
    <x:row r="3">
      <x:c r="A3" s="79"/>
      <x:c r="B3" s="31"/>
      <x:c r="C3" s="31"/>
      <x:c r="D3" s="31"/>
      <x:c r="E3" s="31"/>
      <x:c r="F3" s="31"/>
      <x:c r="G3" s="31"/>
      <x:c r="H3" s="31"/>
      <x:c r="I3" s="31"/>
      <x:c r="J3" s="32"/>
      <x:c r="K3" s="32"/>
      <x:c r="L3" s="32"/>
      <x:c r="M3" s="32"/>
      <x:c r="N3" s="31"/>
      <x:c r="O3" s="31"/>
      <x:c r="P3" s="31"/>
      <x:c r="Q3" s="32"/>
      <x:c r="R3" s="31"/>
      <x:c r="S3" s="31"/>
      <x:c r="T3" s="31"/>
      <x:c r="U3" s="31"/>
      <x:c r="V3" s="32"/>
      <x:c r="W3" s="31"/>
      <x:c r="X3" s="32"/>
      <x:c r="Y3" s="31"/>
    </x:row>
    <x:row r="4">
      <x:c r="A4" s="79"/>
      <x:c r="B4" s="31"/>
      <x:c r="C4" s="31"/>
      <x:c r="D4" s="31"/>
      <x:c r="E4" s="31"/>
      <x:c r="F4" s="31"/>
      <x:c r="G4" s="31"/>
      <x:c r="H4" s="31"/>
      <x:c r="I4" s="31"/>
      <x:c r="J4" s="32"/>
      <x:c r="K4" s="32"/>
      <x:c r="L4" s="32"/>
      <x:c r="M4" s="32"/>
      <x:c r="N4" s="31"/>
      <x:c r="O4" s="31"/>
      <x:c r="P4" s="31"/>
      <x:c r="Q4" s="32"/>
      <x:c r="R4" s="31"/>
      <x:c r="S4" s="31"/>
      <x:c r="T4" s="31"/>
      <x:c r="U4" s="31"/>
      <x:c r="V4" s="32"/>
      <x:c r="W4" s="31"/>
      <x:c r="X4" s="32"/>
      <x:c r="Y4" s="31"/>
    </x:row>
    <x:row r="5">
      <x:c r="A5" s="79"/>
      <x:c r="B5" s="31"/>
      <x:c r="C5" s="31"/>
      <x:c r="D5" s="31"/>
      <x:c r="E5" s="31"/>
      <x:c r="F5" s="31"/>
      <x:c r="G5" s="31"/>
      <x:c r="H5" s="31"/>
      <x:c r="I5" s="31"/>
      <x:c r="J5" s="32"/>
      <x:c r="K5" s="32"/>
      <x:c r="L5" s="32"/>
      <x:c r="M5" s="32"/>
      <x:c r="N5" s="31"/>
      <x:c r="O5" s="31"/>
      <x:c r="P5" s="31"/>
      <x:c r="Q5" s="32"/>
      <x:c r="R5" s="31"/>
      <x:c r="S5" s="31"/>
      <x:c r="T5" s="31"/>
      <x:c r="U5" s="31"/>
      <x:c r="V5" s="32"/>
      <x:c r="W5" s="31"/>
      <x:c r="X5" s="32"/>
      <x:c r="Y5" s="31"/>
    </x:row>
    <x:row r="6">
      <x:c r="A6" s="79"/>
      <x:c r="B6" s="31"/>
      <x:c r="C6" s="31"/>
      <x:c r="D6" s="31"/>
      <x:c r="E6" s="31"/>
      <x:c r="F6" s="31"/>
      <x:c r="G6" s="31"/>
      <x:c r="H6" s="31"/>
      <x:c r="I6" s="31"/>
      <x:c r="J6" s="32"/>
      <x:c r="K6" s="32"/>
      <x:c r="L6" s="32"/>
      <x:c r="M6" s="32"/>
      <x:c r="N6" s="31"/>
      <x:c r="O6" s="31"/>
      <x:c r="P6" s="31"/>
      <x:c r="Q6" s="32"/>
      <x:c r="R6" s="31"/>
      <x:c r="S6" s="31"/>
      <x:c r="T6" s="31"/>
      <x:c r="U6" s="31"/>
      <x:c r="V6" s="32"/>
      <x:c r="W6" s="31"/>
      <x:c r="X6" s="32"/>
      <x:c r="Y6" s="31"/>
    </x:row>
    <x:row r="7">
      <x:c r="A7" s="79"/>
      <x:c r="B7" s="31"/>
      <x:c r="C7" s="31"/>
      <x:c r="D7" s="31"/>
      <x:c r="E7" s="31"/>
      <x:c r="F7" s="31"/>
      <x:c r="G7" s="31"/>
      <x:c r="H7" s="31"/>
      <x:c r="I7" s="31"/>
      <x:c r="J7" s="32"/>
      <x:c r="K7" s="32"/>
      <x:c r="L7" s="32"/>
      <x:c r="M7" s="32"/>
      <x:c r="N7" s="31"/>
      <x:c r="O7" s="31"/>
      <x:c r="P7" s="31"/>
      <x:c r="Q7" s="32"/>
      <x:c r="R7" s="31"/>
      <x:c r="S7" s="31"/>
      <x:c r="T7" s="31"/>
      <x:c r="U7" s="31"/>
      <x:c r="V7" s="32"/>
      <x:c r="W7" s="31"/>
      <x:c r="X7" s="32"/>
      <x:c r="Y7" s="31"/>
    </x:row>
    <x:row r="8">
      <x:c r="A8" s="79"/>
      <x:c r="B8" s="31"/>
      <x:c r="C8" s="31"/>
      <x:c r="D8" s="31"/>
      <x:c r="E8" s="31"/>
      <x:c r="F8" s="31"/>
      <x:c r="G8" s="31"/>
      <x:c r="H8" s="31"/>
      <x:c r="I8" s="31"/>
      <x:c r="J8" s="32"/>
      <x:c r="K8" s="32"/>
      <x:c r="L8" s="32"/>
      <x:c r="M8" s="32"/>
      <x:c r="N8" s="31"/>
      <x:c r="O8" s="31"/>
      <x:c r="P8" s="31"/>
      <x:c r="Q8" s="32"/>
      <x:c r="R8" s="31"/>
      <x:c r="S8" s="31"/>
      <x:c r="T8" s="31"/>
      <x:c r="U8" s="31"/>
      <x:c r="V8" s="32"/>
      <x:c r="W8" s="31"/>
      <x:c r="X8" s="32"/>
      <x:c r="Y8" s="31"/>
    </x:row>
    <x:row r="9">
      <x:c r="A9" s="79"/>
      <x:c r="B9" s="31"/>
      <x:c r="C9" s="31"/>
      <x:c r="D9" s="31"/>
      <x:c r="E9" s="31"/>
      <x:c r="F9" s="31"/>
      <x:c r="G9" s="31"/>
      <x:c r="H9" s="31"/>
      <x:c r="I9" s="31"/>
      <x:c r="J9" s="32"/>
      <x:c r="K9" s="32"/>
      <x:c r="L9" s="32"/>
      <x:c r="M9" s="32"/>
      <x:c r="N9" s="31"/>
      <x:c r="O9" s="31"/>
      <x:c r="P9" s="31"/>
      <x:c r="Q9" s="32"/>
      <x:c r="R9" s="31"/>
      <x:c r="S9" s="31"/>
      <x:c r="T9" s="31"/>
      <x:c r="U9" s="31"/>
      <x:c r="V9" s="32"/>
      <x:c r="W9" s="31"/>
      <x:c r="X9" s="32"/>
      <x:c r="Y9" s="31"/>
    </x:row>
    <x:row r="10">
      <x:c r="A10" s="79"/>
      <x:c r="B10" s="31"/>
      <x:c r="C10" s="31"/>
      <x:c r="D10" s="31"/>
      <x:c r="E10" s="31"/>
      <x:c r="F10" s="31"/>
      <x:c r="G10" s="31"/>
      <x:c r="H10" s="31"/>
      <x:c r="I10" s="31"/>
      <x:c r="J10" s="32"/>
      <x:c r="K10" s="32"/>
      <x:c r="L10" s="32"/>
      <x:c r="M10" s="32"/>
      <x:c r="N10" s="31"/>
      <x:c r="O10" s="31"/>
      <x:c r="P10" s="31"/>
      <x:c r="Q10" s="32"/>
      <x:c r="R10" s="31"/>
      <x:c r="S10" s="31"/>
      <x:c r="T10" s="31"/>
      <x:c r="U10" s="31"/>
      <x:c r="V10" s="32"/>
      <x:c r="W10" s="31"/>
      <x:c r="X10" s="32"/>
      <x:c r="Y10" s="31"/>
    </x:row>
    <x:row r="11">
      <x:c r="A11" s="79"/>
      <x:c r="B11" s="31"/>
      <x:c r="C11" s="31"/>
      <x:c r="D11" s="31"/>
      <x:c r="E11" s="31"/>
      <x:c r="F11" s="31"/>
      <x:c r="G11" s="31"/>
      <x:c r="H11" s="31"/>
      <x:c r="I11" s="31"/>
      <x:c r="J11" s="32"/>
      <x:c r="K11" s="32"/>
      <x:c r="L11" s="32"/>
      <x:c r="M11" s="32"/>
      <x:c r="N11" s="31"/>
      <x:c r="O11" s="31"/>
      <x:c r="P11" s="31"/>
      <x:c r="Q11" s="32"/>
      <x:c r="R11" s="31"/>
      <x:c r="S11" s="31"/>
      <x:c r="T11" s="31"/>
      <x:c r="U11" s="31"/>
      <x:c r="V11" s="32"/>
      <x:c r="W11" s="31"/>
      <x:c r="X11" s="32"/>
      <x:c r="Y11" s="31"/>
    </x:row>
    <x:row r="12">
      <x:c r="A12" s="79"/>
      <x:c r="B12" s="31"/>
      <x:c r="C12" s="31"/>
      <x:c r="D12" s="31"/>
      <x:c r="E12" s="31"/>
      <x:c r="F12" s="31"/>
      <x:c r="G12" s="31"/>
      <x:c r="H12" s="31"/>
      <x:c r="I12" s="31"/>
      <x:c r="J12" s="32"/>
      <x:c r="K12" s="32"/>
      <x:c r="L12" s="32"/>
      <x:c r="M12" s="32"/>
      <x:c r="N12" s="31"/>
      <x:c r="O12" s="31"/>
      <x:c r="P12" s="31"/>
      <x:c r="Q12" s="32"/>
      <x:c r="R12" s="31"/>
      <x:c r="S12" s="31"/>
      <x:c r="T12" s="31"/>
      <x:c r="U12" s="31"/>
      <x:c r="V12" s="32"/>
      <x:c r="W12" s="31"/>
      <x:c r="X12" s="32"/>
      <x:c r="Y12" s="31"/>
    </x:row>
    <x:row r="13">
      <x:c r="A13" s="79"/>
      <x:c r="B13" s="31"/>
      <x:c r="C13" s="31"/>
      <x:c r="D13" s="31"/>
      <x:c r="E13" s="31"/>
      <x:c r="F13" s="31"/>
      <x:c r="G13" s="31"/>
      <x:c r="H13" s="31"/>
      <x:c r="I13" s="31"/>
      <x:c r="J13" s="32"/>
      <x:c r="K13" s="32"/>
      <x:c r="L13" s="32"/>
      <x:c r="M13" s="32"/>
      <x:c r="N13" s="31"/>
      <x:c r="O13" s="31"/>
      <x:c r="P13" s="31"/>
      <x:c r="Q13" s="32"/>
      <x:c r="R13" s="31"/>
      <x:c r="S13" s="31"/>
      <x:c r="T13" s="31"/>
      <x:c r="U13" s="31"/>
      <x:c r="V13" s="32"/>
      <x:c r="W13" s="31"/>
      <x:c r="X13" s="32"/>
      <x:c r="Y13" s="31"/>
    </x:row>
    <x:row r="14">
      <x:c r="A14" s="79"/>
      <x:c r="B14" s="31"/>
      <x:c r="C14" s="31"/>
      <x:c r="D14" s="31"/>
      <x:c r="E14" s="31"/>
      <x:c r="F14" s="31"/>
      <x:c r="G14" s="31"/>
      <x:c r="H14" s="31"/>
      <x:c r="I14" s="31"/>
      <x:c r="J14" s="32"/>
      <x:c r="K14" s="32"/>
      <x:c r="L14" s="32"/>
      <x:c r="M14" s="32"/>
      <x:c r="N14" s="31"/>
      <x:c r="O14" s="31"/>
      <x:c r="P14" s="31"/>
      <x:c r="Q14" s="32"/>
      <x:c r="R14" s="31"/>
      <x:c r="S14" s="31"/>
      <x:c r="T14" s="31"/>
      <x:c r="U14" s="31"/>
      <x:c r="V14" s="32"/>
      <x:c r="W14" s="31"/>
      <x:c r="X14" s="32"/>
      <x:c r="Y14" s="31"/>
    </x:row>
    <x:row r="15">
      <x:c r="A15" s="79"/>
      <x:c r="B15" s="31"/>
      <x:c r="C15" s="31"/>
      <x:c r="D15" s="31"/>
      <x:c r="E15" s="31"/>
      <x:c r="F15" s="31"/>
      <x:c r="G15" s="31"/>
      <x:c r="H15" s="31"/>
      <x:c r="I15" s="31"/>
      <x:c r="J15" s="32"/>
      <x:c r="K15" s="32"/>
      <x:c r="L15" s="32"/>
      <x:c r="M15" s="32"/>
      <x:c r="N15" s="31"/>
      <x:c r="O15" s="31"/>
      <x:c r="P15" s="31"/>
      <x:c r="Q15" s="32"/>
      <x:c r="R15" s="31"/>
      <x:c r="S15" s="31"/>
      <x:c r="T15" s="31"/>
      <x:c r="U15" s="31"/>
      <x:c r="V15" s="32"/>
      <x:c r="W15" s="31"/>
      <x:c r="X15" s="32"/>
      <x:c r="Y15" s="31"/>
    </x:row>
    <x:row r="16">
      <x:c r="A16" s="79"/>
      <x:c r="B16" s="31"/>
      <x:c r="C16" s="31"/>
      <x:c r="D16" s="31"/>
      <x:c r="E16" s="31"/>
      <x:c r="F16" s="31"/>
      <x:c r="G16" s="31"/>
      <x:c r="H16" s="31"/>
      <x:c r="I16" s="31"/>
      <x:c r="J16" s="32"/>
      <x:c r="K16" s="32"/>
      <x:c r="L16" s="32"/>
      <x:c r="M16" s="32"/>
      <x:c r="N16" s="31"/>
      <x:c r="O16" s="31"/>
      <x:c r="P16" s="31"/>
      <x:c r="Q16" s="32"/>
      <x:c r="R16" s="31"/>
      <x:c r="S16" s="31"/>
      <x:c r="T16" s="31"/>
      <x:c r="U16" s="31"/>
      <x:c r="V16" s="32"/>
      <x:c r="W16" s="31"/>
      <x:c r="X16" s="32"/>
      <x:c r="Y16" s="31"/>
    </x:row>
    <x:row r="17">
      <x:c r="A17" s="79"/>
      <x:c r="B17" s="31"/>
      <x:c r="C17" s="31"/>
      <x:c r="D17" s="31"/>
      <x:c r="E17" s="31"/>
      <x:c r="F17" s="31"/>
      <x:c r="G17" s="31"/>
      <x:c r="H17" s="31"/>
      <x:c r="I17" s="31"/>
      <x:c r="J17" s="32"/>
      <x:c r="K17" s="32"/>
      <x:c r="L17" s="32"/>
      <x:c r="M17" s="32"/>
      <x:c r="N17" s="31"/>
      <x:c r="O17" s="31"/>
      <x:c r="P17" s="31"/>
      <x:c r="Q17" s="32"/>
      <x:c r="R17" s="31"/>
      <x:c r="S17" s="31"/>
      <x:c r="T17" s="31"/>
      <x:c r="U17" s="31"/>
      <x:c r="V17" s="32"/>
      <x:c r="W17" s="31"/>
      <x:c r="X17" s="32"/>
      <x:c r="Y17" s="31"/>
    </x:row>
    <x:row r="18">
      <x:c r="A18" s="79"/>
      <x:c r="B18" s="31"/>
      <x:c r="C18" s="31"/>
      <x:c r="D18" s="31"/>
      <x:c r="E18" s="31"/>
      <x:c r="F18" s="31"/>
      <x:c r="G18" s="31"/>
      <x:c r="H18" s="31"/>
      <x:c r="I18" s="31"/>
      <x:c r="J18" s="32"/>
      <x:c r="K18" s="32"/>
      <x:c r="L18" s="32"/>
      <x:c r="M18" s="32"/>
      <x:c r="N18" s="31"/>
      <x:c r="O18" s="31"/>
      <x:c r="P18" s="31"/>
      <x:c r="Q18" s="32"/>
      <x:c r="R18" s="31"/>
      <x:c r="S18" s="31"/>
      <x:c r="T18" s="31"/>
      <x:c r="U18" s="31"/>
      <x:c r="V18" s="32"/>
      <x:c r="W18" s="31"/>
      <x:c r="X18" s="32"/>
      <x:c r="Y18" s="31"/>
    </x:row>
    <x:row r="19">
      <x:c r="A19" s="79"/>
      <x:c r="B19" s="31"/>
      <x:c r="C19" s="31"/>
      <x:c r="D19" s="31"/>
      <x:c r="E19" s="31"/>
      <x:c r="F19" s="31"/>
      <x:c r="G19" s="31"/>
      <x:c r="H19" s="31"/>
      <x:c r="I19" s="31"/>
      <x:c r="J19" s="32"/>
      <x:c r="K19" s="32"/>
      <x:c r="L19" s="32"/>
      <x:c r="M19" s="32"/>
      <x:c r="N19" s="31"/>
      <x:c r="O19" s="31"/>
      <x:c r="P19" s="31"/>
      <x:c r="Q19" s="32"/>
      <x:c r="R19" s="31"/>
      <x:c r="S19" s="31"/>
      <x:c r="T19" s="31"/>
      <x:c r="U19" s="31"/>
      <x:c r="V19" s="32"/>
      <x:c r="W19" s="31"/>
      <x:c r="X19" s="32"/>
      <x:c r="Y19" s="31"/>
    </x:row>
    <x:row r="20">
      <x:c r="A20" s="79"/>
      <x:c r="B20" s="31"/>
      <x:c r="C20" s="31"/>
      <x:c r="D20" s="31"/>
      <x:c r="E20" s="31"/>
      <x:c r="F20" s="31"/>
      <x:c r="G20" s="31"/>
      <x:c r="H20" s="31"/>
      <x:c r="I20" s="31"/>
      <x:c r="J20" s="32"/>
      <x:c r="K20" s="32"/>
      <x:c r="L20" s="32"/>
      <x:c r="M20" s="32"/>
      <x:c r="N20" s="31"/>
      <x:c r="O20" s="31"/>
      <x:c r="P20" s="31"/>
      <x:c r="Q20" s="32"/>
      <x:c r="R20" s="31"/>
      <x:c r="S20" s="31"/>
      <x:c r="T20" s="31"/>
      <x:c r="U20" s="31"/>
      <x:c r="V20" s="32"/>
      <x:c r="W20" s="31"/>
      <x:c r="X20" s="32"/>
      <x:c r="Y20" s="31"/>
    </x:row>
    <x:row r="21">
      <x:c r="A21" s="79"/>
      <x:c r="B21" s="31"/>
      <x:c r="C21" s="31"/>
      <x:c r="D21" s="31"/>
      <x:c r="E21" s="31"/>
      <x:c r="F21" s="31"/>
      <x:c r="G21" s="31"/>
      <x:c r="H21" s="31"/>
      <x:c r="I21" s="31"/>
      <x:c r="J21" s="32"/>
      <x:c r="K21" s="32"/>
      <x:c r="L21" s="32"/>
      <x:c r="M21" s="32"/>
      <x:c r="N21" s="31"/>
      <x:c r="O21" s="31"/>
      <x:c r="P21" s="31"/>
      <x:c r="Q21" s="32"/>
      <x:c r="R21" s="31"/>
      <x:c r="S21" s="31"/>
      <x:c r="T21" s="31"/>
      <x:c r="U21" s="31"/>
      <x:c r="V21" s="32"/>
      <x:c r="W21" s="31"/>
      <x:c r="X21" s="32"/>
      <x:c r="Y21" s="31"/>
    </x:row>
    <x:row r="22">
      <x:c r="A22" s="79"/>
      <x:c r="B22" s="31"/>
      <x:c r="C22" s="31"/>
      <x:c r="D22" s="31"/>
      <x:c r="E22" s="31"/>
      <x:c r="F22" s="31"/>
      <x:c r="G22" s="31"/>
      <x:c r="H22" s="31"/>
      <x:c r="I22" s="31"/>
      <x:c r="J22" s="32"/>
      <x:c r="K22" s="32"/>
      <x:c r="L22" s="32"/>
      <x:c r="M22" s="32"/>
      <x:c r="N22" s="31"/>
      <x:c r="O22" s="31"/>
      <x:c r="P22" s="31"/>
      <x:c r="Q22" s="32"/>
      <x:c r="R22" s="31"/>
      <x:c r="S22" s="31"/>
      <x:c r="T22" s="31"/>
      <x:c r="U22" s="31"/>
      <x:c r="V22" s="32"/>
      <x:c r="W22" s="31"/>
      <x:c r="X22" s="32"/>
      <x:c r="Y22" s="31"/>
    </x:row>
    <x:row r="23">
      <x:c r="A23" s="79"/>
      <x:c r="B23" s="31"/>
      <x:c r="C23" s="31"/>
      <x:c r="D23" s="31"/>
      <x:c r="E23" s="31"/>
      <x:c r="F23" s="31"/>
      <x:c r="G23" s="31"/>
      <x:c r="H23" s="31"/>
      <x:c r="I23" s="31"/>
      <x:c r="J23" s="32"/>
      <x:c r="K23" s="32"/>
      <x:c r="L23" s="32"/>
      <x:c r="M23" s="32"/>
      <x:c r="N23" s="31"/>
      <x:c r="O23" s="31"/>
      <x:c r="P23" s="31"/>
      <x:c r="Q23" s="32"/>
      <x:c r="R23" s="31"/>
      <x:c r="S23" s="31"/>
      <x:c r="T23" s="31"/>
      <x:c r="U23" s="31"/>
      <x:c r="V23" s="32"/>
      <x:c r="W23" s="31"/>
      <x:c r="X23" s="32"/>
      <x:c r="Y23" s="31"/>
    </x:row>
    <x:row r="24">
      <x:c r="A24" s="79"/>
      <x:c r="B24" s="31"/>
      <x:c r="C24" s="31"/>
      <x:c r="D24" s="31"/>
      <x:c r="E24" s="31"/>
      <x:c r="F24" s="31"/>
      <x:c r="G24" s="31"/>
      <x:c r="H24" s="31"/>
      <x:c r="I24" s="31"/>
      <x:c r="J24" s="32"/>
      <x:c r="K24" s="32"/>
      <x:c r="L24" s="32"/>
      <x:c r="M24" s="32"/>
      <x:c r="N24" s="31"/>
      <x:c r="O24" s="31"/>
      <x:c r="P24" s="31"/>
      <x:c r="Q24" s="32"/>
      <x:c r="R24" s="31"/>
      <x:c r="S24" s="31"/>
      <x:c r="T24" s="31"/>
      <x:c r="U24" s="31"/>
      <x:c r="V24" s="32"/>
      <x:c r="W24" s="31"/>
      <x:c r="X24" s="32"/>
      <x:c r="Y24" s="31"/>
    </x:row>
    <x:row r="25">
      <x:c r="A25" s="79"/>
      <x:c r="B25" s="31"/>
      <x:c r="C25" s="31"/>
      <x:c r="D25" s="31"/>
      <x:c r="E25" s="31"/>
      <x:c r="F25" s="31"/>
      <x:c r="G25" s="31"/>
      <x:c r="H25" s="31"/>
      <x:c r="I25" s="31"/>
      <x:c r="J25" s="32"/>
      <x:c r="K25" s="32"/>
      <x:c r="L25" s="32"/>
      <x:c r="M25" s="32"/>
      <x:c r="N25" s="31"/>
      <x:c r="O25" s="31"/>
      <x:c r="P25" s="31"/>
      <x:c r="Q25" s="32"/>
      <x:c r="R25" s="31"/>
      <x:c r="S25" s="31"/>
      <x:c r="T25" s="31"/>
      <x:c r="U25" s="31"/>
      <x:c r="V25" s="32"/>
      <x:c r="W25" s="31"/>
      <x:c r="X25" s="32"/>
      <x:c r="Y25" s="31"/>
    </x:row>
    <x:row r="26">
      <x:c r="A26" s="79"/>
      <x:c r="B26" s="31"/>
      <x:c r="C26" s="31"/>
      <x:c r="D26" s="31"/>
      <x:c r="E26" s="31"/>
      <x:c r="F26" s="31"/>
      <x:c r="G26" s="31"/>
      <x:c r="H26" s="31"/>
      <x:c r="I26" s="31"/>
      <x:c r="J26" s="32"/>
      <x:c r="K26" s="32"/>
      <x:c r="L26" s="32"/>
      <x:c r="M26" s="32"/>
      <x:c r="N26" s="31"/>
      <x:c r="O26" s="31"/>
      <x:c r="P26" s="31"/>
      <x:c r="Q26" s="32"/>
      <x:c r="R26" s="31"/>
      <x:c r="S26" s="31"/>
      <x:c r="T26" s="31"/>
      <x:c r="U26" s="31"/>
      <x:c r="V26" s="32"/>
      <x:c r="W26" s="31"/>
      <x:c r="X26" s="32"/>
      <x:c r="Y26" s="31"/>
    </x:row>
    <x:row r="27">
      <x:c r="A27" s="79"/>
      <x:c r="B27" s="31"/>
      <x:c r="C27" s="31"/>
      <x:c r="D27" s="31"/>
      <x:c r="E27" s="31"/>
      <x:c r="F27" s="31"/>
      <x:c r="G27" s="31"/>
      <x:c r="H27" s="31"/>
      <x:c r="I27" s="31"/>
      <x:c r="J27" s="32"/>
      <x:c r="K27" s="32"/>
      <x:c r="L27" s="32"/>
      <x:c r="M27" s="32"/>
      <x:c r="N27" s="31"/>
      <x:c r="O27" s="31"/>
      <x:c r="P27" s="31"/>
      <x:c r="Q27" s="32"/>
      <x:c r="R27" s="31"/>
      <x:c r="S27" s="31"/>
      <x:c r="T27" s="31"/>
      <x:c r="U27" s="31"/>
      <x:c r="V27" s="32"/>
      <x:c r="W27" s="31"/>
      <x:c r="X27" s="32"/>
      <x:c r="Y27" s="31"/>
    </x:row>
    <x:row r="28">
      <x:c r="A28" s="79"/>
      <x:c r="B28" s="31"/>
      <x:c r="C28" s="31"/>
      <x:c r="D28" s="31"/>
      <x:c r="E28" s="31"/>
      <x:c r="F28" s="31"/>
      <x:c r="G28" s="31"/>
      <x:c r="H28" s="31"/>
      <x:c r="I28" s="31"/>
      <x:c r="J28" s="32"/>
      <x:c r="K28" s="32"/>
      <x:c r="L28" s="32"/>
      <x:c r="M28" s="32"/>
      <x:c r="N28" s="31"/>
      <x:c r="O28" s="31"/>
      <x:c r="P28" s="31"/>
      <x:c r="Q28" s="32"/>
      <x:c r="R28" s="31"/>
      <x:c r="S28" s="31"/>
      <x:c r="T28" s="31"/>
      <x:c r="U28" s="31"/>
      <x:c r="V28" s="32"/>
      <x:c r="W28" s="31"/>
      <x:c r="X28" s="32"/>
      <x:c r="Y28" s="31"/>
    </x:row>
    <x:row r="29">
      <x:c r="A29" s="79"/>
      <x:c r="B29" s="31"/>
      <x:c r="C29" s="31"/>
      <x:c r="D29" s="31"/>
      <x:c r="E29" s="31"/>
      <x:c r="F29" s="31"/>
      <x:c r="G29" s="31"/>
      <x:c r="H29" s="31"/>
      <x:c r="I29" s="31"/>
      <x:c r="J29" s="32"/>
      <x:c r="K29" s="32"/>
      <x:c r="L29" s="32"/>
      <x:c r="M29" s="32"/>
      <x:c r="N29" s="31"/>
      <x:c r="O29" s="31"/>
      <x:c r="P29" s="31"/>
      <x:c r="Q29" s="32"/>
      <x:c r="R29" s="31"/>
      <x:c r="S29" s="31"/>
      <x:c r="T29" s="31"/>
      <x:c r="U29" s="31"/>
      <x:c r="V29" s="32"/>
      <x:c r="W29" s="31"/>
      <x:c r="X29" s="32"/>
      <x:c r="Y29" s="31"/>
    </x:row>
    <x:row r="30">
      <x:c r="A30" s="79"/>
      <x:c r="B30" s="31"/>
      <x:c r="C30" s="31"/>
      <x:c r="D30" s="31"/>
      <x:c r="E30" s="31"/>
      <x:c r="F30" s="31"/>
      <x:c r="G30" s="31"/>
      <x:c r="H30" s="31"/>
      <x:c r="I30" s="31"/>
      <x:c r="J30" s="32"/>
      <x:c r="K30" s="32"/>
      <x:c r="L30" s="32"/>
      <x:c r="M30" s="32"/>
      <x:c r="N30" s="31"/>
      <x:c r="O30" s="31"/>
      <x:c r="P30" s="31"/>
      <x:c r="Q30" s="32"/>
      <x:c r="R30" s="31"/>
      <x:c r="S30" s="31"/>
      <x:c r="T30" s="31"/>
      <x:c r="U30" s="31"/>
      <x:c r="V30" s="32"/>
      <x:c r="W30" s="31"/>
      <x:c r="X30" s="32"/>
      <x:c r="Y30" s="31"/>
    </x:row>
    <x:row r="31">
      <x:c r="A31" s="79"/>
      <x:c r="B31" s="31"/>
      <x:c r="C31" s="31"/>
      <x:c r="D31" s="31"/>
      <x:c r="E31" s="31"/>
      <x:c r="F31" s="31"/>
      <x:c r="G31" s="31"/>
      <x:c r="H31" s="31"/>
      <x:c r="I31" s="31"/>
      <x:c r="J31" s="32"/>
      <x:c r="K31" s="32"/>
      <x:c r="L31" s="32"/>
      <x:c r="M31" s="32"/>
      <x:c r="N31" s="31"/>
      <x:c r="O31" s="31"/>
      <x:c r="P31" s="31"/>
      <x:c r="Q31" s="32"/>
      <x:c r="R31" s="31"/>
      <x:c r="S31" s="31"/>
      <x:c r="T31" s="31"/>
      <x:c r="U31" s="31"/>
      <x:c r="V31" s="32"/>
      <x:c r="W31" s="31"/>
      <x:c r="X31" s="32"/>
      <x:c r="Y31" s="31"/>
    </x:row>
    <x:row r="32">
      <x:c r="A32" s="79"/>
      <x:c r="B32" s="31"/>
      <x:c r="C32" s="31"/>
      <x:c r="D32" s="31"/>
      <x:c r="E32" s="31"/>
      <x:c r="F32" s="31"/>
      <x:c r="G32" s="31"/>
      <x:c r="H32" s="31"/>
      <x:c r="I32" s="31"/>
      <x:c r="J32" s="32"/>
      <x:c r="K32" s="32"/>
      <x:c r="L32" s="32"/>
      <x:c r="M32" s="32"/>
      <x:c r="N32" s="31"/>
      <x:c r="O32" s="31"/>
      <x:c r="P32" s="31"/>
      <x:c r="Q32" s="32"/>
      <x:c r="R32" s="31"/>
      <x:c r="S32" s="31"/>
      <x:c r="T32" s="31"/>
      <x:c r="U32" s="31"/>
      <x:c r="V32" s="32"/>
      <x:c r="W32" s="31"/>
      <x:c r="X32" s="32"/>
      <x:c r="Y32" s="31"/>
    </x:row>
    <x:row r="33">
      <x:c r="A33" s="79"/>
      <x:c r="B33" s="31"/>
      <x:c r="C33" s="31"/>
      <x:c r="D33" s="31"/>
      <x:c r="E33" s="31"/>
      <x:c r="F33" s="31"/>
      <x:c r="G33" s="31"/>
      <x:c r="H33" s="31"/>
      <x:c r="I33" s="31"/>
      <x:c r="J33" s="32"/>
      <x:c r="K33" s="32"/>
      <x:c r="L33" s="32"/>
      <x:c r="M33" s="32"/>
      <x:c r="N33" s="31"/>
      <x:c r="O33" s="31"/>
      <x:c r="P33" s="31"/>
      <x:c r="Q33" s="32"/>
      <x:c r="R33" s="31"/>
      <x:c r="S33" s="31"/>
      <x:c r="T33" s="31"/>
      <x:c r="U33" s="31"/>
      <x:c r="V33" s="32"/>
      <x:c r="W33" s="31"/>
      <x:c r="X33" s="32"/>
      <x:c r="Y33" s="31"/>
    </x:row>
    <x:row r="34">
      <x:c r="A34" s="79"/>
      <x:c r="B34" s="31"/>
      <x:c r="C34" s="31"/>
      <x:c r="D34" s="31"/>
      <x:c r="E34" s="31"/>
      <x:c r="F34" s="31"/>
      <x:c r="G34" s="31"/>
      <x:c r="H34" s="31"/>
      <x:c r="I34" s="31"/>
      <x:c r="J34" s="32"/>
      <x:c r="K34" s="32"/>
      <x:c r="L34" s="32"/>
      <x:c r="M34" s="32"/>
      <x:c r="N34" s="31"/>
      <x:c r="O34" s="31"/>
      <x:c r="P34" s="31"/>
      <x:c r="Q34" s="32"/>
      <x:c r="R34" s="31"/>
      <x:c r="S34" s="31"/>
      <x:c r="T34" s="31"/>
      <x:c r="U34" s="31"/>
      <x:c r="V34" s="32"/>
      <x:c r="W34" s="31"/>
      <x:c r="X34" s="32"/>
      <x:c r="Y34" s="31"/>
    </x:row>
    <x:row r="35">
      <x:c r="A35" s="79"/>
      <x:c r="B35" s="31"/>
      <x:c r="C35" s="31"/>
      <x:c r="D35" s="31"/>
      <x:c r="E35" s="31"/>
      <x:c r="F35" s="31"/>
      <x:c r="G35" s="31"/>
      <x:c r="H35" s="31"/>
      <x:c r="I35" s="31"/>
      <x:c r="J35" s="32"/>
      <x:c r="K35" s="32"/>
      <x:c r="L35" s="32"/>
      <x:c r="M35" s="32"/>
      <x:c r="N35" s="31"/>
      <x:c r="O35" s="31"/>
      <x:c r="P35" s="31"/>
      <x:c r="Q35" s="32"/>
      <x:c r="R35" s="31"/>
      <x:c r="S35" s="31"/>
      <x:c r="T35" s="31"/>
      <x:c r="U35" s="31"/>
      <x:c r="V35" s="32"/>
      <x:c r="W35" s="31"/>
      <x:c r="X35" s="32"/>
      <x:c r="Y35" s="31"/>
    </x:row>
    <x:row r="36">
      <x:c r="A36" s="79"/>
      <x:c r="B36" s="31"/>
      <x:c r="C36" s="31"/>
      <x:c r="D36" s="31"/>
      <x:c r="E36" s="31"/>
      <x:c r="F36" s="31"/>
      <x:c r="G36" s="31"/>
      <x:c r="H36" s="31"/>
      <x:c r="I36" s="31"/>
      <x:c r="J36" s="32"/>
      <x:c r="K36" s="32"/>
      <x:c r="L36" s="32"/>
      <x:c r="M36" s="32"/>
      <x:c r="N36" s="31"/>
      <x:c r="O36" s="31"/>
      <x:c r="P36" s="31"/>
      <x:c r="Q36" s="32"/>
      <x:c r="R36" s="31"/>
      <x:c r="S36" s="31"/>
      <x:c r="T36" s="31"/>
      <x:c r="U36" s="31"/>
      <x:c r="V36" s="32"/>
      <x:c r="W36" s="31"/>
      <x:c r="X36" s="32"/>
      <x:c r="Y36" s="31"/>
    </x:row>
    <x:row r="37">
      <x:c r="A37" s="79"/>
      <x:c r="B37" s="31"/>
      <x:c r="C37" s="31"/>
      <x:c r="D37" s="31"/>
      <x:c r="E37" s="31"/>
      <x:c r="F37" s="31"/>
      <x:c r="G37" s="31"/>
      <x:c r="H37" s="31"/>
      <x:c r="I37" s="31"/>
      <x:c r="J37" s="32"/>
      <x:c r="K37" s="32"/>
      <x:c r="L37" s="32"/>
      <x:c r="M37" s="32"/>
      <x:c r="N37" s="31"/>
      <x:c r="O37" s="31"/>
      <x:c r="P37" s="31"/>
      <x:c r="Q37" s="32"/>
      <x:c r="R37" s="31"/>
      <x:c r="S37" s="31"/>
      <x:c r="T37" s="31"/>
      <x:c r="U37" s="31"/>
      <x:c r="V37" s="32"/>
      <x:c r="W37" s="31"/>
      <x:c r="X37" s="32"/>
      <x:c r="Y37" s="31"/>
    </x:row>
    <x:row r="38">
      <x:c r="A38" s="79"/>
      <x:c r="B38" s="31"/>
      <x:c r="C38" s="31"/>
      <x:c r="D38" s="31"/>
      <x:c r="E38" s="31"/>
      <x:c r="F38" s="31"/>
      <x:c r="G38" s="31"/>
      <x:c r="H38" s="31"/>
      <x:c r="I38" s="31"/>
      <x:c r="J38" s="32"/>
      <x:c r="K38" s="32"/>
      <x:c r="L38" s="32"/>
      <x:c r="M38" s="32"/>
      <x:c r="N38" s="31"/>
      <x:c r="O38" s="31"/>
      <x:c r="P38" s="31"/>
      <x:c r="Q38" s="32"/>
      <x:c r="R38" s="31"/>
      <x:c r="S38" s="31"/>
      <x:c r="T38" s="31"/>
      <x:c r="U38" s="31"/>
      <x:c r="V38" s="32"/>
      <x:c r="W38" s="31"/>
      <x:c r="X38" s="32"/>
      <x:c r="Y38" s="31"/>
    </x:row>
    <x:row r="39">
      <x:c r="A39" s="79"/>
      <x:c r="B39" s="31"/>
      <x:c r="C39" s="31"/>
      <x:c r="D39" s="31"/>
      <x:c r="E39" s="31"/>
      <x:c r="F39" s="31"/>
      <x:c r="G39" s="31"/>
      <x:c r="H39" s="31"/>
      <x:c r="I39" s="31"/>
      <x:c r="J39" s="32"/>
      <x:c r="K39" s="32"/>
      <x:c r="L39" s="32"/>
      <x:c r="M39" s="32"/>
      <x:c r="N39" s="31"/>
      <x:c r="O39" s="31"/>
      <x:c r="P39" s="31"/>
      <x:c r="Q39" s="32"/>
      <x:c r="R39" s="31"/>
      <x:c r="S39" s="31"/>
      <x:c r="T39" s="31"/>
      <x:c r="U39" s="31"/>
      <x:c r="V39" s="32"/>
      <x:c r="W39" s="31"/>
      <x:c r="X39" s="32"/>
      <x:c r="Y39" s="31"/>
    </x:row>
    <x:row r="40">
      <x:c r="A40" s="79"/>
      <x:c r="B40" s="31"/>
      <x:c r="C40" s="31"/>
      <x:c r="D40" s="31"/>
      <x:c r="E40" s="31"/>
      <x:c r="F40" s="31"/>
      <x:c r="G40" s="31"/>
      <x:c r="H40" s="31"/>
      <x:c r="I40" s="31"/>
      <x:c r="J40" s="32"/>
      <x:c r="K40" s="32"/>
      <x:c r="L40" s="32"/>
      <x:c r="M40" s="32"/>
      <x:c r="N40" s="31"/>
      <x:c r="O40" s="31"/>
      <x:c r="P40" s="31"/>
      <x:c r="Q40" s="32"/>
      <x:c r="R40" s="31"/>
      <x:c r="S40" s="31"/>
      <x:c r="T40" s="31"/>
      <x:c r="U40" s="31"/>
      <x:c r="V40" s="32"/>
      <x:c r="W40" s="31"/>
      <x:c r="X40" s="32"/>
      <x:c r="Y40" s="31"/>
    </x:row>
    <x:row r="41">
      <x:c r="A41" s="79"/>
      <x:c r="B41" s="31"/>
      <x:c r="C41" s="31"/>
      <x:c r="D41" s="31"/>
      <x:c r="E41" s="31"/>
      <x:c r="F41" s="31"/>
      <x:c r="G41" s="31"/>
      <x:c r="H41" s="31"/>
      <x:c r="I41" s="31"/>
      <x:c r="J41" s="32"/>
      <x:c r="K41" s="32"/>
      <x:c r="L41" s="32"/>
      <x:c r="M41" s="32"/>
      <x:c r="N41" s="31"/>
      <x:c r="O41" s="31"/>
      <x:c r="P41" s="31"/>
      <x:c r="Q41" s="32"/>
      <x:c r="R41" s="31"/>
      <x:c r="S41" s="31"/>
      <x:c r="T41" s="31"/>
      <x:c r="U41" s="31"/>
      <x:c r="V41" s="32"/>
      <x:c r="W41" s="31"/>
      <x:c r="X41" s="32"/>
      <x:c r="Y41" s="31"/>
    </x:row>
    <x:row r="42">
      <x:c r="A42" s="79"/>
      <x:c r="B42" s="31"/>
      <x:c r="C42" s="31"/>
      <x:c r="D42" s="31"/>
      <x:c r="E42" s="31"/>
      <x:c r="F42" s="31"/>
      <x:c r="G42" s="31"/>
      <x:c r="H42" s="31"/>
      <x:c r="I42" s="31"/>
      <x:c r="J42" s="32"/>
      <x:c r="K42" s="32"/>
      <x:c r="L42" s="32"/>
      <x:c r="M42" s="32"/>
      <x:c r="N42" s="31"/>
      <x:c r="O42" s="31"/>
      <x:c r="P42" s="31"/>
      <x:c r="Q42" s="32"/>
      <x:c r="R42" s="31"/>
      <x:c r="S42" s="31"/>
      <x:c r="T42" s="31"/>
      <x:c r="U42" s="31"/>
      <x:c r="V42" s="32"/>
      <x:c r="W42" s="31"/>
      <x:c r="X42" s="32"/>
      <x:c r="Y42" s="31"/>
    </x:row>
    <x:row r="43">
      <x:c r="A43" s="79"/>
      <x:c r="B43" s="31"/>
      <x:c r="C43" s="31"/>
      <x:c r="D43" s="31"/>
      <x:c r="E43" s="31"/>
      <x:c r="F43" s="31"/>
      <x:c r="G43" s="31"/>
      <x:c r="H43" s="31"/>
      <x:c r="I43" s="31"/>
      <x:c r="J43" s="32"/>
      <x:c r="K43" s="32"/>
      <x:c r="L43" s="32"/>
      <x:c r="M43" s="32"/>
      <x:c r="N43" s="31"/>
      <x:c r="O43" s="31"/>
      <x:c r="P43" s="31"/>
      <x:c r="Q43" s="32"/>
      <x:c r="R43" s="31"/>
      <x:c r="S43" s="31"/>
      <x:c r="T43" s="31"/>
      <x:c r="U43" s="31"/>
      <x:c r="V43" s="32"/>
      <x:c r="W43" s="31"/>
      <x:c r="X43" s="32"/>
      <x:c r="Y43" s="31"/>
    </x:row>
    <x:row r="44">
      <x:c r="A44" s="79"/>
      <x:c r="B44" s="31"/>
      <x:c r="C44" s="31"/>
      <x:c r="D44" s="31"/>
      <x:c r="E44" s="31"/>
      <x:c r="F44" s="31"/>
      <x:c r="G44" s="31"/>
      <x:c r="H44" s="31"/>
      <x:c r="I44" s="31"/>
      <x:c r="J44" s="32"/>
      <x:c r="K44" s="32"/>
      <x:c r="L44" s="32"/>
      <x:c r="M44" s="32"/>
      <x:c r="N44" s="31"/>
      <x:c r="O44" s="31"/>
      <x:c r="P44" s="31"/>
      <x:c r="Q44" s="32"/>
      <x:c r="R44" s="31"/>
      <x:c r="S44" s="31"/>
      <x:c r="T44" s="31"/>
      <x:c r="U44" s="31"/>
      <x:c r="V44" s="32"/>
      <x:c r="W44" s="31"/>
      <x:c r="X44" s="32"/>
      <x:c r="Y44" s="31"/>
    </x:row>
    <x:row r="45">
      <x:c r="A45" s="79"/>
      <x:c r="B45" s="31"/>
      <x:c r="C45" s="31"/>
      <x:c r="D45" s="31"/>
      <x:c r="E45" s="31"/>
      <x:c r="F45" s="31"/>
      <x:c r="G45" s="31"/>
      <x:c r="H45" s="31"/>
      <x:c r="I45" s="31"/>
      <x:c r="J45" s="32"/>
      <x:c r="K45" s="32"/>
      <x:c r="L45" s="32"/>
      <x:c r="M45" s="32"/>
      <x:c r="N45" s="31"/>
      <x:c r="O45" s="31"/>
      <x:c r="P45" s="31"/>
      <x:c r="Q45" s="32"/>
      <x:c r="R45" s="31"/>
      <x:c r="S45" s="31"/>
      <x:c r="T45" s="31"/>
      <x:c r="U45" s="31"/>
      <x:c r="V45" s="32"/>
      <x:c r="W45" s="31"/>
      <x:c r="X45" s="32"/>
      <x:c r="Y45" s="31"/>
    </x:row>
    <x:row r="46">
      <x:c r="A46" s="79"/>
      <x:c r="B46" s="31"/>
      <x:c r="C46" s="31"/>
      <x:c r="D46" s="31"/>
      <x:c r="E46" s="31"/>
      <x:c r="F46" s="31"/>
      <x:c r="G46" s="31"/>
      <x:c r="H46" s="31"/>
      <x:c r="I46" s="31"/>
      <x:c r="J46" s="32"/>
      <x:c r="K46" s="32"/>
      <x:c r="L46" s="32"/>
      <x:c r="M46" s="32"/>
      <x:c r="N46" s="31"/>
      <x:c r="O46" s="31"/>
      <x:c r="P46" s="31"/>
      <x:c r="Q46" s="32"/>
      <x:c r="R46" s="31"/>
      <x:c r="S46" s="31"/>
      <x:c r="T46" s="31"/>
      <x:c r="U46" s="31"/>
      <x:c r="V46" s="32"/>
      <x:c r="W46" s="31"/>
      <x:c r="X46" s="32"/>
      <x:c r="Y46" s="31"/>
    </x:row>
    <x:row r="47">
      <x:c r="A47" s="79"/>
      <x:c r="B47" s="31"/>
      <x:c r="C47" s="31"/>
      <x:c r="D47" s="31"/>
      <x:c r="E47" s="31"/>
      <x:c r="F47" s="31"/>
      <x:c r="G47" s="31"/>
      <x:c r="H47" s="31"/>
      <x:c r="I47" s="31"/>
      <x:c r="J47" s="32"/>
      <x:c r="K47" s="32"/>
      <x:c r="L47" s="32"/>
      <x:c r="M47" s="32"/>
      <x:c r="N47" s="31"/>
      <x:c r="O47" s="31"/>
      <x:c r="P47" s="31"/>
      <x:c r="Q47" s="32"/>
      <x:c r="R47" s="31"/>
      <x:c r="S47" s="31"/>
      <x:c r="T47" s="31"/>
      <x:c r="U47" s="31"/>
      <x:c r="V47" s="32"/>
      <x:c r="W47" s="31"/>
      <x:c r="X47" s="32"/>
      <x:c r="Y47" s="31"/>
    </x:row>
    <x:row r="48">
      <x:c r="A48" s="79"/>
      <x:c r="B48" s="31"/>
      <x:c r="C48" s="31"/>
      <x:c r="D48" s="31"/>
      <x:c r="E48" s="31"/>
      <x:c r="F48" s="31"/>
      <x:c r="G48" s="31"/>
      <x:c r="H48" s="31"/>
      <x:c r="I48" s="31"/>
      <x:c r="J48" s="32"/>
      <x:c r="K48" s="32"/>
      <x:c r="L48" s="32"/>
      <x:c r="M48" s="32"/>
      <x:c r="N48" s="31"/>
      <x:c r="O48" s="31"/>
      <x:c r="P48" s="31"/>
      <x:c r="Q48" s="32"/>
      <x:c r="R48" s="31"/>
      <x:c r="S48" s="31"/>
      <x:c r="T48" s="31"/>
      <x:c r="U48" s="31"/>
      <x:c r="V48" s="32"/>
      <x:c r="W48" s="31"/>
      <x:c r="X48" s="32"/>
      <x:c r="Y48" s="31"/>
    </x:row>
    <x:row r="49">
      <x:c r="A49" s="79"/>
      <x:c r="B49" s="31"/>
      <x:c r="C49" s="31"/>
      <x:c r="D49" s="31"/>
      <x:c r="E49" s="31"/>
      <x:c r="F49" s="31"/>
      <x:c r="G49" s="31"/>
      <x:c r="H49" s="31"/>
      <x:c r="I49" s="31"/>
      <x:c r="J49" s="32"/>
      <x:c r="K49" s="32"/>
      <x:c r="L49" s="32"/>
      <x:c r="M49" s="32"/>
      <x:c r="N49" s="31"/>
      <x:c r="O49" s="31"/>
      <x:c r="P49" s="31"/>
      <x:c r="Q49" s="32"/>
      <x:c r="R49" s="31"/>
      <x:c r="S49" s="31"/>
      <x:c r="T49" s="31"/>
      <x:c r="U49" s="31"/>
      <x:c r="V49" s="32"/>
      <x:c r="W49" s="31"/>
      <x:c r="X49" s="32"/>
      <x:c r="Y49" s="31"/>
    </x:row>
    <x:row r="50">
      <x:c r="A50" s="79"/>
      <x:c r="B50" s="31"/>
      <x:c r="C50" s="31"/>
      <x:c r="D50" s="31"/>
      <x:c r="E50" s="31"/>
      <x:c r="F50" s="31"/>
      <x:c r="G50" s="31"/>
      <x:c r="H50" s="31"/>
      <x:c r="I50" s="31"/>
      <x:c r="J50" s="32"/>
      <x:c r="K50" s="32"/>
      <x:c r="L50" s="32"/>
      <x:c r="M50" s="32"/>
      <x:c r="N50" s="31"/>
      <x:c r="O50" s="31"/>
      <x:c r="P50" s="31"/>
      <x:c r="Q50" s="32"/>
      <x:c r="R50" s="31"/>
      <x:c r="S50" s="31"/>
      <x:c r="T50" s="31"/>
      <x:c r="U50" s="31"/>
      <x:c r="V50" s="32"/>
      <x:c r="W50" s="31"/>
      <x:c r="X50" s="32"/>
      <x:c r="Y50" s="31"/>
    </x:row>
    <x:row r="51">
      <x:c r="A51" s="79"/>
      <x:c r="B51" s="31"/>
      <x:c r="C51" s="31"/>
      <x:c r="D51" s="31"/>
      <x:c r="E51" s="31"/>
      <x:c r="F51" s="31"/>
      <x:c r="G51" s="31"/>
      <x:c r="H51" s="31"/>
      <x:c r="I51" s="31"/>
      <x:c r="J51" s="32"/>
      <x:c r="K51" s="32"/>
      <x:c r="L51" s="32"/>
      <x:c r="M51" s="32"/>
      <x:c r="N51" s="31"/>
      <x:c r="O51" s="31"/>
      <x:c r="P51" s="31"/>
      <x:c r="Q51" s="32"/>
      <x:c r="R51" s="31"/>
      <x:c r="S51" s="31"/>
      <x:c r="T51" s="31"/>
      <x:c r="U51" s="31"/>
      <x:c r="V51" s="32"/>
      <x:c r="W51" s="31"/>
      <x:c r="X51" s="32"/>
      <x:c r="Y51" s="31"/>
    </x:row>
    <x:row r="52">
      <x:c r="A52" s="79"/>
      <x:c r="B52" s="31"/>
      <x:c r="C52" s="31"/>
      <x:c r="D52" s="31"/>
      <x:c r="E52" s="31"/>
      <x:c r="F52" s="31"/>
      <x:c r="G52" s="31"/>
      <x:c r="H52" s="31"/>
      <x:c r="I52" s="31"/>
      <x:c r="J52" s="32"/>
      <x:c r="K52" s="32"/>
      <x:c r="L52" s="32"/>
      <x:c r="M52" s="32"/>
      <x:c r="N52" s="31"/>
      <x:c r="O52" s="31"/>
      <x:c r="P52" s="31"/>
      <x:c r="Q52" s="32"/>
      <x:c r="R52" s="31"/>
      <x:c r="S52" s="31"/>
      <x:c r="T52" s="31"/>
      <x:c r="U52" s="31"/>
      <x:c r="V52" s="32"/>
      <x:c r="W52" s="31"/>
      <x:c r="X52" s="32"/>
      <x:c r="Y52" s="31"/>
    </x:row>
    <x:row r="53">
      <x:c r="A53" s="79"/>
      <x:c r="B53" s="31"/>
      <x:c r="C53" s="31"/>
      <x:c r="D53" s="31"/>
      <x:c r="E53" s="31"/>
      <x:c r="F53" s="31"/>
      <x:c r="G53" s="31"/>
      <x:c r="H53" s="31"/>
      <x:c r="I53" s="31"/>
      <x:c r="J53" s="32"/>
      <x:c r="K53" s="32"/>
      <x:c r="L53" s="32"/>
      <x:c r="M53" s="32"/>
      <x:c r="N53" s="31"/>
      <x:c r="O53" s="31"/>
      <x:c r="P53" s="31"/>
      <x:c r="Q53" s="32"/>
      <x:c r="R53" s="31"/>
      <x:c r="S53" s="31"/>
      <x:c r="T53" s="31"/>
      <x:c r="U53" s="31"/>
      <x:c r="V53" s="32"/>
      <x:c r="W53" s="31"/>
      <x:c r="X53" s="32"/>
      <x:c r="Y53" s="31"/>
    </x:row>
    <x:row r="54">
      <x:c r="A54" s="79"/>
      <x:c r="B54" s="31"/>
      <x:c r="C54" s="31"/>
      <x:c r="D54" s="31"/>
      <x:c r="E54" s="31"/>
      <x:c r="F54" s="31"/>
      <x:c r="G54" s="31"/>
      <x:c r="H54" s="31"/>
      <x:c r="I54" s="31"/>
      <x:c r="J54" s="32"/>
      <x:c r="K54" s="32"/>
      <x:c r="L54" s="32"/>
      <x:c r="M54" s="32"/>
      <x:c r="N54" s="31"/>
      <x:c r="O54" s="31"/>
      <x:c r="P54" s="31"/>
      <x:c r="Q54" s="32"/>
      <x:c r="R54" s="31"/>
      <x:c r="S54" s="31"/>
      <x:c r="T54" s="31"/>
      <x:c r="U54" s="31"/>
      <x:c r="V54" s="32"/>
      <x:c r="W54" s="31"/>
      <x:c r="X54" s="32"/>
      <x:c r="Y54" s="31"/>
    </x:row>
    <x:row r="55">
      <x:c r="A55" s="79"/>
      <x:c r="B55" s="31"/>
      <x:c r="C55" s="31"/>
      <x:c r="D55" s="31"/>
      <x:c r="E55" s="31"/>
      <x:c r="F55" s="31"/>
      <x:c r="G55" s="31"/>
      <x:c r="H55" s="31"/>
      <x:c r="I55" s="31"/>
      <x:c r="J55" s="32"/>
      <x:c r="K55" s="32"/>
      <x:c r="L55" s="32"/>
      <x:c r="M55" s="32"/>
      <x:c r="N55" s="31"/>
      <x:c r="O55" s="31"/>
      <x:c r="P55" s="31"/>
      <x:c r="Q55" s="32"/>
      <x:c r="R55" s="31"/>
      <x:c r="S55" s="31"/>
      <x:c r="T55" s="31"/>
      <x:c r="U55" s="31"/>
      <x:c r="V55" s="32"/>
      <x:c r="W55" s="31"/>
      <x:c r="X55" s="32"/>
      <x:c r="Y55" s="31"/>
    </x:row>
    <x:row r="56">
      <x:c r="A56" s="79"/>
      <x:c r="B56" s="31"/>
      <x:c r="C56" s="31"/>
      <x:c r="D56" s="31"/>
      <x:c r="E56" s="31"/>
      <x:c r="F56" s="31"/>
      <x:c r="G56" s="31"/>
      <x:c r="H56" s="31"/>
      <x:c r="I56" s="31"/>
      <x:c r="J56" s="32"/>
      <x:c r="K56" s="32"/>
      <x:c r="L56" s="32"/>
      <x:c r="M56" s="32"/>
      <x:c r="N56" s="31"/>
      <x:c r="O56" s="31"/>
      <x:c r="P56" s="31"/>
      <x:c r="Q56" s="32"/>
      <x:c r="R56" s="31"/>
      <x:c r="S56" s="31"/>
      <x:c r="T56" s="31"/>
      <x:c r="U56" s="31"/>
      <x:c r="V56" s="32"/>
      <x:c r="W56" s="31"/>
      <x:c r="X56" s="32"/>
      <x:c r="Y56" s="31"/>
    </x:row>
    <x:row r="57">
      <x:c r="A57" s="79"/>
      <x:c r="B57" s="31"/>
      <x:c r="C57" s="31"/>
      <x:c r="D57" s="31"/>
      <x:c r="E57" s="31"/>
      <x:c r="F57" s="31"/>
      <x:c r="G57" s="31"/>
      <x:c r="H57" s="31"/>
      <x:c r="I57" s="31"/>
      <x:c r="J57" s="32"/>
      <x:c r="K57" s="32"/>
      <x:c r="L57" s="32"/>
      <x:c r="M57" s="32"/>
      <x:c r="N57" s="31"/>
      <x:c r="O57" s="31"/>
      <x:c r="P57" s="31"/>
      <x:c r="Q57" s="32"/>
      <x:c r="R57" s="31"/>
      <x:c r="S57" s="31"/>
      <x:c r="T57" s="31"/>
      <x:c r="U57" s="31"/>
      <x:c r="V57" s="32"/>
      <x:c r="W57" s="31"/>
      <x:c r="X57" s="32"/>
      <x:c r="Y57" s="31"/>
    </x:row>
    <x:row r="58">
      <x:c r="A58" s="79"/>
      <x:c r="B58" s="31"/>
      <x:c r="C58" s="31"/>
      <x:c r="D58" s="31"/>
      <x:c r="E58" s="31"/>
      <x:c r="F58" s="31"/>
      <x:c r="G58" s="31"/>
      <x:c r="H58" s="31"/>
      <x:c r="I58" s="31"/>
      <x:c r="J58" s="32"/>
      <x:c r="K58" s="32"/>
      <x:c r="L58" s="32"/>
      <x:c r="M58" s="32"/>
      <x:c r="N58" s="31"/>
      <x:c r="O58" s="31"/>
      <x:c r="P58" s="31"/>
      <x:c r="Q58" s="32"/>
      <x:c r="R58" s="31"/>
      <x:c r="S58" s="31"/>
      <x:c r="T58" s="31"/>
      <x:c r="U58" s="31"/>
      <x:c r="V58" s="32"/>
      <x:c r="W58" s="31"/>
      <x:c r="X58" s="32"/>
      <x:c r="Y58" s="31"/>
    </x:row>
    <x:row r="59">
      <x:c r="A59" s="79"/>
      <x:c r="B59" s="31"/>
      <x:c r="C59" s="31"/>
      <x:c r="D59" s="31"/>
      <x:c r="E59" s="31"/>
      <x:c r="F59" s="31"/>
      <x:c r="G59" s="31"/>
      <x:c r="H59" s="31"/>
      <x:c r="I59" s="31"/>
      <x:c r="J59" s="32"/>
      <x:c r="K59" s="32"/>
      <x:c r="L59" s="32"/>
      <x:c r="M59" s="32"/>
      <x:c r="N59" s="31"/>
      <x:c r="O59" s="31"/>
      <x:c r="P59" s="31"/>
      <x:c r="Q59" s="32"/>
      <x:c r="R59" s="31"/>
      <x:c r="S59" s="31"/>
      <x:c r="T59" s="31"/>
      <x:c r="U59" s="31"/>
      <x:c r="V59" s="32"/>
      <x:c r="W59" s="31"/>
      <x:c r="X59" s="32"/>
      <x:c r="Y59" s="31"/>
    </x:row>
    <x:row r="60">
      <x:c r="A60" s="79"/>
      <x:c r="B60" s="31"/>
      <x:c r="C60" s="31"/>
      <x:c r="D60" s="31"/>
      <x:c r="E60" s="31"/>
      <x:c r="F60" s="31"/>
      <x:c r="G60" s="31"/>
      <x:c r="H60" s="31"/>
      <x:c r="I60" s="31"/>
      <x:c r="J60" s="32"/>
      <x:c r="K60" s="32"/>
      <x:c r="L60" s="32"/>
      <x:c r="M60" s="32"/>
      <x:c r="N60" s="31"/>
      <x:c r="O60" s="31"/>
      <x:c r="P60" s="31"/>
      <x:c r="Q60" s="32"/>
      <x:c r="R60" s="31"/>
      <x:c r="S60" s="31"/>
      <x:c r="T60" s="31"/>
      <x:c r="U60" s="31"/>
      <x:c r="V60" s="32"/>
      <x:c r="W60" s="31"/>
      <x:c r="X60" s="32"/>
      <x:c r="Y60" s="31"/>
    </x:row>
    <x:row r="61">
      <x:c r="A61" s="79"/>
      <x:c r="B61" s="31"/>
      <x:c r="C61" s="31"/>
      <x:c r="D61" s="31"/>
      <x:c r="E61" s="31"/>
      <x:c r="F61" s="31"/>
      <x:c r="G61" s="31"/>
      <x:c r="H61" s="31"/>
      <x:c r="I61" s="31"/>
      <x:c r="J61" s="32"/>
      <x:c r="K61" s="32"/>
      <x:c r="L61" s="32"/>
      <x:c r="M61" s="32"/>
      <x:c r="N61" s="31"/>
      <x:c r="O61" s="31"/>
      <x:c r="P61" s="31"/>
      <x:c r="Q61" s="32"/>
      <x:c r="R61" s="31"/>
      <x:c r="S61" s="31"/>
      <x:c r="T61" s="31"/>
      <x:c r="U61" s="31"/>
      <x:c r="V61" s="32"/>
      <x:c r="W61" s="31"/>
      <x:c r="X61" s="32"/>
      <x:c r="Y61" s="31"/>
    </x:row>
    <x:row r="62">
      <x:c r="A62" s="79"/>
      <x:c r="B62" s="31"/>
      <x:c r="C62" s="31"/>
      <x:c r="D62" s="31"/>
      <x:c r="E62" s="31"/>
      <x:c r="F62" s="31"/>
      <x:c r="G62" s="31"/>
      <x:c r="H62" s="31"/>
      <x:c r="I62" s="31"/>
      <x:c r="J62" s="32"/>
      <x:c r="K62" s="32"/>
      <x:c r="L62" s="32"/>
      <x:c r="M62" s="32"/>
      <x:c r="N62" s="31"/>
      <x:c r="O62" s="31"/>
      <x:c r="P62" s="31"/>
      <x:c r="Q62" s="32"/>
      <x:c r="R62" s="31"/>
      <x:c r="S62" s="31"/>
      <x:c r="T62" s="31"/>
      <x:c r="U62" s="31"/>
      <x:c r="V62" s="32"/>
      <x:c r="W62" s="31"/>
      <x:c r="X62" s="32"/>
      <x:c r="Y62" s="31"/>
    </x:row>
    <x:row r="63">
      <x:c r="A63" s="79"/>
      <x:c r="B63" s="31"/>
      <x:c r="C63" s="31"/>
      <x:c r="D63" s="31"/>
      <x:c r="E63" s="31"/>
      <x:c r="F63" s="31"/>
      <x:c r="G63" s="31"/>
      <x:c r="H63" s="31"/>
      <x:c r="I63" s="31"/>
      <x:c r="J63" s="32"/>
      <x:c r="K63" s="32"/>
      <x:c r="L63" s="32"/>
      <x:c r="M63" s="32"/>
      <x:c r="N63" s="31"/>
      <x:c r="O63" s="31"/>
      <x:c r="P63" s="31"/>
      <x:c r="Q63" s="32"/>
      <x:c r="R63" s="31"/>
      <x:c r="S63" s="31"/>
      <x:c r="T63" s="31"/>
      <x:c r="U63" s="31"/>
      <x:c r="V63" s="32"/>
      <x:c r="W63" s="31"/>
      <x:c r="X63" s="32"/>
      <x:c r="Y63" s="31"/>
    </x:row>
    <x:row r="64">
      <x:c r="A64" s="79"/>
      <x:c r="B64" s="31"/>
      <x:c r="C64" s="31"/>
      <x:c r="D64" s="31"/>
      <x:c r="E64" s="31"/>
      <x:c r="F64" s="31"/>
      <x:c r="G64" s="31"/>
      <x:c r="H64" s="31"/>
      <x:c r="I64" s="31"/>
      <x:c r="J64" s="32"/>
      <x:c r="K64" s="32"/>
      <x:c r="L64" s="32"/>
      <x:c r="M64" s="32"/>
      <x:c r="N64" s="31"/>
      <x:c r="O64" s="31"/>
      <x:c r="P64" s="31"/>
      <x:c r="Q64" s="32"/>
      <x:c r="R64" s="31"/>
      <x:c r="S64" s="31"/>
      <x:c r="T64" s="31"/>
      <x:c r="U64" s="31"/>
      <x:c r="V64" s="32"/>
      <x:c r="W64" s="31"/>
      <x:c r="X64" s="32"/>
      <x:c r="Y64" s="31"/>
    </x:row>
    <x:row r="65">
      <x:c r="A65" s="79"/>
      <x:c r="B65" s="31"/>
      <x:c r="C65" s="31"/>
      <x:c r="D65" s="31"/>
      <x:c r="E65" s="31"/>
      <x:c r="F65" s="31"/>
      <x:c r="G65" s="31"/>
      <x:c r="H65" s="31"/>
      <x:c r="I65" s="31"/>
      <x:c r="J65" s="32"/>
      <x:c r="K65" s="32"/>
      <x:c r="L65" s="32"/>
      <x:c r="M65" s="32"/>
      <x:c r="N65" s="31"/>
      <x:c r="O65" s="31"/>
      <x:c r="P65" s="31"/>
      <x:c r="Q65" s="32"/>
      <x:c r="R65" s="31"/>
      <x:c r="S65" s="31"/>
      <x:c r="T65" s="31"/>
      <x:c r="U65" s="31"/>
      <x:c r="V65" s="32"/>
      <x:c r="W65" s="31"/>
      <x:c r="X65" s="32"/>
      <x:c r="Y65" s="31"/>
    </x:row>
    <x:row r="66">
      <x:c r="A66" s="79"/>
      <x:c r="B66" s="31"/>
      <x:c r="C66" s="31"/>
      <x:c r="D66" s="31"/>
      <x:c r="E66" s="31"/>
      <x:c r="F66" s="31"/>
      <x:c r="G66" s="31"/>
      <x:c r="H66" s="31"/>
      <x:c r="I66" s="31"/>
      <x:c r="J66" s="32"/>
      <x:c r="K66" s="32"/>
      <x:c r="L66" s="32"/>
      <x:c r="M66" s="32"/>
      <x:c r="N66" s="31"/>
      <x:c r="O66" s="31"/>
      <x:c r="P66" s="31"/>
      <x:c r="Q66" s="32"/>
      <x:c r="R66" s="31"/>
      <x:c r="S66" s="31"/>
      <x:c r="T66" s="31"/>
      <x:c r="U66" s="31"/>
      <x:c r="V66" s="32"/>
      <x:c r="W66" s="31"/>
      <x:c r="X66" s="32"/>
      <x:c r="Y66" s="31"/>
    </x:row>
    <x:row r="67">
      <x:c r="A67" s="79"/>
      <x:c r="B67" s="31"/>
      <x:c r="C67" s="31"/>
      <x:c r="D67" s="31"/>
      <x:c r="E67" s="31"/>
      <x:c r="F67" s="31"/>
      <x:c r="G67" s="31"/>
      <x:c r="H67" s="31"/>
      <x:c r="I67" s="31"/>
      <x:c r="J67" s="32"/>
      <x:c r="K67" s="32"/>
      <x:c r="L67" s="32"/>
      <x:c r="M67" s="32"/>
      <x:c r="N67" s="31"/>
      <x:c r="O67" s="31"/>
      <x:c r="P67" s="31"/>
      <x:c r="Q67" s="32"/>
      <x:c r="R67" s="31"/>
      <x:c r="S67" s="31"/>
      <x:c r="T67" s="31"/>
      <x:c r="U67" s="31"/>
      <x:c r="V67" s="32"/>
      <x:c r="W67" s="31"/>
      <x:c r="X67" s="32"/>
      <x:c r="Y67" s="31"/>
    </x:row>
    <x:row r="68">
      <x:c r="A68" s="79"/>
      <x:c r="B68" s="31"/>
      <x:c r="C68" s="31"/>
      <x:c r="D68" s="31"/>
      <x:c r="E68" s="31"/>
      <x:c r="F68" s="31"/>
      <x:c r="G68" s="31"/>
      <x:c r="H68" s="31"/>
      <x:c r="I68" s="31"/>
      <x:c r="J68" s="32"/>
      <x:c r="K68" s="32"/>
      <x:c r="L68" s="32"/>
      <x:c r="M68" s="32"/>
      <x:c r="N68" s="31"/>
      <x:c r="O68" s="31"/>
      <x:c r="P68" s="31"/>
      <x:c r="Q68" s="32"/>
      <x:c r="R68" s="31"/>
      <x:c r="S68" s="31"/>
      <x:c r="T68" s="31"/>
      <x:c r="U68" s="31"/>
      <x:c r="V68" s="32"/>
      <x:c r="W68" s="31"/>
      <x:c r="X68" s="32"/>
      <x:c r="Y68" s="31"/>
    </x:row>
    <x:row r="69">
      <x:c r="A69" s="79"/>
      <x:c r="B69" s="31"/>
      <x:c r="C69" s="31"/>
      <x:c r="D69" s="31"/>
      <x:c r="E69" s="31"/>
      <x:c r="F69" s="31"/>
      <x:c r="G69" s="31"/>
      <x:c r="H69" s="31"/>
      <x:c r="I69" s="31"/>
      <x:c r="J69" s="32"/>
      <x:c r="K69" s="32"/>
      <x:c r="L69" s="32"/>
      <x:c r="M69" s="32"/>
      <x:c r="N69" s="31"/>
      <x:c r="O69" s="31"/>
      <x:c r="P69" s="31"/>
      <x:c r="Q69" s="32"/>
      <x:c r="R69" s="31"/>
      <x:c r="S69" s="31"/>
      <x:c r="T69" s="31"/>
      <x:c r="U69" s="31"/>
      <x:c r="V69" s="32"/>
      <x:c r="W69" s="31"/>
      <x:c r="X69" s="32"/>
      <x:c r="Y69" s="31"/>
    </x:row>
    <x:row r="70">
      <x:c r="A70" s="79"/>
      <x:c r="B70" s="31"/>
      <x:c r="C70" s="31"/>
      <x:c r="D70" s="31"/>
      <x:c r="E70" s="31"/>
      <x:c r="F70" s="31"/>
      <x:c r="G70" s="31"/>
      <x:c r="H70" s="31"/>
      <x:c r="I70" s="31"/>
      <x:c r="J70" s="32"/>
      <x:c r="K70" s="32"/>
      <x:c r="L70" s="32"/>
      <x:c r="M70" s="32"/>
      <x:c r="N70" s="31"/>
      <x:c r="O70" s="31"/>
      <x:c r="P70" s="31"/>
      <x:c r="Q70" s="32"/>
      <x:c r="R70" s="31"/>
      <x:c r="S70" s="31"/>
      <x:c r="T70" s="31"/>
      <x:c r="U70" s="31"/>
      <x:c r="V70" s="32"/>
      <x:c r="W70" s="31"/>
      <x:c r="X70" s="32"/>
      <x:c r="Y70" s="31"/>
    </x:row>
    <x:row r="71">
      <x:c r="A71" s="79"/>
      <x:c r="B71" s="31"/>
      <x:c r="C71" s="31"/>
      <x:c r="D71" s="31"/>
      <x:c r="E71" s="31"/>
      <x:c r="F71" s="31"/>
      <x:c r="G71" s="31"/>
      <x:c r="H71" s="31"/>
      <x:c r="I71" s="31"/>
      <x:c r="J71" s="32"/>
      <x:c r="K71" s="32"/>
      <x:c r="L71" s="32"/>
      <x:c r="M71" s="32"/>
      <x:c r="N71" s="31"/>
      <x:c r="O71" s="31"/>
      <x:c r="P71" s="31"/>
      <x:c r="Q71" s="32"/>
      <x:c r="R71" s="31"/>
      <x:c r="S71" s="31"/>
      <x:c r="T71" s="31"/>
      <x:c r="U71" s="31"/>
      <x:c r="V71" s="32"/>
      <x:c r="W71" s="31"/>
      <x:c r="X71" s="32"/>
      <x:c r="Y71" s="31"/>
    </x:row>
    <x:row r="72">
      <x:c r="A72" s="79"/>
      <x:c r="B72" s="31"/>
      <x:c r="C72" s="31"/>
      <x:c r="D72" s="31"/>
      <x:c r="E72" s="31"/>
      <x:c r="F72" s="31"/>
      <x:c r="G72" s="31"/>
      <x:c r="H72" s="31"/>
      <x:c r="I72" s="31"/>
      <x:c r="J72" s="32"/>
      <x:c r="K72" s="32"/>
      <x:c r="L72" s="32"/>
      <x:c r="M72" s="32"/>
      <x:c r="N72" s="31"/>
      <x:c r="O72" s="31"/>
      <x:c r="P72" s="31"/>
      <x:c r="Q72" s="32"/>
      <x:c r="R72" s="31"/>
      <x:c r="S72" s="31"/>
      <x:c r="T72" s="31"/>
      <x:c r="U72" s="31"/>
      <x:c r="V72" s="32"/>
      <x:c r="W72" s="31"/>
      <x:c r="X72" s="32"/>
      <x:c r="Y72" s="31"/>
    </x:row>
    <x:row r="73">
      <x:c r="A73" s="79"/>
      <x:c r="B73" s="31"/>
      <x:c r="C73" s="31"/>
      <x:c r="D73" s="31"/>
      <x:c r="E73" s="31"/>
      <x:c r="F73" s="31"/>
      <x:c r="G73" s="31"/>
      <x:c r="H73" s="31"/>
      <x:c r="I73" s="31"/>
      <x:c r="J73" s="32"/>
      <x:c r="K73" s="32"/>
      <x:c r="L73" s="32"/>
      <x:c r="M73" s="32"/>
      <x:c r="N73" s="31"/>
      <x:c r="O73" s="31"/>
      <x:c r="P73" s="31"/>
      <x:c r="Q73" s="32"/>
      <x:c r="R73" s="31"/>
      <x:c r="S73" s="31"/>
      <x:c r="T73" s="31"/>
      <x:c r="U73" s="31"/>
      <x:c r="V73" s="32"/>
      <x:c r="W73" s="31"/>
      <x:c r="X73" s="32"/>
      <x:c r="Y73" s="31"/>
    </x:row>
    <x:row r="74">
      <x:c r="A74" s="79"/>
      <x:c r="B74" s="31"/>
      <x:c r="C74" s="31"/>
      <x:c r="D74" s="31"/>
      <x:c r="E74" s="31"/>
      <x:c r="F74" s="31"/>
      <x:c r="G74" s="31"/>
      <x:c r="H74" s="31"/>
      <x:c r="I74" s="31"/>
      <x:c r="J74" s="32"/>
      <x:c r="K74" s="32"/>
      <x:c r="L74" s="32"/>
      <x:c r="M74" s="32"/>
      <x:c r="N74" s="31"/>
      <x:c r="O74" s="31"/>
      <x:c r="P74" s="31"/>
      <x:c r="Q74" s="32"/>
      <x:c r="R74" s="31"/>
      <x:c r="S74" s="31"/>
      <x:c r="T74" s="31"/>
      <x:c r="U74" s="31"/>
      <x:c r="V74" s="32"/>
      <x:c r="W74" s="31"/>
      <x:c r="X74" s="32"/>
      <x:c r="Y74" s="31"/>
    </x:row>
    <x:row r="75">
      <x:c r="A75" s="79"/>
      <x:c r="B75" s="31"/>
      <x:c r="C75" s="31"/>
      <x:c r="D75" s="31"/>
      <x:c r="E75" s="31"/>
      <x:c r="F75" s="31"/>
      <x:c r="G75" s="31"/>
      <x:c r="H75" s="31"/>
      <x:c r="I75" s="31"/>
      <x:c r="J75" s="32"/>
      <x:c r="K75" s="32"/>
      <x:c r="L75" s="32"/>
      <x:c r="M75" s="32"/>
      <x:c r="N75" s="31"/>
      <x:c r="O75" s="31"/>
      <x:c r="P75" s="31"/>
      <x:c r="Q75" s="32"/>
      <x:c r="R75" s="31"/>
      <x:c r="S75" s="31"/>
      <x:c r="T75" s="31"/>
      <x:c r="U75" s="31"/>
      <x:c r="V75" s="32"/>
      <x:c r="W75" s="31"/>
      <x:c r="X75" s="32"/>
      <x:c r="Y75" s="31"/>
    </x:row>
    <x:row r="76">
      <x:c r="A76" s="79"/>
      <x:c r="B76" s="31"/>
      <x:c r="C76" s="31"/>
      <x:c r="D76" s="31"/>
      <x:c r="E76" s="31"/>
      <x:c r="F76" s="31"/>
      <x:c r="G76" s="31"/>
      <x:c r="H76" s="31"/>
      <x:c r="I76" s="31"/>
      <x:c r="J76" s="32"/>
      <x:c r="K76" s="32"/>
      <x:c r="L76" s="32"/>
      <x:c r="M76" s="32"/>
      <x:c r="N76" s="31"/>
      <x:c r="O76" s="31"/>
      <x:c r="P76" s="31"/>
      <x:c r="Q76" s="32"/>
      <x:c r="R76" s="31"/>
      <x:c r="S76" s="31"/>
      <x:c r="T76" s="31"/>
      <x:c r="U76" s="31"/>
      <x:c r="V76" s="32"/>
      <x:c r="W76" s="31"/>
      <x:c r="X76" s="32"/>
      <x:c r="Y76" s="31"/>
    </x:row>
    <x:row r="77">
      <x:c r="A77" s="79"/>
      <x:c r="B77" s="31"/>
      <x:c r="C77" s="31"/>
      <x:c r="D77" s="31"/>
      <x:c r="E77" s="31"/>
      <x:c r="F77" s="31"/>
      <x:c r="G77" s="31"/>
      <x:c r="H77" s="31"/>
      <x:c r="I77" s="31"/>
      <x:c r="J77" s="32"/>
      <x:c r="K77" s="32"/>
      <x:c r="L77" s="32"/>
      <x:c r="M77" s="32"/>
      <x:c r="N77" s="31"/>
      <x:c r="O77" s="31"/>
      <x:c r="P77" s="31"/>
      <x:c r="Q77" s="32"/>
      <x:c r="R77" s="31"/>
      <x:c r="S77" s="31"/>
      <x:c r="T77" s="31"/>
      <x:c r="U77" s="31"/>
      <x:c r="V77" s="32"/>
      <x:c r="W77" s="31"/>
      <x:c r="X77" s="32"/>
      <x:c r="Y77" s="31"/>
    </x:row>
    <x:row r="78">
      <x:c r="A78" s="79"/>
      <x:c r="B78" s="31"/>
      <x:c r="C78" s="31"/>
      <x:c r="D78" s="31"/>
      <x:c r="E78" s="31"/>
      <x:c r="F78" s="31"/>
      <x:c r="G78" s="31"/>
      <x:c r="H78" s="31"/>
      <x:c r="I78" s="31"/>
      <x:c r="J78" s="32"/>
      <x:c r="K78" s="32"/>
      <x:c r="L78" s="32"/>
      <x:c r="M78" s="32"/>
      <x:c r="N78" s="31"/>
      <x:c r="O78" s="31"/>
      <x:c r="P78" s="31"/>
      <x:c r="Q78" s="32"/>
      <x:c r="R78" s="31"/>
      <x:c r="S78" s="31"/>
      <x:c r="T78" s="31"/>
      <x:c r="U78" s="31"/>
      <x:c r="V78" s="32"/>
      <x:c r="W78" s="31"/>
      <x:c r="X78" s="32"/>
      <x:c r="Y78" s="31"/>
    </x:row>
    <x:row r="79">
      <x:c r="A79" s="79"/>
      <x:c r="B79" s="31"/>
      <x:c r="C79" s="31"/>
      <x:c r="D79" s="31"/>
      <x:c r="E79" s="31"/>
      <x:c r="F79" s="31"/>
      <x:c r="G79" s="31"/>
      <x:c r="H79" s="31"/>
      <x:c r="I79" s="31"/>
      <x:c r="J79" s="32"/>
      <x:c r="K79" s="32"/>
      <x:c r="L79" s="32"/>
      <x:c r="M79" s="32"/>
      <x:c r="N79" s="31"/>
      <x:c r="O79" s="31"/>
      <x:c r="P79" s="31"/>
      <x:c r="Q79" s="32"/>
      <x:c r="R79" s="31"/>
      <x:c r="S79" s="31"/>
      <x:c r="T79" s="31"/>
      <x:c r="U79" s="31"/>
      <x:c r="V79" s="32"/>
      <x:c r="W79" s="31"/>
      <x:c r="X79" s="32"/>
      <x:c r="Y79" s="31"/>
    </x:row>
    <x:row r="80">
      <x:c r="A80" s="79"/>
      <x:c r="B80" s="31"/>
      <x:c r="C80" s="31"/>
      <x:c r="D80" s="31"/>
      <x:c r="E80" s="31"/>
      <x:c r="F80" s="31"/>
      <x:c r="G80" s="31"/>
      <x:c r="H80" s="31"/>
      <x:c r="I80" s="31"/>
      <x:c r="J80" s="32"/>
      <x:c r="K80" s="32"/>
      <x:c r="L80" s="32"/>
      <x:c r="M80" s="32"/>
      <x:c r="N80" s="31"/>
      <x:c r="O80" s="31"/>
      <x:c r="P80" s="31"/>
      <x:c r="Q80" s="32"/>
      <x:c r="R80" s="31"/>
      <x:c r="S80" s="31"/>
      <x:c r="T80" s="31"/>
      <x:c r="U80" s="31"/>
      <x:c r="V80" s="32"/>
      <x:c r="W80" s="31"/>
      <x:c r="X80" s="32"/>
      <x:c r="Y80" s="31"/>
    </x:row>
    <x:row r="81">
      <x:c r="A81" s="79"/>
      <x:c r="B81" s="31"/>
      <x:c r="C81" s="31"/>
      <x:c r="D81" s="31"/>
      <x:c r="E81" s="31"/>
      <x:c r="F81" s="31"/>
      <x:c r="G81" s="31"/>
      <x:c r="H81" s="31"/>
      <x:c r="I81" s="31"/>
      <x:c r="J81" s="32"/>
      <x:c r="K81" s="32"/>
      <x:c r="L81" s="32"/>
      <x:c r="M81" s="32"/>
      <x:c r="N81" s="31"/>
      <x:c r="O81" s="31"/>
      <x:c r="P81" s="31"/>
      <x:c r="Q81" s="32"/>
      <x:c r="R81" s="31"/>
      <x:c r="S81" s="31"/>
      <x:c r="T81" s="31"/>
      <x:c r="U81" s="31"/>
      <x:c r="V81" s="32"/>
      <x:c r="W81" s="31"/>
      <x:c r="X81" s="32"/>
      <x:c r="Y81" s="31"/>
    </x:row>
    <x:row r="82">
      <x:c r="A82" s="79"/>
      <x:c r="B82" s="31"/>
      <x:c r="C82" s="31"/>
      <x:c r="D82" s="31"/>
      <x:c r="E82" s="31"/>
      <x:c r="F82" s="31"/>
      <x:c r="G82" s="31"/>
      <x:c r="H82" s="31"/>
      <x:c r="I82" s="31"/>
      <x:c r="J82" s="32"/>
      <x:c r="K82" s="32"/>
      <x:c r="L82" s="32"/>
      <x:c r="M82" s="32"/>
      <x:c r="N82" s="31"/>
      <x:c r="O82" s="31"/>
      <x:c r="P82" s="31"/>
      <x:c r="Q82" s="32"/>
      <x:c r="R82" s="31"/>
      <x:c r="S82" s="31"/>
      <x:c r="T82" s="31"/>
      <x:c r="U82" s="31"/>
      <x:c r="V82" s="32"/>
      <x:c r="W82" s="31"/>
      <x:c r="X82" s="32"/>
      <x:c r="Y82" s="31"/>
    </x:row>
    <x:row r="83">
      <x:c r="A83" s="79"/>
      <x:c r="B83" s="31"/>
      <x:c r="C83" s="31"/>
      <x:c r="D83" s="31"/>
      <x:c r="E83" s="31"/>
      <x:c r="F83" s="31"/>
      <x:c r="G83" s="31"/>
      <x:c r="H83" s="31"/>
      <x:c r="I83" s="31"/>
      <x:c r="J83" s="32"/>
      <x:c r="K83" s="32"/>
      <x:c r="L83" s="32"/>
      <x:c r="M83" s="32"/>
      <x:c r="N83" s="31"/>
      <x:c r="O83" s="31"/>
      <x:c r="P83" s="31"/>
      <x:c r="Q83" s="32"/>
      <x:c r="R83" s="31"/>
      <x:c r="S83" s="31"/>
      <x:c r="T83" s="31"/>
      <x:c r="U83" s="31"/>
      <x:c r="V83" s="32"/>
      <x:c r="W83" s="31"/>
      <x:c r="X83" s="32"/>
      <x:c r="Y83" s="31"/>
    </x:row>
    <x:row r="84">
      <x:c r="A84" s="79"/>
      <x:c r="B84" s="31"/>
      <x:c r="C84" s="31"/>
      <x:c r="D84" s="31"/>
      <x:c r="E84" s="31"/>
      <x:c r="F84" s="31"/>
      <x:c r="G84" s="31"/>
      <x:c r="H84" s="31"/>
      <x:c r="I84" s="31"/>
      <x:c r="J84" s="32"/>
      <x:c r="K84" s="32"/>
      <x:c r="L84" s="32"/>
      <x:c r="M84" s="32"/>
      <x:c r="N84" s="31"/>
      <x:c r="O84" s="31"/>
      <x:c r="P84" s="31"/>
      <x:c r="Q84" s="32"/>
      <x:c r="R84" s="31"/>
      <x:c r="S84" s="31"/>
      <x:c r="T84" s="31"/>
      <x:c r="U84" s="31"/>
      <x:c r="V84" s="32"/>
      <x:c r="W84" s="31"/>
      <x:c r="X84" s="32"/>
      <x:c r="Y84" s="31"/>
    </x:row>
    <x:row r="85">
      <x:c r="A85" s="79"/>
      <x:c r="B85" s="31"/>
      <x:c r="C85" s="31"/>
      <x:c r="D85" s="31"/>
      <x:c r="E85" s="31"/>
      <x:c r="F85" s="31"/>
      <x:c r="G85" s="31"/>
      <x:c r="H85" s="31"/>
      <x:c r="I85" s="31"/>
      <x:c r="J85" s="32"/>
      <x:c r="K85" s="32"/>
      <x:c r="L85" s="32"/>
      <x:c r="M85" s="32"/>
      <x:c r="N85" s="31"/>
      <x:c r="O85" s="31"/>
      <x:c r="P85" s="31"/>
      <x:c r="Q85" s="32"/>
      <x:c r="R85" s="31"/>
      <x:c r="S85" s="31"/>
      <x:c r="T85" s="31"/>
      <x:c r="U85" s="31"/>
      <x:c r="V85" s="32"/>
      <x:c r="W85" s="31"/>
      <x:c r="X85" s="32"/>
      <x:c r="Y85" s="31"/>
    </x:row>
    <x:row r="86">
      <x:c r="A86" s="79"/>
      <x:c r="B86" s="31"/>
      <x:c r="C86" s="31"/>
      <x:c r="D86" s="31"/>
      <x:c r="E86" s="31"/>
      <x:c r="F86" s="31"/>
      <x:c r="G86" s="31"/>
      <x:c r="H86" s="31"/>
      <x:c r="I86" s="31"/>
      <x:c r="J86" s="32"/>
      <x:c r="K86" s="32"/>
      <x:c r="L86" s="32"/>
      <x:c r="M86" s="32"/>
      <x:c r="N86" s="31"/>
      <x:c r="O86" s="31"/>
      <x:c r="P86" s="31"/>
      <x:c r="Q86" s="32"/>
      <x:c r="R86" s="31"/>
      <x:c r="S86" s="31"/>
      <x:c r="T86" s="31"/>
      <x:c r="U86" s="31"/>
      <x:c r="V86" s="32"/>
      <x:c r="W86" s="31"/>
      <x:c r="X86" s="32"/>
      <x:c r="Y86" s="31"/>
    </x:row>
    <x:row r="87">
      <x:c r="A87" s="79"/>
      <x:c r="B87" s="31"/>
      <x:c r="C87" s="31"/>
      <x:c r="D87" s="31"/>
      <x:c r="E87" s="31"/>
      <x:c r="F87" s="31"/>
      <x:c r="G87" s="31"/>
      <x:c r="H87" s="31"/>
      <x:c r="I87" s="31"/>
      <x:c r="J87" s="32"/>
      <x:c r="K87" s="32"/>
      <x:c r="L87" s="32"/>
      <x:c r="M87" s="32"/>
      <x:c r="N87" s="31"/>
      <x:c r="O87" s="31"/>
      <x:c r="P87" s="31"/>
      <x:c r="Q87" s="32"/>
      <x:c r="R87" s="31"/>
      <x:c r="S87" s="31"/>
      <x:c r="T87" s="31"/>
      <x:c r="U87" s="31"/>
      <x:c r="V87" s="32"/>
      <x:c r="W87" s="31"/>
      <x:c r="X87" s="32"/>
      <x:c r="Y87" s="31"/>
    </x:row>
    <x:row r="88">
      <x:c r="A88" s="79"/>
      <x:c r="B88" s="31"/>
      <x:c r="C88" s="31"/>
      <x:c r="D88" s="31"/>
      <x:c r="E88" s="31"/>
      <x:c r="F88" s="31"/>
      <x:c r="G88" s="31"/>
      <x:c r="H88" s="31"/>
      <x:c r="I88" s="31"/>
      <x:c r="J88" s="32"/>
      <x:c r="K88" s="32"/>
      <x:c r="L88" s="32"/>
      <x:c r="M88" s="32"/>
      <x:c r="N88" s="31"/>
      <x:c r="O88" s="31"/>
      <x:c r="P88" s="31"/>
      <x:c r="Q88" s="32"/>
      <x:c r="R88" s="31"/>
      <x:c r="S88" s="31"/>
      <x:c r="T88" s="31"/>
      <x:c r="U88" s="31"/>
      <x:c r="V88" s="32"/>
      <x:c r="W88" s="31"/>
      <x:c r="X88" s="32"/>
      <x:c r="Y88" s="31"/>
    </x:row>
    <x:row r="89">
      <x:c r="A89" s="79"/>
      <x:c r="B89" s="31"/>
      <x:c r="C89" s="31"/>
      <x:c r="D89" s="31"/>
      <x:c r="E89" s="31"/>
      <x:c r="F89" s="31"/>
      <x:c r="G89" s="31"/>
      <x:c r="H89" s="31"/>
      <x:c r="I89" s="31"/>
      <x:c r="J89" s="32"/>
      <x:c r="K89" s="32"/>
      <x:c r="L89" s="32"/>
      <x:c r="M89" s="32"/>
      <x:c r="N89" s="31"/>
      <x:c r="O89" s="31"/>
      <x:c r="P89" s="31"/>
      <x:c r="Q89" s="32"/>
      <x:c r="R89" s="31"/>
      <x:c r="S89" s="31"/>
      <x:c r="T89" s="31"/>
      <x:c r="U89" s="31"/>
      <x:c r="V89" s="32"/>
      <x:c r="W89" s="31"/>
      <x:c r="X89" s="32"/>
      <x:c r="Y89" s="31"/>
    </x:row>
    <x:row r="90">
      <x:c r="A90" s="79"/>
      <x:c r="B90" s="31"/>
      <x:c r="C90" s="31"/>
      <x:c r="D90" s="31"/>
      <x:c r="E90" s="31"/>
      <x:c r="F90" s="31"/>
      <x:c r="G90" s="31"/>
      <x:c r="H90" s="31"/>
      <x:c r="I90" s="31"/>
      <x:c r="J90" s="32"/>
      <x:c r="K90" s="32"/>
      <x:c r="L90" s="32"/>
      <x:c r="M90" s="32"/>
      <x:c r="N90" s="31"/>
      <x:c r="O90" s="31"/>
      <x:c r="P90" s="31"/>
      <x:c r="Q90" s="32"/>
      <x:c r="R90" s="31"/>
      <x:c r="S90" s="31"/>
      <x:c r="T90" s="31"/>
      <x:c r="U90" s="31"/>
      <x:c r="V90" s="32"/>
      <x:c r="W90" s="31"/>
      <x:c r="X90" s="32"/>
      <x:c r="Y90" s="31"/>
    </x:row>
    <x:row r="91">
      <x:c r="A91" s="79"/>
      <x:c r="B91" s="31"/>
      <x:c r="C91" s="31"/>
      <x:c r="D91" s="31"/>
      <x:c r="E91" s="31"/>
      <x:c r="F91" s="31"/>
      <x:c r="G91" s="31"/>
      <x:c r="H91" s="31"/>
      <x:c r="I91" s="31"/>
      <x:c r="J91" s="32"/>
      <x:c r="K91" s="32"/>
      <x:c r="L91" s="32"/>
      <x:c r="M91" s="32"/>
      <x:c r="N91" s="31"/>
      <x:c r="O91" s="31"/>
      <x:c r="P91" s="31"/>
      <x:c r="Q91" s="32"/>
      <x:c r="R91" s="31"/>
      <x:c r="S91" s="31"/>
      <x:c r="T91" s="31"/>
      <x:c r="U91" s="31"/>
      <x:c r="V91" s="32"/>
      <x:c r="W91" s="31"/>
      <x:c r="X91" s="32"/>
      <x:c r="Y91" s="31"/>
    </x:row>
    <x:row r="92">
      <x:c r="A92" s="79"/>
      <x:c r="B92" s="31"/>
      <x:c r="C92" s="31"/>
      <x:c r="D92" s="31"/>
      <x:c r="E92" s="31"/>
      <x:c r="F92" s="31"/>
      <x:c r="G92" s="31"/>
      <x:c r="H92" s="31"/>
      <x:c r="I92" s="31"/>
      <x:c r="J92" s="32"/>
      <x:c r="K92" s="32"/>
      <x:c r="L92" s="32"/>
      <x:c r="M92" s="32"/>
      <x:c r="N92" s="31"/>
      <x:c r="O92" s="31"/>
      <x:c r="P92" s="31"/>
      <x:c r="Q92" s="32"/>
      <x:c r="R92" s="31"/>
      <x:c r="S92" s="31"/>
      <x:c r="T92" s="31"/>
      <x:c r="U92" s="31"/>
      <x:c r="V92" s="32"/>
      <x:c r="W92" s="31"/>
      <x:c r="X92" s="32"/>
      <x:c r="Y92" s="31"/>
    </x:row>
    <x:row r="93">
      <x:c r="A93" s="79"/>
      <x:c r="B93" s="31"/>
      <x:c r="C93" s="31"/>
      <x:c r="D93" s="31"/>
      <x:c r="E93" s="31"/>
      <x:c r="F93" s="31"/>
      <x:c r="G93" s="31"/>
      <x:c r="H93" s="31"/>
      <x:c r="I93" s="31"/>
      <x:c r="J93" s="32"/>
      <x:c r="K93" s="32"/>
      <x:c r="L93" s="32"/>
      <x:c r="M93" s="32"/>
      <x:c r="N93" s="31"/>
      <x:c r="O93" s="31"/>
      <x:c r="P93" s="31"/>
      <x:c r="Q93" s="32"/>
      <x:c r="R93" s="31"/>
      <x:c r="S93" s="31"/>
      <x:c r="T93" s="31"/>
      <x:c r="U93" s="31"/>
      <x:c r="V93" s="32"/>
      <x:c r="W93" s="31"/>
      <x:c r="X93" s="32"/>
      <x:c r="Y93" s="31"/>
    </x:row>
    <x:row r="94">
      <x:c r="A94" s="79"/>
      <x:c r="B94" s="31"/>
      <x:c r="C94" s="31"/>
      <x:c r="D94" s="31"/>
      <x:c r="E94" s="31"/>
      <x:c r="F94" s="31"/>
      <x:c r="G94" s="31"/>
      <x:c r="H94" s="31"/>
      <x:c r="I94" s="31"/>
      <x:c r="J94" s="32"/>
      <x:c r="K94" s="32"/>
      <x:c r="L94" s="32"/>
      <x:c r="M94" s="32"/>
      <x:c r="N94" s="31"/>
      <x:c r="O94" s="31"/>
      <x:c r="P94" s="31"/>
      <x:c r="Q94" s="32"/>
      <x:c r="R94" s="31"/>
      <x:c r="S94" s="31"/>
      <x:c r="T94" s="31"/>
      <x:c r="U94" s="31"/>
      <x:c r="V94" s="32"/>
      <x:c r="W94" s="31"/>
      <x:c r="X94" s="32"/>
      <x:c r="Y94" s="31"/>
    </x:row>
    <x:row r="95">
      <x:c r="A95" s="79"/>
      <x:c r="B95" s="31"/>
      <x:c r="C95" s="31"/>
      <x:c r="D95" s="31"/>
      <x:c r="E95" s="31"/>
      <x:c r="F95" s="31"/>
      <x:c r="G95" s="31"/>
      <x:c r="H95" s="31"/>
      <x:c r="I95" s="31"/>
      <x:c r="J95" s="32"/>
      <x:c r="K95" s="32"/>
      <x:c r="L95" s="32"/>
      <x:c r="M95" s="32"/>
      <x:c r="N95" s="31"/>
      <x:c r="O95" s="31"/>
      <x:c r="P95" s="31"/>
      <x:c r="Q95" s="32"/>
      <x:c r="R95" s="31"/>
      <x:c r="S95" s="31"/>
      <x:c r="T95" s="31"/>
      <x:c r="U95" s="31"/>
      <x:c r="V95" s="32"/>
      <x:c r="W95" s="31"/>
      <x:c r="X95" s="32"/>
      <x:c r="Y95" s="31"/>
    </x:row>
    <x:row r="96">
      <x:c r="A96" s="79"/>
      <x:c r="B96" s="31"/>
      <x:c r="C96" s="31"/>
      <x:c r="D96" s="31"/>
      <x:c r="E96" s="31"/>
      <x:c r="F96" s="31"/>
      <x:c r="G96" s="31"/>
      <x:c r="H96" s="31"/>
      <x:c r="I96" s="31"/>
      <x:c r="J96" s="32"/>
      <x:c r="K96" s="32"/>
      <x:c r="L96" s="32"/>
      <x:c r="M96" s="32"/>
      <x:c r="N96" s="31"/>
      <x:c r="O96" s="31"/>
      <x:c r="P96" s="31"/>
      <x:c r="Q96" s="32"/>
      <x:c r="R96" s="31"/>
      <x:c r="S96" s="31"/>
      <x:c r="T96" s="31"/>
      <x:c r="U96" s="31"/>
      <x:c r="V96" s="32"/>
      <x:c r="W96" s="31"/>
      <x:c r="X96" s="32"/>
      <x:c r="Y96" s="31"/>
    </x:row>
    <x:row r="97">
      <x:c r="A97" s="79"/>
      <x:c r="B97" s="31"/>
      <x:c r="C97" s="31"/>
      <x:c r="D97" s="31"/>
      <x:c r="E97" s="31"/>
      <x:c r="F97" s="31"/>
      <x:c r="G97" s="31"/>
      <x:c r="H97" s="31"/>
      <x:c r="I97" s="31"/>
      <x:c r="J97" s="32"/>
      <x:c r="K97" s="32"/>
      <x:c r="L97" s="32"/>
      <x:c r="M97" s="32"/>
      <x:c r="N97" s="31"/>
      <x:c r="O97" s="31"/>
      <x:c r="P97" s="31"/>
      <x:c r="Q97" s="32"/>
      <x:c r="R97" s="31"/>
      <x:c r="S97" s="31"/>
      <x:c r="T97" s="31"/>
      <x:c r="U97" s="31"/>
      <x:c r="V97" s="32"/>
      <x:c r="W97" s="31"/>
      <x:c r="X97" s="32"/>
      <x:c r="Y97" s="31"/>
    </x:row>
    <x:row r="98">
      <x:c r="A98" s="79"/>
      <x:c r="B98" s="31"/>
      <x:c r="C98" s="31"/>
      <x:c r="D98" s="31"/>
      <x:c r="E98" s="31"/>
      <x:c r="F98" s="31"/>
      <x:c r="G98" s="31"/>
      <x:c r="H98" s="31"/>
      <x:c r="I98" s="31"/>
      <x:c r="J98" s="32"/>
      <x:c r="K98" s="32"/>
      <x:c r="L98" s="32"/>
      <x:c r="M98" s="32"/>
      <x:c r="N98" s="31"/>
      <x:c r="O98" s="31"/>
      <x:c r="P98" s="31"/>
      <x:c r="Q98" s="32"/>
      <x:c r="R98" s="31"/>
      <x:c r="S98" s="31"/>
      <x:c r="T98" s="31"/>
      <x:c r="U98" s="31"/>
      <x:c r="V98" s="32"/>
      <x:c r="W98" s="31"/>
      <x:c r="X98" s="32"/>
      <x:c r="Y98" s="31"/>
    </x:row>
    <x:row r="99">
      <x:c r="A99" s="79"/>
      <x:c r="B99" s="31"/>
      <x:c r="C99" s="31"/>
      <x:c r="D99" s="31"/>
      <x:c r="E99" s="31"/>
      <x:c r="F99" s="31"/>
      <x:c r="G99" s="31"/>
      <x:c r="H99" s="31"/>
      <x:c r="I99" s="31"/>
      <x:c r="J99" s="32"/>
      <x:c r="K99" s="32"/>
      <x:c r="L99" s="32"/>
      <x:c r="M99" s="32"/>
      <x:c r="N99" s="31"/>
      <x:c r="O99" s="31"/>
      <x:c r="P99" s="31"/>
      <x:c r="Q99" s="32"/>
      <x:c r="R99" s="31"/>
      <x:c r="S99" s="31"/>
      <x:c r="T99" s="31"/>
      <x:c r="U99" s="31"/>
      <x:c r="V99" s="32"/>
      <x:c r="W99" s="31"/>
      <x:c r="X99" s="32"/>
      <x:c r="Y99" s="31"/>
    </x:row>
    <x:row r="100">
      <x:c r="A100" s="79"/>
      <x:c r="B100" s="31"/>
      <x:c r="C100" s="31"/>
      <x:c r="D100" s="31"/>
      <x:c r="E100" s="31"/>
      <x:c r="F100" s="31"/>
      <x:c r="G100" s="31"/>
      <x:c r="H100" s="31"/>
      <x:c r="I100" s="31"/>
      <x:c r="J100" s="32"/>
      <x:c r="K100" s="32"/>
      <x:c r="L100" s="32"/>
      <x:c r="M100" s="32"/>
      <x:c r="N100" s="31"/>
      <x:c r="O100" s="31"/>
      <x:c r="P100" s="31"/>
      <x:c r="Q100" s="32"/>
      <x:c r="R100" s="31"/>
      <x:c r="S100" s="31"/>
      <x:c r="T100" s="31"/>
      <x:c r="U100" s="31"/>
      <x:c r="V100" s="32"/>
      <x:c r="W100" s="31"/>
      <x:c r="X100" s="32"/>
      <x:c r="Y100" s="31"/>
    </x:row>
    <x:row r="101">
      <x:c r="A101" s="79"/>
      <x:c r="B101" s="31"/>
      <x:c r="C101" s="31"/>
      <x:c r="D101" s="31"/>
      <x:c r="E101" s="31"/>
      <x:c r="F101" s="31"/>
      <x:c r="G101" s="31"/>
      <x:c r="H101" s="31"/>
      <x:c r="I101" s="31"/>
      <x:c r="J101" s="32"/>
      <x:c r="K101" s="32"/>
      <x:c r="L101" s="32"/>
      <x:c r="M101" s="32"/>
      <x:c r="N101" s="31"/>
      <x:c r="O101" s="31"/>
      <x:c r="P101" s="31"/>
      <x:c r="Q101" s="32"/>
      <x:c r="R101" s="31"/>
      <x:c r="S101" s="31"/>
      <x:c r="T101" s="31"/>
      <x:c r="U101" s="31"/>
      <x:c r="V101" s="32"/>
      <x:c r="W101" s="31"/>
      <x:c r="X101" s="32"/>
      <x:c r="Y101" s="31"/>
    </x:row>
    <x:row r="102">
      <x:c r="A102" s="79"/>
      <x:c r="B102" s="31"/>
      <x:c r="C102" s="31"/>
      <x:c r="D102" s="31"/>
      <x:c r="E102" s="31"/>
      <x:c r="F102" s="31"/>
      <x:c r="G102" s="31"/>
      <x:c r="H102" s="31"/>
      <x:c r="I102" s="31"/>
      <x:c r="J102" s="32"/>
      <x:c r="K102" s="32"/>
      <x:c r="L102" s="32"/>
      <x:c r="M102" s="32"/>
      <x:c r="N102" s="31"/>
      <x:c r="O102" s="31"/>
      <x:c r="P102" s="31"/>
      <x:c r="Q102" s="32"/>
      <x:c r="R102" s="31"/>
      <x:c r="S102" s="31"/>
      <x:c r="T102" s="31"/>
      <x:c r="U102" s="31"/>
      <x:c r="V102" s="32"/>
      <x:c r="W102" s="31"/>
      <x:c r="X102" s="32"/>
      <x:c r="Y102" s="31"/>
    </x:row>
    <x:row r="103">
      <x:c r="A103" s="79"/>
      <x:c r="B103" s="31"/>
      <x:c r="C103" s="31"/>
      <x:c r="D103" s="31"/>
      <x:c r="E103" s="31"/>
      <x:c r="F103" s="31"/>
      <x:c r="G103" s="31"/>
      <x:c r="H103" s="31"/>
      <x:c r="I103" s="31"/>
      <x:c r="J103" s="32"/>
      <x:c r="K103" s="32"/>
      <x:c r="L103" s="32"/>
      <x:c r="M103" s="32"/>
      <x:c r="N103" s="31"/>
      <x:c r="O103" s="31"/>
      <x:c r="P103" s="31"/>
      <x:c r="Q103" s="32"/>
      <x:c r="R103" s="31"/>
      <x:c r="S103" s="31"/>
      <x:c r="T103" s="31"/>
      <x:c r="U103" s="31"/>
      <x:c r="V103" s="32"/>
      <x:c r="W103" s="31"/>
      <x:c r="X103" s="32"/>
      <x:c r="Y103" s="31"/>
    </x:row>
    <x:row r="104">
      <x:c r="A104" s="79"/>
      <x:c r="B104" s="31"/>
      <x:c r="C104" s="31"/>
      <x:c r="D104" s="31"/>
      <x:c r="E104" s="31"/>
      <x:c r="F104" s="31"/>
      <x:c r="G104" s="31"/>
      <x:c r="H104" s="31"/>
      <x:c r="I104" s="31"/>
      <x:c r="J104" s="32"/>
      <x:c r="K104" s="32"/>
      <x:c r="L104" s="32"/>
      <x:c r="M104" s="32"/>
      <x:c r="N104" s="31"/>
      <x:c r="O104" s="31"/>
      <x:c r="P104" s="31"/>
      <x:c r="Q104" s="32"/>
      <x:c r="R104" s="31"/>
      <x:c r="S104" s="31"/>
      <x:c r="T104" s="31"/>
      <x:c r="U104" s="31"/>
      <x:c r="V104" s="32"/>
      <x:c r="W104" s="31"/>
      <x:c r="X104" s="32"/>
      <x:c r="Y104" s="31"/>
    </x:row>
    <x:row r="105">
      <x:c r="A105" s="79"/>
      <x:c r="B105" s="31"/>
      <x:c r="C105" s="31"/>
      <x:c r="D105" s="31"/>
      <x:c r="E105" s="31"/>
      <x:c r="F105" s="31"/>
      <x:c r="G105" s="31"/>
      <x:c r="H105" s="31"/>
      <x:c r="I105" s="31"/>
      <x:c r="J105" s="32"/>
      <x:c r="K105" s="32"/>
      <x:c r="L105" s="32"/>
      <x:c r="M105" s="32"/>
      <x:c r="N105" s="31"/>
      <x:c r="O105" s="31"/>
      <x:c r="P105" s="31"/>
      <x:c r="Q105" s="32"/>
      <x:c r="R105" s="31"/>
      <x:c r="S105" s="31"/>
      <x:c r="T105" s="31"/>
      <x:c r="U105" s="31"/>
      <x:c r="V105" s="32"/>
      <x:c r="W105" s="31"/>
      <x:c r="X105" s="32"/>
      <x:c r="Y105" s="31"/>
    </x:row>
    <x:row r="106">
      <x:c r="A106" s="79"/>
      <x:c r="B106" s="31"/>
      <x:c r="C106" s="31"/>
      <x:c r="D106" s="31"/>
      <x:c r="E106" s="31"/>
      <x:c r="F106" s="31"/>
      <x:c r="G106" s="31"/>
      <x:c r="H106" s="31"/>
      <x:c r="I106" s="31"/>
      <x:c r="J106" s="32"/>
      <x:c r="K106" s="32"/>
      <x:c r="L106" s="32"/>
      <x:c r="M106" s="32"/>
      <x:c r="N106" s="31"/>
      <x:c r="O106" s="31"/>
      <x:c r="P106" s="31"/>
      <x:c r="Q106" s="32"/>
      <x:c r="R106" s="31"/>
      <x:c r="S106" s="31"/>
      <x:c r="T106" s="31"/>
      <x:c r="U106" s="31"/>
      <x:c r="V106" s="32"/>
      <x:c r="W106" s="31"/>
      <x:c r="X106" s="32"/>
      <x:c r="Y106" s="31"/>
    </x:row>
    <x:row r="107">
      <x:c r="A107" s="79"/>
      <x:c r="B107" s="31"/>
      <x:c r="C107" s="31"/>
      <x:c r="D107" s="31"/>
      <x:c r="E107" s="31"/>
      <x:c r="F107" s="31"/>
      <x:c r="G107" s="31"/>
      <x:c r="H107" s="31"/>
      <x:c r="I107" s="31"/>
      <x:c r="J107" s="32"/>
      <x:c r="K107" s="32"/>
      <x:c r="L107" s="32"/>
      <x:c r="M107" s="32"/>
      <x:c r="N107" s="31"/>
      <x:c r="O107" s="31"/>
      <x:c r="P107" s="31"/>
      <x:c r="Q107" s="32"/>
      <x:c r="R107" s="31"/>
      <x:c r="S107" s="31"/>
      <x:c r="T107" s="31"/>
      <x:c r="U107" s="31"/>
      <x:c r="V107" s="32"/>
      <x:c r="W107" s="31"/>
      <x:c r="X107" s="32"/>
      <x:c r="Y107" s="31"/>
    </x:row>
    <x:row r="108">
      <x:c r="A108" s="79"/>
      <x:c r="B108" s="31"/>
      <x:c r="C108" s="31"/>
      <x:c r="D108" s="31"/>
      <x:c r="E108" s="31"/>
      <x:c r="F108" s="31"/>
      <x:c r="G108" s="31"/>
      <x:c r="H108" s="31"/>
      <x:c r="I108" s="31"/>
      <x:c r="J108" s="32"/>
      <x:c r="K108" s="32"/>
      <x:c r="L108" s="32"/>
      <x:c r="M108" s="32"/>
      <x:c r="N108" s="31"/>
      <x:c r="O108" s="31"/>
      <x:c r="P108" s="31"/>
      <x:c r="Q108" s="32"/>
      <x:c r="R108" s="31"/>
      <x:c r="S108" s="31"/>
      <x:c r="T108" s="31"/>
      <x:c r="U108" s="31"/>
      <x:c r="V108" s="32"/>
      <x:c r="W108" s="31"/>
      <x:c r="X108" s="32"/>
      <x:c r="Y108" s="31"/>
    </x:row>
    <x:row r="109">
      <x:c r="A109" s="79"/>
      <x:c r="B109" s="31"/>
      <x:c r="C109" s="31"/>
      <x:c r="D109" s="31"/>
      <x:c r="E109" s="31"/>
      <x:c r="F109" s="31"/>
      <x:c r="G109" s="31"/>
      <x:c r="H109" s="31"/>
      <x:c r="I109" s="31"/>
      <x:c r="J109" s="32"/>
      <x:c r="K109" s="32"/>
      <x:c r="L109" s="32"/>
      <x:c r="M109" s="32"/>
      <x:c r="N109" s="31"/>
      <x:c r="O109" s="31"/>
      <x:c r="P109" s="31"/>
      <x:c r="Q109" s="32"/>
      <x:c r="R109" s="31"/>
      <x:c r="S109" s="31"/>
      <x:c r="T109" s="31"/>
      <x:c r="U109" s="31"/>
      <x:c r="V109" s="32"/>
      <x:c r="W109" s="31"/>
      <x:c r="X109" s="32"/>
      <x:c r="Y109" s="31"/>
    </x:row>
    <x:row r="110">
      <x:c r="A110" s="79"/>
      <x:c r="B110" s="31"/>
      <x:c r="C110" s="31"/>
      <x:c r="D110" s="31"/>
      <x:c r="E110" s="31"/>
      <x:c r="F110" s="31"/>
      <x:c r="G110" s="31"/>
      <x:c r="H110" s="31"/>
      <x:c r="I110" s="31"/>
      <x:c r="J110" s="32"/>
      <x:c r="K110" s="32"/>
      <x:c r="L110" s="32"/>
      <x:c r="M110" s="32"/>
      <x:c r="N110" s="31"/>
      <x:c r="O110" s="31"/>
      <x:c r="P110" s="31"/>
      <x:c r="Q110" s="32"/>
      <x:c r="R110" s="31"/>
      <x:c r="S110" s="31"/>
      <x:c r="T110" s="31"/>
      <x:c r="U110" s="31"/>
      <x:c r="V110" s="32"/>
      <x:c r="W110" s="31"/>
      <x:c r="X110" s="32"/>
      <x:c r="Y110" s="31"/>
    </x:row>
    <x:row r="111">
      <x:c r="A111" s="79"/>
      <x:c r="B111" s="31"/>
      <x:c r="C111" s="31"/>
      <x:c r="D111" s="31"/>
      <x:c r="E111" s="31"/>
      <x:c r="F111" s="31"/>
      <x:c r="G111" s="31"/>
      <x:c r="H111" s="31"/>
      <x:c r="I111" s="31"/>
      <x:c r="J111" s="32"/>
      <x:c r="K111" s="32"/>
      <x:c r="L111" s="32"/>
      <x:c r="M111" s="32"/>
      <x:c r="N111" s="31"/>
      <x:c r="O111" s="31"/>
      <x:c r="P111" s="31"/>
      <x:c r="Q111" s="32"/>
      <x:c r="R111" s="31"/>
      <x:c r="S111" s="31"/>
      <x:c r="T111" s="31"/>
      <x:c r="U111" s="31"/>
      <x:c r="V111" s="32"/>
      <x:c r="W111" s="31"/>
      <x:c r="X111" s="32"/>
      <x:c r="Y111" s="31"/>
    </x:row>
    <x:row r="112">
      <x:c r="A112" s="79"/>
      <x:c r="B112" s="31"/>
      <x:c r="C112" s="31"/>
      <x:c r="D112" s="31"/>
      <x:c r="E112" s="31"/>
      <x:c r="F112" s="31"/>
      <x:c r="G112" s="31"/>
      <x:c r="H112" s="31"/>
      <x:c r="I112" s="31"/>
      <x:c r="J112" s="32"/>
      <x:c r="K112" s="32"/>
      <x:c r="L112" s="32"/>
      <x:c r="M112" s="32"/>
      <x:c r="N112" s="31"/>
      <x:c r="O112" s="31"/>
      <x:c r="P112" s="31"/>
      <x:c r="Q112" s="32"/>
      <x:c r="R112" s="31"/>
      <x:c r="S112" s="31"/>
      <x:c r="T112" s="31"/>
      <x:c r="U112" s="31"/>
      <x:c r="V112" s="32"/>
      <x:c r="W112" s="31"/>
      <x:c r="X112" s="32"/>
      <x:c r="Y112" s="31"/>
    </x:row>
    <x:row r="113">
      <x:c r="A113" s="79"/>
      <x:c r="B113" s="31"/>
      <x:c r="C113" s="31"/>
      <x:c r="D113" s="31"/>
      <x:c r="E113" s="31"/>
      <x:c r="F113" s="31"/>
      <x:c r="G113" s="31"/>
      <x:c r="H113" s="31"/>
      <x:c r="I113" s="31"/>
      <x:c r="J113" s="32"/>
      <x:c r="K113" s="32"/>
      <x:c r="L113" s="32"/>
      <x:c r="M113" s="32"/>
      <x:c r="N113" s="31"/>
      <x:c r="O113" s="31"/>
      <x:c r="P113" s="31"/>
      <x:c r="Q113" s="32"/>
      <x:c r="R113" s="31"/>
      <x:c r="S113" s="31"/>
      <x:c r="T113" s="31"/>
      <x:c r="U113" s="31"/>
      <x:c r="V113" s="32"/>
      <x:c r="W113" s="31"/>
      <x:c r="X113" s="32"/>
      <x:c r="Y113" s="31"/>
    </x:row>
    <x:row r="114">
      <x:c r="A114" s="79"/>
      <x:c r="B114" s="31"/>
      <x:c r="C114" s="31"/>
      <x:c r="D114" s="31"/>
      <x:c r="E114" s="31"/>
      <x:c r="F114" s="31"/>
      <x:c r="G114" s="31"/>
      <x:c r="H114" s="31"/>
      <x:c r="I114" s="31"/>
      <x:c r="J114" s="32"/>
      <x:c r="K114" s="32"/>
      <x:c r="L114" s="32"/>
      <x:c r="M114" s="32"/>
      <x:c r="N114" s="31"/>
      <x:c r="O114" s="31"/>
      <x:c r="P114" s="31"/>
      <x:c r="Q114" s="32"/>
      <x:c r="R114" s="31"/>
      <x:c r="S114" s="31"/>
      <x:c r="T114" s="31"/>
      <x:c r="U114" s="31"/>
      <x:c r="V114" s="32"/>
      <x:c r="W114" s="31"/>
      <x:c r="X114" s="32"/>
      <x:c r="Y114" s="31"/>
    </x:row>
    <x:row r="115">
      <x:c r="A115" s="79"/>
      <x:c r="B115" s="31"/>
      <x:c r="C115" s="31"/>
      <x:c r="D115" s="31"/>
      <x:c r="E115" s="31"/>
      <x:c r="F115" s="31"/>
      <x:c r="G115" s="31"/>
      <x:c r="H115" s="31"/>
      <x:c r="I115" s="31"/>
      <x:c r="J115" s="32"/>
      <x:c r="K115" s="32"/>
      <x:c r="L115" s="32"/>
      <x:c r="M115" s="32"/>
      <x:c r="N115" s="31"/>
      <x:c r="O115" s="31"/>
      <x:c r="P115" s="31"/>
      <x:c r="Q115" s="32"/>
      <x:c r="R115" s="31"/>
      <x:c r="S115" s="31"/>
      <x:c r="T115" s="31"/>
      <x:c r="U115" s="31"/>
      <x:c r="V115" s="32"/>
      <x:c r="W115" s="31"/>
      <x:c r="X115" s="32"/>
      <x:c r="Y115" s="31"/>
    </x:row>
    <x:row r="116">
      <x:c r="A116" s="79"/>
      <x:c r="B116" s="31"/>
      <x:c r="C116" s="31"/>
      <x:c r="D116" s="31"/>
      <x:c r="E116" s="31"/>
      <x:c r="F116" s="31"/>
      <x:c r="G116" s="31"/>
      <x:c r="H116" s="31"/>
      <x:c r="I116" s="31"/>
      <x:c r="J116" s="32"/>
      <x:c r="K116" s="32"/>
      <x:c r="L116" s="32"/>
      <x:c r="M116" s="32"/>
      <x:c r="N116" s="31"/>
      <x:c r="O116" s="31"/>
      <x:c r="P116" s="31"/>
      <x:c r="Q116" s="32"/>
      <x:c r="R116" s="31"/>
      <x:c r="S116" s="31"/>
      <x:c r="T116" s="31"/>
      <x:c r="U116" s="31"/>
      <x:c r="V116" s="32"/>
      <x:c r="W116" s="31"/>
      <x:c r="X116" s="32"/>
      <x:c r="Y116" s="31"/>
    </x:row>
    <x:row r="117">
      <x:c r="A117" s="79"/>
      <x:c r="B117" s="31"/>
      <x:c r="C117" s="31"/>
      <x:c r="D117" s="31"/>
      <x:c r="E117" s="31"/>
      <x:c r="F117" s="31"/>
      <x:c r="G117" s="31"/>
      <x:c r="H117" s="31"/>
      <x:c r="I117" s="31"/>
      <x:c r="J117" s="32"/>
      <x:c r="K117" s="32"/>
      <x:c r="L117" s="32"/>
      <x:c r="M117" s="32"/>
      <x:c r="N117" s="31"/>
      <x:c r="O117" s="31"/>
      <x:c r="P117" s="31"/>
      <x:c r="Q117" s="32"/>
      <x:c r="R117" s="31"/>
      <x:c r="S117" s="31"/>
      <x:c r="T117" s="31"/>
      <x:c r="U117" s="31"/>
      <x:c r="V117" s="32"/>
      <x:c r="W117" s="31"/>
      <x:c r="X117" s="32"/>
      <x:c r="Y117" s="31"/>
    </x:row>
    <x:row r="118">
      <x:c r="A118" s="79"/>
      <x:c r="B118" s="31"/>
      <x:c r="C118" s="31"/>
      <x:c r="D118" s="31"/>
      <x:c r="E118" s="31"/>
      <x:c r="F118" s="31"/>
      <x:c r="G118" s="31"/>
      <x:c r="H118" s="31"/>
      <x:c r="I118" s="31"/>
      <x:c r="J118" s="32"/>
      <x:c r="K118" s="32"/>
      <x:c r="L118" s="32"/>
      <x:c r="M118" s="32"/>
      <x:c r="N118" s="31"/>
      <x:c r="O118" s="31"/>
      <x:c r="P118" s="31"/>
      <x:c r="Q118" s="32"/>
      <x:c r="R118" s="31"/>
      <x:c r="S118" s="31"/>
      <x:c r="T118" s="31"/>
      <x:c r="U118" s="31"/>
      <x:c r="V118" s="32"/>
      <x:c r="W118" s="31"/>
      <x:c r="X118" s="32"/>
      <x:c r="Y118" s="31"/>
    </x:row>
    <x:row r="119">
      <x:c r="A119" s="79"/>
      <x:c r="B119" s="31"/>
      <x:c r="C119" s="31"/>
      <x:c r="D119" s="31"/>
      <x:c r="E119" s="31"/>
      <x:c r="F119" s="31"/>
      <x:c r="G119" s="31"/>
      <x:c r="H119" s="31"/>
      <x:c r="I119" s="31"/>
      <x:c r="J119" s="32"/>
      <x:c r="K119" s="32"/>
      <x:c r="L119" s="32"/>
      <x:c r="M119" s="32"/>
      <x:c r="N119" s="31"/>
      <x:c r="O119" s="31"/>
      <x:c r="P119" s="31"/>
      <x:c r="Q119" s="32"/>
      <x:c r="R119" s="31"/>
      <x:c r="S119" s="31"/>
      <x:c r="T119" s="31"/>
      <x:c r="U119" s="31"/>
      <x:c r="V119" s="32"/>
      <x:c r="W119" s="31"/>
      <x:c r="X119" s="32"/>
      <x:c r="Y119" s="31"/>
    </x:row>
    <x:row r="120">
      <x:c r="A120" s="79"/>
      <x:c r="B120" s="31"/>
      <x:c r="C120" s="31"/>
      <x:c r="D120" s="31"/>
      <x:c r="E120" s="31"/>
      <x:c r="F120" s="31"/>
      <x:c r="G120" s="31"/>
      <x:c r="H120" s="31"/>
      <x:c r="I120" s="31"/>
      <x:c r="J120" s="32"/>
      <x:c r="K120" s="32"/>
      <x:c r="L120" s="32"/>
      <x:c r="M120" s="32"/>
      <x:c r="N120" s="31"/>
      <x:c r="O120" s="31"/>
      <x:c r="P120" s="31"/>
      <x:c r="Q120" s="32"/>
      <x:c r="R120" s="31"/>
      <x:c r="S120" s="31"/>
      <x:c r="T120" s="31"/>
      <x:c r="U120" s="31"/>
      <x:c r="V120" s="32"/>
      <x:c r="W120" s="31"/>
      <x:c r="X120" s="32"/>
      <x:c r="Y120" s="31"/>
    </x:row>
    <x:row r="121">
      <x:c r="A121" s="79"/>
      <x:c r="B121" s="31"/>
      <x:c r="C121" s="31"/>
      <x:c r="D121" s="31"/>
      <x:c r="E121" s="31"/>
      <x:c r="F121" s="31"/>
      <x:c r="G121" s="31"/>
      <x:c r="H121" s="31"/>
      <x:c r="I121" s="31"/>
      <x:c r="J121" s="32"/>
      <x:c r="K121" s="32"/>
      <x:c r="L121" s="32"/>
      <x:c r="M121" s="32"/>
      <x:c r="N121" s="31"/>
      <x:c r="O121" s="31"/>
      <x:c r="P121" s="31"/>
      <x:c r="Q121" s="32"/>
      <x:c r="R121" s="31"/>
      <x:c r="S121" s="31"/>
      <x:c r="T121" s="31"/>
      <x:c r="U121" s="31"/>
      <x:c r="V121" s="32"/>
      <x:c r="W121" s="31"/>
      <x:c r="X121" s="32"/>
      <x:c r="Y121" s="31"/>
    </x:row>
    <x:row r="122">
      <x:c r="A122" s="79"/>
      <x:c r="B122" s="31"/>
      <x:c r="C122" s="31"/>
      <x:c r="D122" s="31"/>
      <x:c r="E122" s="31"/>
      <x:c r="F122" s="31"/>
      <x:c r="G122" s="31"/>
      <x:c r="H122" s="31"/>
      <x:c r="I122" s="31"/>
      <x:c r="J122" s="32"/>
      <x:c r="K122" s="32"/>
      <x:c r="L122" s="32"/>
      <x:c r="M122" s="32"/>
      <x:c r="N122" s="31"/>
      <x:c r="O122" s="31"/>
      <x:c r="P122" s="31"/>
      <x:c r="Q122" s="32"/>
      <x:c r="R122" s="31"/>
      <x:c r="S122" s="31"/>
      <x:c r="T122" s="31"/>
      <x:c r="U122" s="31"/>
      <x:c r="V122" s="32"/>
      <x:c r="W122" s="31"/>
      <x:c r="X122" s="32"/>
      <x:c r="Y122" s="31"/>
    </x:row>
    <x:row r="123">
      <x:c r="A123" s="79"/>
      <x:c r="B123" s="31"/>
      <x:c r="C123" s="31"/>
      <x:c r="D123" s="31"/>
      <x:c r="E123" s="31"/>
      <x:c r="F123" s="31"/>
      <x:c r="G123" s="31"/>
      <x:c r="H123" s="31"/>
      <x:c r="I123" s="31"/>
      <x:c r="J123" s="32"/>
      <x:c r="K123" s="32"/>
      <x:c r="L123" s="32"/>
      <x:c r="M123" s="32"/>
      <x:c r="N123" s="31"/>
      <x:c r="O123" s="31"/>
      <x:c r="P123" s="31"/>
      <x:c r="Q123" s="32"/>
      <x:c r="R123" s="31"/>
      <x:c r="S123" s="31"/>
      <x:c r="T123" s="31"/>
      <x:c r="U123" s="31"/>
      <x:c r="V123" s="32"/>
      <x:c r="W123" s="31"/>
      <x:c r="X123" s="32"/>
      <x:c r="Y123" s="31"/>
    </x:row>
    <x:row r="124">
      <x:c r="A124" s="79"/>
      <x:c r="B124" s="31"/>
      <x:c r="C124" s="31"/>
      <x:c r="D124" s="31"/>
      <x:c r="E124" s="31"/>
      <x:c r="F124" s="31"/>
      <x:c r="G124" s="31"/>
      <x:c r="H124" s="31"/>
      <x:c r="I124" s="31"/>
      <x:c r="J124" s="32"/>
      <x:c r="K124" s="32"/>
      <x:c r="L124" s="32"/>
      <x:c r="M124" s="32"/>
      <x:c r="N124" s="31"/>
      <x:c r="O124" s="31"/>
      <x:c r="P124" s="31"/>
      <x:c r="Q124" s="32"/>
      <x:c r="R124" s="31"/>
      <x:c r="S124" s="31"/>
      <x:c r="T124" s="31"/>
      <x:c r="U124" s="31"/>
      <x:c r="V124" s="32"/>
      <x:c r="W124" s="31"/>
      <x:c r="X124" s="32"/>
      <x:c r="Y124" s="31"/>
    </x:row>
    <x:row r="125">
      <x:c r="A125" s="79"/>
      <x:c r="B125" s="31"/>
      <x:c r="C125" s="31"/>
      <x:c r="D125" s="31"/>
      <x:c r="E125" s="31"/>
      <x:c r="F125" s="31"/>
      <x:c r="G125" s="31"/>
      <x:c r="H125" s="31"/>
      <x:c r="I125" s="31"/>
      <x:c r="J125" s="32"/>
      <x:c r="K125" s="32"/>
      <x:c r="L125" s="32"/>
      <x:c r="M125" s="32"/>
      <x:c r="N125" s="31"/>
      <x:c r="O125" s="31"/>
      <x:c r="P125" s="31"/>
      <x:c r="Q125" s="32"/>
      <x:c r="R125" s="31"/>
      <x:c r="S125" s="31"/>
      <x:c r="T125" s="31"/>
      <x:c r="U125" s="31"/>
      <x:c r="V125" s="32"/>
      <x:c r="W125" s="31"/>
      <x:c r="X125" s="32"/>
      <x:c r="Y125" s="31"/>
    </x:row>
    <x:row r="126">
      <x:c r="A126" s="79"/>
      <x:c r="B126" s="31"/>
      <x:c r="C126" s="31"/>
      <x:c r="D126" s="31"/>
      <x:c r="E126" s="31"/>
      <x:c r="F126" s="31"/>
      <x:c r="G126" s="31"/>
      <x:c r="H126" s="31"/>
      <x:c r="I126" s="31"/>
      <x:c r="J126" s="32"/>
      <x:c r="K126" s="32"/>
      <x:c r="L126" s="32"/>
      <x:c r="M126" s="32"/>
      <x:c r="N126" s="31"/>
      <x:c r="O126" s="31"/>
      <x:c r="P126" s="31"/>
      <x:c r="Q126" s="32"/>
      <x:c r="R126" s="31"/>
      <x:c r="S126" s="31"/>
      <x:c r="T126" s="31"/>
      <x:c r="U126" s="31"/>
      <x:c r="V126" s="32"/>
      <x:c r="W126" s="31"/>
      <x:c r="X126" s="32"/>
      <x:c r="Y126" s="31"/>
    </x:row>
    <x:row r="127">
      <x:c r="A127" s="79"/>
      <x:c r="B127" s="31"/>
      <x:c r="C127" s="31"/>
      <x:c r="D127" s="31"/>
      <x:c r="E127" s="31"/>
      <x:c r="F127" s="31"/>
      <x:c r="G127" s="31"/>
      <x:c r="H127" s="31"/>
      <x:c r="I127" s="31"/>
      <x:c r="J127" s="32"/>
      <x:c r="K127" s="32"/>
      <x:c r="L127" s="32"/>
      <x:c r="M127" s="32"/>
      <x:c r="N127" s="31"/>
      <x:c r="O127" s="31"/>
      <x:c r="P127" s="31"/>
      <x:c r="Q127" s="32"/>
      <x:c r="R127" s="31"/>
      <x:c r="S127" s="31"/>
      <x:c r="T127" s="31"/>
      <x:c r="U127" s="31"/>
      <x:c r="V127" s="32"/>
      <x:c r="W127" s="31"/>
      <x:c r="X127" s="32"/>
      <x:c r="Y127" s="31"/>
    </x:row>
    <x:row r="128">
      <x:c r="A128" s="79"/>
      <x:c r="B128" s="31"/>
      <x:c r="C128" s="31"/>
      <x:c r="D128" s="31"/>
      <x:c r="E128" s="31"/>
      <x:c r="F128" s="31"/>
      <x:c r="G128" s="31"/>
      <x:c r="H128" s="31"/>
      <x:c r="I128" s="31"/>
      <x:c r="J128" s="32"/>
      <x:c r="K128" s="32"/>
      <x:c r="L128" s="32"/>
      <x:c r="M128" s="32"/>
      <x:c r="N128" s="31"/>
      <x:c r="O128" s="31"/>
      <x:c r="P128" s="31"/>
      <x:c r="Q128" s="32"/>
      <x:c r="R128" s="31"/>
      <x:c r="S128" s="31"/>
      <x:c r="T128" s="31"/>
      <x:c r="U128" s="31"/>
      <x:c r="V128" s="32"/>
      <x:c r="W128" s="31"/>
      <x:c r="X128" s="32"/>
      <x:c r="Y128" s="31"/>
    </x:row>
    <x:row r="129">
      <x:c r="A129" s="79"/>
      <x:c r="B129" s="31"/>
      <x:c r="C129" s="31"/>
      <x:c r="D129" s="31"/>
      <x:c r="E129" s="31"/>
      <x:c r="F129" s="31"/>
      <x:c r="G129" s="31"/>
      <x:c r="H129" s="31"/>
      <x:c r="I129" s="31"/>
      <x:c r="J129" s="32"/>
      <x:c r="K129" s="32"/>
      <x:c r="L129" s="32"/>
      <x:c r="M129" s="32"/>
      <x:c r="N129" s="31"/>
      <x:c r="O129" s="31"/>
      <x:c r="P129" s="31"/>
      <x:c r="Q129" s="32"/>
      <x:c r="R129" s="31"/>
      <x:c r="S129" s="31"/>
      <x:c r="T129" s="31"/>
      <x:c r="U129" s="31"/>
      <x:c r="V129" s="32"/>
      <x:c r="W129" s="31"/>
      <x:c r="X129" s="32"/>
      <x:c r="Y129" s="31"/>
    </x:row>
    <x:row r="130">
      <x:c r="A130" s="79"/>
      <x:c r="B130" s="31"/>
      <x:c r="C130" s="31"/>
      <x:c r="D130" s="31"/>
      <x:c r="E130" s="31"/>
      <x:c r="F130" s="31"/>
      <x:c r="G130" s="31"/>
      <x:c r="H130" s="31"/>
      <x:c r="I130" s="31"/>
      <x:c r="J130" s="32"/>
      <x:c r="K130" s="32"/>
      <x:c r="L130" s="32"/>
      <x:c r="M130" s="32"/>
      <x:c r="N130" s="31"/>
      <x:c r="O130" s="31"/>
      <x:c r="P130" s="31"/>
      <x:c r="Q130" s="32"/>
      <x:c r="R130" s="31"/>
      <x:c r="S130" s="31"/>
      <x:c r="T130" s="31"/>
      <x:c r="U130" s="31"/>
      <x:c r="V130" s="32"/>
      <x:c r="W130" s="31"/>
      <x:c r="X130" s="32"/>
      <x:c r="Y130" s="31"/>
    </x:row>
    <x:row r="131">
      <x:c r="A131" s="79"/>
      <x:c r="B131" s="31"/>
      <x:c r="C131" s="31"/>
      <x:c r="D131" s="31"/>
      <x:c r="E131" s="31"/>
      <x:c r="F131" s="31"/>
      <x:c r="G131" s="31"/>
      <x:c r="H131" s="31"/>
      <x:c r="I131" s="31"/>
      <x:c r="J131" s="32"/>
      <x:c r="K131" s="32"/>
      <x:c r="L131" s="32"/>
      <x:c r="M131" s="32"/>
      <x:c r="N131" s="31"/>
      <x:c r="O131" s="31"/>
      <x:c r="P131" s="31"/>
      <x:c r="Q131" s="32"/>
      <x:c r="R131" s="31"/>
      <x:c r="S131" s="31"/>
      <x:c r="T131" s="31"/>
      <x:c r="U131" s="31"/>
      <x:c r="V131" s="32"/>
      <x:c r="W131" s="31"/>
      <x:c r="X131" s="32"/>
      <x:c r="Y131" s="31"/>
    </x:row>
    <x:row r="132">
      <x:c r="A132" s="79"/>
      <x:c r="B132" s="31"/>
      <x:c r="C132" s="31"/>
      <x:c r="D132" s="31"/>
      <x:c r="E132" s="31"/>
      <x:c r="F132" s="31"/>
      <x:c r="G132" s="31"/>
      <x:c r="H132" s="31"/>
      <x:c r="I132" s="31"/>
      <x:c r="J132" s="32"/>
      <x:c r="K132" s="32"/>
      <x:c r="L132" s="32"/>
      <x:c r="M132" s="32"/>
      <x:c r="N132" s="31"/>
      <x:c r="O132" s="31"/>
      <x:c r="P132" s="31"/>
      <x:c r="Q132" s="32"/>
      <x:c r="R132" s="31"/>
      <x:c r="S132" s="31"/>
      <x:c r="T132" s="31"/>
      <x:c r="U132" s="31"/>
      <x:c r="V132" s="32"/>
      <x:c r="W132" s="31"/>
      <x:c r="X132" s="32"/>
      <x:c r="Y132" s="31"/>
    </x:row>
    <x:row r="133">
      <x:c r="A133" s="79"/>
      <x:c r="B133" s="31"/>
      <x:c r="C133" s="31"/>
      <x:c r="D133" s="31"/>
      <x:c r="E133" s="31"/>
      <x:c r="F133" s="31"/>
      <x:c r="G133" s="31"/>
      <x:c r="H133" s="31"/>
      <x:c r="I133" s="31"/>
      <x:c r="J133" s="32"/>
      <x:c r="K133" s="32"/>
      <x:c r="L133" s="32"/>
      <x:c r="M133" s="32"/>
      <x:c r="N133" s="31"/>
      <x:c r="O133" s="31"/>
      <x:c r="P133" s="31"/>
      <x:c r="Q133" s="32"/>
      <x:c r="R133" s="31"/>
      <x:c r="S133" s="31"/>
      <x:c r="T133" s="31"/>
      <x:c r="U133" s="31"/>
      <x:c r="V133" s="32"/>
      <x:c r="W133" s="31"/>
      <x:c r="X133" s="32"/>
      <x:c r="Y133" s="31"/>
    </x:row>
    <x:row r="134">
      <x:c r="A134" s="79"/>
      <x:c r="B134" s="31"/>
      <x:c r="C134" s="31"/>
      <x:c r="D134" s="31"/>
      <x:c r="E134" s="31"/>
      <x:c r="F134" s="31"/>
      <x:c r="G134" s="31"/>
      <x:c r="H134" s="31"/>
      <x:c r="I134" s="31"/>
      <x:c r="J134" s="32"/>
      <x:c r="K134" s="32"/>
      <x:c r="L134" s="32"/>
      <x:c r="M134" s="32"/>
      <x:c r="N134" s="31"/>
      <x:c r="O134" s="31"/>
      <x:c r="P134" s="31"/>
      <x:c r="Q134" s="32"/>
      <x:c r="R134" s="31"/>
      <x:c r="S134" s="31"/>
      <x:c r="T134" s="31"/>
      <x:c r="U134" s="31"/>
      <x:c r="V134" s="32"/>
      <x:c r="W134" s="31"/>
      <x:c r="X134" s="32"/>
      <x:c r="Y134" s="31"/>
    </x:row>
    <x:row r="135">
      <x:c r="A135" s="79"/>
      <x:c r="B135" s="31"/>
      <x:c r="C135" s="31"/>
      <x:c r="D135" s="31"/>
      <x:c r="E135" s="31"/>
      <x:c r="F135" s="31"/>
      <x:c r="G135" s="31"/>
      <x:c r="H135" s="31"/>
      <x:c r="I135" s="31"/>
      <x:c r="J135" s="32"/>
      <x:c r="K135" s="32"/>
      <x:c r="L135" s="32"/>
      <x:c r="M135" s="32"/>
      <x:c r="N135" s="31"/>
      <x:c r="O135" s="31"/>
      <x:c r="P135" s="31"/>
      <x:c r="Q135" s="32"/>
      <x:c r="R135" s="31"/>
      <x:c r="S135" s="31"/>
      <x:c r="T135" s="31"/>
      <x:c r="U135" s="31"/>
      <x:c r="V135" s="32"/>
      <x:c r="W135" s="31"/>
      <x:c r="X135" s="32"/>
      <x:c r="Y135" s="31"/>
    </x:row>
    <x:row r="136">
      <x:c r="A136" s="79"/>
      <x:c r="B136" s="31"/>
      <x:c r="C136" s="31"/>
      <x:c r="D136" s="31"/>
      <x:c r="E136" s="31"/>
      <x:c r="F136" s="31"/>
      <x:c r="G136" s="31"/>
      <x:c r="H136" s="31"/>
      <x:c r="I136" s="31"/>
      <x:c r="J136" s="32"/>
      <x:c r="K136" s="32"/>
      <x:c r="L136" s="32"/>
      <x:c r="M136" s="32"/>
      <x:c r="N136" s="31"/>
      <x:c r="O136" s="31"/>
      <x:c r="P136" s="31"/>
      <x:c r="Q136" s="32"/>
      <x:c r="R136" s="31"/>
      <x:c r="S136" s="31"/>
      <x:c r="T136" s="31"/>
      <x:c r="U136" s="31"/>
      <x:c r="V136" s="32"/>
      <x:c r="W136" s="31"/>
      <x:c r="X136" s="32"/>
      <x:c r="Y136" s="31"/>
    </x:row>
    <x:row r="137">
      <x:c r="A137" s="79"/>
      <x:c r="B137" s="31"/>
      <x:c r="C137" s="31"/>
      <x:c r="D137" s="31"/>
      <x:c r="E137" s="31"/>
      <x:c r="F137" s="31"/>
      <x:c r="G137" s="31"/>
      <x:c r="H137" s="31"/>
      <x:c r="I137" s="31"/>
      <x:c r="J137" s="32"/>
      <x:c r="K137" s="32"/>
      <x:c r="L137" s="32"/>
      <x:c r="M137" s="32"/>
      <x:c r="N137" s="31"/>
      <x:c r="O137" s="31"/>
      <x:c r="P137" s="31"/>
      <x:c r="Q137" s="32"/>
      <x:c r="R137" s="31"/>
      <x:c r="S137" s="31"/>
      <x:c r="T137" s="31"/>
      <x:c r="U137" s="31"/>
      <x:c r="V137" s="32"/>
      <x:c r="W137" s="31"/>
      <x:c r="X137" s="32"/>
      <x:c r="Y137" s="31"/>
    </x:row>
    <x:row r="138">
      <x:c r="A138" s="79"/>
      <x:c r="B138" s="31"/>
      <x:c r="C138" s="31"/>
      <x:c r="D138" s="31"/>
      <x:c r="E138" s="31"/>
      <x:c r="F138" s="31"/>
      <x:c r="G138" s="31"/>
      <x:c r="H138" s="31"/>
      <x:c r="I138" s="31"/>
      <x:c r="J138" s="32"/>
      <x:c r="K138" s="32"/>
      <x:c r="L138" s="32"/>
      <x:c r="M138" s="32"/>
      <x:c r="N138" s="31"/>
      <x:c r="O138" s="31"/>
      <x:c r="P138" s="31"/>
      <x:c r="Q138" s="32"/>
      <x:c r="R138" s="31"/>
      <x:c r="S138" s="31"/>
      <x:c r="T138" s="31"/>
      <x:c r="U138" s="31"/>
      <x:c r="V138" s="32"/>
      <x:c r="W138" s="31"/>
      <x:c r="X138" s="32"/>
      <x:c r="Y138" s="31"/>
    </x:row>
    <x:row r="139">
      <x:c r="A139" s="79"/>
      <x:c r="B139" s="31"/>
      <x:c r="C139" s="31"/>
      <x:c r="D139" s="31"/>
      <x:c r="E139" s="31"/>
      <x:c r="F139" s="31"/>
      <x:c r="G139" s="31"/>
      <x:c r="H139" s="31"/>
      <x:c r="I139" s="31"/>
      <x:c r="J139" s="32"/>
      <x:c r="K139" s="32"/>
      <x:c r="L139" s="32"/>
      <x:c r="M139" s="32"/>
      <x:c r="N139" s="31"/>
      <x:c r="O139" s="31"/>
      <x:c r="P139" s="31"/>
      <x:c r="Q139" s="32"/>
      <x:c r="R139" s="31"/>
      <x:c r="S139" s="31"/>
      <x:c r="T139" s="31"/>
      <x:c r="U139" s="31"/>
      <x:c r="V139" s="32"/>
      <x:c r="W139" s="31"/>
      <x:c r="X139" s="32"/>
      <x:c r="Y139" s="31"/>
    </x:row>
    <x:row r="140">
      <x:c r="A140" s="79"/>
      <x:c r="B140" s="31"/>
      <x:c r="C140" s="31"/>
      <x:c r="D140" s="31"/>
      <x:c r="E140" s="31"/>
      <x:c r="F140" s="31"/>
      <x:c r="G140" s="31"/>
      <x:c r="H140" s="31"/>
      <x:c r="I140" s="31"/>
      <x:c r="J140" s="32"/>
      <x:c r="K140" s="32"/>
      <x:c r="L140" s="32"/>
      <x:c r="M140" s="32"/>
      <x:c r="N140" s="31"/>
      <x:c r="O140" s="31"/>
      <x:c r="P140" s="31"/>
      <x:c r="Q140" s="32"/>
      <x:c r="R140" s="31"/>
      <x:c r="S140" s="31"/>
      <x:c r="T140" s="31"/>
      <x:c r="U140" s="31"/>
      <x:c r="V140" s="32"/>
      <x:c r="W140" s="31"/>
      <x:c r="X140" s="32"/>
      <x:c r="Y140" s="31"/>
    </x:row>
    <x:row r="141">
      <x:c r="A141" s="79"/>
      <x:c r="B141" s="31"/>
      <x:c r="C141" s="31"/>
      <x:c r="D141" s="31"/>
      <x:c r="E141" s="31"/>
      <x:c r="F141" s="31"/>
      <x:c r="G141" s="31"/>
      <x:c r="H141" s="31"/>
      <x:c r="I141" s="31"/>
      <x:c r="J141" s="32"/>
      <x:c r="K141" s="32"/>
      <x:c r="L141" s="32"/>
      <x:c r="M141" s="32"/>
      <x:c r="N141" s="31"/>
      <x:c r="O141" s="31"/>
      <x:c r="P141" s="31"/>
      <x:c r="Q141" s="32"/>
      <x:c r="R141" s="31"/>
      <x:c r="S141" s="31"/>
      <x:c r="T141" s="31"/>
      <x:c r="U141" s="31"/>
      <x:c r="V141" s="32"/>
      <x:c r="W141" s="31"/>
      <x:c r="X141" s="32"/>
      <x:c r="Y141" s="31"/>
    </x:row>
    <x:row r="142">
      <x:c r="A142" s="79"/>
      <x:c r="B142" s="31"/>
      <x:c r="C142" s="31"/>
      <x:c r="D142" s="31"/>
      <x:c r="E142" s="31"/>
      <x:c r="F142" s="31"/>
      <x:c r="G142" s="31"/>
      <x:c r="H142" s="31"/>
      <x:c r="I142" s="31"/>
      <x:c r="J142" s="32"/>
      <x:c r="K142" s="32"/>
      <x:c r="L142" s="32"/>
      <x:c r="M142" s="32"/>
      <x:c r="N142" s="31"/>
      <x:c r="O142" s="31"/>
      <x:c r="P142" s="31"/>
      <x:c r="Q142" s="32"/>
      <x:c r="R142" s="31"/>
      <x:c r="S142" s="31"/>
      <x:c r="T142" s="31"/>
      <x:c r="U142" s="31"/>
      <x:c r="V142" s="32"/>
      <x:c r="W142" s="31"/>
      <x:c r="X142" s="32"/>
      <x:c r="Y142" s="31"/>
    </x:row>
    <x:row r="143">
      <x:c r="A143" s="79"/>
      <x:c r="B143" s="31"/>
      <x:c r="C143" s="31"/>
      <x:c r="D143" s="31"/>
      <x:c r="E143" s="31"/>
      <x:c r="F143" s="31"/>
      <x:c r="G143" s="31"/>
      <x:c r="H143" s="31"/>
      <x:c r="I143" s="31"/>
      <x:c r="J143" s="32"/>
      <x:c r="K143" s="32"/>
      <x:c r="L143" s="32"/>
      <x:c r="M143" s="32"/>
      <x:c r="N143" s="31"/>
      <x:c r="O143" s="31"/>
      <x:c r="P143" s="31"/>
      <x:c r="Q143" s="32"/>
      <x:c r="R143" s="31"/>
      <x:c r="S143" s="31"/>
      <x:c r="T143" s="31"/>
      <x:c r="U143" s="31"/>
      <x:c r="V143" s="32"/>
      <x:c r="W143" s="31"/>
      <x:c r="X143" s="32"/>
      <x:c r="Y143" s="31"/>
    </x:row>
    <x:row r="144">
      <x:c r="A144" s="79"/>
      <x:c r="B144" s="31"/>
      <x:c r="C144" s="31"/>
      <x:c r="D144" s="31"/>
      <x:c r="E144" s="31"/>
      <x:c r="F144" s="31"/>
      <x:c r="G144" s="31"/>
      <x:c r="H144" s="31"/>
      <x:c r="I144" s="31"/>
      <x:c r="J144" s="32"/>
      <x:c r="K144" s="32"/>
      <x:c r="L144" s="32"/>
      <x:c r="M144" s="32"/>
      <x:c r="N144" s="31"/>
      <x:c r="O144" s="31"/>
      <x:c r="P144" s="31"/>
      <x:c r="Q144" s="32"/>
      <x:c r="R144" s="31"/>
      <x:c r="S144" s="31"/>
      <x:c r="T144" s="31"/>
      <x:c r="U144" s="31"/>
      <x:c r="V144" s="32"/>
      <x:c r="W144" s="31"/>
      <x:c r="X144" s="32"/>
      <x:c r="Y144" s="31"/>
    </x:row>
    <x:row r="145">
      <x:c r="A145" s="79"/>
      <x:c r="B145" s="31"/>
      <x:c r="C145" s="31"/>
      <x:c r="D145" s="31"/>
      <x:c r="E145" s="31"/>
      <x:c r="F145" s="31"/>
      <x:c r="G145" s="31"/>
      <x:c r="H145" s="31"/>
      <x:c r="I145" s="31"/>
      <x:c r="J145" s="32"/>
      <x:c r="K145" s="32"/>
      <x:c r="L145" s="32"/>
      <x:c r="M145" s="32"/>
      <x:c r="N145" s="31"/>
      <x:c r="O145" s="31"/>
      <x:c r="P145" s="31"/>
      <x:c r="Q145" s="32"/>
      <x:c r="R145" s="31"/>
      <x:c r="S145" s="31"/>
      <x:c r="T145" s="31"/>
      <x:c r="U145" s="31"/>
      <x:c r="V145" s="32"/>
      <x:c r="W145" s="31"/>
      <x:c r="X145" s="32"/>
      <x:c r="Y145" s="31"/>
    </x:row>
    <x:row r="146">
      <x:c r="A146" s="79"/>
      <x:c r="B146" s="31"/>
      <x:c r="C146" s="31"/>
      <x:c r="D146" s="31"/>
      <x:c r="E146" s="31"/>
      <x:c r="F146" s="31"/>
      <x:c r="G146" s="31"/>
      <x:c r="H146" s="31"/>
      <x:c r="I146" s="31"/>
      <x:c r="J146" s="32"/>
      <x:c r="K146" s="32"/>
      <x:c r="L146" s="32"/>
      <x:c r="M146" s="32"/>
      <x:c r="N146" s="31"/>
      <x:c r="O146" s="31"/>
      <x:c r="P146" s="31"/>
      <x:c r="Q146" s="32"/>
      <x:c r="R146" s="31"/>
      <x:c r="S146" s="31"/>
      <x:c r="T146" s="31"/>
      <x:c r="U146" s="31"/>
      <x:c r="V146" s="32"/>
      <x:c r="W146" s="31"/>
      <x:c r="X146" s="32"/>
      <x:c r="Y146" s="31"/>
    </x:row>
    <x:row r="147">
      <x:c r="A147" s="79"/>
      <x:c r="B147" s="31"/>
      <x:c r="C147" s="31"/>
      <x:c r="D147" s="31"/>
      <x:c r="E147" s="31"/>
      <x:c r="F147" s="31"/>
      <x:c r="G147" s="31"/>
      <x:c r="H147" s="31"/>
      <x:c r="I147" s="31"/>
      <x:c r="J147" s="32"/>
      <x:c r="K147" s="32"/>
      <x:c r="L147" s="32"/>
      <x:c r="M147" s="32"/>
      <x:c r="N147" s="31"/>
      <x:c r="O147" s="31"/>
      <x:c r="P147" s="31"/>
      <x:c r="Q147" s="32"/>
      <x:c r="R147" s="31"/>
      <x:c r="S147" s="31"/>
      <x:c r="T147" s="31"/>
      <x:c r="U147" s="31"/>
      <x:c r="V147" s="32"/>
      <x:c r="W147" s="31"/>
      <x:c r="X147" s="32"/>
      <x:c r="Y147" s="31"/>
    </x:row>
    <x:row r="148">
      <x:c r="A148" s="79"/>
      <x:c r="B148" s="31"/>
      <x:c r="C148" s="31"/>
      <x:c r="D148" s="31"/>
      <x:c r="E148" s="31"/>
      <x:c r="F148" s="31"/>
      <x:c r="G148" s="31"/>
      <x:c r="H148" s="31"/>
      <x:c r="I148" s="31"/>
      <x:c r="J148" s="32"/>
      <x:c r="K148" s="32"/>
      <x:c r="L148" s="32"/>
      <x:c r="M148" s="32"/>
      <x:c r="N148" s="31"/>
      <x:c r="O148" s="31"/>
      <x:c r="P148" s="31"/>
      <x:c r="Q148" s="32"/>
      <x:c r="R148" s="31"/>
      <x:c r="S148" s="31"/>
      <x:c r="T148" s="31"/>
      <x:c r="U148" s="31"/>
      <x:c r="V148" s="32"/>
      <x:c r="W148" s="31"/>
      <x:c r="X148" s="32"/>
      <x:c r="Y148" s="31"/>
    </x:row>
    <x:row r="149">
      <x:c r="A149" s="79"/>
      <x:c r="B149" s="31"/>
      <x:c r="C149" s="31"/>
      <x:c r="D149" s="31"/>
      <x:c r="E149" s="31"/>
      <x:c r="F149" s="31"/>
      <x:c r="G149" s="31"/>
      <x:c r="H149" s="31"/>
      <x:c r="I149" s="31"/>
      <x:c r="J149" s="32"/>
      <x:c r="K149" s="32"/>
      <x:c r="L149" s="32"/>
      <x:c r="M149" s="32"/>
      <x:c r="N149" s="31"/>
      <x:c r="O149" s="31"/>
      <x:c r="P149" s="31"/>
      <x:c r="Q149" s="32"/>
      <x:c r="R149" s="31"/>
      <x:c r="S149" s="31"/>
      <x:c r="T149" s="31"/>
      <x:c r="U149" s="31"/>
      <x:c r="V149" s="32"/>
      <x:c r="W149" s="31"/>
      <x:c r="X149" s="32"/>
      <x:c r="Y149" s="31"/>
    </x:row>
    <x:row r="150">
      <x:c r="A150" s="79"/>
      <x:c r="B150" s="31"/>
      <x:c r="C150" s="31"/>
      <x:c r="D150" s="31"/>
      <x:c r="E150" s="31"/>
      <x:c r="F150" s="31"/>
      <x:c r="G150" s="31"/>
      <x:c r="H150" s="31"/>
      <x:c r="I150" s="31"/>
      <x:c r="J150" s="32"/>
      <x:c r="K150" s="32"/>
      <x:c r="L150" s="32"/>
      <x:c r="M150" s="32"/>
      <x:c r="N150" s="31"/>
      <x:c r="O150" s="31"/>
      <x:c r="P150" s="31"/>
      <x:c r="Q150" s="32"/>
      <x:c r="R150" s="31"/>
      <x:c r="S150" s="31"/>
      <x:c r="T150" s="31"/>
      <x:c r="U150" s="31"/>
      <x:c r="V150" s="32"/>
      <x:c r="W150" s="31"/>
      <x:c r="X150" s="32"/>
      <x:c r="Y150" s="31"/>
    </x:row>
    <x:row r="151">
      <x:c r="A151" s="79"/>
      <x:c r="B151" s="31"/>
      <x:c r="C151" s="31"/>
      <x:c r="D151" s="31"/>
      <x:c r="E151" s="31"/>
      <x:c r="F151" s="31"/>
      <x:c r="G151" s="31"/>
      <x:c r="H151" s="31"/>
      <x:c r="I151" s="31"/>
      <x:c r="J151" s="32"/>
      <x:c r="K151" s="32"/>
      <x:c r="L151" s="32"/>
      <x:c r="M151" s="32"/>
      <x:c r="N151" s="31"/>
      <x:c r="O151" s="31"/>
      <x:c r="P151" s="31"/>
      <x:c r="Q151" s="32"/>
      <x:c r="R151" s="31"/>
      <x:c r="S151" s="31"/>
      <x:c r="T151" s="31"/>
      <x:c r="U151" s="31"/>
      <x:c r="V151" s="32"/>
      <x:c r="W151" s="31"/>
      <x:c r="X151" s="32"/>
      <x:c r="Y151" s="31"/>
    </x:row>
    <x:row r="152">
      <x:c r="A152" s="79"/>
      <x:c r="B152" s="31"/>
      <x:c r="C152" s="31"/>
      <x:c r="D152" s="31"/>
      <x:c r="E152" s="31"/>
      <x:c r="F152" s="31"/>
      <x:c r="G152" s="31"/>
      <x:c r="H152" s="31"/>
      <x:c r="I152" s="31"/>
      <x:c r="J152" s="32"/>
      <x:c r="K152" s="32"/>
      <x:c r="L152" s="32"/>
      <x:c r="M152" s="32"/>
      <x:c r="N152" s="31"/>
      <x:c r="O152" s="31"/>
      <x:c r="P152" s="31"/>
      <x:c r="Q152" s="32"/>
      <x:c r="R152" s="31"/>
      <x:c r="S152" s="31"/>
      <x:c r="T152" s="31"/>
      <x:c r="U152" s="31"/>
      <x:c r="V152" s="32"/>
      <x:c r="W152" s="31"/>
      <x:c r="X152" s="32"/>
      <x:c r="Y152" s="31"/>
    </x:row>
    <x:row r="153">
      <x:c r="A153" s="79"/>
      <x:c r="B153" s="31"/>
      <x:c r="C153" s="31"/>
      <x:c r="D153" s="31"/>
      <x:c r="E153" s="31"/>
      <x:c r="F153" s="31"/>
      <x:c r="G153" s="31"/>
      <x:c r="H153" s="31"/>
      <x:c r="I153" s="31"/>
      <x:c r="J153" s="32"/>
      <x:c r="K153" s="32"/>
      <x:c r="L153" s="32"/>
      <x:c r="M153" s="32"/>
      <x:c r="N153" s="31"/>
      <x:c r="O153" s="31"/>
      <x:c r="P153" s="31"/>
      <x:c r="Q153" s="32"/>
      <x:c r="R153" s="31"/>
      <x:c r="S153" s="31"/>
      <x:c r="T153" s="31"/>
      <x:c r="U153" s="31"/>
      <x:c r="V153" s="32"/>
      <x:c r="W153" s="31"/>
      <x:c r="X153" s="32"/>
      <x:c r="Y153" s="31"/>
    </x:row>
    <x:row r="154">
      <x:c r="A154" s="79"/>
      <x:c r="B154" s="31"/>
      <x:c r="C154" s="31"/>
      <x:c r="D154" s="31"/>
      <x:c r="E154" s="31"/>
      <x:c r="F154" s="31"/>
      <x:c r="G154" s="31"/>
      <x:c r="H154" s="31"/>
      <x:c r="I154" s="31"/>
      <x:c r="J154" s="32"/>
      <x:c r="K154" s="32"/>
      <x:c r="L154" s="32"/>
      <x:c r="M154" s="32"/>
      <x:c r="N154" s="31"/>
      <x:c r="O154" s="31"/>
      <x:c r="P154" s="31"/>
      <x:c r="Q154" s="32"/>
      <x:c r="R154" s="31"/>
      <x:c r="S154" s="31"/>
      <x:c r="T154" s="31"/>
      <x:c r="U154" s="31"/>
      <x:c r="V154" s="32"/>
      <x:c r="W154" s="31"/>
      <x:c r="X154" s="32"/>
      <x:c r="Y154" s="31"/>
    </x:row>
    <x:row r="155">
      <x:c r="A155" s="79"/>
      <x:c r="B155" s="31"/>
      <x:c r="C155" s="31"/>
      <x:c r="D155" s="31"/>
      <x:c r="E155" s="31"/>
      <x:c r="F155" s="31"/>
      <x:c r="G155" s="31"/>
      <x:c r="H155" s="31"/>
      <x:c r="I155" s="31"/>
      <x:c r="J155" s="32"/>
      <x:c r="K155" s="32"/>
      <x:c r="L155" s="32"/>
      <x:c r="M155" s="32"/>
      <x:c r="N155" s="31"/>
      <x:c r="O155" s="31"/>
      <x:c r="P155" s="31"/>
      <x:c r="Q155" s="32"/>
      <x:c r="R155" s="31"/>
      <x:c r="S155" s="31"/>
      <x:c r="T155" s="31"/>
      <x:c r="U155" s="31"/>
      <x:c r="V155" s="32"/>
      <x:c r="W155" s="31"/>
      <x:c r="X155" s="32"/>
      <x:c r="Y155" s="31"/>
    </x:row>
    <x:row r="156">
      <x:c r="A156" s="79"/>
      <x:c r="B156" s="31"/>
      <x:c r="C156" s="31"/>
      <x:c r="D156" s="31"/>
      <x:c r="E156" s="31"/>
      <x:c r="F156" s="31"/>
      <x:c r="G156" s="31"/>
      <x:c r="H156" s="31"/>
      <x:c r="I156" s="31"/>
      <x:c r="J156" s="32"/>
      <x:c r="K156" s="32"/>
      <x:c r="L156" s="32"/>
      <x:c r="M156" s="32"/>
      <x:c r="N156" s="31"/>
      <x:c r="O156" s="31"/>
      <x:c r="P156" s="31"/>
      <x:c r="Q156" s="32"/>
      <x:c r="R156" s="31"/>
      <x:c r="S156" s="31"/>
      <x:c r="T156" s="31"/>
      <x:c r="U156" s="31"/>
      <x:c r="V156" s="32"/>
      <x:c r="W156" s="31"/>
      <x:c r="X156" s="32"/>
      <x:c r="Y156" s="31"/>
    </x:row>
    <x:row r="157">
      <x:c r="A157" s="79"/>
      <x:c r="B157" s="31"/>
      <x:c r="C157" s="31"/>
      <x:c r="D157" s="31"/>
      <x:c r="E157" s="31"/>
      <x:c r="F157" s="31"/>
      <x:c r="G157" s="31"/>
      <x:c r="H157" s="31"/>
      <x:c r="I157" s="31"/>
      <x:c r="J157" s="32"/>
      <x:c r="K157" s="32"/>
      <x:c r="L157" s="32"/>
      <x:c r="M157" s="32"/>
      <x:c r="N157" s="31"/>
      <x:c r="O157" s="31"/>
      <x:c r="P157" s="31"/>
      <x:c r="Q157" s="32"/>
      <x:c r="R157" s="31"/>
      <x:c r="S157" s="31"/>
      <x:c r="T157" s="31"/>
      <x:c r="U157" s="31"/>
      <x:c r="V157" s="32"/>
      <x:c r="W157" s="31"/>
      <x:c r="X157" s="32"/>
      <x:c r="Y157" s="31"/>
    </x:row>
    <x:row r="158">
      <x:c r="A158" s="79"/>
      <x:c r="B158" s="31"/>
      <x:c r="C158" s="31"/>
      <x:c r="D158" s="31"/>
      <x:c r="E158" s="31"/>
      <x:c r="F158" s="31"/>
      <x:c r="G158" s="31"/>
      <x:c r="H158" s="31"/>
      <x:c r="I158" s="31"/>
      <x:c r="J158" s="32"/>
      <x:c r="K158" s="32"/>
      <x:c r="L158" s="32"/>
      <x:c r="M158" s="32"/>
      <x:c r="N158" s="31"/>
      <x:c r="O158" s="31"/>
      <x:c r="P158" s="31"/>
      <x:c r="Q158" s="32"/>
      <x:c r="R158" s="31"/>
      <x:c r="S158" s="31"/>
      <x:c r="T158" s="31"/>
      <x:c r="U158" s="31"/>
      <x:c r="V158" s="32"/>
      <x:c r="W158" s="31"/>
      <x:c r="X158" s="32"/>
      <x:c r="Y158" s="31"/>
    </x:row>
    <x:row r="159">
      <x:c r="A159" s="79"/>
      <x:c r="B159" s="31"/>
      <x:c r="C159" s="31"/>
      <x:c r="D159" s="31"/>
      <x:c r="E159" s="31"/>
      <x:c r="F159" s="31"/>
      <x:c r="G159" s="31"/>
      <x:c r="H159" s="31"/>
      <x:c r="I159" s="31"/>
      <x:c r="J159" s="32"/>
      <x:c r="K159" s="32"/>
      <x:c r="L159" s="32"/>
      <x:c r="M159" s="32"/>
      <x:c r="N159" s="31"/>
      <x:c r="O159" s="31"/>
      <x:c r="P159" s="31"/>
      <x:c r="Q159" s="32"/>
      <x:c r="R159" s="31"/>
      <x:c r="S159" s="31"/>
      <x:c r="T159" s="31"/>
      <x:c r="U159" s="31"/>
      <x:c r="V159" s="32"/>
      <x:c r="W159" s="31"/>
      <x:c r="X159" s="32"/>
      <x:c r="Y159" s="31"/>
    </x:row>
    <x:row r="160">
      <x:c r="A160" s="79"/>
      <x:c r="B160" s="31"/>
      <x:c r="C160" s="31"/>
      <x:c r="D160" s="31"/>
      <x:c r="E160" s="31"/>
      <x:c r="F160" s="31"/>
      <x:c r="G160" s="31"/>
      <x:c r="H160" s="31"/>
      <x:c r="I160" s="31"/>
      <x:c r="J160" s="32"/>
      <x:c r="K160" s="32"/>
      <x:c r="L160" s="32"/>
      <x:c r="M160" s="32"/>
      <x:c r="N160" s="31"/>
      <x:c r="O160" s="31"/>
      <x:c r="P160" s="31"/>
      <x:c r="Q160" s="32"/>
      <x:c r="R160" s="31"/>
      <x:c r="S160" s="31"/>
      <x:c r="T160" s="31"/>
      <x:c r="U160" s="31"/>
      <x:c r="V160" s="32"/>
      <x:c r="W160" s="31"/>
      <x:c r="X160" s="32"/>
      <x:c r="Y160" s="31"/>
    </x:row>
    <x:row r="161">
      <x:c r="A161" s="79"/>
      <x:c r="B161" s="31"/>
      <x:c r="C161" s="31"/>
      <x:c r="D161" s="31"/>
      <x:c r="E161" s="31"/>
      <x:c r="F161" s="31"/>
      <x:c r="G161" s="31"/>
      <x:c r="H161" s="31"/>
      <x:c r="I161" s="31"/>
      <x:c r="J161" s="32"/>
      <x:c r="K161" s="32"/>
      <x:c r="L161" s="32"/>
      <x:c r="M161" s="32"/>
      <x:c r="N161" s="31"/>
      <x:c r="O161" s="31"/>
      <x:c r="P161" s="31"/>
      <x:c r="Q161" s="32"/>
      <x:c r="R161" s="31"/>
      <x:c r="S161" s="31"/>
      <x:c r="T161" s="31"/>
      <x:c r="U161" s="31"/>
      <x:c r="V161" s="32"/>
      <x:c r="W161" s="31"/>
      <x:c r="X161" s="32"/>
      <x:c r="Y161" s="31"/>
    </x:row>
    <x:row r="162">
      <x:c r="A162" s="79"/>
      <x:c r="B162" s="31"/>
      <x:c r="C162" s="31"/>
      <x:c r="D162" s="31"/>
      <x:c r="E162" s="31"/>
      <x:c r="F162" s="31"/>
      <x:c r="G162" s="31"/>
      <x:c r="H162" s="31"/>
      <x:c r="I162" s="31"/>
      <x:c r="J162" s="32"/>
      <x:c r="K162" s="32"/>
      <x:c r="L162" s="32"/>
      <x:c r="M162" s="32"/>
      <x:c r="N162" s="31"/>
      <x:c r="O162" s="31"/>
      <x:c r="P162" s="31"/>
      <x:c r="Q162" s="32"/>
      <x:c r="R162" s="31"/>
      <x:c r="S162" s="31"/>
      <x:c r="T162" s="31"/>
      <x:c r="U162" s="31"/>
      <x:c r="V162" s="32"/>
      <x:c r="W162" s="31"/>
      <x:c r="X162" s="32"/>
      <x:c r="Y162" s="31"/>
    </x:row>
    <x:row r="163">
      <x:c r="A163" s="79"/>
      <x:c r="B163" s="31"/>
      <x:c r="C163" s="31"/>
      <x:c r="D163" s="31"/>
      <x:c r="E163" s="31"/>
      <x:c r="F163" s="31"/>
      <x:c r="G163" s="31"/>
      <x:c r="H163" s="31"/>
      <x:c r="I163" s="31"/>
      <x:c r="J163" s="32"/>
      <x:c r="K163" s="32"/>
      <x:c r="L163" s="32"/>
      <x:c r="M163" s="32"/>
      <x:c r="N163" s="31"/>
      <x:c r="O163" s="31"/>
      <x:c r="P163" s="31"/>
      <x:c r="Q163" s="32"/>
      <x:c r="R163" s="31"/>
      <x:c r="S163" s="31"/>
      <x:c r="T163" s="31"/>
      <x:c r="U163" s="31"/>
      <x:c r="V163" s="32"/>
      <x:c r="W163" s="31"/>
      <x:c r="X163" s="32"/>
      <x:c r="Y163" s="31"/>
    </x:row>
    <x:row r="164">
      <x:c r="A164" s="79"/>
      <x:c r="B164" s="31"/>
      <x:c r="C164" s="31"/>
      <x:c r="D164" s="31"/>
      <x:c r="E164" s="31"/>
      <x:c r="F164" s="31"/>
      <x:c r="G164" s="31"/>
      <x:c r="H164" s="31"/>
      <x:c r="I164" s="31"/>
      <x:c r="J164" s="32"/>
      <x:c r="K164" s="32"/>
      <x:c r="L164" s="32"/>
      <x:c r="M164" s="32"/>
      <x:c r="N164" s="31"/>
      <x:c r="O164" s="31"/>
      <x:c r="P164" s="31"/>
      <x:c r="Q164" s="32"/>
      <x:c r="R164" s="31"/>
      <x:c r="S164" s="31"/>
      <x:c r="T164" s="31"/>
      <x:c r="U164" s="31"/>
      <x:c r="V164" s="32"/>
      <x:c r="W164" s="31"/>
      <x:c r="X164" s="32"/>
      <x:c r="Y164" s="31"/>
    </x:row>
    <x:row r="165">
      <x:c r="A165" s="79"/>
      <x:c r="B165" s="31"/>
      <x:c r="C165" s="31"/>
      <x:c r="D165" s="31"/>
      <x:c r="E165" s="31"/>
      <x:c r="F165" s="31"/>
      <x:c r="G165" s="31"/>
      <x:c r="H165" s="31"/>
      <x:c r="I165" s="31"/>
      <x:c r="J165" s="32"/>
      <x:c r="K165" s="32"/>
      <x:c r="L165" s="32"/>
      <x:c r="M165" s="32"/>
      <x:c r="N165" s="31"/>
      <x:c r="O165" s="31"/>
      <x:c r="P165" s="31"/>
      <x:c r="Q165" s="32"/>
      <x:c r="R165" s="31"/>
      <x:c r="S165" s="31"/>
      <x:c r="T165" s="31"/>
      <x:c r="U165" s="31"/>
      <x:c r="V165" s="32"/>
      <x:c r="W165" s="31"/>
      <x:c r="X165" s="32"/>
      <x:c r="Y165" s="31"/>
    </x:row>
    <x:row r="166">
      <x:c r="A166" s="79"/>
      <x:c r="B166" s="31"/>
      <x:c r="C166" s="31"/>
      <x:c r="D166" s="31"/>
      <x:c r="E166" s="31"/>
      <x:c r="F166" s="31"/>
      <x:c r="G166" s="31"/>
      <x:c r="H166" s="31"/>
      <x:c r="I166" s="31"/>
      <x:c r="J166" s="32"/>
      <x:c r="K166" s="32"/>
      <x:c r="L166" s="32"/>
      <x:c r="M166" s="32"/>
      <x:c r="N166" s="31"/>
      <x:c r="O166" s="31"/>
      <x:c r="P166" s="31"/>
      <x:c r="Q166" s="32"/>
      <x:c r="R166" s="31"/>
      <x:c r="S166" s="31"/>
      <x:c r="T166" s="31"/>
      <x:c r="U166" s="31"/>
      <x:c r="V166" s="32"/>
      <x:c r="W166" s="31"/>
      <x:c r="X166" s="32"/>
      <x:c r="Y166" s="31"/>
    </x:row>
    <x:row r="167">
      <x:c r="A167" s="79"/>
      <x:c r="B167" s="31"/>
      <x:c r="C167" s="31"/>
      <x:c r="D167" s="31"/>
      <x:c r="E167" s="31"/>
      <x:c r="F167" s="31"/>
      <x:c r="G167" s="31"/>
      <x:c r="H167" s="31"/>
      <x:c r="I167" s="31"/>
      <x:c r="J167" s="32"/>
      <x:c r="K167" s="32"/>
      <x:c r="L167" s="32"/>
      <x:c r="M167" s="32"/>
      <x:c r="N167" s="31"/>
      <x:c r="O167" s="31"/>
      <x:c r="P167" s="31"/>
      <x:c r="Q167" s="32"/>
      <x:c r="R167" s="31"/>
      <x:c r="S167" s="31"/>
      <x:c r="T167" s="31"/>
      <x:c r="U167" s="31"/>
      <x:c r="V167" s="32"/>
      <x:c r="W167" s="31"/>
      <x:c r="X167" s="32"/>
      <x:c r="Y167" s="31"/>
    </x:row>
    <x:row r="168">
      <x:c r="A168" s="79"/>
      <x:c r="B168" s="31"/>
      <x:c r="C168" s="31"/>
      <x:c r="D168" s="31"/>
      <x:c r="E168" s="31"/>
      <x:c r="F168" s="31"/>
      <x:c r="G168" s="31"/>
      <x:c r="H168" s="31"/>
      <x:c r="I168" s="31"/>
      <x:c r="J168" s="32"/>
      <x:c r="K168" s="32"/>
      <x:c r="L168" s="32"/>
      <x:c r="M168" s="32"/>
      <x:c r="N168" s="31"/>
      <x:c r="O168" s="31"/>
      <x:c r="P168" s="31"/>
      <x:c r="Q168" s="32"/>
      <x:c r="R168" s="31"/>
      <x:c r="S168" s="31"/>
      <x:c r="T168" s="31"/>
      <x:c r="U168" s="31"/>
      <x:c r="V168" s="32"/>
      <x:c r="W168" s="31"/>
      <x:c r="X168" s="32"/>
      <x:c r="Y168" s="31"/>
    </x:row>
    <x:row r="169">
      <x:c r="A169" s="79"/>
      <x:c r="B169" s="31"/>
      <x:c r="C169" s="31"/>
      <x:c r="D169" s="31"/>
      <x:c r="E169" s="31"/>
      <x:c r="F169" s="31"/>
      <x:c r="G169" s="31"/>
      <x:c r="H169" s="31"/>
      <x:c r="I169" s="31"/>
      <x:c r="J169" s="32"/>
      <x:c r="K169" s="32"/>
      <x:c r="L169" s="32"/>
      <x:c r="M169" s="32"/>
      <x:c r="N169" s="31"/>
      <x:c r="O169" s="31"/>
      <x:c r="P169" s="31"/>
      <x:c r="Q169" s="32"/>
      <x:c r="R169" s="31"/>
      <x:c r="S169" s="31"/>
      <x:c r="T169" s="31"/>
      <x:c r="U169" s="31"/>
      <x:c r="V169" s="32"/>
      <x:c r="W169" s="31"/>
      <x:c r="X169" s="32"/>
      <x:c r="Y169" s="31"/>
    </x:row>
    <x:row r="170">
      <x:c r="A170" s="79"/>
      <x:c r="B170" s="31"/>
      <x:c r="C170" s="31"/>
      <x:c r="D170" s="31"/>
      <x:c r="E170" s="31"/>
      <x:c r="F170" s="31"/>
      <x:c r="G170" s="31"/>
      <x:c r="H170" s="31"/>
      <x:c r="I170" s="31"/>
      <x:c r="J170" s="32"/>
      <x:c r="K170" s="32"/>
      <x:c r="L170" s="32"/>
      <x:c r="M170" s="32"/>
      <x:c r="N170" s="31"/>
      <x:c r="O170" s="31"/>
      <x:c r="P170" s="31"/>
      <x:c r="Q170" s="32"/>
      <x:c r="R170" s="31"/>
      <x:c r="S170" s="31"/>
      <x:c r="T170" s="31"/>
      <x:c r="U170" s="31"/>
      <x:c r="V170" s="32"/>
      <x:c r="W170" s="31"/>
      <x:c r="X170" s="32"/>
      <x:c r="Y170" s="31"/>
    </x:row>
    <x:row r="171">
      <x:c r="A171" s="79"/>
      <x:c r="B171" s="31"/>
      <x:c r="C171" s="31"/>
      <x:c r="D171" s="31"/>
      <x:c r="E171" s="31"/>
      <x:c r="F171" s="31"/>
      <x:c r="G171" s="31"/>
      <x:c r="H171" s="31"/>
      <x:c r="I171" s="31"/>
      <x:c r="J171" s="32"/>
      <x:c r="K171" s="32"/>
      <x:c r="L171" s="32"/>
      <x:c r="M171" s="32"/>
      <x:c r="N171" s="31"/>
      <x:c r="O171" s="31"/>
      <x:c r="P171" s="31"/>
      <x:c r="Q171" s="32"/>
      <x:c r="R171" s="31"/>
      <x:c r="S171" s="31"/>
      <x:c r="T171" s="31"/>
      <x:c r="U171" s="31"/>
      <x:c r="V171" s="32"/>
      <x:c r="W171" s="31"/>
      <x:c r="X171" s="32"/>
      <x:c r="Y171" s="31"/>
    </x:row>
    <x:row r="172">
      <x:c r="A172" s="79"/>
      <x:c r="B172" s="31"/>
      <x:c r="C172" s="31"/>
      <x:c r="D172" s="31"/>
      <x:c r="E172" s="31"/>
      <x:c r="F172" s="31"/>
      <x:c r="G172" s="31"/>
      <x:c r="H172" s="31"/>
      <x:c r="I172" s="31"/>
      <x:c r="J172" s="32"/>
      <x:c r="K172" s="32"/>
      <x:c r="L172" s="32"/>
      <x:c r="M172" s="32"/>
      <x:c r="N172" s="31"/>
      <x:c r="O172" s="31"/>
      <x:c r="P172" s="31"/>
      <x:c r="Q172" s="32"/>
      <x:c r="R172" s="31"/>
      <x:c r="S172" s="31"/>
      <x:c r="T172" s="31"/>
      <x:c r="U172" s="31"/>
      <x:c r="V172" s="32"/>
      <x:c r="W172" s="31"/>
      <x:c r="X172" s="32"/>
      <x:c r="Y172" s="31"/>
    </x:row>
    <x:row r="173">
      <x:c r="A173" s="79"/>
      <x:c r="B173" s="31"/>
      <x:c r="C173" s="31"/>
      <x:c r="D173" s="31"/>
      <x:c r="E173" s="31"/>
      <x:c r="F173" s="31"/>
      <x:c r="G173" s="31"/>
      <x:c r="H173" s="31"/>
      <x:c r="I173" s="31"/>
      <x:c r="J173" s="32"/>
      <x:c r="K173" s="32"/>
      <x:c r="L173" s="32"/>
      <x:c r="M173" s="32"/>
      <x:c r="N173" s="31"/>
      <x:c r="O173" s="31"/>
      <x:c r="P173" s="31"/>
      <x:c r="Q173" s="32"/>
      <x:c r="R173" s="31"/>
      <x:c r="S173" s="31"/>
      <x:c r="T173" s="31"/>
      <x:c r="U173" s="31"/>
      <x:c r="V173" s="32"/>
      <x:c r="W173" s="31"/>
      <x:c r="X173" s="32"/>
      <x:c r="Y173" s="31"/>
    </x:row>
    <x:row r="174">
      <x:c r="A174" s="79"/>
      <x:c r="B174" s="31"/>
      <x:c r="C174" s="31"/>
      <x:c r="D174" s="31"/>
      <x:c r="E174" s="31"/>
      <x:c r="F174" s="31"/>
      <x:c r="G174" s="31"/>
      <x:c r="H174" s="31"/>
      <x:c r="I174" s="31"/>
      <x:c r="J174" s="32"/>
      <x:c r="K174" s="32"/>
      <x:c r="L174" s="32"/>
      <x:c r="M174" s="32"/>
      <x:c r="N174" s="31"/>
      <x:c r="O174" s="31"/>
      <x:c r="P174" s="31"/>
      <x:c r="Q174" s="32"/>
      <x:c r="R174" s="31"/>
      <x:c r="S174" s="31"/>
      <x:c r="T174" s="31"/>
      <x:c r="U174" s="31"/>
      <x:c r="V174" s="32"/>
      <x:c r="W174" s="31"/>
      <x:c r="X174" s="32"/>
      <x:c r="Y174" s="31"/>
    </x:row>
    <x:row r="175">
      <x:c r="A175" s="79"/>
      <x:c r="B175" s="31"/>
      <x:c r="C175" s="31"/>
      <x:c r="D175" s="31"/>
      <x:c r="E175" s="31"/>
      <x:c r="F175" s="31"/>
      <x:c r="G175" s="31"/>
      <x:c r="H175" s="31"/>
      <x:c r="I175" s="31"/>
      <x:c r="J175" s="32"/>
      <x:c r="K175" s="32"/>
      <x:c r="L175" s="32"/>
      <x:c r="M175" s="32"/>
      <x:c r="N175" s="31"/>
      <x:c r="O175" s="31"/>
      <x:c r="P175" s="31"/>
      <x:c r="Q175" s="32"/>
      <x:c r="R175" s="31"/>
      <x:c r="S175" s="31"/>
      <x:c r="T175" s="31"/>
      <x:c r="U175" s="31"/>
      <x:c r="V175" s="32"/>
      <x:c r="W175" s="31"/>
      <x:c r="X175" s="32"/>
      <x:c r="Y175" s="31"/>
    </x:row>
    <x:row r="176">
      <x:c r="A176" s="79"/>
      <x:c r="B176" s="31"/>
      <x:c r="C176" s="31"/>
      <x:c r="D176" s="31"/>
      <x:c r="E176" s="31"/>
      <x:c r="F176" s="31"/>
      <x:c r="G176" s="31"/>
      <x:c r="H176" s="31"/>
      <x:c r="I176" s="31"/>
      <x:c r="J176" s="32"/>
      <x:c r="K176" s="32"/>
      <x:c r="L176" s="32"/>
      <x:c r="M176" s="32"/>
      <x:c r="N176" s="31"/>
      <x:c r="O176" s="31"/>
      <x:c r="P176" s="31"/>
      <x:c r="Q176" s="32"/>
      <x:c r="R176" s="31"/>
      <x:c r="S176" s="31"/>
      <x:c r="T176" s="31"/>
      <x:c r="U176" s="31"/>
      <x:c r="V176" s="32"/>
      <x:c r="W176" s="31"/>
      <x:c r="X176" s="32"/>
      <x:c r="Y176" s="31"/>
    </x:row>
    <x:row r="177">
      <x:c r="A177" s="79"/>
      <x:c r="B177" s="31"/>
      <x:c r="C177" s="31"/>
      <x:c r="D177" s="31"/>
      <x:c r="E177" s="31"/>
      <x:c r="F177" s="31"/>
      <x:c r="G177" s="31"/>
      <x:c r="H177" s="31"/>
      <x:c r="I177" s="31"/>
      <x:c r="J177" s="32"/>
      <x:c r="K177" s="32"/>
      <x:c r="L177" s="32"/>
      <x:c r="M177" s="32"/>
      <x:c r="N177" s="31"/>
      <x:c r="O177" s="31"/>
      <x:c r="P177" s="31"/>
      <x:c r="Q177" s="32"/>
      <x:c r="R177" s="31"/>
      <x:c r="S177" s="31"/>
      <x:c r="T177" s="31"/>
      <x:c r="U177" s="31"/>
      <x:c r="V177" s="32"/>
      <x:c r="W177" s="31"/>
      <x:c r="X177" s="32"/>
      <x:c r="Y177" s="31"/>
    </x:row>
    <x:row r="178">
      <x:c r="A178" s="79"/>
      <x:c r="B178" s="31"/>
      <x:c r="C178" s="31"/>
      <x:c r="D178" s="31"/>
      <x:c r="E178" s="31"/>
      <x:c r="F178" s="31"/>
      <x:c r="G178" s="31"/>
      <x:c r="H178" s="31"/>
      <x:c r="I178" s="31"/>
      <x:c r="J178" s="32"/>
      <x:c r="K178" s="32"/>
      <x:c r="L178" s="32"/>
      <x:c r="M178" s="32"/>
      <x:c r="N178" s="31"/>
      <x:c r="O178" s="31"/>
      <x:c r="P178" s="31"/>
      <x:c r="Q178" s="32"/>
      <x:c r="R178" s="31"/>
      <x:c r="S178" s="31"/>
      <x:c r="T178" s="31"/>
      <x:c r="U178" s="31"/>
      <x:c r="V178" s="32"/>
      <x:c r="W178" s="31"/>
      <x:c r="X178" s="32"/>
      <x:c r="Y178" s="31"/>
    </x:row>
    <x:row r="179">
      <x:c r="A179" s="79"/>
      <x:c r="B179" s="31"/>
      <x:c r="C179" s="31"/>
      <x:c r="D179" s="31"/>
      <x:c r="E179" s="31"/>
      <x:c r="F179" s="31"/>
      <x:c r="G179" s="31"/>
      <x:c r="H179" s="31"/>
      <x:c r="I179" s="31"/>
      <x:c r="J179" s="32"/>
      <x:c r="K179" s="32"/>
      <x:c r="L179" s="32"/>
      <x:c r="M179" s="32"/>
      <x:c r="N179" s="31"/>
      <x:c r="O179" s="31"/>
      <x:c r="P179" s="31"/>
      <x:c r="Q179" s="32"/>
      <x:c r="R179" s="31"/>
      <x:c r="S179" s="31"/>
      <x:c r="T179" s="31"/>
      <x:c r="U179" s="31"/>
      <x:c r="V179" s="32"/>
      <x:c r="W179" s="31"/>
      <x:c r="X179" s="32"/>
      <x:c r="Y179" s="31"/>
    </x:row>
    <x:row r="180">
      <x:c r="A180" s="79"/>
      <x:c r="B180" s="31"/>
      <x:c r="C180" s="31"/>
      <x:c r="D180" s="31"/>
      <x:c r="E180" s="31"/>
      <x:c r="F180" s="31"/>
      <x:c r="G180" s="31"/>
      <x:c r="H180" s="31"/>
      <x:c r="I180" s="31"/>
      <x:c r="J180" s="32"/>
      <x:c r="K180" s="32"/>
      <x:c r="L180" s="32"/>
      <x:c r="M180" s="32"/>
      <x:c r="N180" s="31"/>
      <x:c r="O180" s="31"/>
      <x:c r="P180" s="31"/>
      <x:c r="Q180" s="32"/>
      <x:c r="R180" s="31"/>
      <x:c r="S180" s="31"/>
      <x:c r="T180" s="31"/>
      <x:c r="U180" s="31"/>
      <x:c r="V180" s="32"/>
      <x:c r="W180" s="31"/>
      <x:c r="X180" s="32"/>
      <x:c r="Y180" s="31"/>
    </x:row>
    <x:row r="181">
      <x:c r="A181" s="79"/>
      <x:c r="B181" s="31"/>
      <x:c r="C181" s="31"/>
      <x:c r="D181" s="31"/>
      <x:c r="E181" s="31"/>
      <x:c r="F181" s="31"/>
      <x:c r="G181" s="31"/>
      <x:c r="H181" s="31"/>
      <x:c r="I181" s="31"/>
      <x:c r="J181" s="32"/>
      <x:c r="K181" s="32"/>
      <x:c r="L181" s="32"/>
      <x:c r="M181" s="32"/>
      <x:c r="N181" s="31"/>
      <x:c r="O181" s="31"/>
      <x:c r="P181" s="31"/>
      <x:c r="Q181" s="32"/>
      <x:c r="R181" s="31"/>
      <x:c r="S181" s="31"/>
      <x:c r="T181" s="31"/>
      <x:c r="U181" s="31"/>
      <x:c r="V181" s="32"/>
      <x:c r="W181" s="31"/>
      <x:c r="X181" s="32"/>
      <x:c r="Y181" s="31"/>
    </x:row>
    <x:row r="182">
      <x:c r="A182" s="79"/>
      <x:c r="B182" s="31"/>
      <x:c r="C182" s="31"/>
      <x:c r="D182" s="31"/>
      <x:c r="E182" s="31"/>
      <x:c r="F182" s="31"/>
      <x:c r="G182" s="31"/>
      <x:c r="H182" s="31"/>
      <x:c r="I182" s="31"/>
      <x:c r="J182" s="32"/>
      <x:c r="K182" s="32"/>
      <x:c r="L182" s="32"/>
      <x:c r="M182" s="32"/>
      <x:c r="N182" s="31"/>
      <x:c r="O182" s="31"/>
      <x:c r="P182" s="31"/>
      <x:c r="Q182" s="32"/>
      <x:c r="R182" s="31"/>
      <x:c r="S182" s="31"/>
      <x:c r="T182" s="31"/>
      <x:c r="U182" s="31"/>
      <x:c r="V182" s="32"/>
      <x:c r="W182" s="31"/>
      <x:c r="X182" s="32"/>
      <x:c r="Y182" s="31"/>
    </x:row>
    <x:row r="183">
      <x:c r="A183" s="79"/>
      <x:c r="B183" s="31"/>
      <x:c r="C183" s="31"/>
      <x:c r="D183" s="31"/>
      <x:c r="E183" s="31"/>
      <x:c r="F183" s="31"/>
      <x:c r="G183" s="31"/>
      <x:c r="H183" s="31"/>
      <x:c r="I183" s="31"/>
      <x:c r="J183" s="32"/>
      <x:c r="K183" s="32"/>
      <x:c r="L183" s="32"/>
      <x:c r="M183" s="32"/>
      <x:c r="N183" s="31"/>
      <x:c r="O183" s="31"/>
      <x:c r="P183" s="31"/>
      <x:c r="Q183" s="32"/>
      <x:c r="R183" s="31"/>
      <x:c r="S183" s="31"/>
      <x:c r="T183" s="31"/>
      <x:c r="U183" s="31"/>
      <x:c r="V183" s="32"/>
      <x:c r="W183" s="31"/>
      <x:c r="X183" s="32"/>
      <x:c r="Y183" s="31"/>
    </x:row>
    <x:row r="184">
      <x:c r="A184" s="79"/>
      <x:c r="B184" s="31"/>
      <x:c r="C184" s="31"/>
      <x:c r="D184" s="31"/>
      <x:c r="E184" s="31"/>
      <x:c r="F184" s="31"/>
      <x:c r="G184" s="31"/>
      <x:c r="H184" s="31"/>
      <x:c r="I184" s="31"/>
      <x:c r="J184" s="32"/>
      <x:c r="K184" s="32"/>
      <x:c r="L184" s="32"/>
      <x:c r="M184" s="32"/>
      <x:c r="N184" s="31"/>
      <x:c r="O184" s="31"/>
      <x:c r="P184" s="31"/>
      <x:c r="Q184" s="32"/>
      <x:c r="R184" s="31"/>
      <x:c r="S184" s="31"/>
      <x:c r="T184" s="31"/>
      <x:c r="U184" s="31"/>
      <x:c r="V184" s="32"/>
      <x:c r="W184" s="31"/>
      <x:c r="X184" s="32"/>
      <x:c r="Y184" s="31"/>
    </x:row>
    <x:row r="185">
      <x:c r="A185" s="79"/>
      <x:c r="B185" s="31"/>
      <x:c r="C185" s="31"/>
      <x:c r="D185" s="31"/>
      <x:c r="E185" s="31"/>
      <x:c r="F185" s="31"/>
      <x:c r="G185" s="31"/>
      <x:c r="H185" s="31"/>
      <x:c r="I185" s="31"/>
      <x:c r="J185" s="32"/>
      <x:c r="K185" s="32"/>
      <x:c r="L185" s="32"/>
      <x:c r="M185" s="32"/>
      <x:c r="N185" s="31"/>
      <x:c r="O185" s="31"/>
      <x:c r="P185" s="31"/>
      <x:c r="Q185" s="32"/>
      <x:c r="R185" s="31"/>
      <x:c r="S185" s="31"/>
      <x:c r="T185" s="31"/>
      <x:c r="U185" s="31"/>
      <x:c r="V185" s="32"/>
      <x:c r="W185" s="31"/>
      <x:c r="X185" s="32"/>
      <x:c r="Y185" s="31"/>
    </x:row>
    <x:row r="186">
      <x:c r="A186" s="79"/>
      <x:c r="B186" s="31"/>
      <x:c r="C186" s="31"/>
      <x:c r="D186" s="31"/>
      <x:c r="E186" s="31"/>
      <x:c r="F186" s="31"/>
      <x:c r="G186" s="31"/>
      <x:c r="H186" s="31"/>
      <x:c r="I186" s="31"/>
      <x:c r="J186" s="32"/>
      <x:c r="K186" s="32"/>
      <x:c r="L186" s="32"/>
      <x:c r="M186" s="32"/>
      <x:c r="N186" s="31"/>
      <x:c r="O186" s="31"/>
      <x:c r="P186" s="31"/>
      <x:c r="Q186" s="32"/>
      <x:c r="R186" s="31"/>
      <x:c r="S186" s="31"/>
      <x:c r="T186" s="31"/>
      <x:c r="U186" s="31"/>
      <x:c r="V186" s="32"/>
      <x:c r="W186" s="31"/>
      <x:c r="X186" s="32"/>
      <x:c r="Y186" s="31"/>
    </x:row>
    <x:row r="187">
      <x:c r="A187" s="79"/>
      <x:c r="B187" s="31"/>
      <x:c r="C187" s="31"/>
      <x:c r="D187" s="31"/>
      <x:c r="E187" s="31"/>
      <x:c r="F187" s="31"/>
      <x:c r="G187" s="31"/>
      <x:c r="H187" s="31"/>
      <x:c r="I187" s="31"/>
      <x:c r="J187" s="32"/>
      <x:c r="K187" s="32"/>
      <x:c r="L187" s="32"/>
      <x:c r="M187" s="32"/>
      <x:c r="N187" s="31"/>
      <x:c r="O187" s="31"/>
      <x:c r="P187" s="31"/>
      <x:c r="Q187" s="32"/>
      <x:c r="R187" s="31"/>
      <x:c r="S187" s="31"/>
      <x:c r="T187" s="31"/>
      <x:c r="U187" s="31"/>
      <x:c r="V187" s="32"/>
      <x:c r="W187" s="31"/>
      <x:c r="X187" s="32"/>
      <x:c r="Y187" s="31"/>
    </x:row>
    <x:row r="188">
      <x:c r="A188" s="79"/>
      <x:c r="B188" s="31"/>
      <x:c r="C188" s="31"/>
      <x:c r="D188" s="31"/>
      <x:c r="E188" s="31"/>
      <x:c r="F188" s="31"/>
      <x:c r="G188" s="31"/>
      <x:c r="H188" s="31"/>
      <x:c r="I188" s="31"/>
      <x:c r="J188" s="32"/>
      <x:c r="K188" s="32"/>
      <x:c r="L188" s="32"/>
      <x:c r="M188" s="32"/>
      <x:c r="N188" s="31"/>
      <x:c r="O188" s="31"/>
      <x:c r="P188" s="31"/>
      <x:c r="Q188" s="32"/>
      <x:c r="R188" s="31"/>
      <x:c r="S188" s="31"/>
      <x:c r="T188" s="31"/>
      <x:c r="U188" s="31"/>
      <x:c r="V188" s="32"/>
      <x:c r="W188" s="31"/>
      <x:c r="X188" s="32"/>
      <x:c r="Y188" s="31"/>
    </x:row>
    <x:row r="189">
      <x:c r="A189" s="79"/>
      <x:c r="B189" s="31"/>
      <x:c r="C189" s="31"/>
      <x:c r="D189" s="31"/>
      <x:c r="E189" s="31"/>
      <x:c r="F189" s="31"/>
      <x:c r="G189" s="31"/>
      <x:c r="H189" s="31"/>
      <x:c r="I189" s="31"/>
      <x:c r="J189" s="32"/>
      <x:c r="K189" s="32"/>
      <x:c r="L189" s="32"/>
      <x:c r="M189" s="32"/>
      <x:c r="N189" s="31"/>
      <x:c r="O189" s="31"/>
      <x:c r="P189" s="31"/>
      <x:c r="Q189" s="32"/>
      <x:c r="R189" s="31"/>
      <x:c r="S189" s="31"/>
      <x:c r="T189" s="31"/>
      <x:c r="U189" s="31"/>
      <x:c r="V189" s="32"/>
      <x:c r="W189" s="31"/>
      <x:c r="X189" s="32"/>
      <x:c r="Y189" s="31"/>
    </x:row>
    <x:row r="190">
      <x:c r="A190" s="79"/>
      <x:c r="B190" s="31"/>
      <x:c r="C190" s="31"/>
      <x:c r="D190" s="31"/>
      <x:c r="E190" s="31"/>
      <x:c r="F190" s="31"/>
      <x:c r="G190" s="31"/>
      <x:c r="H190" s="31"/>
      <x:c r="I190" s="31"/>
      <x:c r="J190" s="32"/>
      <x:c r="K190" s="32"/>
      <x:c r="L190" s="32"/>
      <x:c r="M190" s="32"/>
      <x:c r="N190" s="31"/>
      <x:c r="O190" s="31"/>
      <x:c r="P190" s="31"/>
      <x:c r="Q190" s="32"/>
      <x:c r="R190" s="31"/>
      <x:c r="S190" s="31"/>
      <x:c r="T190" s="31"/>
      <x:c r="U190" s="31"/>
      <x:c r="V190" s="32"/>
      <x:c r="W190" s="31"/>
      <x:c r="X190" s="32"/>
      <x:c r="Y190" s="31"/>
    </x:row>
    <x:row r="191">
      <x:c r="A191" s="79"/>
      <x:c r="B191" s="31"/>
      <x:c r="C191" s="31"/>
      <x:c r="D191" s="31"/>
      <x:c r="E191" s="31"/>
      <x:c r="F191" s="31"/>
      <x:c r="G191" s="31"/>
      <x:c r="H191" s="31"/>
      <x:c r="I191" s="31"/>
      <x:c r="J191" s="32"/>
      <x:c r="K191" s="32"/>
      <x:c r="L191" s="32"/>
      <x:c r="M191" s="32"/>
      <x:c r="N191" s="31"/>
      <x:c r="O191" s="31"/>
      <x:c r="P191" s="31"/>
      <x:c r="Q191" s="32"/>
      <x:c r="R191" s="31"/>
      <x:c r="S191" s="31"/>
      <x:c r="T191" s="31"/>
      <x:c r="U191" s="31"/>
      <x:c r="V191" s="32"/>
      <x:c r="W191" s="31"/>
      <x:c r="X191" s="32"/>
      <x:c r="Y191" s="31"/>
    </x:row>
    <x:row r="192">
      <x:c r="A192" s="79"/>
      <x:c r="B192" s="31"/>
      <x:c r="C192" s="31"/>
      <x:c r="D192" s="31"/>
      <x:c r="E192" s="31"/>
      <x:c r="F192" s="31"/>
      <x:c r="G192" s="31"/>
      <x:c r="H192" s="31"/>
      <x:c r="I192" s="31"/>
      <x:c r="J192" s="32"/>
      <x:c r="K192" s="32"/>
      <x:c r="L192" s="32"/>
      <x:c r="M192" s="32"/>
      <x:c r="N192" s="31"/>
      <x:c r="O192" s="31"/>
      <x:c r="P192" s="31"/>
      <x:c r="Q192" s="32"/>
      <x:c r="R192" s="31"/>
      <x:c r="S192" s="31"/>
      <x:c r="T192" s="31"/>
      <x:c r="U192" s="31"/>
      <x:c r="V192" s="32"/>
      <x:c r="W192" s="31"/>
      <x:c r="X192" s="32"/>
      <x:c r="Y192" s="31"/>
    </x:row>
    <x:row r="193">
      <x:c r="A193" s="79"/>
      <x:c r="B193" s="31"/>
      <x:c r="C193" s="31"/>
      <x:c r="D193" s="31"/>
      <x:c r="E193" s="31"/>
      <x:c r="F193" s="31"/>
      <x:c r="G193" s="31"/>
      <x:c r="H193" s="31"/>
      <x:c r="I193" s="31"/>
      <x:c r="J193" s="32"/>
      <x:c r="K193" s="32"/>
      <x:c r="L193" s="32"/>
      <x:c r="M193" s="32"/>
      <x:c r="N193" s="31"/>
      <x:c r="O193" s="31"/>
      <x:c r="P193" s="31"/>
      <x:c r="Q193" s="32"/>
      <x:c r="R193" s="31"/>
      <x:c r="S193" s="31"/>
      <x:c r="T193" s="31"/>
      <x:c r="U193" s="31"/>
      <x:c r="V193" s="32"/>
      <x:c r="W193" s="31"/>
      <x:c r="X193" s="32"/>
      <x:c r="Y193" s="31"/>
    </x:row>
    <x:row r="194">
      <x:c r="A194" s="79"/>
      <x:c r="B194" s="31"/>
      <x:c r="C194" s="31"/>
      <x:c r="D194" s="31"/>
      <x:c r="E194" s="31"/>
      <x:c r="F194" s="31"/>
      <x:c r="G194" s="31"/>
      <x:c r="H194" s="31"/>
      <x:c r="I194" s="31"/>
      <x:c r="J194" s="32"/>
      <x:c r="K194" s="32"/>
      <x:c r="L194" s="32"/>
      <x:c r="M194" s="32"/>
      <x:c r="N194" s="31"/>
      <x:c r="O194" s="31"/>
      <x:c r="P194" s="31"/>
      <x:c r="Q194" s="32"/>
      <x:c r="R194" s="31"/>
      <x:c r="S194" s="31"/>
      <x:c r="T194" s="31"/>
      <x:c r="U194" s="31"/>
      <x:c r="V194" s="32"/>
      <x:c r="W194" s="31"/>
      <x:c r="X194" s="32"/>
      <x:c r="Y194" s="31"/>
    </x:row>
    <x:row r="195">
      <x:c r="A195" s="79"/>
      <x:c r="B195" s="31"/>
      <x:c r="C195" s="31"/>
      <x:c r="D195" s="31"/>
      <x:c r="E195" s="31"/>
      <x:c r="F195" s="31"/>
      <x:c r="G195" s="31"/>
      <x:c r="H195" s="31"/>
      <x:c r="I195" s="31"/>
      <x:c r="J195" s="32"/>
      <x:c r="K195" s="32"/>
      <x:c r="L195" s="32"/>
      <x:c r="M195" s="32"/>
      <x:c r="N195" s="31"/>
      <x:c r="O195" s="31"/>
      <x:c r="P195" s="31"/>
      <x:c r="Q195" s="32"/>
      <x:c r="R195" s="31"/>
      <x:c r="S195" s="31"/>
      <x:c r="T195" s="31"/>
      <x:c r="U195" s="31"/>
      <x:c r="V195" s="32"/>
      <x:c r="W195" s="31"/>
      <x:c r="X195" s="32"/>
      <x:c r="Y195" s="31"/>
    </x:row>
    <x:row r="196">
      <x:c r="A196" s="79"/>
      <x:c r="B196" s="31"/>
      <x:c r="C196" s="31"/>
      <x:c r="D196" s="31"/>
      <x:c r="E196" s="31"/>
      <x:c r="F196" s="31"/>
      <x:c r="G196" s="31"/>
      <x:c r="H196" s="31"/>
      <x:c r="I196" s="31"/>
      <x:c r="J196" s="32"/>
      <x:c r="K196" s="32"/>
      <x:c r="L196" s="32"/>
      <x:c r="M196" s="32"/>
      <x:c r="N196" s="31"/>
      <x:c r="O196" s="31"/>
      <x:c r="P196" s="31"/>
      <x:c r="Q196" s="32"/>
      <x:c r="R196" s="31"/>
      <x:c r="S196" s="31"/>
      <x:c r="T196" s="31"/>
      <x:c r="U196" s="31"/>
      <x:c r="V196" s="32"/>
      <x:c r="W196" s="31"/>
      <x:c r="X196" s="32"/>
      <x:c r="Y196" s="31"/>
    </x:row>
    <x:row r="197">
      <x:c r="A197" s="79"/>
      <x:c r="B197" s="31"/>
      <x:c r="C197" s="31"/>
      <x:c r="D197" s="31"/>
      <x:c r="E197" s="31"/>
      <x:c r="F197" s="31"/>
      <x:c r="G197" s="31"/>
      <x:c r="H197" s="31"/>
      <x:c r="I197" s="31"/>
      <x:c r="J197" s="32"/>
      <x:c r="K197" s="32"/>
      <x:c r="L197" s="32"/>
      <x:c r="M197" s="32"/>
      <x:c r="N197" s="31"/>
      <x:c r="O197" s="31"/>
      <x:c r="P197" s="31"/>
      <x:c r="Q197" s="32"/>
      <x:c r="R197" s="31"/>
      <x:c r="S197" s="31"/>
      <x:c r="T197" s="31"/>
      <x:c r="U197" s="31"/>
      <x:c r="V197" s="32"/>
      <x:c r="W197" s="31"/>
      <x:c r="X197" s="32"/>
      <x:c r="Y197" s="31"/>
    </x:row>
    <x:row r="198">
      <x:c r="A198" s="79"/>
      <x:c r="B198" s="31"/>
      <x:c r="C198" s="31"/>
      <x:c r="D198" s="31"/>
      <x:c r="E198" s="31"/>
      <x:c r="F198" s="31"/>
      <x:c r="G198" s="31"/>
      <x:c r="H198" s="31"/>
      <x:c r="I198" s="31"/>
      <x:c r="J198" s="32"/>
      <x:c r="K198" s="32"/>
      <x:c r="L198" s="32"/>
      <x:c r="M198" s="32"/>
      <x:c r="N198" s="31"/>
      <x:c r="O198" s="31"/>
      <x:c r="P198" s="31"/>
      <x:c r="Q198" s="32"/>
      <x:c r="R198" s="31"/>
      <x:c r="S198" s="31"/>
      <x:c r="T198" s="31"/>
      <x:c r="U198" s="31"/>
      <x:c r="V198" s="32"/>
      <x:c r="W198" s="31"/>
      <x:c r="X198" s="32"/>
      <x:c r="Y198" s="31"/>
    </x:row>
    <x:row r="199">
      <x:c r="A199" s="79"/>
      <x:c r="B199" s="31"/>
      <x:c r="C199" s="31"/>
      <x:c r="D199" s="31"/>
      <x:c r="E199" s="31"/>
      <x:c r="F199" s="31"/>
      <x:c r="G199" s="31"/>
      <x:c r="H199" s="31"/>
      <x:c r="I199" s="31"/>
      <x:c r="J199" s="32"/>
      <x:c r="K199" s="32"/>
      <x:c r="L199" s="32"/>
      <x:c r="M199" s="32"/>
      <x:c r="N199" s="31"/>
      <x:c r="O199" s="31"/>
      <x:c r="P199" s="31"/>
      <x:c r="Q199" s="32"/>
      <x:c r="R199" s="31"/>
      <x:c r="S199" s="31"/>
      <x:c r="T199" s="31"/>
      <x:c r="U199" s="31"/>
      <x:c r="V199" s="32"/>
      <x:c r="W199" s="31"/>
      <x:c r="X199" s="32"/>
      <x:c r="Y199" s="31"/>
    </x:row>
    <x:row r="200">
      <x:c r="A200" s="79"/>
      <x:c r="B200" s="31"/>
      <x:c r="C200" s="31"/>
      <x:c r="D200" s="31"/>
      <x:c r="E200" s="31"/>
      <x:c r="F200" s="31"/>
      <x:c r="G200" s="31"/>
      <x:c r="H200" s="31"/>
      <x:c r="I200" s="31"/>
      <x:c r="J200" s="32"/>
      <x:c r="K200" s="32"/>
      <x:c r="L200" s="32"/>
      <x:c r="M200" s="32"/>
      <x:c r="N200" s="31"/>
      <x:c r="O200" s="31"/>
      <x:c r="P200" s="31"/>
      <x:c r="Q200" s="32"/>
      <x:c r="R200" s="31"/>
      <x:c r="S200" s="31"/>
      <x:c r="T200" s="31"/>
      <x:c r="U200" s="31"/>
      <x:c r="V200" s="32"/>
      <x:c r="W200" s="31"/>
      <x:c r="X200" s="32"/>
      <x:c r="Y200" s="31"/>
    </x:row>
    <x:row r="201">
      <x:c r="A201" s="79"/>
      <x:c r="B201" s="31"/>
      <x:c r="C201" s="31"/>
      <x:c r="D201" s="31"/>
      <x:c r="E201" s="31"/>
      <x:c r="F201" s="31"/>
      <x:c r="G201" s="31"/>
      <x:c r="H201" s="31"/>
      <x:c r="I201" s="31"/>
      <x:c r="J201" s="32"/>
      <x:c r="K201" s="32"/>
      <x:c r="L201" s="32"/>
      <x:c r="M201" s="32"/>
      <x:c r="N201" s="31"/>
      <x:c r="O201" s="31"/>
      <x:c r="P201" s="31"/>
      <x:c r="Q201" s="32"/>
      <x:c r="R201" s="31"/>
      <x:c r="S201" s="31"/>
      <x:c r="T201" s="31"/>
      <x:c r="U201" s="31"/>
      <x:c r="V201" s="32"/>
      <x:c r="W201" s="31"/>
      <x:c r="X201" s="32"/>
      <x:c r="Y201" s="31"/>
    </x:row>
    <x:row r="202">
      <x:c r="A202" s="79"/>
      <x:c r="B202" s="31"/>
      <x:c r="C202" s="31"/>
      <x:c r="D202" s="31"/>
      <x:c r="E202" s="31"/>
      <x:c r="F202" s="31"/>
      <x:c r="G202" s="31"/>
      <x:c r="H202" s="31"/>
      <x:c r="I202" s="31"/>
      <x:c r="J202" s="32"/>
      <x:c r="K202" s="32"/>
      <x:c r="L202" s="32"/>
      <x:c r="M202" s="32"/>
      <x:c r="N202" s="31"/>
      <x:c r="O202" s="31"/>
      <x:c r="P202" s="31"/>
      <x:c r="Q202" s="32"/>
      <x:c r="R202" s="31"/>
      <x:c r="S202" s="31"/>
      <x:c r="T202" s="31"/>
      <x:c r="U202" s="31"/>
      <x:c r="V202" s="32"/>
      <x:c r="W202" s="31"/>
      <x:c r="X202" s="32"/>
      <x:c r="Y202" s="31"/>
    </x:row>
    <x:row r="203">
      <x:c r="A203" s="79"/>
      <x:c r="B203" s="31"/>
      <x:c r="C203" s="31"/>
      <x:c r="D203" s="31"/>
      <x:c r="E203" s="31"/>
      <x:c r="F203" s="31"/>
      <x:c r="G203" s="31"/>
      <x:c r="H203" s="31"/>
      <x:c r="I203" s="31"/>
      <x:c r="J203" s="32"/>
      <x:c r="K203" s="32"/>
      <x:c r="L203" s="32"/>
      <x:c r="M203" s="32"/>
      <x:c r="N203" s="31"/>
      <x:c r="O203" s="31"/>
      <x:c r="P203" s="31"/>
      <x:c r="Q203" s="32"/>
      <x:c r="R203" s="31"/>
      <x:c r="S203" s="31"/>
      <x:c r="T203" s="31"/>
      <x:c r="U203" s="31"/>
      <x:c r="V203" s="32"/>
      <x:c r="W203" s="31"/>
      <x:c r="X203" s="32"/>
      <x:c r="Y203" s="31"/>
    </x:row>
    <x:row r="204">
      <x:c r="A204" s="79"/>
      <x:c r="B204" s="31"/>
      <x:c r="C204" s="31"/>
      <x:c r="D204" s="31"/>
      <x:c r="E204" s="31"/>
      <x:c r="F204" s="31"/>
      <x:c r="G204" s="31"/>
      <x:c r="H204" s="31"/>
      <x:c r="I204" s="31"/>
      <x:c r="J204" s="32"/>
      <x:c r="K204" s="32"/>
      <x:c r="L204" s="32"/>
      <x:c r="M204" s="32"/>
      <x:c r="N204" s="31"/>
      <x:c r="O204" s="31"/>
      <x:c r="P204" s="31"/>
      <x:c r="Q204" s="32"/>
      <x:c r="R204" s="31"/>
      <x:c r="S204" s="31"/>
      <x:c r="T204" s="31"/>
      <x:c r="U204" s="31"/>
      <x:c r="V204" s="32"/>
      <x:c r="W204" s="31"/>
      <x:c r="X204" s="32"/>
      <x:c r="Y204" s="31"/>
    </x:row>
    <x:row r="205">
      <x:c r="A205" s="79"/>
      <x:c r="B205" s="31"/>
      <x:c r="C205" s="31"/>
      <x:c r="D205" s="31"/>
      <x:c r="E205" s="31"/>
      <x:c r="F205" s="31"/>
      <x:c r="G205" s="31"/>
      <x:c r="H205" s="31"/>
      <x:c r="I205" s="31"/>
      <x:c r="J205" s="32"/>
      <x:c r="K205" s="32"/>
      <x:c r="L205" s="32"/>
      <x:c r="M205" s="32"/>
      <x:c r="N205" s="31"/>
      <x:c r="O205" s="31"/>
      <x:c r="P205" s="31"/>
      <x:c r="Q205" s="32"/>
      <x:c r="R205" s="31"/>
      <x:c r="S205" s="31"/>
      <x:c r="T205" s="31"/>
      <x:c r="U205" s="31"/>
      <x:c r="V205" s="32"/>
      <x:c r="W205" s="31"/>
      <x:c r="X205" s="32"/>
      <x:c r="Y205" s="31"/>
    </x:row>
    <x:row r="206">
      <x:c r="A206" s="79"/>
      <x:c r="B206" s="31"/>
      <x:c r="C206" s="31"/>
      <x:c r="D206" s="31"/>
      <x:c r="E206" s="31"/>
      <x:c r="F206" s="31"/>
      <x:c r="G206" s="31"/>
      <x:c r="H206" s="31"/>
      <x:c r="I206" s="31"/>
      <x:c r="J206" s="32"/>
      <x:c r="K206" s="32"/>
      <x:c r="L206" s="32"/>
      <x:c r="M206" s="32"/>
      <x:c r="N206" s="31"/>
      <x:c r="O206" s="31"/>
      <x:c r="P206" s="31"/>
      <x:c r="Q206" s="32"/>
      <x:c r="R206" s="31"/>
      <x:c r="S206" s="31"/>
      <x:c r="T206" s="31"/>
      <x:c r="U206" s="31"/>
      <x:c r="V206" s="32"/>
      <x:c r="W206" s="31"/>
      <x:c r="X206" s="32"/>
      <x:c r="Y206" s="31"/>
    </x:row>
    <x:row r="207">
      <x:c r="A207" s="79"/>
      <x:c r="B207" s="31"/>
      <x:c r="C207" s="31"/>
      <x:c r="D207" s="31"/>
      <x:c r="E207" s="31"/>
      <x:c r="F207" s="31"/>
      <x:c r="G207" s="31"/>
      <x:c r="H207" s="31"/>
      <x:c r="I207" s="31"/>
      <x:c r="J207" s="32"/>
      <x:c r="K207" s="32"/>
      <x:c r="L207" s="32"/>
      <x:c r="M207" s="32"/>
      <x:c r="N207" s="31"/>
      <x:c r="O207" s="31"/>
      <x:c r="P207" s="31"/>
      <x:c r="Q207" s="32"/>
      <x:c r="R207" s="31"/>
      <x:c r="S207" s="31"/>
      <x:c r="T207" s="31"/>
      <x:c r="U207" s="31"/>
      <x:c r="V207" s="32"/>
      <x:c r="W207" s="31"/>
      <x:c r="X207" s="32"/>
      <x:c r="Y207" s="31"/>
    </x:row>
    <x:row r="208">
      <x:c r="A208" s="79"/>
      <x:c r="B208" s="31"/>
      <x:c r="C208" s="31"/>
      <x:c r="D208" s="31"/>
      <x:c r="E208" s="31"/>
      <x:c r="F208" s="31"/>
      <x:c r="G208" s="31"/>
      <x:c r="H208" s="31"/>
      <x:c r="I208" s="31"/>
      <x:c r="J208" s="32"/>
      <x:c r="K208" s="32"/>
      <x:c r="L208" s="32"/>
      <x:c r="M208" s="32"/>
      <x:c r="N208" s="31"/>
      <x:c r="O208" s="31"/>
      <x:c r="P208" s="31"/>
      <x:c r="Q208" s="32"/>
      <x:c r="R208" s="31"/>
      <x:c r="S208" s="31"/>
      <x:c r="T208" s="31"/>
      <x:c r="U208" s="31"/>
      <x:c r="V208" s="32"/>
      <x:c r="W208" s="31"/>
      <x:c r="X208" s="32"/>
      <x:c r="Y208" s="31"/>
    </x:row>
    <x:row r="209">
      <x:c r="A209" s="79"/>
      <x:c r="B209" s="31"/>
      <x:c r="C209" s="31"/>
      <x:c r="D209" s="31"/>
      <x:c r="E209" s="31"/>
      <x:c r="F209" s="31"/>
      <x:c r="G209" s="31"/>
      <x:c r="H209" s="31"/>
      <x:c r="I209" s="31"/>
      <x:c r="J209" s="32"/>
      <x:c r="K209" s="32"/>
      <x:c r="L209" s="32"/>
      <x:c r="M209" s="32"/>
      <x:c r="N209" s="31"/>
      <x:c r="O209" s="31"/>
      <x:c r="P209" s="31"/>
      <x:c r="Q209" s="32"/>
      <x:c r="R209" s="31"/>
      <x:c r="S209" s="31"/>
      <x:c r="T209" s="31"/>
      <x:c r="U209" s="31"/>
      <x:c r="V209" s="32"/>
      <x:c r="W209" s="31"/>
      <x:c r="X209" s="32"/>
      <x:c r="Y209" s="31"/>
    </x:row>
    <x:row r="210">
      <x:c r="A210" s="79"/>
      <x:c r="B210" s="31"/>
      <x:c r="C210" s="31"/>
      <x:c r="D210" s="31"/>
      <x:c r="E210" s="31"/>
      <x:c r="F210" s="31"/>
      <x:c r="G210" s="31"/>
      <x:c r="H210" s="31"/>
      <x:c r="I210" s="31"/>
      <x:c r="J210" s="32"/>
      <x:c r="K210" s="32"/>
      <x:c r="L210" s="32"/>
      <x:c r="M210" s="32"/>
      <x:c r="N210" s="31"/>
      <x:c r="O210" s="31"/>
      <x:c r="P210" s="31"/>
      <x:c r="Q210" s="32"/>
      <x:c r="R210" s="31"/>
      <x:c r="S210" s="31"/>
      <x:c r="T210" s="31"/>
      <x:c r="U210" s="31"/>
      <x:c r="V210" s="32"/>
      <x:c r="W210" s="31"/>
      <x:c r="X210" s="32"/>
      <x:c r="Y210" s="31"/>
    </x:row>
    <x:row r="211">
      <x:c r="A211" s="79"/>
      <x:c r="B211" s="31"/>
      <x:c r="C211" s="31"/>
      <x:c r="D211" s="31"/>
      <x:c r="E211" s="31"/>
      <x:c r="F211" s="31"/>
      <x:c r="G211" s="31"/>
      <x:c r="H211" s="31"/>
      <x:c r="I211" s="31"/>
      <x:c r="J211" s="32"/>
      <x:c r="K211" s="32"/>
      <x:c r="L211" s="32"/>
      <x:c r="M211" s="32"/>
      <x:c r="N211" s="31"/>
      <x:c r="O211" s="31"/>
      <x:c r="P211" s="31"/>
      <x:c r="Q211" s="32"/>
      <x:c r="R211" s="31"/>
      <x:c r="S211" s="31"/>
      <x:c r="T211" s="31"/>
      <x:c r="U211" s="31"/>
      <x:c r="V211" s="32"/>
      <x:c r="W211" s="31"/>
      <x:c r="X211" s="32"/>
      <x:c r="Y211" s="31"/>
    </x:row>
    <x:row r="212">
      <x:c r="A212" s="79"/>
      <x:c r="B212" s="31"/>
      <x:c r="C212" s="31"/>
      <x:c r="D212" s="31"/>
      <x:c r="E212" s="31"/>
      <x:c r="F212" s="31"/>
      <x:c r="G212" s="31"/>
      <x:c r="H212" s="31"/>
      <x:c r="I212" s="31"/>
      <x:c r="J212" s="32"/>
      <x:c r="K212" s="32"/>
      <x:c r="L212" s="32"/>
      <x:c r="M212" s="32"/>
      <x:c r="N212" s="31"/>
      <x:c r="O212" s="31"/>
      <x:c r="P212" s="31"/>
      <x:c r="Q212" s="32"/>
      <x:c r="R212" s="31"/>
      <x:c r="S212" s="31"/>
      <x:c r="T212" s="31"/>
      <x:c r="U212" s="31"/>
      <x:c r="V212" s="32"/>
      <x:c r="W212" s="31"/>
      <x:c r="X212" s="32"/>
      <x:c r="Y212" s="31"/>
    </x:row>
    <x:row r="213">
      <x:c r="A213" s="79"/>
      <x:c r="B213" s="31"/>
      <x:c r="C213" s="31"/>
      <x:c r="D213" s="31"/>
      <x:c r="E213" s="31"/>
      <x:c r="F213" s="31"/>
      <x:c r="G213" s="31"/>
      <x:c r="H213" s="31"/>
      <x:c r="I213" s="31"/>
      <x:c r="J213" s="32"/>
      <x:c r="K213" s="32"/>
      <x:c r="L213" s="32"/>
      <x:c r="M213" s="32"/>
      <x:c r="N213" s="31"/>
      <x:c r="O213" s="31"/>
      <x:c r="P213" s="31"/>
      <x:c r="Q213" s="32"/>
      <x:c r="R213" s="31"/>
      <x:c r="S213" s="31"/>
      <x:c r="T213" s="31"/>
      <x:c r="U213" s="31"/>
      <x:c r="V213" s="32"/>
      <x:c r="W213" s="31"/>
      <x:c r="X213" s="32"/>
      <x:c r="Y213" s="31"/>
    </x:row>
    <x:row r="214">
      <x:c r="A214" s="79"/>
      <x:c r="B214" s="31"/>
      <x:c r="C214" s="31"/>
      <x:c r="D214" s="31"/>
      <x:c r="E214" s="31"/>
      <x:c r="F214" s="31"/>
      <x:c r="G214" s="31"/>
      <x:c r="H214" s="31"/>
      <x:c r="I214" s="31"/>
      <x:c r="J214" s="32"/>
      <x:c r="K214" s="32"/>
      <x:c r="L214" s="32"/>
      <x:c r="M214" s="32"/>
      <x:c r="N214" s="31"/>
      <x:c r="O214" s="31"/>
      <x:c r="P214" s="31"/>
      <x:c r="Q214" s="32"/>
      <x:c r="R214" s="31"/>
      <x:c r="S214" s="31"/>
      <x:c r="T214" s="31"/>
      <x:c r="U214" s="31"/>
      <x:c r="V214" s="32"/>
      <x:c r="W214" s="31"/>
      <x:c r="X214" s="32"/>
      <x:c r="Y214" s="31"/>
    </x:row>
    <x:row r="215">
      <x:c r="A215" s="79"/>
      <x:c r="B215" s="31"/>
      <x:c r="C215" s="31"/>
      <x:c r="D215" s="31"/>
      <x:c r="E215" s="31"/>
      <x:c r="F215" s="31"/>
      <x:c r="G215" s="31"/>
      <x:c r="H215" s="31"/>
      <x:c r="I215" s="31"/>
      <x:c r="J215" s="32"/>
      <x:c r="K215" s="32"/>
      <x:c r="L215" s="32"/>
      <x:c r="M215" s="32"/>
      <x:c r="N215" s="31"/>
      <x:c r="O215" s="31"/>
      <x:c r="P215" s="31"/>
      <x:c r="Q215" s="32"/>
      <x:c r="R215" s="31"/>
      <x:c r="S215" s="31"/>
      <x:c r="T215" s="31"/>
      <x:c r="U215" s="31"/>
      <x:c r="V215" s="32"/>
      <x:c r="W215" s="31"/>
      <x:c r="X215" s="32"/>
      <x:c r="Y215" s="31"/>
    </x:row>
    <x:row r="216">
      <x:c r="A216" s="79"/>
      <x:c r="B216" s="31"/>
      <x:c r="C216" s="31"/>
      <x:c r="D216" s="31"/>
      <x:c r="E216" s="31"/>
      <x:c r="F216" s="31"/>
      <x:c r="G216" s="31"/>
      <x:c r="H216" s="31"/>
      <x:c r="I216" s="31"/>
      <x:c r="J216" s="32"/>
      <x:c r="K216" s="32"/>
      <x:c r="L216" s="32"/>
      <x:c r="M216" s="32"/>
      <x:c r="N216" s="31"/>
      <x:c r="O216" s="31"/>
      <x:c r="P216" s="31"/>
      <x:c r="Q216" s="32"/>
      <x:c r="R216" s="31"/>
      <x:c r="S216" s="31"/>
      <x:c r="T216" s="31"/>
      <x:c r="U216" s="31"/>
      <x:c r="V216" s="32"/>
      <x:c r="W216" s="31"/>
      <x:c r="X216" s="32"/>
      <x:c r="Y216" s="31"/>
    </x:row>
    <x:row r="217">
      <x:c r="A217" s="79"/>
      <x:c r="B217" s="31"/>
      <x:c r="C217" s="31"/>
      <x:c r="D217" s="31"/>
      <x:c r="E217" s="31"/>
      <x:c r="F217" s="31"/>
      <x:c r="G217" s="31"/>
      <x:c r="H217" s="31"/>
      <x:c r="I217" s="31"/>
      <x:c r="J217" s="32"/>
      <x:c r="K217" s="32"/>
      <x:c r="L217" s="32"/>
      <x:c r="M217" s="32"/>
      <x:c r="N217" s="31"/>
      <x:c r="O217" s="31"/>
      <x:c r="P217" s="31"/>
      <x:c r="Q217" s="32"/>
      <x:c r="R217" s="31"/>
      <x:c r="S217" s="31"/>
      <x:c r="T217" s="31"/>
      <x:c r="U217" s="31"/>
      <x:c r="V217" s="32"/>
      <x:c r="W217" s="31"/>
      <x:c r="X217" s="32"/>
      <x:c r="Y217" s="31"/>
    </x:row>
    <x:row r="218">
      <x:c r="A218" s="79"/>
      <x:c r="B218" s="31"/>
      <x:c r="C218" s="31"/>
      <x:c r="D218" s="31"/>
      <x:c r="E218" s="31"/>
      <x:c r="F218" s="31"/>
      <x:c r="G218" s="31"/>
      <x:c r="H218" s="31"/>
      <x:c r="I218" s="31"/>
      <x:c r="J218" s="32"/>
      <x:c r="K218" s="32"/>
      <x:c r="L218" s="32"/>
      <x:c r="M218" s="32"/>
      <x:c r="N218" s="31"/>
      <x:c r="O218" s="31"/>
      <x:c r="P218" s="31"/>
      <x:c r="Q218" s="32"/>
      <x:c r="R218" s="31"/>
      <x:c r="S218" s="31"/>
      <x:c r="T218" s="31"/>
      <x:c r="U218" s="31"/>
      <x:c r="V218" s="32"/>
      <x:c r="W218" s="31"/>
      <x:c r="X218" s="32"/>
      <x:c r="Y218" s="31"/>
    </x:row>
    <x:row r="219">
      <x:c r="A219" s="79"/>
      <x:c r="B219" s="31"/>
      <x:c r="C219" s="31"/>
      <x:c r="D219" s="31"/>
      <x:c r="E219" s="31"/>
      <x:c r="F219" s="31"/>
      <x:c r="G219" s="31"/>
      <x:c r="H219" s="31"/>
      <x:c r="I219" s="31"/>
      <x:c r="J219" s="32"/>
      <x:c r="K219" s="32"/>
      <x:c r="L219" s="32"/>
      <x:c r="M219" s="32"/>
      <x:c r="N219" s="31"/>
      <x:c r="O219" s="31"/>
      <x:c r="P219" s="31"/>
      <x:c r="Q219" s="32"/>
      <x:c r="R219" s="31"/>
      <x:c r="S219" s="31"/>
      <x:c r="T219" s="31"/>
      <x:c r="U219" s="31"/>
      <x:c r="V219" s="32"/>
      <x:c r="W219" s="31"/>
      <x:c r="X219" s="32"/>
      <x:c r="Y219" s="31"/>
    </x:row>
    <x:row r="220">
      <x:c r="A220" s="79"/>
      <x:c r="B220" s="31"/>
      <x:c r="C220" s="31"/>
      <x:c r="D220" s="31"/>
      <x:c r="E220" s="31"/>
      <x:c r="F220" s="31"/>
      <x:c r="G220" s="31"/>
      <x:c r="H220" s="31"/>
      <x:c r="I220" s="31"/>
      <x:c r="J220" s="32"/>
      <x:c r="K220" s="32"/>
      <x:c r="L220" s="32"/>
      <x:c r="M220" s="32"/>
      <x:c r="N220" s="31"/>
      <x:c r="O220" s="31"/>
      <x:c r="P220" s="31"/>
      <x:c r="Q220" s="32"/>
      <x:c r="R220" s="31"/>
      <x:c r="S220" s="31"/>
      <x:c r="T220" s="31"/>
      <x:c r="U220" s="31"/>
      <x:c r="V220" s="32"/>
      <x:c r="W220" s="31"/>
      <x:c r="X220" s="32"/>
      <x:c r="Y220" s="31"/>
    </x:row>
    <x:row r="221">
      <x:c r="A221" s="79"/>
      <x:c r="B221" s="31"/>
      <x:c r="C221" s="31"/>
      <x:c r="D221" s="31"/>
      <x:c r="E221" s="31"/>
      <x:c r="F221" s="31"/>
      <x:c r="G221" s="31"/>
      <x:c r="H221" s="31"/>
      <x:c r="I221" s="31"/>
      <x:c r="J221" s="32"/>
      <x:c r="K221" s="32"/>
      <x:c r="L221" s="32"/>
      <x:c r="M221" s="32"/>
      <x:c r="N221" s="31"/>
      <x:c r="O221" s="31"/>
      <x:c r="P221" s="31"/>
      <x:c r="Q221" s="32"/>
      <x:c r="R221" s="31"/>
      <x:c r="S221" s="31"/>
      <x:c r="T221" s="31"/>
      <x:c r="U221" s="31"/>
      <x:c r="V221" s="32"/>
      <x:c r="W221" s="31"/>
      <x:c r="X221" s="32"/>
      <x:c r="Y221" s="31"/>
    </x:row>
    <x:row r="222">
      <x:c r="A222" s="79"/>
      <x:c r="B222" s="31"/>
      <x:c r="C222" s="31"/>
      <x:c r="D222" s="31"/>
      <x:c r="E222" s="31"/>
      <x:c r="F222" s="31"/>
      <x:c r="G222" s="31"/>
      <x:c r="H222" s="31"/>
      <x:c r="I222" s="31"/>
      <x:c r="J222" s="32"/>
      <x:c r="K222" s="32"/>
      <x:c r="L222" s="32"/>
      <x:c r="M222" s="32"/>
      <x:c r="N222" s="31"/>
      <x:c r="O222" s="31"/>
      <x:c r="P222" s="31"/>
      <x:c r="Q222" s="32"/>
      <x:c r="R222" s="31"/>
      <x:c r="S222" s="31"/>
      <x:c r="T222" s="31"/>
      <x:c r="U222" s="31"/>
      <x:c r="V222" s="32"/>
      <x:c r="W222" s="31"/>
      <x:c r="X222" s="32"/>
      <x:c r="Y222" s="31"/>
    </x:row>
    <x:row r="223">
      <x:c r="A223" s="79"/>
      <x:c r="B223" s="31"/>
      <x:c r="C223" s="31"/>
      <x:c r="D223" s="31"/>
      <x:c r="E223" s="31"/>
      <x:c r="F223" s="31"/>
      <x:c r="G223" s="31"/>
      <x:c r="H223" s="31"/>
      <x:c r="I223" s="31"/>
      <x:c r="J223" s="32"/>
      <x:c r="K223" s="32"/>
      <x:c r="L223" s="32"/>
      <x:c r="M223" s="32"/>
      <x:c r="N223" s="31"/>
      <x:c r="O223" s="31"/>
      <x:c r="P223" s="31"/>
      <x:c r="Q223" s="32"/>
      <x:c r="R223" s="31"/>
      <x:c r="S223" s="31"/>
      <x:c r="T223" s="31"/>
      <x:c r="U223" s="31"/>
      <x:c r="V223" s="32"/>
      <x:c r="W223" s="31"/>
      <x:c r="X223" s="32"/>
      <x:c r="Y223" s="31"/>
    </x:row>
    <x:row r="224">
      <x:c r="A224" s="79"/>
      <x:c r="B224" s="31"/>
      <x:c r="C224" s="31"/>
      <x:c r="D224" s="31"/>
      <x:c r="E224" s="31"/>
      <x:c r="F224" s="31"/>
      <x:c r="G224" s="31"/>
      <x:c r="H224" s="31"/>
      <x:c r="I224" s="31"/>
      <x:c r="J224" s="32"/>
      <x:c r="K224" s="32"/>
      <x:c r="L224" s="32"/>
      <x:c r="M224" s="32"/>
      <x:c r="N224" s="31"/>
      <x:c r="O224" s="31"/>
      <x:c r="P224" s="31"/>
      <x:c r="Q224" s="32"/>
      <x:c r="R224" s="31"/>
      <x:c r="S224" s="31"/>
      <x:c r="T224" s="31"/>
      <x:c r="U224" s="31"/>
      <x:c r="V224" s="32"/>
      <x:c r="W224" s="31"/>
      <x:c r="X224" s="32"/>
      <x:c r="Y224" s="31"/>
    </x:row>
    <x:row r="225">
      <x:c r="A225" s="79"/>
      <x:c r="B225" s="31"/>
      <x:c r="C225" s="31"/>
      <x:c r="D225" s="31"/>
      <x:c r="E225" s="31"/>
      <x:c r="F225" s="31"/>
      <x:c r="G225" s="31"/>
      <x:c r="H225" s="31"/>
      <x:c r="I225" s="31"/>
      <x:c r="J225" s="32"/>
      <x:c r="K225" s="32"/>
      <x:c r="L225" s="32"/>
      <x:c r="M225" s="32"/>
      <x:c r="N225" s="31"/>
      <x:c r="O225" s="31"/>
      <x:c r="P225" s="31"/>
      <x:c r="Q225" s="32"/>
      <x:c r="R225" s="31"/>
      <x:c r="S225" s="31"/>
      <x:c r="T225" s="31"/>
      <x:c r="U225" s="31"/>
      <x:c r="V225" s="32"/>
      <x:c r="W225" s="31"/>
      <x:c r="X225" s="32"/>
      <x:c r="Y225" s="31"/>
    </x:row>
    <x:row r="226">
      <x:c r="A226" s="79"/>
      <x:c r="B226" s="31"/>
      <x:c r="C226" s="31"/>
      <x:c r="D226" s="31"/>
      <x:c r="E226" s="31"/>
      <x:c r="F226" s="31"/>
      <x:c r="G226" s="31"/>
      <x:c r="H226" s="31"/>
      <x:c r="I226" s="31"/>
      <x:c r="J226" s="32"/>
      <x:c r="K226" s="32"/>
      <x:c r="L226" s="32"/>
      <x:c r="M226" s="32"/>
      <x:c r="N226" s="31"/>
      <x:c r="O226" s="31"/>
      <x:c r="P226" s="31"/>
      <x:c r="Q226" s="32"/>
      <x:c r="R226" s="31"/>
      <x:c r="S226" s="31"/>
      <x:c r="T226" s="31"/>
      <x:c r="U226" s="31"/>
      <x:c r="V226" s="32"/>
      <x:c r="W226" s="31"/>
      <x:c r="X226" s="32"/>
      <x:c r="Y226" s="31"/>
    </x:row>
    <x:row r="227">
      <x:c r="A227" s="79"/>
      <x:c r="B227" s="31"/>
      <x:c r="C227" s="31"/>
      <x:c r="D227" s="31"/>
      <x:c r="E227" s="31"/>
      <x:c r="F227" s="31"/>
      <x:c r="G227" s="31"/>
      <x:c r="H227" s="31"/>
      <x:c r="I227" s="31"/>
      <x:c r="J227" s="32"/>
      <x:c r="K227" s="32"/>
      <x:c r="L227" s="32"/>
      <x:c r="M227" s="32"/>
      <x:c r="N227" s="31"/>
      <x:c r="O227" s="31"/>
      <x:c r="P227" s="31"/>
      <x:c r="Q227" s="32"/>
      <x:c r="R227" s="31"/>
      <x:c r="S227" s="31"/>
      <x:c r="T227" s="31"/>
      <x:c r="U227" s="31"/>
      <x:c r="V227" s="32"/>
      <x:c r="W227" s="31"/>
      <x:c r="X227" s="32"/>
      <x:c r="Y227" s="31"/>
    </x:row>
    <x:row r="228">
      <x:c r="A228" s="79"/>
      <x:c r="B228" s="31"/>
      <x:c r="C228" s="31"/>
      <x:c r="D228" s="31"/>
      <x:c r="E228" s="31"/>
      <x:c r="F228" s="31"/>
      <x:c r="G228" s="31"/>
      <x:c r="H228" s="31"/>
      <x:c r="I228" s="31"/>
      <x:c r="J228" s="32"/>
      <x:c r="K228" s="32"/>
      <x:c r="L228" s="32"/>
      <x:c r="M228" s="32"/>
      <x:c r="N228" s="31"/>
      <x:c r="O228" s="31"/>
      <x:c r="P228" s="31"/>
      <x:c r="Q228" s="32"/>
      <x:c r="R228" s="31"/>
      <x:c r="S228" s="31"/>
      <x:c r="T228" s="31"/>
      <x:c r="U228" s="31"/>
      <x:c r="V228" s="32"/>
      <x:c r="W228" s="31"/>
      <x:c r="X228" s="32"/>
      <x:c r="Y228" s="31"/>
    </x:row>
    <x:row r="229">
      <x:c r="A229" s="79"/>
      <x:c r="B229" s="31"/>
      <x:c r="C229" s="31"/>
      <x:c r="D229" s="31"/>
      <x:c r="E229" s="31"/>
      <x:c r="F229" s="31"/>
      <x:c r="G229" s="31"/>
      <x:c r="H229" s="31"/>
      <x:c r="I229" s="31"/>
      <x:c r="J229" s="32"/>
      <x:c r="K229" s="32"/>
      <x:c r="L229" s="32"/>
      <x:c r="M229" s="32"/>
      <x:c r="N229" s="31"/>
      <x:c r="O229" s="31"/>
      <x:c r="P229" s="31"/>
      <x:c r="Q229" s="32"/>
      <x:c r="R229" s="31"/>
      <x:c r="S229" s="31"/>
      <x:c r="T229" s="31"/>
      <x:c r="U229" s="31"/>
      <x:c r="V229" s="32"/>
      <x:c r="W229" s="31"/>
      <x:c r="X229" s="32"/>
      <x:c r="Y229" s="31"/>
    </x:row>
    <x:row r="230">
      <x:c r="A230" s="79"/>
      <x:c r="B230" s="31"/>
      <x:c r="C230" s="31"/>
      <x:c r="D230" s="31"/>
      <x:c r="E230" s="31"/>
      <x:c r="F230" s="31"/>
      <x:c r="G230" s="31"/>
      <x:c r="H230" s="31"/>
      <x:c r="I230" s="31"/>
      <x:c r="J230" s="32"/>
      <x:c r="K230" s="32"/>
      <x:c r="L230" s="32"/>
      <x:c r="M230" s="32"/>
      <x:c r="N230" s="31"/>
      <x:c r="O230" s="31"/>
      <x:c r="P230" s="31"/>
      <x:c r="Q230" s="32"/>
      <x:c r="R230" s="31"/>
      <x:c r="S230" s="31"/>
      <x:c r="T230" s="31"/>
      <x:c r="U230" s="31"/>
      <x:c r="V230" s="32"/>
      <x:c r="W230" s="31"/>
      <x:c r="X230" s="32"/>
      <x:c r="Y230" s="31"/>
    </x:row>
    <x:row r="231">
      <x:c r="A231" s="79"/>
      <x:c r="B231" s="31"/>
      <x:c r="C231" s="31"/>
      <x:c r="D231" s="31"/>
      <x:c r="E231" s="31"/>
      <x:c r="F231" s="31"/>
      <x:c r="G231" s="31"/>
      <x:c r="H231" s="31"/>
      <x:c r="I231" s="31"/>
      <x:c r="J231" s="32"/>
      <x:c r="K231" s="32"/>
      <x:c r="L231" s="32"/>
      <x:c r="M231" s="32"/>
      <x:c r="N231" s="31"/>
      <x:c r="O231" s="31"/>
      <x:c r="P231" s="31"/>
      <x:c r="Q231" s="32"/>
      <x:c r="R231" s="31"/>
      <x:c r="S231" s="31"/>
      <x:c r="T231" s="31"/>
      <x:c r="U231" s="31"/>
      <x:c r="V231" s="32"/>
      <x:c r="W231" s="31"/>
      <x:c r="X231" s="32"/>
      <x:c r="Y231" s="31"/>
    </x:row>
    <x:row r="232">
      <x:c r="A232" s="79"/>
      <x:c r="B232" s="31"/>
      <x:c r="C232" s="31"/>
      <x:c r="D232" s="31"/>
      <x:c r="E232" s="31"/>
      <x:c r="F232" s="31"/>
      <x:c r="G232" s="31"/>
      <x:c r="H232" s="31"/>
      <x:c r="I232" s="31"/>
      <x:c r="J232" s="32"/>
      <x:c r="K232" s="32"/>
      <x:c r="L232" s="32"/>
      <x:c r="M232" s="32"/>
      <x:c r="N232" s="31"/>
      <x:c r="O232" s="31"/>
      <x:c r="P232" s="31"/>
      <x:c r="Q232" s="32"/>
      <x:c r="R232" s="31"/>
      <x:c r="S232" s="31"/>
      <x:c r="T232" s="31"/>
      <x:c r="U232" s="31"/>
      <x:c r="V232" s="32"/>
      <x:c r="W232" s="31"/>
      <x:c r="X232" s="32"/>
      <x:c r="Y232" s="31"/>
    </x:row>
    <x:row r="233">
      <x:c r="A233" s="79"/>
      <x:c r="B233" s="31"/>
      <x:c r="C233" s="31"/>
      <x:c r="D233" s="31"/>
      <x:c r="E233" s="31"/>
      <x:c r="F233" s="31"/>
      <x:c r="G233" s="31"/>
      <x:c r="H233" s="31"/>
      <x:c r="I233" s="31"/>
      <x:c r="J233" s="32"/>
      <x:c r="K233" s="32"/>
      <x:c r="L233" s="32"/>
      <x:c r="M233" s="32"/>
      <x:c r="N233" s="31"/>
      <x:c r="O233" s="31"/>
      <x:c r="P233" s="31"/>
      <x:c r="Q233" s="32"/>
      <x:c r="R233" s="31"/>
      <x:c r="S233" s="31"/>
      <x:c r="T233" s="31"/>
      <x:c r="U233" s="31"/>
      <x:c r="V233" s="32"/>
      <x:c r="W233" s="31"/>
      <x:c r="X233" s="32"/>
      <x:c r="Y233" s="31"/>
    </x:row>
    <x:row r="234">
      <x:c r="A234" s="79"/>
      <x:c r="B234" s="31"/>
      <x:c r="C234" s="31"/>
      <x:c r="D234" s="31"/>
      <x:c r="E234" s="31"/>
      <x:c r="F234" s="31"/>
      <x:c r="G234" s="31"/>
      <x:c r="H234" s="31"/>
      <x:c r="I234" s="31"/>
      <x:c r="J234" s="32"/>
      <x:c r="K234" s="32"/>
      <x:c r="L234" s="32"/>
      <x:c r="M234" s="32"/>
      <x:c r="N234" s="31"/>
      <x:c r="O234" s="31"/>
      <x:c r="P234" s="31"/>
      <x:c r="Q234" s="32"/>
      <x:c r="R234" s="31"/>
      <x:c r="S234" s="31"/>
      <x:c r="T234" s="31"/>
      <x:c r="U234" s="31"/>
      <x:c r="V234" s="32"/>
      <x:c r="W234" s="31"/>
      <x:c r="X234" s="32"/>
      <x:c r="Y234" s="31"/>
    </x:row>
    <x:row r="235">
      <x:c r="A235" s="79"/>
      <x:c r="B235" s="31"/>
      <x:c r="C235" s="31"/>
      <x:c r="D235" s="31"/>
      <x:c r="E235" s="31"/>
      <x:c r="F235" s="31"/>
      <x:c r="G235" s="31"/>
      <x:c r="H235" s="31"/>
      <x:c r="I235" s="31"/>
      <x:c r="J235" s="32"/>
      <x:c r="K235" s="32"/>
      <x:c r="L235" s="32"/>
      <x:c r="M235" s="32"/>
      <x:c r="N235" s="31"/>
      <x:c r="O235" s="31"/>
      <x:c r="P235" s="31"/>
      <x:c r="Q235" s="32"/>
      <x:c r="R235" s="31"/>
      <x:c r="S235" s="31"/>
      <x:c r="T235" s="31"/>
      <x:c r="U235" s="31"/>
      <x:c r="V235" s="32"/>
      <x:c r="W235" s="31"/>
      <x:c r="X235" s="32"/>
      <x:c r="Y235" s="31"/>
    </x:row>
    <x:row r="236">
      <x:c r="A236" s="79"/>
      <x:c r="B236" s="31"/>
      <x:c r="C236" s="31"/>
      <x:c r="D236" s="31"/>
      <x:c r="E236" s="31"/>
      <x:c r="F236" s="31"/>
      <x:c r="G236" s="31"/>
      <x:c r="H236" s="31"/>
      <x:c r="I236" s="31"/>
      <x:c r="J236" s="32"/>
      <x:c r="K236" s="32"/>
      <x:c r="L236" s="32"/>
      <x:c r="M236" s="32"/>
      <x:c r="N236" s="31"/>
      <x:c r="O236" s="31"/>
      <x:c r="P236" s="31"/>
      <x:c r="Q236" s="32"/>
      <x:c r="R236" s="31"/>
      <x:c r="S236" s="31"/>
      <x:c r="T236" s="31"/>
      <x:c r="U236" s="31"/>
      <x:c r="V236" s="32"/>
      <x:c r="W236" s="31"/>
      <x:c r="X236" s="32"/>
      <x:c r="Y236" s="31"/>
    </x:row>
    <x:row r="237">
      <x:c r="A237" s="79"/>
      <x:c r="B237" s="31"/>
      <x:c r="C237" s="31"/>
      <x:c r="D237" s="31"/>
      <x:c r="E237" s="31"/>
      <x:c r="F237" s="31"/>
      <x:c r="G237" s="31"/>
      <x:c r="H237" s="31"/>
      <x:c r="I237" s="31"/>
      <x:c r="J237" s="32"/>
      <x:c r="K237" s="32"/>
      <x:c r="L237" s="32"/>
      <x:c r="M237" s="32"/>
      <x:c r="N237" s="31"/>
      <x:c r="O237" s="31"/>
      <x:c r="P237" s="31"/>
      <x:c r="Q237" s="32"/>
      <x:c r="R237" s="31"/>
      <x:c r="S237" s="31"/>
      <x:c r="T237" s="31"/>
      <x:c r="U237" s="31"/>
      <x:c r="V237" s="32"/>
      <x:c r="W237" s="31"/>
      <x:c r="X237" s="32"/>
      <x:c r="Y237" s="31"/>
    </x:row>
    <x:row r="238">
      <x:c r="A238" s="79"/>
      <x:c r="B238" s="31"/>
      <x:c r="C238" s="31"/>
      <x:c r="D238" s="31"/>
      <x:c r="E238" s="31"/>
      <x:c r="F238" s="31"/>
      <x:c r="G238" s="31"/>
      <x:c r="H238" s="31"/>
      <x:c r="I238" s="31"/>
      <x:c r="J238" s="32"/>
      <x:c r="K238" s="32"/>
      <x:c r="L238" s="32"/>
      <x:c r="M238" s="32"/>
      <x:c r="N238" s="31"/>
      <x:c r="O238" s="31"/>
      <x:c r="P238" s="31"/>
      <x:c r="Q238" s="32"/>
      <x:c r="R238" s="31"/>
      <x:c r="S238" s="31"/>
      <x:c r="T238" s="31"/>
      <x:c r="U238" s="31"/>
      <x:c r="V238" s="32"/>
      <x:c r="W238" s="31"/>
      <x:c r="X238" s="32"/>
      <x:c r="Y238" s="31"/>
    </x:row>
    <x:row r="239">
      <x:c r="A239" s="79"/>
      <x:c r="B239" s="31"/>
      <x:c r="C239" s="31"/>
      <x:c r="D239" s="31"/>
      <x:c r="E239" s="31"/>
      <x:c r="F239" s="31"/>
      <x:c r="G239" s="31"/>
      <x:c r="H239" s="31"/>
      <x:c r="I239" s="31"/>
      <x:c r="J239" s="32"/>
      <x:c r="K239" s="32"/>
      <x:c r="L239" s="32"/>
      <x:c r="M239" s="32"/>
      <x:c r="N239" s="31"/>
      <x:c r="O239" s="31"/>
      <x:c r="P239" s="31"/>
      <x:c r="Q239" s="32"/>
      <x:c r="R239" s="31"/>
      <x:c r="S239" s="31"/>
      <x:c r="T239" s="31"/>
      <x:c r="U239" s="31"/>
      <x:c r="V239" s="32"/>
      <x:c r="W239" s="31"/>
      <x:c r="X239" s="32"/>
      <x:c r="Y239" s="31"/>
    </x:row>
    <x:row r="240">
      <x:c r="A240" s="79"/>
      <x:c r="B240" s="31"/>
      <x:c r="C240" s="31"/>
      <x:c r="D240" s="31"/>
      <x:c r="E240" s="31"/>
      <x:c r="F240" s="31"/>
      <x:c r="G240" s="31"/>
      <x:c r="H240" s="31"/>
      <x:c r="I240" s="31"/>
      <x:c r="J240" s="32"/>
      <x:c r="K240" s="32"/>
      <x:c r="L240" s="32"/>
      <x:c r="M240" s="32"/>
      <x:c r="N240" s="31"/>
      <x:c r="O240" s="31"/>
      <x:c r="P240" s="31"/>
      <x:c r="Q240" s="32"/>
      <x:c r="R240" s="31"/>
      <x:c r="S240" s="31"/>
      <x:c r="T240" s="31"/>
      <x:c r="U240" s="31"/>
      <x:c r="V240" s="32"/>
      <x:c r="W240" s="31"/>
      <x:c r="X240" s="32"/>
      <x:c r="Y240" s="31"/>
    </x:row>
    <x:row r="241">
      <x:c r="A241" s="79"/>
      <x:c r="B241" s="31"/>
      <x:c r="C241" s="31"/>
      <x:c r="D241" s="31"/>
      <x:c r="E241" s="31"/>
      <x:c r="F241" s="31"/>
      <x:c r="G241" s="31"/>
      <x:c r="H241" s="31"/>
      <x:c r="I241" s="31"/>
      <x:c r="J241" s="32"/>
      <x:c r="K241" s="32"/>
      <x:c r="L241" s="32"/>
      <x:c r="M241" s="32"/>
      <x:c r="N241" s="31"/>
      <x:c r="O241" s="31"/>
      <x:c r="P241" s="31"/>
      <x:c r="Q241" s="32"/>
      <x:c r="R241" s="31"/>
      <x:c r="S241" s="31"/>
      <x:c r="T241" s="31"/>
      <x:c r="U241" s="31"/>
      <x:c r="V241" s="32"/>
      <x:c r="W241" s="31"/>
      <x:c r="X241" s="32"/>
      <x:c r="Y241" s="31"/>
    </x:row>
    <x:row r="242">
      <x:c r="A242" s="79"/>
      <x:c r="B242" s="31"/>
      <x:c r="C242" s="31"/>
      <x:c r="D242" s="31"/>
      <x:c r="E242" s="31"/>
      <x:c r="F242" s="31"/>
      <x:c r="G242" s="31"/>
      <x:c r="H242" s="31"/>
      <x:c r="I242" s="31"/>
      <x:c r="J242" s="32"/>
      <x:c r="K242" s="32"/>
      <x:c r="L242" s="32"/>
      <x:c r="M242" s="32"/>
      <x:c r="N242" s="31"/>
      <x:c r="O242" s="31"/>
      <x:c r="P242" s="31"/>
      <x:c r="Q242" s="32"/>
      <x:c r="R242" s="31"/>
      <x:c r="S242" s="31"/>
      <x:c r="T242" s="31"/>
      <x:c r="U242" s="31"/>
      <x:c r="V242" s="32"/>
      <x:c r="W242" s="31"/>
      <x:c r="X242" s="32"/>
      <x:c r="Y242" s="31"/>
    </x:row>
    <x:row r="243">
      <x:c r="A243" s="79"/>
      <x:c r="B243" s="31"/>
      <x:c r="C243" s="31"/>
      <x:c r="D243" s="31"/>
      <x:c r="E243" s="31"/>
      <x:c r="F243" s="31"/>
      <x:c r="G243" s="31"/>
      <x:c r="H243" s="31"/>
      <x:c r="I243" s="31"/>
      <x:c r="J243" s="32"/>
      <x:c r="K243" s="32"/>
      <x:c r="L243" s="32"/>
      <x:c r="M243" s="32"/>
      <x:c r="N243" s="31"/>
      <x:c r="O243" s="31"/>
      <x:c r="P243" s="31"/>
      <x:c r="Q243" s="32"/>
      <x:c r="R243" s="31"/>
      <x:c r="S243" s="31"/>
      <x:c r="T243" s="31"/>
      <x:c r="U243" s="31"/>
      <x:c r="V243" s="32"/>
      <x:c r="W243" s="31"/>
      <x:c r="X243" s="32"/>
      <x:c r="Y243" s="31"/>
    </x:row>
    <x:row r="244">
      <x:c r="A244" s="79"/>
      <x:c r="B244" s="31"/>
      <x:c r="C244" s="31"/>
      <x:c r="D244" s="31"/>
      <x:c r="E244" s="31"/>
      <x:c r="F244" s="31"/>
      <x:c r="G244" s="31"/>
      <x:c r="H244" s="31"/>
      <x:c r="I244" s="31"/>
      <x:c r="J244" s="32"/>
      <x:c r="K244" s="32"/>
      <x:c r="L244" s="32"/>
      <x:c r="M244" s="32"/>
      <x:c r="N244" s="31"/>
      <x:c r="O244" s="31"/>
      <x:c r="P244" s="31"/>
      <x:c r="Q244" s="32"/>
      <x:c r="R244" s="31"/>
      <x:c r="S244" s="31"/>
      <x:c r="T244" s="31"/>
      <x:c r="U244" s="31"/>
      <x:c r="V244" s="32"/>
      <x:c r="W244" s="31"/>
      <x:c r="X244" s="32"/>
      <x:c r="Y244" s="31"/>
    </x:row>
    <x:row r="245">
      <x:c r="A245" s="79"/>
      <x:c r="B245" s="31"/>
      <x:c r="C245" s="31"/>
      <x:c r="D245" s="31"/>
      <x:c r="E245" s="31"/>
      <x:c r="F245" s="31"/>
      <x:c r="G245" s="31"/>
      <x:c r="H245" s="31"/>
      <x:c r="I245" s="31"/>
      <x:c r="J245" s="32"/>
      <x:c r="K245" s="32"/>
      <x:c r="L245" s="32"/>
      <x:c r="M245" s="32"/>
      <x:c r="N245" s="31"/>
      <x:c r="O245" s="31"/>
      <x:c r="P245" s="31"/>
      <x:c r="Q245" s="32"/>
      <x:c r="R245" s="31"/>
      <x:c r="S245" s="31"/>
      <x:c r="T245" s="31"/>
      <x:c r="U245" s="31"/>
      <x:c r="V245" s="32"/>
      <x:c r="W245" s="31"/>
      <x:c r="X245" s="32"/>
      <x:c r="Y245" s="31"/>
    </x:row>
    <x:row r="246">
      <x:c r="A246" s="79"/>
      <x:c r="B246" s="31"/>
      <x:c r="C246" s="31"/>
      <x:c r="D246" s="31"/>
      <x:c r="E246" s="31"/>
      <x:c r="F246" s="31"/>
      <x:c r="G246" s="31"/>
      <x:c r="H246" s="31"/>
      <x:c r="I246" s="31"/>
      <x:c r="J246" s="32"/>
      <x:c r="K246" s="32"/>
      <x:c r="L246" s="32"/>
      <x:c r="M246" s="32"/>
      <x:c r="N246" s="31"/>
      <x:c r="O246" s="31"/>
      <x:c r="P246" s="31"/>
      <x:c r="Q246" s="32"/>
      <x:c r="R246" s="31"/>
      <x:c r="S246" s="31"/>
      <x:c r="T246" s="31"/>
      <x:c r="U246" s="31"/>
      <x:c r="V246" s="32"/>
      <x:c r="W246" s="31"/>
      <x:c r="X246" s="32"/>
      <x:c r="Y246" s="31"/>
    </x:row>
    <x:row r="247">
      <x:c r="A247" s="79"/>
      <x:c r="B247" s="31"/>
      <x:c r="C247" s="31"/>
      <x:c r="D247" s="31"/>
      <x:c r="E247" s="31"/>
      <x:c r="F247" s="31"/>
      <x:c r="G247" s="31"/>
      <x:c r="H247" s="31"/>
      <x:c r="I247" s="31"/>
      <x:c r="J247" s="32"/>
      <x:c r="K247" s="32"/>
      <x:c r="L247" s="32"/>
      <x:c r="M247" s="32"/>
      <x:c r="N247" s="31"/>
      <x:c r="O247" s="31"/>
      <x:c r="P247" s="31"/>
      <x:c r="Q247" s="32"/>
      <x:c r="R247" s="31"/>
      <x:c r="S247" s="31"/>
      <x:c r="T247" s="31"/>
      <x:c r="U247" s="31"/>
      <x:c r="V247" s="32"/>
      <x:c r="W247" s="31"/>
      <x:c r="X247" s="32"/>
      <x:c r="Y247" s="31"/>
    </x:row>
    <x:row r="248">
      <x:c r="A248" s="79"/>
      <x:c r="B248" s="31"/>
      <x:c r="C248" s="31"/>
      <x:c r="D248" s="31"/>
      <x:c r="E248" s="31"/>
      <x:c r="F248" s="31"/>
      <x:c r="G248" s="31"/>
      <x:c r="H248" s="31"/>
      <x:c r="I248" s="31"/>
      <x:c r="J248" s="32"/>
      <x:c r="K248" s="32"/>
      <x:c r="L248" s="32"/>
      <x:c r="M248" s="32"/>
      <x:c r="N248" s="31"/>
      <x:c r="O248" s="31"/>
      <x:c r="P248" s="31"/>
      <x:c r="Q248" s="32"/>
      <x:c r="R248" s="31"/>
      <x:c r="S248" s="31"/>
      <x:c r="T248" s="31"/>
      <x:c r="U248" s="31"/>
      <x:c r="V248" s="32"/>
      <x:c r="W248" s="31"/>
      <x:c r="X248" s="32"/>
      <x:c r="Y248" s="31"/>
    </x:row>
    <x:row r="249">
      <x:c r="A249" s="79"/>
      <x:c r="B249" s="31"/>
      <x:c r="C249" s="31"/>
      <x:c r="D249" s="31"/>
      <x:c r="E249" s="31"/>
      <x:c r="F249" s="31"/>
      <x:c r="G249" s="31"/>
      <x:c r="H249" s="31"/>
      <x:c r="I249" s="31"/>
      <x:c r="J249" s="32"/>
      <x:c r="K249" s="32"/>
      <x:c r="L249" s="32"/>
      <x:c r="M249" s="32"/>
      <x:c r="N249" s="31"/>
      <x:c r="O249" s="31"/>
      <x:c r="P249" s="31"/>
      <x:c r="Q249" s="32"/>
      <x:c r="R249" s="31"/>
      <x:c r="S249" s="31"/>
      <x:c r="T249" s="31"/>
      <x:c r="U249" s="31"/>
      <x:c r="V249" s="32"/>
      <x:c r="W249" s="31"/>
      <x:c r="X249" s="32"/>
      <x:c r="Y249" s="31"/>
    </x:row>
    <x:row r="250">
      <x:c r="A250" s="79"/>
      <x:c r="B250" s="31"/>
      <x:c r="C250" s="31"/>
      <x:c r="D250" s="31"/>
      <x:c r="E250" s="31"/>
      <x:c r="F250" s="31"/>
      <x:c r="G250" s="31"/>
      <x:c r="H250" s="31"/>
      <x:c r="I250" s="31"/>
      <x:c r="J250" s="32"/>
      <x:c r="K250" s="32"/>
      <x:c r="L250" s="32"/>
      <x:c r="M250" s="32"/>
      <x:c r="N250" s="31"/>
      <x:c r="O250" s="31"/>
      <x:c r="P250" s="31"/>
      <x:c r="Q250" s="32"/>
      <x:c r="R250" s="31"/>
      <x:c r="S250" s="31"/>
      <x:c r="T250" s="31"/>
      <x:c r="U250" s="31"/>
      <x:c r="V250" s="32"/>
      <x:c r="W250" s="31"/>
      <x:c r="X250" s="32"/>
      <x:c r="Y250" s="31"/>
    </x:row>
    <x:row r="251">
      <x:c r="A251" s="79"/>
      <x:c r="B251" s="31"/>
      <x:c r="C251" s="31"/>
      <x:c r="D251" s="31"/>
      <x:c r="E251" s="31"/>
      <x:c r="F251" s="31"/>
      <x:c r="G251" s="31"/>
      <x:c r="H251" s="31"/>
      <x:c r="I251" s="31"/>
      <x:c r="J251" s="32"/>
      <x:c r="K251" s="32"/>
      <x:c r="L251" s="32"/>
      <x:c r="M251" s="32"/>
      <x:c r="N251" s="31"/>
      <x:c r="O251" s="31"/>
      <x:c r="P251" s="31"/>
      <x:c r="Q251" s="32"/>
      <x:c r="R251" s="31"/>
      <x:c r="S251" s="31"/>
      <x:c r="T251" s="31"/>
      <x:c r="U251" s="31"/>
      <x:c r="V251" s="32"/>
      <x:c r="W251" s="31"/>
      <x:c r="X251" s="32"/>
      <x:c r="Y251" s="31"/>
    </x:row>
    <x:row r="252">
      <x:c r="A252" s="79"/>
      <x:c r="B252" s="31"/>
      <x:c r="C252" s="31"/>
      <x:c r="D252" s="31"/>
      <x:c r="E252" s="31"/>
      <x:c r="F252" s="31"/>
      <x:c r="G252" s="31"/>
      <x:c r="H252" s="31"/>
      <x:c r="I252" s="31"/>
      <x:c r="J252" s="32"/>
      <x:c r="K252" s="32"/>
      <x:c r="L252" s="32"/>
      <x:c r="M252" s="32"/>
      <x:c r="N252" s="31"/>
      <x:c r="O252" s="31"/>
      <x:c r="P252" s="31"/>
      <x:c r="Q252" s="32"/>
      <x:c r="R252" s="31"/>
      <x:c r="S252" s="31"/>
      <x:c r="T252" s="31"/>
      <x:c r="U252" s="31"/>
      <x:c r="V252" s="32"/>
      <x:c r="W252" s="31"/>
      <x:c r="X252" s="32"/>
      <x:c r="Y252" s="31"/>
    </x:row>
    <x:row r="253">
      <x:c r="A253" s="79"/>
      <x:c r="B253" s="31"/>
      <x:c r="C253" s="31"/>
      <x:c r="D253" s="31"/>
      <x:c r="E253" s="31"/>
      <x:c r="F253" s="31"/>
      <x:c r="G253" s="31"/>
      <x:c r="H253" s="31"/>
      <x:c r="I253" s="31"/>
      <x:c r="J253" s="32"/>
      <x:c r="K253" s="32"/>
      <x:c r="L253" s="32"/>
      <x:c r="M253" s="32"/>
      <x:c r="N253" s="31"/>
      <x:c r="O253" s="31"/>
      <x:c r="P253" s="31"/>
      <x:c r="Q253" s="32"/>
      <x:c r="R253" s="31"/>
      <x:c r="S253" s="31"/>
      <x:c r="T253" s="31"/>
      <x:c r="U253" s="31"/>
      <x:c r="V253" s="32"/>
      <x:c r="W253" s="31"/>
      <x:c r="X253" s="32"/>
      <x:c r="Y253" s="31"/>
    </x:row>
    <x:row r="254">
      <x:c r="A254" s="79"/>
      <x:c r="B254" s="31"/>
      <x:c r="C254" s="31"/>
      <x:c r="D254" s="31"/>
      <x:c r="E254" s="31"/>
      <x:c r="F254" s="31"/>
      <x:c r="G254" s="31"/>
      <x:c r="H254" s="31"/>
      <x:c r="I254" s="31"/>
      <x:c r="J254" s="32"/>
      <x:c r="K254" s="32"/>
      <x:c r="L254" s="32"/>
      <x:c r="M254" s="32"/>
      <x:c r="N254" s="31"/>
      <x:c r="O254" s="31"/>
      <x:c r="P254" s="31"/>
      <x:c r="Q254" s="32"/>
      <x:c r="R254" s="31"/>
      <x:c r="S254" s="31"/>
      <x:c r="T254" s="31"/>
      <x:c r="U254" s="31"/>
      <x:c r="V254" s="32"/>
      <x:c r="W254" s="31"/>
      <x:c r="X254" s="32"/>
      <x:c r="Y254" s="31"/>
    </x:row>
    <x:row r="255">
      <x:c r="A255" s="79"/>
      <x:c r="B255" s="31"/>
      <x:c r="C255" s="31"/>
      <x:c r="D255" s="31"/>
      <x:c r="E255" s="31"/>
      <x:c r="F255" s="31"/>
      <x:c r="G255" s="31"/>
      <x:c r="H255" s="31"/>
      <x:c r="I255" s="31"/>
      <x:c r="J255" s="32"/>
      <x:c r="K255" s="32"/>
      <x:c r="L255" s="32"/>
      <x:c r="M255" s="32"/>
      <x:c r="N255" s="31"/>
      <x:c r="O255" s="31"/>
      <x:c r="P255" s="31"/>
      <x:c r="Q255" s="32"/>
      <x:c r="R255" s="31"/>
      <x:c r="S255" s="31"/>
      <x:c r="T255" s="31"/>
      <x:c r="U255" s="31"/>
      <x:c r="V255" s="32"/>
      <x:c r="W255" s="31"/>
      <x:c r="X255" s="32"/>
      <x:c r="Y255" s="31"/>
    </x:row>
    <x:row r="256">
      <x:c r="A256" s="79"/>
      <x:c r="B256" s="31"/>
      <x:c r="C256" s="31"/>
      <x:c r="D256" s="31"/>
      <x:c r="E256" s="31"/>
      <x:c r="F256" s="31"/>
      <x:c r="G256" s="31"/>
      <x:c r="H256" s="31"/>
      <x:c r="I256" s="31"/>
      <x:c r="J256" s="32"/>
      <x:c r="K256" s="32"/>
      <x:c r="L256" s="32"/>
      <x:c r="M256" s="32"/>
      <x:c r="N256" s="31"/>
      <x:c r="O256" s="31"/>
      <x:c r="P256" s="31"/>
      <x:c r="Q256" s="32"/>
      <x:c r="R256" s="31"/>
      <x:c r="S256" s="31"/>
      <x:c r="T256" s="31"/>
      <x:c r="U256" s="31"/>
      <x:c r="V256" s="32"/>
      <x:c r="W256" s="31"/>
      <x:c r="X256" s="32"/>
      <x:c r="Y256" s="31"/>
    </x:row>
    <x:row r="257">
      <x:c r="A257" s="79"/>
      <x:c r="B257" s="31"/>
      <x:c r="C257" s="31"/>
      <x:c r="D257" s="31"/>
      <x:c r="E257" s="31"/>
      <x:c r="F257" s="31"/>
      <x:c r="G257" s="31"/>
      <x:c r="H257" s="31"/>
      <x:c r="I257" s="31"/>
      <x:c r="J257" s="32"/>
      <x:c r="K257" s="32"/>
      <x:c r="L257" s="32"/>
      <x:c r="M257" s="32"/>
      <x:c r="N257" s="31"/>
      <x:c r="O257" s="31"/>
      <x:c r="P257" s="31"/>
      <x:c r="Q257" s="32"/>
      <x:c r="R257" s="31"/>
      <x:c r="S257" s="31"/>
      <x:c r="T257" s="31"/>
      <x:c r="U257" s="31"/>
      <x:c r="V257" s="32"/>
      <x:c r="W257" s="31"/>
      <x:c r="X257" s="32"/>
      <x:c r="Y257" s="31"/>
    </x:row>
    <x:row r="258">
      <x:c r="A258" s="79"/>
      <x:c r="B258" s="31"/>
      <x:c r="C258" s="31"/>
      <x:c r="D258" s="31"/>
      <x:c r="E258" s="31"/>
      <x:c r="F258" s="31"/>
      <x:c r="G258" s="31"/>
      <x:c r="H258" s="31"/>
      <x:c r="I258" s="31"/>
      <x:c r="J258" s="32"/>
      <x:c r="K258" s="32"/>
      <x:c r="L258" s="32"/>
      <x:c r="M258" s="32"/>
      <x:c r="N258" s="31"/>
      <x:c r="O258" s="31"/>
      <x:c r="P258" s="31"/>
      <x:c r="Q258" s="32"/>
      <x:c r="R258" s="31"/>
      <x:c r="S258" s="31"/>
      <x:c r="T258" s="31"/>
      <x:c r="U258" s="31"/>
      <x:c r="V258" s="32"/>
      <x:c r="W258" s="31"/>
      <x:c r="X258" s="32"/>
      <x:c r="Y258" s="31"/>
    </x:row>
    <x:row r="259">
      <x:c r="A259" s="79"/>
      <x:c r="B259" s="31"/>
      <x:c r="C259" s="31"/>
      <x:c r="D259" s="31"/>
      <x:c r="E259" s="31"/>
      <x:c r="F259" s="31"/>
      <x:c r="G259" s="31"/>
      <x:c r="H259" s="31"/>
      <x:c r="I259" s="31"/>
      <x:c r="J259" s="32"/>
      <x:c r="K259" s="32"/>
      <x:c r="L259" s="32"/>
      <x:c r="M259" s="32"/>
      <x:c r="N259" s="31"/>
      <x:c r="O259" s="31"/>
      <x:c r="P259" s="31"/>
      <x:c r="Q259" s="32"/>
      <x:c r="R259" s="31"/>
      <x:c r="S259" s="31"/>
      <x:c r="T259" s="31"/>
      <x:c r="U259" s="31"/>
      <x:c r="V259" s="32"/>
      <x:c r="W259" s="31"/>
      <x:c r="X259" s="32"/>
      <x:c r="Y259" s="31"/>
    </x:row>
    <x:row r="260">
      <x:c r="A260" s="79"/>
      <x:c r="B260" s="31"/>
      <x:c r="C260" s="31"/>
      <x:c r="D260" s="31"/>
      <x:c r="E260" s="31"/>
      <x:c r="F260" s="31"/>
      <x:c r="G260" s="31"/>
      <x:c r="H260" s="31"/>
      <x:c r="I260" s="31"/>
      <x:c r="J260" s="32"/>
      <x:c r="K260" s="32"/>
      <x:c r="L260" s="32"/>
      <x:c r="M260" s="32"/>
      <x:c r="N260" s="31"/>
      <x:c r="O260" s="31"/>
      <x:c r="P260" s="31"/>
      <x:c r="Q260" s="32"/>
      <x:c r="R260" s="31"/>
      <x:c r="S260" s="31"/>
      <x:c r="T260" s="31"/>
      <x:c r="U260" s="31"/>
      <x:c r="V260" s="32"/>
      <x:c r="W260" s="31"/>
      <x:c r="X260" s="32"/>
      <x:c r="Y260" s="31"/>
    </x:row>
    <x:row r="261">
      <x:c r="A261" s="79"/>
      <x:c r="B261" s="31"/>
      <x:c r="C261" s="31"/>
      <x:c r="D261" s="31"/>
      <x:c r="E261" s="31"/>
      <x:c r="F261" s="31"/>
      <x:c r="G261" s="31"/>
      <x:c r="H261" s="31"/>
      <x:c r="I261" s="31"/>
      <x:c r="J261" s="32"/>
      <x:c r="K261" s="32"/>
      <x:c r="L261" s="32"/>
      <x:c r="M261" s="32"/>
      <x:c r="N261" s="31"/>
      <x:c r="O261" s="31"/>
      <x:c r="P261" s="31"/>
      <x:c r="Q261" s="32"/>
      <x:c r="R261" s="31"/>
      <x:c r="S261" s="31"/>
      <x:c r="T261" s="31"/>
      <x:c r="U261" s="31"/>
      <x:c r="V261" s="32"/>
      <x:c r="W261" s="31"/>
      <x:c r="X261" s="32"/>
      <x:c r="Y261" s="31"/>
    </x:row>
    <x:row r="262">
      <x:c r="A262" s="79"/>
      <x:c r="B262" s="31"/>
      <x:c r="C262" s="31"/>
      <x:c r="D262" s="31"/>
      <x:c r="E262" s="31"/>
      <x:c r="F262" s="31"/>
      <x:c r="G262" s="31"/>
      <x:c r="H262" s="31"/>
      <x:c r="I262" s="31"/>
      <x:c r="J262" s="32"/>
      <x:c r="K262" s="32"/>
      <x:c r="L262" s="32"/>
      <x:c r="M262" s="32"/>
      <x:c r="N262" s="31"/>
      <x:c r="O262" s="31"/>
      <x:c r="P262" s="31"/>
      <x:c r="Q262" s="32"/>
      <x:c r="R262" s="31"/>
      <x:c r="S262" s="31"/>
      <x:c r="T262" s="31"/>
      <x:c r="U262" s="31"/>
      <x:c r="V262" s="32"/>
      <x:c r="W262" s="31"/>
      <x:c r="X262" s="32"/>
      <x:c r="Y262" s="31"/>
    </x:row>
    <x:row r="263">
      <x:c r="A263" s="79"/>
      <x:c r="B263" s="31"/>
      <x:c r="C263" s="31"/>
      <x:c r="D263" s="31"/>
      <x:c r="E263" s="31"/>
      <x:c r="F263" s="31"/>
      <x:c r="G263" s="31"/>
      <x:c r="H263" s="31"/>
      <x:c r="I263" s="31"/>
      <x:c r="J263" s="32"/>
      <x:c r="K263" s="32"/>
      <x:c r="L263" s="32"/>
      <x:c r="M263" s="32"/>
      <x:c r="N263" s="31"/>
      <x:c r="O263" s="31"/>
      <x:c r="P263" s="31"/>
      <x:c r="Q263" s="32"/>
      <x:c r="R263" s="31"/>
      <x:c r="S263" s="31"/>
      <x:c r="T263" s="31"/>
      <x:c r="U263" s="31"/>
      <x:c r="V263" s="32"/>
      <x:c r="W263" s="31"/>
      <x:c r="X263" s="32"/>
      <x:c r="Y263" s="31"/>
    </x:row>
    <x:row r="264">
      <x:c r="A264" s="79"/>
      <x:c r="B264" s="31"/>
      <x:c r="C264" s="31"/>
      <x:c r="D264" s="31"/>
      <x:c r="E264" s="31"/>
      <x:c r="F264" s="31"/>
      <x:c r="G264" s="31"/>
      <x:c r="H264" s="31"/>
      <x:c r="I264" s="31"/>
      <x:c r="J264" s="32"/>
      <x:c r="K264" s="32"/>
      <x:c r="L264" s="32"/>
      <x:c r="M264" s="32"/>
      <x:c r="N264" s="31"/>
      <x:c r="O264" s="31"/>
      <x:c r="P264" s="31"/>
      <x:c r="Q264" s="32"/>
      <x:c r="R264" s="31"/>
      <x:c r="S264" s="31"/>
      <x:c r="T264" s="31"/>
      <x:c r="U264" s="31"/>
      <x:c r="V264" s="32"/>
      <x:c r="W264" s="31"/>
      <x:c r="X264" s="32"/>
      <x:c r="Y264" s="31"/>
    </x:row>
    <x:row r="265">
      <x:c r="A265" s="79"/>
      <x:c r="B265" s="31"/>
      <x:c r="C265" s="31"/>
      <x:c r="D265" s="31"/>
      <x:c r="E265" s="31"/>
      <x:c r="F265" s="31"/>
      <x:c r="G265" s="31"/>
      <x:c r="H265" s="31"/>
      <x:c r="I265" s="31"/>
      <x:c r="J265" s="32"/>
      <x:c r="K265" s="32"/>
      <x:c r="L265" s="32"/>
      <x:c r="M265" s="32"/>
      <x:c r="N265" s="31"/>
      <x:c r="O265" s="31"/>
      <x:c r="P265" s="31"/>
      <x:c r="Q265" s="32"/>
      <x:c r="R265" s="31"/>
      <x:c r="S265" s="31"/>
      <x:c r="T265" s="31"/>
      <x:c r="U265" s="31"/>
      <x:c r="V265" s="32"/>
      <x:c r="W265" s="31"/>
      <x:c r="X265" s="32"/>
      <x:c r="Y265" s="31"/>
    </x:row>
    <x:row r="266">
      <x:c r="A266" s="79"/>
      <x:c r="B266" s="31"/>
      <x:c r="C266" s="31"/>
      <x:c r="D266" s="31"/>
      <x:c r="E266" s="31"/>
      <x:c r="F266" s="31"/>
      <x:c r="G266" s="31"/>
      <x:c r="H266" s="31"/>
      <x:c r="I266" s="31"/>
      <x:c r="J266" s="32"/>
      <x:c r="K266" s="32"/>
      <x:c r="L266" s="32"/>
      <x:c r="M266" s="32"/>
      <x:c r="N266" s="31"/>
      <x:c r="O266" s="31"/>
      <x:c r="P266" s="31"/>
      <x:c r="Q266" s="32"/>
      <x:c r="R266" s="31"/>
      <x:c r="S266" s="31"/>
      <x:c r="T266" s="31"/>
      <x:c r="U266" s="31"/>
      <x:c r="V266" s="32"/>
      <x:c r="W266" s="31"/>
      <x:c r="X266" s="32"/>
      <x:c r="Y266" s="31"/>
    </x:row>
    <x:row r="267">
      <x:c r="A267" s="79"/>
      <x:c r="B267" s="31"/>
      <x:c r="C267" s="31"/>
      <x:c r="D267" s="31"/>
      <x:c r="E267" s="31"/>
      <x:c r="F267" s="31"/>
      <x:c r="G267" s="31"/>
      <x:c r="H267" s="31"/>
      <x:c r="I267" s="31"/>
      <x:c r="J267" s="32"/>
      <x:c r="K267" s="32"/>
      <x:c r="L267" s="32"/>
      <x:c r="M267" s="32"/>
      <x:c r="N267" s="31"/>
      <x:c r="O267" s="31"/>
      <x:c r="P267" s="31"/>
      <x:c r="Q267" s="32"/>
      <x:c r="R267" s="31"/>
      <x:c r="S267" s="31"/>
      <x:c r="T267" s="31"/>
      <x:c r="U267" s="31"/>
      <x:c r="V267" s="32"/>
      <x:c r="W267" s="31"/>
      <x:c r="X267" s="32"/>
      <x:c r="Y267" s="31"/>
    </x:row>
    <x:row r="268">
      <x:c r="A268" s="79"/>
      <x:c r="B268" s="31"/>
      <x:c r="C268" s="31"/>
      <x:c r="D268" s="31"/>
      <x:c r="E268" s="31"/>
      <x:c r="F268" s="31"/>
      <x:c r="G268" s="31"/>
      <x:c r="H268" s="31"/>
      <x:c r="I268" s="31"/>
      <x:c r="J268" s="32"/>
      <x:c r="K268" s="32"/>
      <x:c r="L268" s="32"/>
      <x:c r="M268" s="32"/>
      <x:c r="N268" s="31"/>
      <x:c r="O268" s="31"/>
      <x:c r="P268" s="31"/>
      <x:c r="Q268" s="32"/>
      <x:c r="R268" s="31"/>
      <x:c r="S268" s="31"/>
      <x:c r="T268" s="31"/>
      <x:c r="U268" s="31"/>
      <x:c r="V268" s="32"/>
      <x:c r="W268" s="31"/>
      <x:c r="X268" s="32"/>
      <x:c r="Y268" s="31"/>
    </x:row>
    <x:row r="269">
      <x:c r="A269" s="79"/>
      <x:c r="B269" s="31"/>
      <x:c r="C269" s="31"/>
      <x:c r="D269" s="31"/>
      <x:c r="E269" s="31"/>
      <x:c r="F269" s="31"/>
      <x:c r="G269" s="31"/>
      <x:c r="H269" s="31"/>
      <x:c r="I269" s="31"/>
      <x:c r="J269" s="32"/>
      <x:c r="K269" s="32"/>
      <x:c r="L269" s="32"/>
      <x:c r="M269" s="32"/>
      <x:c r="N269" s="31"/>
      <x:c r="O269" s="31"/>
      <x:c r="P269" s="31"/>
      <x:c r="Q269" s="32"/>
      <x:c r="R269" s="31"/>
      <x:c r="S269" s="31"/>
      <x:c r="T269" s="31"/>
      <x:c r="U269" s="31"/>
      <x:c r="V269" s="32"/>
      <x:c r="W269" s="31"/>
      <x:c r="X269" s="32"/>
      <x:c r="Y269" s="31"/>
    </x:row>
    <x:row r="270">
      <x:c r="A270" s="79"/>
      <x:c r="B270" s="31"/>
      <x:c r="C270" s="31"/>
      <x:c r="D270" s="31"/>
      <x:c r="E270" s="31"/>
      <x:c r="F270" s="31"/>
      <x:c r="G270" s="31"/>
      <x:c r="H270" s="31"/>
      <x:c r="I270" s="31"/>
      <x:c r="J270" s="32"/>
      <x:c r="K270" s="32"/>
      <x:c r="L270" s="32"/>
      <x:c r="M270" s="32"/>
      <x:c r="N270" s="31"/>
      <x:c r="O270" s="31"/>
      <x:c r="P270" s="31"/>
      <x:c r="Q270" s="32"/>
      <x:c r="R270" s="31"/>
      <x:c r="S270" s="31"/>
      <x:c r="T270" s="31"/>
      <x:c r="U270" s="31"/>
      <x:c r="V270" s="32"/>
      <x:c r="W270" s="31"/>
      <x:c r="X270" s="32"/>
      <x:c r="Y270" s="31"/>
    </x:row>
    <x:row r="271">
      <x:c r="A271" s="79"/>
      <x:c r="B271" s="31"/>
      <x:c r="C271" s="31"/>
      <x:c r="D271" s="31"/>
      <x:c r="E271" s="31"/>
      <x:c r="F271" s="31"/>
      <x:c r="G271" s="31"/>
      <x:c r="H271" s="31"/>
      <x:c r="I271" s="31"/>
      <x:c r="J271" s="32"/>
      <x:c r="K271" s="32"/>
      <x:c r="L271" s="32"/>
      <x:c r="M271" s="32"/>
      <x:c r="N271" s="31"/>
      <x:c r="O271" s="31"/>
      <x:c r="P271" s="31"/>
      <x:c r="Q271" s="32"/>
      <x:c r="R271" s="31"/>
      <x:c r="S271" s="31"/>
      <x:c r="T271" s="31"/>
      <x:c r="U271" s="31"/>
      <x:c r="V271" s="32"/>
      <x:c r="W271" s="31"/>
      <x:c r="X271" s="32"/>
      <x:c r="Y271" s="31"/>
    </x:row>
    <x:row r="272">
      <x:c r="A272" s="79"/>
      <x:c r="B272" s="31"/>
      <x:c r="C272" s="31"/>
      <x:c r="D272" s="31"/>
      <x:c r="E272" s="31"/>
      <x:c r="F272" s="31"/>
      <x:c r="G272" s="31"/>
      <x:c r="H272" s="31"/>
      <x:c r="I272" s="31"/>
      <x:c r="J272" s="32"/>
      <x:c r="K272" s="32"/>
      <x:c r="L272" s="32"/>
      <x:c r="M272" s="32"/>
      <x:c r="N272" s="31"/>
      <x:c r="O272" s="31"/>
      <x:c r="P272" s="31"/>
      <x:c r="Q272" s="32"/>
      <x:c r="R272" s="31"/>
      <x:c r="S272" s="31"/>
      <x:c r="T272" s="31"/>
      <x:c r="U272" s="31"/>
      <x:c r="V272" s="32"/>
      <x:c r="W272" s="31"/>
      <x:c r="X272" s="32"/>
      <x:c r="Y272" s="31"/>
    </x:row>
    <x:row r="273">
      <x:c r="A273" s="79"/>
      <x:c r="B273" s="31"/>
      <x:c r="C273" s="31"/>
      <x:c r="D273" s="31"/>
      <x:c r="E273" s="31"/>
      <x:c r="F273" s="31"/>
      <x:c r="G273" s="31"/>
      <x:c r="H273" s="31"/>
      <x:c r="I273" s="31"/>
      <x:c r="J273" s="32"/>
      <x:c r="K273" s="32"/>
      <x:c r="L273" s="32"/>
      <x:c r="M273" s="32"/>
      <x:c r="N273" s="31"/>
      <x:c r="O273" s="31"/>
      <x:c r="P273" s="31"/>
      <x:c r="Q273" s="32"/>
      <x:c r="R273" s="31"/>
      <x:c r="S273" s="31"/>
      <x:c r="T273" s="31"/>
      <x:c r="U273" s="31"/>
      <x:c r="V273" s="32"/>
      <x:c r="W273" s="31"/>
      <x:c r="X273" s="32"/>
      <x:c r="Y273" s="31"/>
    </x:row>
    <x:row r="274">
      <x:c r="A274" s="79"/>
      <x:c r="B274" s="31"/>
      <x:c r="C274" s="31"/>
      <x:c r="D274" s="31"/>
      <x:c r="E274" s="31"/>
      <x:c r="F274" s="31"/>
      <x:c r="G274" s="31"/>
      <x:c r="H274" s="31"/>
      <x:c r="I274" s="31"/>
      <x:c r="J274" s="32"/>
      <x:c r="K274" s="32"/>
      <x:c r="L274" s="32"/>
      <x:c r="M274" s="32"/>
      <x:c r="N274" s="31"/>
      <x:c r="O274" s="31"/>
      <x:c r="P274" s="31"/>
      <x:c r="Q274" s="32"/>
      <x:c r="R274" s="31"/>
      <x:c r="S274" s="31"/>
      <x:c r="T274" s="31"/>
      <x:c r="U274" s="31"/>
      <x:c r="V274" s="32"/>
      <x:c r="W274" s="31"/>
      <x:c r="X274" s="32"/>
      <x:c r="Y274" s="31"/>
    </x:row>
    <x:row r="275">
      <x:c r="A275" s="79"/>
      <x:c r="B275" s="31"/>
      <x:c r="C275" s="31"/>
      <x:c r="D275" s="31"/>
      <x:c r="E275" s="31"/>
      <x:c r="F275" s="31"/>
      <x:c r="G275" s="31"/>
      <x:c r="H275" s="31"/>
      <x:c r="I275" s="31"/>
      <x:c r="J275" s="32"/>
      <x:c r="K275" s="32"/>
      <x:c r="L275" s="32"/>
      <x:c r="M275" s="32"/>
      <x:c r="N275" s="31"/>
      <x:c r="O275" s="31"/>
      <x:c r="P275" s="31"/>
      <x:c r="Q275" s="32"/>
      <x:c r="R275" s="31"/>
      <x:c r="S275" s="31"/>
      <x:c r="T275" s="31"/>
      <x:c r="U275" s="31"/>
      <x:c r="V275" s="32"/>
      <x:c r="W275" s="31"/>
      <x:c r="X275" s="32"/>
      <x:c r="Y275" s="31"/>
    </x:row>
    <x:row r="276">
      <x:c r="A276" s="79"/>
      <x:c r="B276" s="31"/>
      <x:c r="C276" s="31"/>
      <x:c r="D276" s="31"/>
      <x:c r="E276" s="31"/>
      <x:c r="F276" s="31"/>
      <x:c r="G276" s="31"/>
      <x:c r="H276" s="31"/>
      <x:c r="I276" s="31"/>
      <x:c r="J276" s="32"/>
      <x:c r="K276" s="32"/>
      <x:c r="L276" s="32"/>
      <x:c r="M276" s="32"/>
      <x:c r="N276" s="31"/>
      <x:c r="O276" s="31"/>
      <x:c r="P276" s="31"/>
      <x:c r="Q276" s="32"/>
      <x:c r="R276" s="31"/>
      <x:c r="S276" s="31"/>
      <x:c r="T276" s="31"/>
      <x:c r="U276" s="31"/>
      <x:c r="V276" s="32"/>
      <x:c r="W276" s="31"/>
      <x:c r="X276" s="32"/>
      <x:c r="Y276" s="31"/>
    </x:row>
    <x:row r="277">
      <x:c r="A277" s="79"/>
      <x:c r="B277" s="31"/>
      <x:c r="C277" s="31"/>
      <x:c r="D277" s="31"/>
      <x:c r="E277" s="31"/>
      <x:c r="F277" s="31"/>
      <x:c r="G277" s="31"/>
      <x:c r="H277" s="31"/>
      <x:c r="I277" s="31"/>
      <x:c r="J277" s="32"/>
      <x:c r="K277" s="32"/>
      <x:c r="L277" s="32"/>
      <x:c r="M277" s="32"/>
      <x:c r="N277" s="31"/>
      <x:c r="O277" s="31"/>
      <x:c r="P277" s="31"/>
      <x:c r="Q277" s="32"/>
      <x:c r="R277" s="31"/>
      <x:c r="S277" s="31"/>
      <x:c r="T277" s="31"/>
      <x:c r="U277" s="31"/>
      <x:c r="V277" s="32"/>
      <x:c r="W277" s="31"/>
      <x:c r="X277" s="32"/>
      <x:c r="Y277" s="31"/>
    </x:row>
    <x:row r="278">
      <x:c r="A278" s="79"/>
      <x:c r="B278" s="31"/>
      <x:c r="C278" s="31"/>
      <x:c r="D278" s="31"/>
      <x:c r="E278" s="31"/>
      <x:c r="F278" s="31"/>
      <x:c r="G278" s="31"/>
      <x:c r="H278" s="31"/>
      <x:c r="I278" s="31"/>
      <x:c r="J278" s="32"/>
      <x:c r="K278" s="32"/>
      <x:c r="L278" s="32"/>
      <x:c r="M278" s="32"/>
      <x:c r="N278" s="31"/>
      <x:c r="O278" s="31"/>
      <x:c r="P278" s="31"/>
      <x:c r="Q278" s="32"/>
      <x:c r="R278" s="31"/>
      <x:c r="S278" s="31"/>
      <x:c r="T278" s="31"/>
      <x:c r="U278" s="31"/>
      <x:c r="V278" s="32"/>
      <x:c r="W278" s="31"/>
      <x:c r="X278" s="32"/>
      <x:c r="Y278" s="31"/>
    </x:row>
    <x:row r="279">
      <x:c r="A279" s="79"/>
      <x:c r="B279" s="31"/>
      <x:c r="C279" s="31"/>
      <x:c r="D279" s="31"/>
      <x:c r="E279" s="31"/>
      <x:c r="F279" s="31"/>
      <x:c r="G279" s="31"/>
      <x:c r="H279" s="31"/>
      <x:c r="I279" s="31"/>
      <x:c r="J279" s="32"/>
      <x:c r="K279" s="32"/>
      <x:c r="L279" s="32"/>
      <x:c r="M279" s="32"/>
      <x:c r="N279" s="31"/>
      <x:c r="O279" s="31"/>
      <x:c r="P279" s="31"/>
      <x:c r="Q279" s="32"/>
      <x:c r="R279" s="31"/>
      <x:c r="S279" s="31"/>
      <x:c r="T279" s="31"/>
      <x:c r="U279" s="31"/>
      <x:c r="V279" s="32"/>
      <x:c r="W279" s="31"/>
      <x:c r="X279" s="32"/>
      <x:c r="Y279" s="31"/>
    </x:row>
    <x:row r="280">
      <x:c r="A280" s="79"/>
      <x:c r="B280" s="31"/>
      <x:c r="C280" s="31"/>
      <x:c r="D280" s="31"/>
      <x:c r="E280" s="31"/>
      <x:c r="F280" s="31"/>
      <x:c r="G280" s="31"/>
      <x:c r="H280" s="31"/>
      <x:c r="I280" s="31"/>
      <x:c r="J280" s="32"/>
      <x:c r="K280" s="32"/>
      <x:c r="L280" s="32"/>
      <x:c r="M280" s="32"/>
      <x:c r="N280" s="31"/>
      <x:c r="O280" s="31"/>
      <x:c r="P280" s="31"/>
      <x:c r="Q280" s="32"/>
      <x:c r="R280" s="31"/>
      <x:c r="S280" s="31"/>
      <x:c r="T280" s="31"/>
      <x:c r="U280" s="31"/>
      <x:c r="V280" s="32"/>
      <x:c r="W280" s="31"/>
      <x:c r="X280" s="32"/>
      <x:c r="Y280" s="31"/>
    </x:row>
    <x:row r="281">
      <x:c r="A281" s="79"/>
      <x:c r="B281" s="31"/>
      <x:c r="C281" s="31"/>
      <x:c r="D281" s="31"/>
      <x:c r="E281" s="31"/>
      <x:c r="F281" s="31"/>
      <x:c r="G281" s="31"/>
      <x:c r="H281" s="31"/>
      <x:c r="I281" s="31"/>
      <x:c r="J281" s="32"/>
      <x:c r="K281" s="32"/>
      <x:c r="L281" s="32"/>
      <x:c r="M281" s="32"/>
      <x:c r="N281" s="31"/>
      <x:c r="O281" s="31"/>
      <x:c r="P281" s="31"/>
      <x:c r="Q281" s="32"/>
      <x:c r="R281" s="31"/>
      <x:c r="S281" s="31"/>
      <x:c r="T281" s="31"/>
      <x:c r="U281" s="31"/>
      <x:c r="V281" s="32"/>
      <x:c r="W281" s="31"/>
      <x:c r="X281" s="32"/>
      <x:c r="Y281" s="31"/>
    </x:row>
    <x:row r="282">
      <x:c r="A282" s="79"/>
      <x:c r="B282" s="31"/>
      <x:c r="C282" s="31"/>
      <x:c r="D282" s="31"/>
      <x:c r="E282" s="31"/>
      <x:c r="F282" s="31"/>
      <x:c r="G282" s="31"/>
      <x:c r="H282" s="31"/>
      <x:c r="I282" s="31"/>
      <x:c r="J282" s="32"/>
      <x:c r="K282" s="32"/>
      <x:c r="L282" s="32"/>
      <x:c r="M282" s="32"/>
      <x:c r="N282" s="31"/>
      <x:c r="O282" s="31"/>
      <x:c r="P282" s="31"/>
      <x:c r="Q282" s="32"/>
      <x:c r="R282" s="31"/>
      <x:c r="S282" s="31"/>
      <x:c r="T282" s="31"/>
      <x:c r="U282" s="31"/>
      <x:c r="V282" s="32"/>
      <x:c r="W282" s="31"/>
      <x:c r="X282" s="32"/>
      <x:c r="Y282" s="31"/>
    </x:row>
    <x:row r="283">
      <x:c r="A283" s="79"/>
      <x:c r="B283" s="31"/>
      <x:c r="C283" s="31"/>
      <x:c r="D283" s="31"/>
      <x:c r="E283" s="31"/>
      <x:c r="F283" s="31"/>
      <x:c r="G283" s="31"/>
      <x:c r="H283" s="31"/>
      <x:c r="I283" s="31"/>
      <x:c r="J283" s="32"/>
      <x:c r="K283" s="32"/>
      <x:c r="L283" s="32"/>
      <x:c r="M283" s="32"/>
      <x:c r="N283" s="31"/>
      <x:c r="O283" s="31"/>
      <x:c r="P283" s="31"/>
      <x:c r="Q283" s="32"/>
      <x:c r="R283" s="31"/>
      <x:c r="S283" s="31"/>
      <x:c r="T283" s="31"/>
      <x:c r="U283" s="31"/>
      <x:c r="V283" s="32"/>
      <x:c r="W283" s="31"/>
      <x:c r="X283" s="32"/>
      <x:c r="Y283" s="31"/>
    </x:row>
    <x:row r="284">
      <x:c r="A284" s="79"/>
      <x:c r="B284" s="31"/>
      <x:c r="C284" s="31"/>
      <x:c r="D284" s="31"/>
      <x:c r="E284" s="31"/>
      <x:c r="F284" s="31"/>
      <x:c r="G284" s="31"/>
      <x:c r="H284" s="31"/>
      <x:c r="I284" s="31"/>
      <x:c r="J284" s="32"/>
      <x:c r="K284" s="32"/>
      <x:c r="L284" s="32"/>
      <x:c r="M284" s="32"/>
      <x:c r="N284" s="31"/>
      <x:c r="O284" s="31"/>
      <x:c r="P284" s="31"/>
      <x:c r="Q284" s="32"/>
      <x:c r="R284" s="31"/>
      <x:c r="S284" s="31"/>
      <x:c r="T284" s="31"/>
      <x:c r="U284" s="31"/>
      <x:c r="V284" s="32"/>
      <x:c r="W284" s="31"/>
      <x:c r="X284" s="32"/>
      <x:c r="Y284" s="31"/>
    </x:row>
    <x:row r="285">
      <x:c r="A285" s="79"/>
      <x:c r="B285" s="31"/>
      <x:c r="C285" s="31"/>
      <x:c r="D285" s="31"/>
      <x:c r="E285" s="31"/>
      <x:c r="F285" s="31"/>
      <x:c r="G285" s="31"/>
      <x:c r="H285" s="31"/>
      <x:c r="I285" s="31"/>
      <x:c r="J285" s="32"/>
      <x:c r="K285" s="32"/>
      <x:c r="L285" s="32"/>
      <x:c r="M285" s="32"/>
      <x:c r="N285" s="31"/>
      <x:c r="O285" s="31"/>
      <x:c r="P285" s="31"/>
      <x:c r="Q285" s="32"/>
      <x:c r="R285" s="31"/>
      <x:c r="S285" s="31"/>
      <x:c r="T285" s="31"/>
      <x:c r="U285" s="31"/>
      <x:c r="V285" s="32"/>
      <x:c r="W285" s="31"/>
      <x:c r="X285" s="32"/>
      <x:c r="Y285" s="31"/>
    </x:row>
    <x:row r="286">
      <x:c r="A286" s="79"/>
      <x:c r="B286" s="31"/>
      <x:c r="C286" s="31"/>
      <x:c r="D286" s="31"/>
      <x:c r="E286" s="31"/>
      <x:c r="F286" s="31"/>
      <x:c r="G286" s="31"/>
      <x:c r="H286" s="31"/>
      <x:c r="I286" s="31"/>
      <x:c r="J286" s="32"/>
      <x:c r="K286" s="32"/>
      <x:c r="L286" s="32"/>
      <x:c r="M286" s="32"/>
      <x:c r="N286" s="31"/>
      <x:c r="O286" s="31"/>
      <x:c r="P286" s="31"/>
      <x:c r="Q286" s="32"/>
      <x:c r="R286" s="31"/>
      <x:c r="S286" s="31"/>
      <x:c r="T286" s="31"/>
      <x:c r="U286" s="31"/>
      <x:c r="V286" s="32"/>
      <x:c r="W286" s="31"/>
      <x:c r="X286" s="32"/>
      <x:c r="Y286" s="31"/>
    </x:row>
    <x:row r="287">
      <x:c r="A287" s="79"/>
      <x:c r="B287" s="31"/>
      <x:c r="C287" s="31"/>
      <x:c r="D287" s="31"/>
      <x:c r="E287" s="31"/>
      <x:c r="F287" s="31"/>
      <x:c r="G287" s="31"/>
      <x:c r="H287" s="31"/>
      <x:c r="I287" s="31"/>
      <x:c r="J287" s="32"/>
      <x:c r="K287" s="32"/>
      <x:c r="L287" s="32"/>
      <x:c r="M287" s="32"/>
      <x:c r="N287" s="31"/>
      <x:c r="O287" s="31"/>
      <x:c r="P287" s="31"/>
      <x:c r="Q287" s="32"/>
      <x:c r="R287" s="31"/>
      <x:c r="S287" s="31"/>
      <x:c r="T287" s="31"/>
      <x:c r="U287" s="31"/>
      <x:c r="V287" s="32"/>
      <x:c r="W287" s="31"/>
      <x:c r="X287" s="32"/>
      <x:c r="Y287" s="31"/>
    </x:row>
    <x:row r="288">
      <x:c r="A288" s="79"/>
      <x:c r="B288" s="31"/>
      <x:c r="C288" s="31"/>
      <x:c r="D288" s="31"/>
      <x:c r="E288" s="31"/>
      <x:c r="F288" s="31"/>
      <x:c r="G288" s="31"/>
      <x:c r="H288" s="31"/>
      <x:c r="I288" s="31"/>
      <x:c r="J288" s="32"/>
      <x:c r="K288" s="32"/>
      <x:c r="L288" s="32"/>
      <x:c r="M288" s="32"/>
      <x:c r="N288" s="31"/>
      <x:c r="O288" s="31"/>
      <x:c r="P288" s="31"/>
      <x:c r="Q288" s="32"/>
      <x:c r="R288" s="31"/>
      <x:c r="S288" s="31"/>
      <x:c r="T288" s="31"/>
      <x:c r="U288" s="31"/>
      <x:c r="V288" s="32"/>
      <x:c r="W288" s="31"/>
      <x:c r="X288" s="32"/>
      <x:c r="Y288" s="31"/>
    </x:row>
    <x:row r="289">
      <x:c r="A289" s="79"/>
      <x:c r="B289" s="31"/>
      <x:c r="C289" s="31"/>
      <x:c r="D289" s="31"/>
      <x:c r="E289" s="31"/>
      <x:c r="F289" s="31"/>
      <x:c r="G289" s="31"/>
      <x:c r="H289" s="31"/>
      <x:c r="I289" s="31"/>
      <x:c r="J289" s="32"/>
      <x:c r="K289" s="32"/>
      <x:c r="L289" s="32"/>
      <x:c r="M289" s="32"/>
      <x:c r="N289" s="31"/>
      <x:c r="O289" s="31"/>
      <x:c r="P289" s="31"/>
      <x:c r="Q289" s="32"/>
      <x:c r="R289" s="31"/>
      <x:c r="S289" s="31"/>
      <x:c r="T289" s="31"/>
      <x:c r="U289" s="31"/>
      <x:c r="V289" s="32"/>
      <x:c r="W289" s="31"/>
      <x:c r="X289" s="32"/>
      <x:c r="Y289" s="31"/>
    </x:row>
    <x:row r="290">
      <x:c r="A290" s="79"/>
      <x:c r="B290" s="31"/>
      <x:c r="C290" s="31"/>
      <x:c r="D290" s="31"/>
      <x:c r="E290" s="31"/>
      <x:c r="F290" s="31"/>
      <x:c r="G290" s="31"/>
      <x:c r="H290" s="31"/>
      <x:c r="I290" s="31"/>
      <x:c r="J290" s="32"/>
      <x:c r="K290" s="32"/>
      <x:c r="L290" s="32"/>
      <x:c r="M290" s="32"/>
      <x:c r="N290" s="31"/>
      <x:c r="O290" s="31"/>
      <x:c r="P290" s="31"/>
      <x:c r="Q290" s="32"/>
      <x:c r="R290" s="31"/>
      <x:c r="S290" s="31"/>
      <x:c r="T290" s="31"/>
      <x:c r="U290" s="31"/>
      <x:c r="V290" s="32"/>
      <x:c r="W290" s="31"/>
      <x:c r="X290" s="32"/>
      <x:c r="Y290" s="31"/>
    </x:row>
    <x:row r="291">
      <x:c r="A291" s="79"/>
      <x:c r="B291" s="31"/>
      <x:c r="C291" s="31"/>
      <x:c r="D291" s="31"/>
      <x:c r="E291" s="31"/>
      <x:c r="F291" s="31"/>
      <x:c r="G291" s="31"/>
      <x:c r="H291" s="31"/>
      <x:c r="I291" s="31"/>
      <x:c r="J291" s="32"/>
      <x:c r="K291" s="32"/>
      <x:c r="L291" s="32"/>
      <x:c r="M291" s="32"/>
      <x:c r="N291" s="31"/>
      <x:c r="O291" s="31"/>
      <x:c r="P291" s="31"/>
      <x:c r="Q291" s="32"/>
      <x:c r="R291" s="31"/>
      <x:c r="S291" s="31"/>
      <x:c r="T291" s="31"/>
      <x:c r="U291" s="31"/>
      <x:c r="V291" s="32"/>
      <x:c r="W291" s="31"/>
      <x:c r="X291" s="32"/>
      <x:c r="Y291" s="31"/>
    </x:row>
    <x:row r="292">
      <x:c r="A292" s="79"/>
      <x:c r="B292" s="31"/>
      <x:c r="C292" s="31"/>
      <x:c r="D292" s="31"/>
      <x:c r="E292" s="31"/>
      <x:c r="F292" s="31"/>
      <x:c r="G292" s="31"/>
      <x:c r="H292" s="31"/>
      <x:c r="I292" s="31"/>
      <x:c r="J292" s="32"/>
      <x:c r="K292" s="32"/>
      <x:c r="L292" s="32"/>
      <x:c r="M292" s="32"/>
      <x:c r="N292" s="31"/>
      <x:c r="O292" s="31"/>
      <x:c r="P292" s="31"/>
      <x:c r="Q292" s="32"/>
      <x:c r="R292" s="31"/>
      <x:c r="S292" s="31"/>
      <x:c r="T292" s="31"/>
      <x:c r="U292" s="31"/>
      <x:c r="V292" s="32"/>
      <x:c r="W292" s="31"/>
      <x:c r="X292" s="32"/>
      <x:c r="Y292" s="31"/>
    </x:row>
    <x:row r="293">
      <x:c r="A293" s="79"/>
      <x:c r="B293" s="31"/>
      <x:c r="C293" s="31"/>
      <x:c r="D293" s="31"/>
      <x:c r="E293" s="31"/>
      <x:c r="F293" s="31"/>
      <x:c r="G293" s="31"/>
      <x:c r="H293" s="31"/>
      <x:c r="I293" s="31"/>
      <x:c r="J293" s="32"/>
      <x:c r="K293" s="32"/>
      <x:c r="L293" s="32"/>
      <x:c r="M293" s="32"/>
      <x:c r="N293" s="31"/>
      <x:c r="O293" s="31"/>
      <x:c r="P293" s="31"/>
      <x:c r="Q293" s="32"/>
      <x:c r="R293" s="31"/>
      <x:c r="S293" s="31"/>
      <x:c r="T293" s="31"/>
      <x:c r="U293" s="31"/>
      <x:c r="V293" s="32"/>
      <x:c r="W293" s="31"/>
      <x:c r="X293" s="32"/>
      <x:c r="Y293" s="31"/>
    </x:row>
    <x:row r="294">
      <x:c r="A294" s="79"/>
      <x:c r="B294" s="31"/>
      <x:c r="C294" s="31"/>
      <x:c r="D294" s="31"/>
      <x:c r="E294" s="31"/>
      <x:c r="F294" s="31"/>
      <x:c r="G294" s="31"/>
      <x:c r="H294" s="31"/>
      <x:c r="I294" s="31"/>
      <x:c r="J294" s="32"/>
      <x:c r="K294" s="32"/>
      <x:c r="L294" s="32"/>
      <x:c r="M294" s="32"/>
      <x:c r="N294" s="31"/>
      <x:c r="O294" s="31"/>
      <x:c r="P294" s="31"/>
      <x:c r="Q294" s="32"/>
      <x:c r="R294" s="31"/>
      <x:c r="S294" s="31"/>
      <x:c r="T294" s="31"/>
      <x:c r="U294" s="31"/>
      <x:c r="V294" s="32"/>
      <x:c r="W294" s="31"/>
      <x:c r="X294" s="32"/>
      <x:c r="Y294" s="31"/>
    </x:row>
    <x:row r="295">
      <x:c r="A295" s="79"/>
      <x:c r="B295" s="31"/>
      <x:c r="C295" s="31"/>
      <x:c r="D295" s="31"/>
      <x:c r="E295" s="31"/>
      <x:c r="F295" s="31"/>
      <x:c r="G295" s="31"/>
      <x:c r="H295" s="31"/>
      <x:c r="I295" s="31"/>
      <x:c r="J295" s="32"/>
      <x:c r="K295" s="32"/>
      <x:c r="L295" s="32"/>
      <x:c r="M295" s="32"/>
      <x:c r="N295" s="31"/>
      <x:c r="O295" s="31"/>
      <x:c r="P295" s="31"/>
      <x:c r="Q295" s="32"/>
      <x:c r="R295" s="31"/>
      <x:c r="S295" s="31"/>
      <x:c r="T295" s="31"/>
      <x:c r="U295" s="31"/>
      <x:c r="V295" s="32"/>
      <x:c r="W295" s="31"/>
      <x:c r="X295" s="32"/>
      <x:c r="Y295" s="31"/>
    </x:row>
    <x:row r="296">
      <x:c r="A296" s="79"/>
      <x:c r="B296" s="31"/>
      <x:c r="C296" s="31"/>
      <x:c r="D296" s="31"/>
      <x:c r="E296" s="31"/>
      <x:c r="F296" s="31"/>
      <x:c r="G296" s="31"/>
      <x:c r="H296" s="31"/>
      <x:c r="I296" s="31"/>
      <x:c r="J296" s="32"/>
      <x:c r="K296" s="32"/>
      <x:c r="L296" s="32"/>
      <x:c r="M296" s="32"/>
      <x:c r="N296" s="31"/>
      <x:c r="O296" s="31"/>
      <x:c r="P296" s="31"/>
      <x:c r="Q296" s="32"/>
      <x:c r="R296" s="31"/>
      <x:c r="S296" s="31"/>
      <x:c r="T296" s="31"/>
      <x:c r="U296" s="31"/>
      <x:c r="V296" s="32"/>
      <x:c r="W296" s="31"/>
      <x:c r="X296" s="32"/>
      <x:c r="Y296" s="31"/>
    </x:row>
    <x:row r="297">
      <x:c r="A297" s="79"/>
      <x:c r="B297" s="31"/>
      <x:c r="C297" s="31"/>
      <x:c r="D297" s="31"/>
      <x:c r="E297" s="31"/>
      <x:c r="F297" s="31"/>
      <x:c r="G297" s="31"/>
      <x:c r="H297" s="31"/>
      <x:c r="I297" s="31"/>
      <x:c r="J297" s="32"/>
      <x:c r="K297" s="32"/>
      <x:c r="L297" s="32"/>
      <x:c r="M297" s="32"/>
      <x:c r="N297" s="31"/>
      <x:c r="O297" s="31"/>
      <x:c r="P297" s="31"/>
      <x:c r="Q297" s="32"/>
      <x:c r="R297" s="31"/>
      <x:c r="S297" s="31"/>
      <x:c r="T297" s="31"/>
      <x:c r="U297" s="31"/>
      <x:c r="V297" s="32"/>
      <x:c r="W297" s="31"/>
      <x:c r="X297" s="32"/>
      <x:c r="Y297" s="31"/>
    </x:row>
    <x:row r="298">
      <x:c r="A298" s="79"/>
      <x:c r="B298" s="31"/>
      <x:c r="C298" s="31"/>
      <x:c r="D298" s="31"/>
      <x:c r="E298" s="31"/>
      <x:c r="F298" s="31"/>
      <x:c r="G298" s="31"/>
      <x:c r="H298" s="31"/>
      <x:c r="I298" s="31"/>
      <x:c r="J298" s="32"/>
      <x:c r="K298" s="32"/>
      <x:c r="L298" s="32"/>
      <x:c r="M298" s="32"/>
      <x:c r="N298" s="31"/>
      <x:c r="O298" s="31"/>
      <x:c r="P298" s="31"/>
      <x:c r="Q298" s="32"/>
      <x:c r="R298" s="31"/>
      <x:c r="S298" s="31"/>
      <x:c r="T298" s="31"/>
      <x:c r="U298" s="31"/>
      <x:c r="V298" s="32"/>
      <x:c r="W298" s="31"/>
      <x:c r="X298" s="32"/>
      <x:c r="Y298" s="31"/>
    </x:row>
    <x:row r="299">
      <x:c r="A299" s="79"/>
      <x:c r="B299" s="31"/>
      <x:c r="C299" s="31"/>
      <x:c r="D299" s="31"/>
      <x:c r="E299" s="31"/>
      <x:c r="F299" s="31"/>
      <x:c r="G299" s="31"/>
      <x:c r="H299" s="31"/>
      <x:c r="I299" s="31"/>
      <x:c r="J299" s="32"/>
      <x:c r="K299" s="32"/>
      <x:c r="L299" s="32"/>
      <x:c r="M299" s="32"/>
      <x:c r="N299" s="31"/>
      <x:c r="O299" s="31"/>
      <x:c r="P299" s="31"/>
      <x:c r="Q299" s="32"/>
      <x:c r="R299" s="31"/>
      <x:c r="S299" s="31"/>
      <x:c r="T299" s="31"/>
      <x:c r="U299" s="31"/>
      <x:c r="V299" s="32"/>
      <x:c r="W299" s="31"/>
      <x:c r="X299" s="32"/>
      <x:c r="Y299" s="31"/>
    </x:row>
    <x:row r="300">
      <x:c r="A300" s="79"/>
      <x:c r="B300" s="31"/>
      <x:c r="C300" s="31"/>
      <x:c r="D300" s="31"/>
      <x:c r="E300" s="31"/>
      <x:c r="F300" s="31"/>
      <x:c r="G300" s="31"/>
      <x:c r="H300" s="31"/>
      <x:c r="I300" s="31"/>
      <x:c r="J300" s="32"/>
      <x:c r="K300" s="32"/>
      <x:c r="L300" s="32"/>
      <x:c r="M300" s="32"/>
      <x:c r="N300" s="31"/>
      <x:c r="O300" s="31"/>
      <x:c r="P300" s="31"/>
      <x:c r="Q300" s="32"/>
      <x:c r="R300" s="31"/>
      <x:c r="S300" s="31"/>
      <x:c r="T300" s="31"/>
      <x:c r="U300" s="31"/>
      <x:c r="V300" s="32"/>
      <x:c r="W300" s="31"/>
      <x:c r="X300" s="32"/>
      <x:c r="Y300" s="31"/>
    </x:row>
    <x:row r="301">
      <x:c r="A301" s="79"/>
      <x:c r="B301" s="31"/>
      <x:c r="C301" s="31"/>
      <x:c r="D301" s="31"/>
      <x:c r="E301" s="31"/>
      <x:c r="F301" s="31"/>
      <x:c r="G301" s="31"/>
      <x:c r="H301" s="31"/>
      <x:c r="I301" s="31"/>
      <x:c r="J301" s="32"/>
      <x:c r="K301" s="32"/>
      <x:c r="L301" s="32"/>
      <x:c r="M301" s="32"/>
      <x:c r="N301" s="31"/>
      <x:c r="O301" s="31"/>
      <x:c r="P301" s="31"/>
      <x:c r="Q301" s="32"/>
      <x:c r="R301" s="31"/>
      <x:c r="S301" s="31"/>
      <x:c r="T301" s="31"/>
      <x:c r="U301" s="31"/>
      <x:c r="V301" s="32"/>
      <x:c r="W301" s="31"/>
      <x:c r="X301" s="32"/>
      <x:c r="Y301" s="31"/>
    </x:row>
    <x:row r="302">
      <x:c r="A302" s="79"/>
      <x:c r="B302" s="31"/>
      <x:c r="C302" s="31"/>
      <x:c r="D302" s="31"/>
      <x:c r="E302" s="31"/>
      <x:c r="F302" s="31"/>
      <x:c r="G302" s="31"/>
      <x:c r="H302" s="31"/>
      <x:c r="I302" s="31"/>
      <x:c r="J302" s="32"/>
      <x:c r="K302" s="32"/>
      <x:c r="L302" s="32"/>
      <x:c r="M302" s="32"/>
      <x:c r="N302" s="31"/>
      <x:c r="O302" s="31"/>
      <x:c r="P302" s="31"/>
      <x:c r="Q302" s="32"/>
      <x:c r="R302" s="31"/>
      <x:c r="S302" s="31"/>
      <x:c r="T302" s="31"/>
      <x:c r="U302" s="31"/>
      <x:c r="V302" s="32"/>
      <x:c r="W302" s="31"/>
      <x:c r="X302" s="32"/>
      <x:c r="Y302" s="31"/>
    </x:row>
    <x:row r="303">
      <x:c r="A303" s="79"/>
      <x:c r="B303" s="31"/>
      <x:c r="C303" s="31"/>
      <x:c r="D303" s="31"/>
      <x:c r="E303" s="31"/>
      <x:c r="F303" s="31"/>
      <x:c r="G303" s="31"/>
      <x:c r="H303" s="31"/>
      <x:c r="I303" s="31"/>
      <x:c r="J303" s="32"/>
      <x:c r="K303" s="32"/>
      <x:c r="L303" s="32"/>
      <x:c r="M303" s="32"/>
      <x:c r="N303" s="31"/>
      <x:c r="O303" s="31"/>
      <x:c r="P303" s="31"/>
      <x:c r="Q303" s="32"/>
      <x:c r="R303" s="31"/>
      <x:c r="S303" s="31"/>
      <x:c r="T303" s="31"/>
      <x:c r="U303" s="31"/>
      <x:c r="V303" s="32"/>
      <x:c r="W303" s="31"/>
      <x:c r="X303" s="32"/>
      <x:c r="Y303" s="31"/>
    </x:row>
    <x:row r="304">
      <x:c r="A304" s="79"/>
      <x:c r="B304" s="31"/>
      <x:c r="C304" s="31"/>
      <x:c r="D304" s="31"/>
      <x:c r="E304" s="31"/>
      <x:c r="F304" s="31"/>
      <x:c r="G304" s="31"/>
      <x:c r="H304" s="31"/>
      <x:c r="I304" s="31"/>
      <x:c r="J304" s="32"/>
      <x:c r="K304" s="32"/>
      <x:c r="L304" s="32"/>
      <x:c r="M304" s="32"/>
      <x:c r="N304" s="31"/>
      <x:c r="O304" s="31"/>
      <x:c r="P304" s="31"/>
      <x:c r="Q304" s="32"/>
      <x:c r="R304" s="31"/>
      <x:c r="S304" s="31"/>
      <x:c r="T304" s="31"/>
      <x:c r="U304" s="31"/>
      <x:c r="V304" s="32"/>
      <x:c r="W304" s="31"/>
      <x:c r="X304" s="32"/>
      <x:c r="Y304" s="31"/>
    </x:row>
    <x:row r="305">
      <x:c r="A305" s="79"/>
      <x:c r="B305" s="31"/>
      <x:c r="C305" s="31"/>
      <x:c r="D305" s="31"/>
      <x:c r="E305" s="31"/>
      <x:c r="F305" s="31"/>
      <x:c r="G305" s="31"/>
      <x:c r="H305" s="31"/>
      <x:c r="I305" s="31"/>
      <x:c r="J305" s="32"/>
      <x:c r="K305" s="32"/>
      <x:c r="L305" s="32"/>
      <x:c r="M305" s="32"/>
      <x:c r="N305" s="31"/>
      <x:c r="O305" s="31"/>
      <x:c r="P305" s="31"/>
      <x:c r="Q305" s="32"/>
      <x:c r="R305" s="31"/>
      <x:c r="S305" s="31"/>
      <x:c r="T305" s="31"/>
      <x:c r="U305" s="31"/>
      <x:c r="V305" s="32"/>
      <x:c r="W305" s="31"/>
      <x:c r="X305" s="32"/>
      <x:c r="Y305" s="31"/>
    </x:row>
    <x:row r="306">
      <x:c r="A306" s="79"/>
      <x:c r="B306" s="31"/>
      <x:c r="C306" s="31"/>
      <x:c r="D306" s="31"/>
      <x:c r="E306" s="31"/>
      <x:c r="F306" s="31"/>
      <x:c r="G306" s="31"/>
      <x:c r="H306" s="31"/>
      <x:c r="I306" s="31"/>
      <x:c r="J306" s="32"/>
      <x:c r="K306" s="32"/>
      <x:c r="L306" s="32"/>
      <x:c r="M306" s="32"/>
      <x:c r="N306" s="31"/>
      <x:c r="O306" s="31"/>
      <x:c r="P306" s="31"/>
      <x:c r="Q306" s="32"/>
      <x:c r="R306" s="31"/>
      <x:c r="S306" s="31"/>
      <x:c r="T306" s="31"/>
      <x:c r="U306" s="31"/>
      <x:c r="V306" s="32"/>
      <x:c r="W306" s="31"/>
      <x:c r="X306" s="32"/>
      <x:c r="Y306" s="31"/>
    </x:row>
    <x:row r="307">
      <x:c r="A307" s="79"/>
      <x:c r="B307" s="31"/>
      <x:c r="C307" s="31"/>
      <x:c r="D307" s="31"/>
      <x:c r="E307" s="31"/>
      <x:c r="F307" s="31"/>
      <x:c r="G307" s="31"/>
      <x:c r="H307" s="31"/>
      <x:c r="I307" s="31"/>
      <x:c r="J307" s="32"/>
      <x:c r="K307" s="32"/>
      <x:c r="L307" s="32"/>
      <x:c r="M307" s="32"/>
      <x:c r="N307" s="31"/>
      <x:c r="O307" s="31"/>
      <x:c r="P307" s="31"/>
      <x:c r="Q307" s="32"/>
      <x:c r="R307" s="31"/>
      <x:c r="S307" s="31"/>
      <x:c r="T307" s="31"/>
      <x:c r="U307" s="31"/>
      <x:c r="V307" s="32"/>
      <x:c r="W307" s="31"/>
      <x:c r="X307" s="32"/>
      <x:c r="Y307" s="31"/>
    </x:row>
    <x:row r="308">
      <x:c r="A308" s="79"/>
      <x:c r="B308" s="31"/>
      <x:c r="C308" s="31"/>
      <x:c r="D308" s="31"/>
      <x:c r="E308" s="31"/>
      <x:c r="F308" s="31"/>
      <x:c r="G308" s="31"/>
      <x:c r="H308" s="31"/>
      <x:c r="I308" s="31"/>
      <x:c r="J308" s="32"/>
      <x:c r="K308" s="32"/>
      <x:c r="L308" s="32"/>
      <x:c r="M308" s="32"/>
      <x:c r="N308" s="31"/>
      <x:c r="O308" s="31"/>
      <x:c r="P308" s="31"/>
      <x:c r="Q308" s="32"/>
      <x:c r="R308" s="31"/>
      <x:c r="S308" s="31"/>
      <x:c r="T308" s="31"/>
      <x:c r="U308" s="31"/>
      <x:c r="V308" s="32"/>
      <x:c r="W308" s="31"/>
      <x:c r="X308" s="32"/>
      <x:c r="Y308" s="31"/>
    </x:row>
    <x:row r="309">
      <x:c r="A309" s="79"/>
      <x:c r="B309" s="31"/>
      <x:c r="C309" s="31"/>
      <x:c r="D309" s="31"/>
      <x:c r="E309" s="31"/>
      <x:c r="F309" s="31"/>
      <x:c r="G309" s="31"/>
      <x:c r="H309" s="31"/>
      <x:c r="I309" s="31"/>
      <x:c r="J309" s="32"/>
      <x:c r="K309" s="32"/>
      <x:c r="L309" s="32"/>
      <x:c r="M309" s="32"/>
      <x:c r="N309" s="31"/>
      <x:c r="O309" s="31"/>
      <x:c r="P309" s="31"/>
      <x:c r="Q309" s="32"/>
      <x:c r="R309" s="31"/>
      <x:c r="S309" s="31"/>
      <x:c r="T309" s="31"/>
      <x:c r="U309" s="31"/>
      <x:c r="V309" s="32"/>
      <x:c r="W309" s="31"/>
      <x:c r="X309" s="32"/>
      <x:c r="Y309" s="31"/>
    </x:row>
    <x:row r="310">
      <x:c r="A310" s="79"/>
      <x:c r="B310" s="31"/>
      <x:c r="C310" s="31"/>
      <x:c r="D310" s="31"/>
      <x:c r="E310" s="31"/>
      <x:c r="F310" s="31"/>
      <x:c r="G310" s="31"/>
      <x:c r="H310" s="31"/>
      <x:c r="I310" s="31"/>
      <x:c r="J310" s="32"/>
      <x:c r="K310" s="32"/>
      <x:c r="L310" s="32"/>
      <x:c r="M310" s="32"/>
      <x:c r="N310" s="31"/>
      <x:c r="O310" s="31"/>
      <x:c r="P310" s="31"/>
      <x:c r="Q310" s="32"/>
      <x:c r="R310" s="31"/>
      <x:c r="S310" s="31"/>
      <x:c r="T310" s="31"/>
      <x:c r="U310" s="31"/>
      <x:c r="V310" s="32"/>
      <x:c r="W310" s="31"/>
      <x:c r="X310" s="32"/>
      <x:c r="Y310" s="31"/>
    </x:row>
    <x:row r="311">
      <x:c r="A311" s="79"/>
      <x:c r="B311" s="31"/>
      <x:c r="C311" s="31"/>
      <x:c r="D311" s="31"/>
      <x:c r="E311" s="31"/>
      <x:c r="F311" s="31"/>
      <x:c r="G311" s="31"/>
      <x:c r="H311" s="31"/>
      <x:c r="I311" s="31"/>
      <x:c r="J311" s="32"/>
      <x:c r="K311" s="32"/>
      <x:c r="L311" s="32"/>
      <x:c r="M311" s="32"/>
      <x:c r="N311" s="31"/>
      <x:c r="O311" s="31"/>
      <x:c r="P311" s="31"/>
      <x:c r="Q311" s="32"/>
      <x:c r="R311" s="31"/>
      <x:c r="S311" s="31"/>
      <x:c r="T311" s="31"/>
      <x:c r="U311" s="31"/>
      <x:c r="V311" s="32"/>
      <x:c r="W311" s="31"/>
      <x:c r="X311" s="32"/>
      <x:c r="Y311" s="31"/>
    </x:row>
    <x:row r="312">
      <x:c r="A312" s="79"/>
      <x:c r="B312" s="31"/>
      <x:c r="C312" s="31"/>
      <x:c r="D312" s="31"/>
      <x:c r="E312" s="31"/>
      <x:c r="F312" s="31"/>
      <x:c r="G312" s="31"/>
      <x:c r="H312" s="31"/>
      <x:c r="I312" s="31"/>
      <x:c r="J312" s="32"/>
      <x:c r="K312" s="32"/>
      <x:c r="L312" s="32"/>
      <x:c r="M312" s="32"/>
      <x:c r="N312" s="31"/>
      <x:c r="O312" s="31"/>
      <x:c r="P312" s="31"/>
      <x:c r="Q312" s="32"/>
      <x:c r="R312" s="31"/>
      <x:c r="S312" s="31"/>
      <x:c r="T312" s="31"/>
      <x:c r="U312" s="31"/>
      <x:c r="V312" s="32"/>
      <x:c r="W312" s="31"/>
      <x:c r="X312" s="32"/>
      <x:c r="Y312" s="31"/>
    </x:row>
    <x:row r="313">
      <x:c r="A313" s="79"/>
      <x:c r="B313" s="31"/>
      <x:c r="C313" s="31"/>
      <x:c r="D313" s="31"/>
      <x:c r="E313" s="31"/>
      <x:c r="F313" s="31"/>
      <x:c r="G313" s="31"/>
      <x:c r="H313" s="31"/>
      <x:c r="I313" s="31"/>
      <x:c r="J313" s="32"/>
      <x:c r="K313" s="32"/>
      <x:c r="L313" s="32"/>
      <x:c r="M313" s="32"/>
      <x:c r="N313" s="31"/>
      <x:c r="O313" s="31"/>
      <x:c r="P313" s="31"/>
      <x:c r="Q313" s="32"/>
      <x:c r="R313" s="31"/>
      <x:c r="S313" s="31"/>
      <x:c r="T313" s="31"/>
      <x:c r="U313" s="31"/>
      <x:c r="V313" s="32"/>
      <x:c r="W313" s="31"/>
      <x:c r="X313" s="32"/>
      <x:c r="Y313" s="31"/>
    </x:row>
    <x:row r="314">
      <x:c r="A314" s="79"/>
      <x:c r="B314" s="31"/>
      <x:c r="C314" s="31"/>
      <x:c r="D314" s="31"/>
      <x:c r="E314" s="31"/>
      <x:c r="F314" s="31"/>
      <x:c r="G314" s="31"/>
      <x:c r="H314" s="31"/>
      <x:c r="I314" s="31"/>
      <x:c r="J314" s="32"/>
      <x:c r="K314" s="32"/>
      <x:c r="L314" s="32"/>
      <x:c r="M314" s="32"/>
      <x:c r="N314" s="31"/>
      <x:c r="O314" s="31"/>
      <x:c r="P314" s="31"/>
      <x:c r="Q314" s="32"/>
      <x:c r="R314" s="31"/>
      <x:c r="S314" s="31"/>
      <x:c r="T314" s="31"/>
      <x:c r="U314" s="31"/>
      <x:c r="V314" s="32"/>
      <x:c r="W314" s="31"/>
      <x:c r="X314" s="32"/>
      <x:c r="Y314" s="31"/>
    </x:row>
    <x:row r="315">
      <x:c r="A315" s="79"/>
      <x:c r="B315" s="31"/>
      <x:c r="C315" s="31"/>
      <x:c r="D315" s="31"/>
      <x:c r="E315" s="31"/>
      <x:c r="F315" s="31"/>
      <x:c r="G315" s="31"/>
      <x:c r="H315" s="31"/>
      <x:c r="I315" s="31"/>
      <x:c r="J315" s="32"/>
      <x:c r="K315" s="32"/>
      <x:c r="L315" s="32"/>
      <x:c r="M315" s="32"/>
      <x:c r="N315" s="31"/>
      <x:c r="O315" s="31"/>
      <x:c r="P315" s="31"/>
      <x:c r="Q315" s="32"/>
      <x:c r="R315" s="31"/>
      <x:c r="S315" s="31"/>
      <x:c r="T315" s="31"/>
      <x:c r="U315" s="31"/>
      <x:c r="V315" s="32"/>
      <x:c r="W315" s="31"/>
      <x:c r="X315" s="32"/>
      <x:c r="Y315" s="31"/>
    </x:row>
    <x:row r="316">
      <x:c r="A316" s="79"/>
      <x:c r="B316" s="31"/>
      <x:c r="C316" s="31"/>
      <x:c r="D316" s="31"/>
      <x:c r="E316" s="31"/>
      <x:c r="F316" s="31"/>
      <x:c r="G316" s="31"/>
      <x:c r="H316" s="31"/>
      <x:c r="I316" s="31"/>
      <x:c r="J316" s="32"/>
      <x:c r="K316" s="32"/>
      <x:c r="L316" s="32"/>
      <x:c r="M316" s="32"/>
      <x:c r="N316" s="31"/>
      <x:c r="O316" s="31"/>
      <x:c r="P316" s="31"/>
      <x:c r="Q316" s="32"/>
      <x:c r="R316" s="31"/>
      <x:c r="S316" s="31"/>
      <x:c r="T316" s="31"/>
      <x:c r="U316" s="31"/>
      <x:c r="V316" s="32"/>
      <x:c r="W316" s="31"/>
      <x:c r="X316" s="32"/>
      <x:c r="Y316" s="31"/>
    </x:row>
    <x:row r="317">
      <x:c r="A317" s="79"/>
      <x:c r="B317" s="31"/>
      <x:c r="C317" s="31"/>
      <x:c r="D317" s="31"/>
      <x:c r="E317" s="31"/>
      <x:c r="F317" s="31"/>
      <x:c r="G317" s="31"/>
      <x:c r="H317" s="31"/>
      <x:c r="I317" s="31"/>
      <x:c r="J317" s="32"/>
      <x:c r="K317" s="32"/>
      <x:c r="L317" s="32"/>
      <x:c r="M317" s="32"/>
      <x:c r="N317" s="31"/>
      <x:c r="O317" s="31"/>
      <x:c r="P317" s="31"/>
      <x:c r="Q317" s="32"/>
      <x:c r="R317" s="31"/>
      <x:c r="S317" s="31"/>
      <x:c r="T317" s="31"/>
      <x:c r="U317" s="31"/>
      <x:c r="V317" s="32"/>
      <x:c r="W317" s="31"/>
      <x:c r="X317" s="32"/>
      <x:c r="Y317" s="31"/>
    </x:row>
    <x:row r="318">
      <x:c r="A318" s="79"/>
      <x:c r="B318" s="31"/>
      <x:c r="C318" s="31"/>
      <x:c r="D318" s="31"/>
      <x:c r="E318" s="31"/>
      <x:c r="F318" s="31"/>
      <x:c r="G318" s="31"/>
      <x:c r="H318" s="31"/>
      <x:c r="I318" s="31"/>
      <x:c r="J318" s="32"/>
      <x:c r="K318" s="32"/>
      <x:c r="L318" s="32"/>
      <x:c r="M318" s="32"/>
      <x:c r="N318" s="31"/>
      <x:c r="O318" s="31"/>
      <x:c r="P318" s="31"/>
      <x:c r="Q318" s="32"/>
      <x:c r="R318" s="31"/>
      <x:c r="S318" s="31"/>
      <x:c r="T318" s="31"/>
      <x:c r="U318" s="31"/>
      <x:c r="V318" s="32"/>
      <x:c r="W318" s="31"/>
      <x:c r="X318" s="32"/>
      <x:c r="Y318" s="31"/>
    </x:row>
    <x:row r="319">
      <x:c r="A319" s="79"/>
      <x:c r="B319" s="31"/>
      <x:c r="C319" s="31"/>
      <x:c r="D319" s="31"/>
      <x:c r="E319" s="31"/>
      <x:c r="F319" s="31"/>
      <x:c r="G319" s="31"/>
      <x:c r="H319" s="31"/>
      <x:c r="I319" s="31"/>
      <x:c r="J319" s="32"/>
      <x:c r="K319" s="32"/>
      <x:c r="L319" s="32"/>
      <x:c r="M319" s="32"/>
      <x:c r="N319" s="31"/>
      <x:c r="O319" s="31"/>
      <x:c r="P319" s="31"/>
      <x:c r="Q319" s="32"/>
      <x:c r="R319" s="31"/>
      <x:c r="S319" s="31"/>
      <x:c r="T319" s="31"/>
      <x:c r="U319" s="31"/>
      <x:c r="V319" s="32"/>
      <x:c r="W319" s="31"/>
      <x:c r="X319" s="32"/>
      <x:c r="Y319" s="31"/>
    </x:row>
    <x:row r="320">
      <x:c r="A320" s="79"/>
      <x:c r="B320" s="31"/>
      <x:c r="C320" s="31"/>
      <x:c r="D320" s="31"/>
      <x:c r="E320" s="31"/>
      <x:c r="F320" s="31"/>
      <x:c r="G320" s="31"/>
      <x:c r="H320" s="31"/>
      <x:c r="I320" s="31"/>
      <x:c r="J320" s="32"/>
      <x:c r="K320" s="32"/>
      <x:c r="L320" s="32"/>
      <x:c r="M320" s="32"/>
      <x:c r="N320" s="31"/>
      <x:c r="O320" s="31"/>
      <x:c r="P320" s="31"/>
      <x:c r="Q320" s="32"/>
      <x:c r="R320" s="31"/>
      <x:c r="S320" s="31"/>
      <x:c r="T320" s="31"/>
      <x:c r="U320" s="31"/>
      <x:c r="V320" s="32"/>
      <x:c r="W320" s="31"/>
      <x:c r="X320" s="32"/>
      <x:c r="Y320" s="31"/>
    </x:row>
    <x:row r="321">
      <x:c r="A321" s="79"/>
      <x:c r="B321" s="31"/>
      <x:c r="C321" s="31"/>
      <x:c r="D321" s="31"/>
      <x:c r="E321" s="31"/>
      <x:c r="F321" s="31"/>
      <x:c r="G321" s="31"/>
      <x:c r="H321" s="31"/>
      <x:c r="I321" s="31"/>
      <x:c r="J321" s="32"/>
      <x:c r="K321" s="32"/>
      <x:c r="L321" s="32"/>
      <x:c r="M321" s="32"/>
      <x:c r="N321" s="31"/>
      <x:c r="O321" s="31"/>
      <x:c r="P321" s="31"/>
      <x:c r="Q321" s="32"/>
      <x:c r="R321" s="31"/>
      <x:c r="S321" s="31"/>
      <x:c r="T321" s="31"/>
      <x:c r="U321" s="31"/>
      <x:c r="V321" s="32"/>
      <x:c r="W321" s="31"/>
      <x:c r="X321" s="32"/>
      <x:c r="Y321" s="31"/>
    </x:row>
    <x:row r="322">
      <x:c r="A322" s="79"/>
      <x:c r="B322" s="31"/>
      <x:c r="C322" s="31"/>
      <x:c r="D322" s="31"/>
      <x:c r="E322" s="31"/>
      <x:c r="F322" s="31"/>
      <x:c r="G322" s="31"/>
      <x:c r="H322" s="31"/>
      <x:c r="I322" s="31"/>
      <x:c r="J322" s="32"/>
      <x:c r="K322" s="32"/>
      <x:c r="L322" s="32"/>
      <x:c r="M322" s="32"/>
      <x:c r="N322" s="31"/>
      <x:c r="O322" s="31"/>
      <x:c r="P322" s="31"/>
      <x:c r="Q322" s="32"/>
      <x:c r="R322" s="31"/>
      <x:c r="S322" s="31"/>
      <x:c r="T322" s="31"/>
      <x:c r="U322" s="31"/>
      <x:c r="V322" s="32"/>
      <x:c r="W322" s="31"/>
      <x:c r="X322" s="32"/>
      <x:c r="Y322" s="31"/>
    </x:row>
    <x:row r="323">
      <x:c r="A323" s="79"/>
      <x:c r="B323" s="31"/>
      <x:c r="C323" s="31"/>
      <x:c r="D323" s="31"/>
      <x:c r="E323" s="31"/>
      <x:c r="F323" s="31"/>
      <x:c r="G323" s="31"/>
      <x:c r="H323" s="31"/>
      <x:c r="I323" s="31"/>
      <x:c r="J323" s="32"/>
      <x:c r="K323" s="32"/>
      <x:c r="L323" s="32"/>
      <x:c r="M323" s="32"/>
      <x:c r="N323" s="31"/>
      <x:c r="O323" s="31"/>
      <x:c r="P323" s="31"/>
      <x:c r="Q323" s="32"/>
      <x:c r="R323" s="31"/>
      <x:c r="S323" s="31"/>
      <x:c r="T323" s="31"/>
      <x:c r="U323" s="31"/>
      <x:c r="V323" s="32"/>
      <x:c r="W323" s="31"/>
      <x:c r="X323" s="32"/>
      <x:c r="Y323" s="31"/>
    </x:row>
    <x:row r="324">
      <x:c r="A324" s="79"/>
      <x:c r="B324" s="31"/>
      <x:c r="C324" s="31"/>
      <x:c r="D324" s="31"/>
      <x:c r="E324" s="31"/>
      <x:c r="F324" s="31"/>
      <x:c r="G324" s="31"/>
      <x:c r="H324" s="31"/>
      <x:c r="I324" s="31"/>
      <x:c r="J324" s="32"/>
      <x:c r="K324" s="32"/>
      <x:c r="L324" s="32"/>
      <x:c r="M324" s="32"/>
      <x:c r="N324" s="31"/>
      <x:c r="O324" s="31"/>
      <x:c r="P324" s="31"/>
      <x:c r="Q324" s="32"/>
      <x:c r="R324" s="31"/>
      <x:c r="S324" s="31"/>
      <x:c r="T324" s="31"/>
      <x:c r="U324" s="31"/>
      <x:c r="V324" s="32"/>
      <x:c r="W324" s="31"/>
      <x:c r="X324" s="32"/>
      <x:c r="Y324" s="31"/>
    </x:row>
    <x:row r="325">
      <x:c r="A325" s="79"/>
      <x:c r="B325" s="31"/>
      <x:c r="C325" s="31"/>
      <x:c r="D325" s="31"/>
      <x:c r="E325" s="31"/>
      <x:c r="F325" s="31"/>
      <x:c r="G325" s="31"/>
      <x:c r="H325" s="31"/>
      <x:c r="I325" s="31"/>
      <x:c r="J325" s="32"/>
      <x:c r="K325" s="32"/>
      <x:c r="L325" s="32"/>
      <x:c r="M325" s="32"/>
      <x:c r="N325" s="31"/>
      <x:c r="O325" s="31"/>
      <x:c r="P325" s="31"/>
      <x:c r="Q325" s="32"/>
      <x:c r="R325" s="31"/>
      <x:c r="S325" s="31"/>
      <x:c r="T325" s="31"/>
      <x:c r="U325" s="31"/>
      <x:c r="V325" s="32"/>
      <x:c r="W325" s="31"/>
      <x:c r="X325" s="32"/>
      <x:c r="Y325" s="31"/>
    </x:row>
    <x:row r="326">
      <x:c r="A326" s="79"/>
      <x:c r="B326" s="31"/>
      <x:c r="C326" s="31"/>
      <x:c r="D326" s="31"/>
      <x:c r="E326" s="31"/>
      <x:c r="F326" s="31"/>
      <x:c r="G326" s="31"/>
      <x:c r="H326" s="31"/>
      <x:c r="I326" s="31"/>
      <x:c r="J326" s="32"/>
      <x:c r="K326" s="32"/>
      <x:c r="L326" s="32"/>
      <x:c r="M326" s="32"/>
      <x:c r="N326" s="31"/>
      <x:c r="O326" s="31"/>
      <x:c r="P326" s="31"/>
      <x:c r="Q326" s="32"/>
      <x:c r="R326" s="31"/>
      <x:c r="S326" s="31"/>
      <x:c r="T326" s="31"/>
      <x:c r="U326" s="31"/>
      <x:c r="V326" s="32"/>
      <x:c r="W326" s="31"/>
      <x:c r="X326" s="32"/>
      <x:c r="Y326" s="31"/>
    </x:row>
    <x:row r="327">
      <x:c r="A327" s="79"/>
      <x:c r="B327" s="31"/>
      <x:c r="C327" s="31"/>
      <x:c r="D327" s="31"/>
      <x:c r="E327" s="31"/>
      <x:c r="F327" s="31"/>
      <x:c r="G327" s="31"/>
      <x:c r="H327" s="31"/>
      <x:c r="I327" s="31"/>
      <x:c r="J327" s="32"/>
      <x:c r="K327" s="32"/>
      <x:c r="L327" s="32"/>
      <x:c r="M327" s="32"/>
      <x:c r="N327" s="31"/>
      <x:c r="O327" s="31"/>
      <x:c r="P327" s="31"/>
      <x:c r="Q327" s="32"/>
      <x:c r="R327" s="31"/>
      <x:c r="S327" s="31"/>
      <x:c r="T327" s="31"/>
      <x:c r="U327" s="31"/>
      <x:c r="V327" s="32"/>
      <x:c r="W327" s="31"/>
      <x:c r="X327" s="32"/>
      <x:c r="Y327" s="31"/>
    </x:row>
    <x:row r="328">
      <x:c r="A328" s="79"/>
      <x:c r="B328" s="31"/>
      <x:c r="C328" s="31"/>
      <x:c r="D328" s="31"/>
      <x:c r="E328" s="31"/>
      <x:c r="F328" s="31"/>
      <x:c r="G328" s="31"/>
      <x:c r="H328" s="31"/>
      <x:c r="I328" s="31"/>
      <x:c r="J328" s="32"/>
      <x:c r="K328" s="32"/>
      <x:c r="L328" s="32"/>
      <x:c r="M328" s="32"/>
      <x:c r="N328" s="31"/>
      <x:c r="O328" s="31"/>
      <x:c r="P328" s="31"/>
      <x:c r="Q328" s="32"/>
      <x:c r="R328" s="31"/>
      <x:c r="S328" s="31"/>
      <x:c r="T328" s="31"/>
      <x:c r="U328" s="31"/>
      <x:c r="V328" s="32"/>
      <x:c r="W328" s="31"/>
      <x:c r="X328" s="32"/>
      <x:c r="Y328" s="31"/>
    </x:row>
    <x:row r="329">
      <x:c r="A329" s="79"/>
      <x:c r="B329" s="31"/>
      <x:c r="C329" s="31"/>
      <x:c r="D329" s="31"/>
      <x:c r="E329" s="31"/>
      <x:c r="F329" s="31"/>
      <x:c r="G329" s="31"/>
      <x:c r="H329" s="31"/>
      <x:c r="I329" s="31"/>
      <x:c r="J329" s="32"/>
      <x:c r="K329" s="32"/>
      <x:c r="L329" s="32"/>
      <x:c r="M329" s="32"/>
      <x:c r="N329" s="31"/>
      <x:c r="O329" s="31"/>
      <x:c r="P329" s="31"/>
      <x:c r="Q329" s="32"/>
      <x:c r="R329" s="31"/>
      <x:c r="S329" s="31"/>
      <x:c r="T329" s="31"/>
      <x:c r="U329" s="31"/>
      <x:c r="V329" s="32"/>
      <x:c r="W329" s="31"/>
      <x:c r="X329" s="32"/>
      <x:c r="Y329" s="31"/>
    </x:row>
    <x:row r="330">
      <x:c r="A330" s="79"/>
      <x:c r="B330" s="31"/>
      <x:c r="C330" s="31"/>
      <x:c r="D330" s="31"/>
      <x:c r="E330" s="31"/>
      <x:c r="F330" s="31"/>
      <x:c r="G330" s="31"/>
      <x:c r="H330" s="31"/>
      <x:c r="I330" s="31"/>
      <x:c r="J330" s="32"/>
      <x:c r="K330" s="32"/>
      <x:c r="L330" s="32"/>
      <x:c r="M330" s="32"/>
      <x:c r="N330" s="31"/>
      <x:c r="O330" s="31"/>
      <x:c r="P330" s="31"/>
      <x:c r="Q330" s="32"/>
      <x:c r="R330" s="31"/>
      <x:c r="S330" s="31"/>
      <x:c r="T330" s="31"/>
      <x:c r="U330" s="31"/>
      <x:c r="V330" s="32"/>
      <x:c r="W330" s="31"/>
      <x:c r="X330" s="32"/>
      <x:c r="Y330" s="31"/>
    </x:row>
    <x:row r="331">
      <x:c r="A331" s="79"/>
      <x:c r="B331" s="31"/>
      <x:c r="C331" s="31"/>
      <x:c r="D331" s="31"/>
      <x:c r="E331" s="31"/>
      <x:c r="F331" s="31"/>
      <x:c r="G331" s="31"/>
      <x:c r="H331" s="31"/>
      <x:c r="I331" s="31"/>
      <x:c r="J331" s="32"/>
      <x:c r="K331" s="32"/>
      <x:c r="L331" s="32"/>
      <x:c r="M331" s="32"/>
      <x:c r="N331" s="31"/>
      <x:c r="O331" s="31"/>
      <x:c r="P331" s="31"/>
      <x:c r="Q331" s="32"/>
      <x:c r="R331" s="31"/>
      <x:c r="S331" s="31"/>
      <x:c r="T331" s="31"/>
      <x:c r="U331" s="31"/>
      <x:c r="V331" s="32"/>
      <x:c r="W331" s="31"/>
      <x:c r="X331" s="32"/>
      <x:c r="Y331" s="31"/>
    </x:row>
    <x:row r="332">
      <x:c r="A332" s="79"/>
      <x:c r="B332" s="31"/>
      <x:c r="C332" s="31"/>
      <x:c r="D332" s="31"/>
      <x:c r="E332" s="31"/>
      <x:c r="F332" s="31"/>
      <x:c r="G332" s="31"/>
      <x:c r="H332" s="31"/>
      <x:c r="I332" s="31"/>
      <x:c r="J332" s="32"/>
      <x:c r="K332" s="32"/>
      <x:c r="L332" s="32"/>
      <x:c r="M332" s="32"/>
      <x:c r="N332" s="31"/>
      <x:c r="O332" s="31"/>
      <x:c r="P332" s="31"/>
      <x:c r="Q332" s="32"/>
      <x:c r="R332" s="31"/>
      <x:c r="S332" s="31"/>
      <x:c r="T332" s="31"/>
      <x:c r="U332" s="31"/>
      <x:c r="V332" s="32"/>
      <x:c r="W332" s="31"/>
      <x:c r="X332" s="32"/>
      <x:c r="Y332" s="31"/>
    </x:row>
    <x:row r="333">
      <x:c r="A333" s="79"/>
      <x:c r="B333" s="31"/>
      <x:c r="C333" s="31"/>
      <x:c r="D333" s="31"/>
      <x:c r="E333" s="31"/>
      <x:c r="F333" s="31"/>
      <x:c r="G333" s="31"/>
      <x:c r="H333" s="31"/>
      <x:c r="I333" s="31"/>
      <x:c r="J333" s="32"/>
      <x:c r="K333" s="32"/>
      <x:c r="L333" s="32"/>
      <x:c r="M333" s="32"/>
      <x:c r="N333" s="31"/>
      <x:c r="O333" s="31"/>
      <x:c r="P333" s="31"/>
      <x:c r="Q333" s="32"/>
      <x:c r="R333" s="31"/>
      <x:c r="S333" s="31"/>
      <x:c r="T333" s="31"/>
      <x:c r="U333" s="31"/>
      <x:c r="V333" s="32"/>
      <x:c r="W333" s="31"/>
      <x:c r="X333" s="32"/>
      <x:c r="Y333" s="31"/>
    </x:row>
    <x:row r="334">
      <x:c r="A334" s="79"/>
      <x:c r="B334" s="31"/>
      <x:c r="C334" s="31"/>
      <x:c r="D334" s="31"/>
      <x:c r="E334" s="31"/>
      <x:c r="F334" s="31"/>
      <x:c r="G334" s="31"/>
      <x:c r="H334" s="31"/>
      <x:c r="I334" s="31"/>
      <x:c r="J334" s="32"/>
      <x:c r="K334" s="32"/>
      <x:c r="L334" s="32"/>
      <x:c r="M334" s="32"/>
      <x:c r="N334" s="31"/>
      <x:c r="O334" s="31"/>
      <x:c r="P334" s="31"/>
      <x:c r="Q334" s="32"/>
      <x:c r="R334" s="31"/>
      <x:c r="S334" s="31"/>
      <x:c r="T334" s="31"/>
      <x:c r="U334" s="31"/>
      <x:c r="V334" s="32"/>
      <x:c r="W334" s="31"/>
      <x:c r="X334" s="32"/>
      <x:c r="Y334" s="31"/>
    </x:row>
    <x:row r="335">
      <x:c r="A335" s="79"/>
      <x:c r="B335" s="31"/>
      <x:c r="C335" s="31"/>
      <x:c r="D335" s="31"/>
      <x:c r="E335" s="31"/>
      <x:c r="F335" s="31"/>
      <x:c r="G335" s="31"/>
      <x:c r="H335" s="31"/>
      <x:c r="I335" s="31"/>
      <x:c r="J335" s="32"/>
      <x:c r="K335" s="32"/>
      <x:c r="L335" s="32"/>
      <x:c r="M335" s="32"/>
      <x:c r="N335" s="31"/>
      <x:c r="O335" s="31"/>
      <x:c r="P335" s="31"/>
      <x:c r="Q335" s="32"/>
      <x:c r="R335" s="31"/>
      <x:c r="S335" s="31"/>
      <x:c r="T335" s="31"/>
      <x:c r="U335" s="31"/>
      <x:c r="V335" s="32"/>
      <x:c r="W335" s="31"/>
      <x:c r="X335" s="32"/>
      <x:c r="Y335" s="31"/>
    </x:row>
    <x:row r="336">
      <x:c r="A336" s="79"/>
      <x:c r="B336" s="31"/>
      <x:c r="C336" s="31"/>
      <x:c r="D336" s="31"/>
      <x:c r="E336" s="31"/>
      <x:c r="F336" s="31"/>
      <x:c r="G336" s="31"/>
      <x:c r="H336" s="31"/>
      <x:c r="I336" s="31"/>
      <x:c r="J336" s="32"/>
      <x:c r="K336" s="32"/>
      <x:c r="L336" s="32"/>
      <x:c r="M336" s="32"/>
      <x:c r="N336" s="31"/>
      <x:c r="O336" s="31"/>
      <x:c r="P336" s="31"/>
      <x:c r="Q336" s="32"/>
      <x:c r="R336" s="31"/>
      <x:c r="S336" s="31"/>
      <x:c r="T336" s="31"/>
      <x:c r="U336" s="31"/>
      <x:c r="V336" s="32"/>
      <x:c r="W336" s="31"/>
      <x:c r="X336" s="32"/>
      <x:c r="Y336" s="31"/>
    </x:row>
    <x:row r="337">
      <x:c r="A337" s="79"/>
      <x:c r="B337" s="31"/>
      <x:c r="C337" s="31"/>
      <x:c r="D337" s="31"/>
      <x:c r="E337" s="31"/>
      <x:c r="F337" s="31"/>
      <x:c r="G337" s="31"/>
      <x:c r="H337" s="31"/>
      <x:c r="I337" s="31"/>
      <x:c r="J337" s="32"/>
      <x:c r="K337" s="32"/>
      <x:c r="L337" s="32"/>
      <x:c r="M337" s="32"/>
      <x:c r="N337" s="31"/>
      <x:c r="O337" s="31"/>
      <x:c r="P337" s="31"/>
      <x:c r="Q337" s="32"/>
      <x:c r="R337" s="31"/>
      <x:c r="S337" s="31"/>
      <x:c r="T337" s="31"/>
      <x:c r="U337" s="31"/>
      <x:c r="V337" s="32"/>
      <x:c r="W337" s="31"/>
      <x:c r="X337" s="32"/>
      <x:c r="Y337" s="31"/>
    </x:row>
    <x:row r="338">
      <x:c r="A338" s="79"/>
      <x:c r="B338" s="31"/>
      <x:c r="C338" s="31"/>
      <x:c r="D338" s="31"/>
      <x:c r="E338" s="31"/>
      <x:c r="F338" s="31"/>
      <x:c r="G338" s="31"/>
      <x:c r="H338" s="31"/>
      <x:c r="I338" s="31"/>
      <x:c r="J338" s="32"/>
      <x:c r="K338" s="32"/>
      <x:c r="L338" s="32"/>
      <x:c r="M338" s="32"/>
      <x:c r="N338" s="31"/>
      <x:c r="O338" s="31"/>
      <x:c r="P338" s="31"/>
      <x:c r="Q338" s="32"/>
      <x:c r="R338" s="31"/>
      <x:c r="S338" s="31"/>
      <x:c r="T338" s="31"/>
      <x:c r="U338" s="31"/>
      <x:c r="V338" s="32"/>
      <x:c r="W338" s="31"/>
      <x:c r="X338" s="32"/>
      <x:c r="Y338" s="31"/>
    </x:row>
    <x:row r="339">
      <x:c r="A339" s="79"/>
      <x:c r="B339" s="31"/>
      <x:c r="C339" s="31"/>
      <x:c r="D339" s="31"/>
      <x:c r="E339" s="31"/>
      <x:c r="F339" s="31"/>
      <x:c r="G339" s="31"/>
      <x:c r="H339" s="31"/>
      <x:c r="I339" s="31"/>
      <x:c r="J339" s="32"/>
      <x:c r="K339" s="32"/>
      <x:c r="L339" s="32"/>
      <x:c r="M339" s="32"/>
      <x:c r="N339" s="31"/>
      <x:c r="O339" s="31"/>
      <x:c r="P339" s="31"/>
      <x:c r="Q339" s="32"/>
      <x:c r="R339" s="31"/>
      <x:c r="S339" s="31"/>
      <x:c r="T339" s="31"/>
      <x:c r="U339" s="31"/>
      <x:c r="V339" s="32"/>
      <x:c r="W339" s="31"/>
      <x:c r="X339" s="32"/>
      <x:c r="Y339" s="31"/>
    </x:row>
    <x:row r="340">
      <x:c r="A340" s="79"/>
      <x:c r="B340" s="31"/>
      <x:c r="C340" s="31"/>
      <x:c r="D340" s="31"/>
      <x:c r="E340" s="31"/>
      <x:c r="F340" s="31"/>
      <x:c r="G340" s="31"/>
      <x:c r="H340" s="31"/>
      <x:c r="I340" s="31"/>
      <x:c r="J340" s="32"/>
      <x:c r="K340" s="32"/>
      <x:c r="L340" s="32"/>
      <x:c r="M340" s="32"/>
      <x:c r="N340" s="31"/>
      <x:c r="O340" s="31"/>
      <x:c r="P340" s="31"/>
      <x:c r="Q340" s="32"/>
      <x:c r="R340" s="31"/>
      <x:c r="S340" s="31"/>
      <x:c r="T340" s="31"/>
      <x:c r="U340" s="31"/>
      <x:c r="V340" s="32"/>
      <x:c r="W340" s="31"/>
      <x:c r="X340" s="32"/>
      <x:c r="Y340" s="31"/>
    </x:row>
    <x:row r="341">
      <x:c r="A341" s="79"/>
      <x:c r="B341" s="31"/>
      <x:c r="C341" s="31"/>
      <x:c r="D341" s="31"/>
      <x:c r="E341" s="31"/>
      <x:c r="F341" s="31"/>
      <x:c r="G341" s="31"/>
      <x:c r="H341" s="31"/>
      <x:c r="I341" s="31"/>
      <x:c r="J341" s="32"/>
      <x:c r="K341" s="32"/>
      <x:c r="L341" s="32"/>
      <x:c r="M341" s="32"/>
      <x:c r="N341" s="31"/>
      <x:c r="O341" s="31"/>
      <x:c r="P341" s="31"/>
      <x:c r="Q341" s="32"/>
      <x:c r="R341" s="31"/>
      <x:c r="S341" s="31"/>
      <x:c r="T341" s="31"/>
      <x:c r="U341" s="31"/>
      <x:c r="V341" s="32"/>
      <x:c r="W341" s="31"/>
      <x:c r="X341" s="32"/>
      <x:c r="Y341" s="31"/>
    </x:row>
    <x:row r="342">
      <x:c r="A342" s="79"/>
      <x:c r="B342" s="31"/>
      <x:c r="C342" s="31"/>
      <x:c r="D342" s="31"/>
      <x:c r="E342" s="31"/>
      <x:c r="F342" s="31"/>
      <x:c r="G342" s="31"/>
      <x:c r="H342" s="31"/>
      <x:c r="I342" s="31"/>
      <x:c r="J342" s="32"/>
      <x:c r="K342" s="32"/>
      <x:c r="L342" s="32"/>
      <x:c r="M342" s="32"/>
      <x:c r="N342" s="31"/>
      <x:c r="O342" s="31"/>
      <x:c r="P342" s="31"/>
      <x:c r="Q342" s="32"/>
      <x:c r="R342" s="31"/>
      <x:c r="S342" s="31"/>
      <x:c r="T342" s="31"/>
      <x:c r="U342" s="31"/>
      <x:c r="V342" s="32"/>
      <x:c r="W342" s="31"/>
      <x:c r="X342" s="32"/>
      <x:c r="Y342" s="31"/>
    </x:row>
    <x:row r="343">
      <x:c r="A343" s="79"/>
      <x:c r="B343" s="31"/>
      <x:c r="C343" s="31"/>
      <x:c r="D343" s="31"/>
      <x:c r="E343" s="31"/>
      <x:c r="F343" s="31"/>
      <x:c r="G343" s="31"/>
      <x:c r="H343" s="31"/>
      <x:c r="I343" s="31"/>
      <x:c r="J343" s="32"/>
      <x:c r="K343" s="32"/>
      <x:c r="L343" s="32"/>
      <x:c r="M343" s="32"/>
      <x:c r="N343" s="31"/>
      <x:c r="O343" s="31"/>
      <x:c r="P343" s="31"/>
      <x:c r="Q343" s="32"/>
      <x:c r="R343" s="31"/>
      <x:c r="S343" s="31"/>
      <x:c r="T343" s="31"/>
      <x:c r="U343" s="31"/>
      <x:c r="V343" s="32"/>
      <x:c r="W343" s="31"/>
      <x:c r="X343" s="32"/>
      <x:c r="Y343" s="31"/>
    </x:row>
    <x:row r="344">
      <x:c r="A344" s="79"/>
      <x:c r="B344" s="31"/>
      <x:c r="C344" s="31"/>
      <x:c r="D344" s="31"/>
      <x:c r="E344" s="31"/>
      <x:c r="F344" s="31"/>
      <x:c r="G344" s="31"/>
      <x:c r="H344" s="31"/>
      <x:c r="I344" s="31"/>
      <x:c r="J344" s="32"/>
      <x:c r="K344" s="32"/>
      <x:c r="L344" s="32"/>
      <x:c r="M344" s="32"/>
      <x:c r="N344" s="31"/>
      <x:c r="O344" s="31"/>
      <x:c r="P344" s="31"/>
      <x:c r="Q344" s="32"/>
      <x:c r="R344" s="31"/>
      <x:c r="S344" s="31"/>
      <x:c r="T344" s="31"/>
      <x:c r="U344" s="31"/>
      <x:c r="V344" s="32"/>
      <x:c r="W344" s="31"/>
      <x:c r="X344" s="32"/>
      <x:c r="Y344" s="31"/>
    </x:row>
    <x:row r="345">
      <x:c r="A345" s="79"/>
      <x:c r="B345" s="31"/>
      <x:c r="C345" s="31"/>
      <x:c r="D345" s="31"/>
      <x:c r="E345" s="31"/>
      <x:c r="F345" s="31"/>
      <x:c r="G345" s="31"/>
      <x:c r="H345" s="31"/>
      <x:c r="I345" s="31"/>
      <x:c r="J345" s="32"/>
      <x:c r="K345" s="32"/>
      <x:c r="L345" s="32"/>
      <x:c r="M345" s="32"/>
      <x:c r="N345" s="31"/>
      <x:c r="O345" s="31"/>
      <x:c r="P345" s="31"/>
      <x:c r="Q345" s="32"/>
      <x:c r="R345" s="31"/>
      <x:c r="S345" s="31"/>
      <x:c r="T345" s="31"/>
      <x:c r="U345" s="31"/>
      <x:c r="V345" s="32"/>
      <x:c r="W345" s="31"/>
      <x:c r="X345" s="32"/>
      <x:c r="Y345" s="31"/>
    </x:row>
    <x:row r="346">
      <x:c r="A346" s="79"/>
      <x:c r="B346" s="31"/>
      <x:c r="C346" s="31"/>
      <x:c r="D346" s="31"/>
      <x:c r="E346" s="31"/>
      <x:c r="F346" s="31"/>
      <x:c r="G346" s="31"/>
      <x:c r="H346" s="31"/>
      <x:c r="I346" s="31"/>
      <x:c r="J346" s="32"/>
      <x:c r="K346" s="32"/>
      <x:c r="L346" s="32"/>
      <x:c r="M346" s="32"/>
      <x:c r="N346" s="31"/>
      <x:c r="O346" s="31"/>
      <x:c r="P346" s="31"/>
      <x:c r="Q346" s="32"/>
      <x:c r="R346" s="31"/>
      <x:c r="S346" s="31"/>
      <x:c r="T346" s="31"/>
      <x:c r="U346" s="31"/>
      <x:c r="V346" s="32"/>
      <x:c r="W346" s="31"/>
      <x:c r="X346" s="32"/>
      <x:c r="Y346" s="31"/>
    </x:row>
    <x:row r="347">
      <x:c r="A347" s="79"/>
      <x:c r="B347" s="31"/>
      <x:c r="C347" s="31"/>
      <x:c r="D347" s="31"/>
      <x:c r="E347" s="31"/>
      <x:c r="F347" s="31"/>
      <x:c r="G347" s="31"/>
      <x:c r="H347" s="31"/>
      <x:c r="I347" s="31"/>
      <x:c r="J347" s="32"/>
      <x:c r="K347" s="32"/>
      <x:c r="L347" s="32"/>
      <x:c r="M347" s="32"/>
      <x:c r="N347" s="31"/>
      <x:c r="O347" s="31"/>
      <x:c r="P347" s="31"/>
      <x:c r="Q347" s="32"/>
      <x:c r="R347" s="31"/>
      <x:c r="S347" s="31"/>
      <x:c r="T347" s="31"/>
      <x:c r="U347" s="31"/>
      <x:c r="V347" s="32"/>
      <x:c r="W347" s="31"/>
      <x:c r="X347" s="32"/>
      <x:c r="Y347" s="31"/>
    </x:row>
    <x:row r="348">
      <x:c r="A348" s="79"/>
      <x:c r="B348" s="31"/>
      <x:c r="C348" s="31"/>
      <x:c r="D348" s="31"/>
      <x:c r="E348" s="31"/>
      <x:c r="F348" s="31"/>
      <x:c r="G348" s="31"/>
      <x:c r="H348" s="31"/>
      <x:c r="I348" s="31"/>
      <x:c r="J348" s="32"/>
      <x:c r="K348" s="32"/>
      <x:c r="L348" s="32"/>
      <x:c r="M348" s="32"/>
      <x:c r="N348" s="31"/>
      <x:c r="O348" s="31"/>
      <x:c r="P348" s="31"/>
      <x:c r="Q348" s="32"/>
      <x:c r="R348" s="31"/>
      <x:c r="S348" s="31"/>
      <x:c r="T348" s="31"/>
      <x:c r="U348" s="31"/>
      <x:c r="V348" s="32"/>
      <x:c r="W348" s="31"/>
      <x:c r="X348" s="32"/>
      <x:c r="Y348" s="31"/>
    </x:row>
    <x:row r="349">
      <x:c r="A349" s="79"/>
      <x:c r="B349" s="31"/>
      <x:c r="C349" s="31"/>
      <x:c r="D349" s="31"/>
      <x:c r="E349" s="31"/>
      <x:c r="F349" s="31"/>
      <x:c r="G349" s="31"/>
      <x:c r="H349" s="31"/>
      <x:c r="I349" s="31"/>
      <x:c r="J349" s="32"/>
      <x:c r="K349" s="32"/>
      <x:c r="L349" s="32"/>
      <x:c r="M349" s="32"/>
      <x:c r="N349" s="31"/>
      <x:c r="O349" s="31"/>
      <x:c r="P349" s="31"/>
      <x:c r="Q349" s="32"/>
      <x:c r="R349" s="31"/>
      <x:c r="S349" s="31"/>
      <x:c r="T349" s="31"/>
      <x:c r="U349" s="31"/>
      <x:c r="V349" s="32"/>
      <x:c r="W349" s="31"/>
      <x:c r="X349" s="32"/>
      <x:c r="Y349" s="31"/>
    </x:row>
    <x:row r="350">
      <x:c r="A350" s="79"/>
      <x:c r="B350" s="31"/>
      <x:c r="C350" s="31"/>
      <x:c r="D350" s="31"/>
      <x:c r="E350" s="31"/>
      <x:c r="F350" s="31"/>
      <x:c r="G350" s="31"/>
      <x:c r="H350" s="31"/>
      <x:c r="I350" s="31"/>
      <x:c r="J350" s="32"/>
      <x:c r="K350" s="32"/>
      <x:c r="L350" s="32"/>
      <x:c r="M350" s="32"/>
      <x:c r="N350" s="31"/>
      <x:c r="O350" s="31"/>
      <x:c r="P350" s="31"/>
      <x:c r="Q350" s="32"/>
      <x:c r="R350" s="31"/>
      <x:c r="S350" s="31"/>
      <x:c r="T350" s="31"/>
      <x:c r="U350" s="31"/>
      <x:c r="V350" s="32"/>
      <x:c r="W350" s="31"/>
      <x:c r="X350" s="32"/>
      <x:c r="Y350" s="31"/>
    </x:row>
    <x:row r="351">
      <x:c r="A351" s="79"/>
      <x:c r="B351" s="31"/>
      <x:c r="C351" s="31"/>
      <x:c r="D351" s="31"/>
      <x:c r="E351" s="31"/>
      <x:c r="F351" s="31"/>
      <x:c r="G351" s="31"/>
      <x:c r="H351" s="31"/>
      <x:c r="I351" s="31"/>
      <x:c r="J351" s="32"/>
      <x:c r="K351" s="32"/>
      <x:c r="L351" s="32"/>
      <x:c r="M351" s="32"/>
      <x:c r="N351" s="31"/>
      <x:c r="O351" s="31"/>
      <x:c r="P351" s="31"/>
      <x:c r="Q351" s="32"/>
      <x:c r="R351" s="31"/>
      <x:c r="S351" s="31"/>
      <x:c r="T351" s="31"/>
      <x:c r="U351" s="31"/>
      <x:c r="V351" s="32"/>
      <x:c r="W351" s="31"/>
      <x:c r="X351" s="32"/>
      <x:c r="Y351" s="31"/>
    </x:row>
    <x:row r="352">
      <x:c r="A352" s="79"/>
      <x:c r="B352" s="31"/>
      <x:c r="C352" s="31"/>
      <x:c r="D352" s="31"/>
      <x:c r="E352" s="31"/>
      <x:c r="F352" s="31"/>
      <x:c r="G352" s="31"/>
      <x:c r="H352" s="31"/>
      <x:c r="I352" s="31"/>
      <x:c r="J352" s="32"/>
      <x:c r="K352" s="32"/>
      <x:c r="L352" s="32"/>
      <x:c r="M352" s="32"/>
      <x:c r="N352" s="31"/>
      <x:c r="O352" s="31"/>
      <x:c r="P352" s="31"/>
      <x:c r="Q352" s="32"/>
      <x:c r="R352" s="31"/>
      <x:c r="S352" s="31"/>
      <x:c r="T352" s="31"/>
      <x:c r="U352" s="31"/>
      <x:c r="V352" s="32"/>
      <x:c r="W352" s="31"/>
      <x:c r="X352" s="32"/>
      <x:c r="Y352" s="31"/>
    </x:row>
    <x:row r="353">
      <x:c r="A353" s="79"/>
      <x:c r="B353" s="31"/>
      <x:c r="C353" s="31"/>
      <x:c r="D353" s="31"/>
      <x:c r="E353" s="31"/>
      <x:c r="F353" s="31"/>
      <x:c r="G353" s="31"/>
      <x:c r="H353" s="31"/>
      <x:c r="I353" s="31"/>
      <x:c r="J353" s="32"/>
      <x:c r="K353" s="32"/>
      <x:c r="L353" s="32"/>
      <x:c r="M353" s="32"/>
      <x:c r="N353" s="31"/>
      <x:c r="O353" s="31"/>
      <x:c r="P353" s="31"/>
      <x:c r="Q353" s="32"/>
      <x:c r="R353" s="31"/>
      <x:c r="S353" s="31"/>
      <x:c r="T353" s="31"/>
      <x:c r="U353" s="31"/>
      <x:c r="V353" s="32"/>
      <x:c r="W353" s="31"/>
      <x:c r="X353" s="32"/>
      <x:c r="Y353" s="31"/>
    </x:row>
    <x:row r="354">
      <x:c r="A354" s="79"/>
      <x:c r="B354" s="31"/>
      <x:c r="C354" s="31"/>
      <x:c r="D354" s="31"/>
      <x:c r="E354" s="31"/>
      <x:c r="F354" s="31"/>
      <x:c r="G354" s="31"/>
      <x:c r="H354" s="31"/>
      <x:c r="I354" s="31"/>
      <x:c r="J354" s="32"/>
      <x:c r="K354" s="32"/>
      <x:c r="L354" s="32"/>
      <x:c r="M354" s="32"/>
      <x:c r="N354" s="31"/>
      <x:c r="O354" s="31"/>
      <x:c r="P354" s="31"/>
      <x:c r="Q354" s="32"/>
      <x:c r="R354" s="31"/>
      <x:c r="S354" s="31"/>
      <x:c r="T354" s="31"/>
      <x:c r="U354" s="31"/>
      <x:c r="V354" s="32"/>
      <x:c r="W354" s="31"/>
      <x:c r="X354" s="32"/>
      <x:c r="Y354" s="31"/>
    </x:row>
    <x:row r="355">
      <x:c r="A355" s="79"/>
      <x:c r="B355" s="31"/>
      <x:c r="C355" s="31"/>
      <x:c r="D355" s="31"/>
      <x:c r="E355" s="31"/>
      <x:c r="F355" s="31"/>
      <x:c r="G355" s="31"/>
      <x:c r="H355" s="31"/>
      <x:c r="I355" s="31"/>
      <x:c r="J355" s="32"/>
      <x:c r="K355" s="32"/>
      <x:c r="L355" s="32"/>
      <x:c r="M355" s="32"/>
      <x:c r="N355" s="31"/>
      <x:c r="O355" s="31"/>
      <x:c r="P355" s="31"/>
      <x:c r="Q355" s="32"/>
      <x:c r="R355" s="31"/>
      <x:c r="S355" s="31"/>
      <x:c r="T355" s="31"/>
      <x:c r="U355" s="31"/>
      <x:c r="V355" s="32"/>
      <x:c r="W355" s="31"/>
      <x:c r="X355" s="32"/>
      <x:c r="Y355" s="31"/>
    </x:row>
    <x:row r="356">
      <x:c r="A356" s="79"/>
      <x:c r="B356" s="31"/>
      <x:c r="C356" s="31"/>
      <x:c r="D356" s="31"/>
      <x:c r="E356" s="31"/>
      <x:c r="F356" s="31"/>
      <x:c r="G356" s="31"/>
      <x:c r="H356" s="31"/>
      <x:c r="I356" s="31"/>
      <x:c r="J356" s="32"/>
      <x:c r="K356" s="32"/>
      <x:c r="L356" s="32"/>
      <x:c r="M356" s="32"/>
      <x:c r="N356" s="31"/>
      <x:c r="O356" s="31"/>
      <x:c r="P356" s="31"/>
      <x:c r="Q356" s="32"/>
      <x:c r="R356" s="31"/>
      <x:c r="S356" s="31"/>
      <x:c r="T356" s="31"/>
      <x:c r="U356" s="31"/>
      <x:c r="V356" s="32"/>
      <x:c r="W356" s="31"/>
      <x:c r="X356" s="32"/>
      <x:c r="Y356" s="31"/>
    </x:row>
    <x:row r="357">
      <x:c r="A357" s="79"/>
      <x:c r="B357" s="31"/>
      <x:c r="C357" s="31"/>
      <x:c r="D357" s="31"/>
      <x:c r="E357" s="31"/>
      <x:c r="F357" s="31"/>
      <x:c r="G357" s="31"/>
      <x:c r="H357" s="31"/>
      <x:c r="I357" s="31"/>
      <x:c r="J357" s="32"/>
      <x:c r="K357" s="32"/>
      <x:c r="L357" s="32"/>
      <x:c r="M357" s="32"/>
      <x:c r="N357" s="31"/>
      <x:c r="O357" s="31"/>
      <x:c r="P357" s="31"/>
      <x:c r="Q357" s="32"/>
      <x:c r="R357" s="31"/>
      <x:c r="S357" s="31"/>
      <x:c r="T357" s="31"/>
      <x:c r="U357" s="31"/>
      <x:c r="V357" s="32"/>
      <x:c r="W357" s="31"/>
      <x:c r="X357" s="32"/>
      <x:c r="Y357" s="31"/>
    </x:row>
    <x:row r="358">
      <x:c r="A358" s="79"/>
      <x:c r="B358" s="31"/>
      <x:c r="C358" s="31"/>
      <x:c r="D358" s="31"/>
      <x:c r="E358" s="31"/>
      <x:c r="F358" s="31"/>
      <x:c r="G358" s="31"/>
      <x:c r="H358" s="31"/>
      <x:c r="I358" s="31"/>
      <x:c r="J358" s="32"/>
      <x:c r="K358" s="32"/>
      <x:c r="L358" s="32"/>
      <x:c r="M358" s="32"/>
      <x:c r="N358" s="31"/>
      <x:c r="O358" s="31"/>
      <x:c r="P358" s="31"/>
      <x:c r="Q358" s="32"/>
      <x:c r="R358" s="31"/>
      <x:c r="S358" s="31"/>
      <x:c r="T358" s="31"/>
      <x:c r="U358" s="31"/>
      <x:c r="V358" s="32"/>
      <x:c r="W358" s="31"/>
      <x:c r="X358" s="32"/>
      <x:c r="Y358" s="31"/>
    </x:row>
    <x:row r="359">
      <x:c r="A359" s="79"/>
      <x:c r="B359" s="31"/>
      <x:c r="C359" s="31"/>
      <x:c r="D359" s="31"/>
      <x:c r="E359" s="31"/>
      <x:c r="F359" s="31"/>
      <x:c r="G359" s="31"/>
      <x:c r="H359" s="31"/>
      <x:c r="I359" s="31"/>
      <x:c r="J359" s="32"/>
      <x:c r="K359" s="32"/>
      <x:c r="L359" s="32"/>
      <x:c r="M359" s="32"/>
      <x:c r="N359" s="31"/>
      <x:c r="O359" s="31"/>
      <x:c r="P359" s="31"/>
      <x:c r="Q359" s="32"/>
      <x:c r="R359" s="31"/>
      <x:c r="S359" s="31"/>
      <x:c r="T359" s="31"/>
      <x:c r="U359" s="31"/>
      <x:c r="V359" s="32"/>
      <x:c r="W359" s="31"/>
      <x:c r="X359" s="32"/>
      <x:c r="Y359" s="31"/>
    </x:row>
    <x:row r="360">
      <x:c r="A360" s="79"/>
      <x:c r="B360" s="31"/>
      <x:c r="C360" s="31"/>
      <x:c r="D360" s="31"/>
      <x:c r="E360" s="31"/>
      <x:c r="F360" s="31"/>
      <x:c r="G360" s="31"/>
      <x:c r="H360" s="31"/>
      <x:c r="I360" s="31"/>
      <x:c r="J360" s="32"/>
      <x:c r="K360" s="32"/>
      <x:c r="L360" s="32"/>
      <x:c r="M360" s="32"/>
      <x:c r="N360" s="31"/>
      <x:c r="O360" s="31"/>
      <x:c r="P360" s="31"/>
      <x:c r="Q360" s="32"/>
      <x:c r="R360" s="31"/>
      <x:c r="S360" s="31"/>
      <x:c r="T360" s="31"/>
      <x:c r="U360" s="31"/>
      <x:c r="V360" s="32"/>
      <x:c r="W360" s="31"/>
      <x:c r="X360" s="32"/>
      <x:c r="Y360" s="31"/>
    </x:row>
    <x:row r="361">
      <x:c r="A361" s="79"/>
      <x:c r="B361" s="31"/>
      <x:c r="C361" s="31"/>
      <x:c r="D361" s="31"/>
      <x:c r="E361" s="31"/>
      <x:c r="F361" s="31"/>
      <x:c r="G361" s="31"/>
      <x:c r="H361" s="31"/>
      <x:c r="I361" s="31"/>
      <x:c r="J361" s="32"/>
      <x:c r="K361" s="32"/>
      <x:c r="L361" s="32"/>
      <x:c r="M361" s="32"/>
      <x:c r="N361" s="31"/>
      <x:c r="O361" s="31"/>
      <x:c r="P361" s="31"/>
      <x:c r="Q361" s="32"/>
      <x:c r="R361" s="31"/>
      <x:c r="S361" s="31"/>
      <x:c r="T361" s="31"/>
      <x:c r="U361" s="31"/>
      <x:c r="V361" s="32"/>
      <x:c r="W361" s="31"/>
      <x:c r="X361" s="32"/>
      <x:c r="Y361" s="31"/>
    </x:row>
    <x:row r="362">
      <x:c r="A362" s="79"/>
      <x:c r="B362" s="31"/>
      <x:c r="C362" s="31"/>
      <x:c r="D362" s="31"/>
      <x:c r="E362" s="31"/>
      <x:c r="F362" s="31"/>
      <x:c r="G362" s="31"/>
      <x:c r="H362" s="31"/>
      <x:c r="I362" s="31"/>
      <x:c r="J362" s="32"/>
      <x:c r="K362" s="32"/>
      <x:c r="L362" s="32"/>
      <x:c r="M362" s="32"/>
      <x:c r="N362" s="31"/>
      <x:c r="O362" s="31"/>
      <x:c r="P362" s="31"/>
      <x:c r="Q362" s="32"/>
      <x:c r="R362" s="31"/>
      <x:c r="S362" s="31"/>
      <x:c r="T362" s="31"/>
      <x:c r="U362" s="31"/>
      <x:c r="V362" s="32"/>
      <x:c r="W362" s="31"/>
      <x:c r="X362" s="32"/>
      <x:c r="Y362" s="31"/>
    </x:row>
    <x:row r="363">
      <x:c r="A363" s="79"/>
      <x:c r="B363" s="31"/>
      <x:c r="C363" s="31"/>
      <x:c r="D363" s="31"/>
      <x:c r="E363" s="31"/>
      <x:c r="F363" s="31"/>
      <x:c r="G363" s="31"/>
      <x:c r="H363" s="31"/>
      <x:c r="I363" s="31"/>
      <x:c r="J363" s="32"/>
      <x:c r="K363" s="32"/>
      <x:c r="L363" s="32"/>
      <x:c r="M363" s="32"/>
      <x:c r="N363" s="31"/>
      <x:c r="O363" s="31"/>
      <x:c r="P363" s="31"/>
      <x:c r="Q363" s="32"/>
      <x:c r="R363" s="31"/>
      <x:c r="S363" s="31"/>
      <x:c r="T363" s="31"/>
      <x:c r="U363" s="31"/>
      <x:c r="V363" s="32"/>
      <x:c r="W363" s="31"/>
      <x:c r="X363" s="32"/>
      <x:c r="Y363" s="31"/>
    </x:row>
    <x:row r="364">
      <x:c r="A364" s="79"/>
      <x:c r="B364" s="31"/>
      <x:c r="C364" s="31"/>
      <x:c r="D364" s="31"/>
      <x:c r="E364" s="31"/>
      <x:c r="F364" s="31"/>
      <x:c r="G364" s="31"/>
      <x:c r="H364" s="31"/>
      <x:c r="I364" s="31"/>
      <x:c r="J364" s="32"/>
      <x:c r="K364" s="32"/>
      <x:c r="L364" s="32"/>
      <x:c r="M364" s="32"/>
      <x:c r="N364" s="31"/>
      <x:c r="O364" s="31"/>
      <x:c r="P364" s="31"/>
      <x:c r="Q364" s="32"/>
      <x:c r="R364" s="31"/>
      <x:c r="S364" s="31"/>
      <x:c r="T364" s="31"/>
      <x:c r="U364" s="31"/>
      <x:c r="V364" s="32"/>
      <x:c r="W364" s="31"/>
      <x:c r="X364" s="32"/>
      <x:c r="Y364" s="31"/>
    </x:row>
    <x:row r="365">
      <x:c r="A365" s="79"/>
      <x:c r="B365" s="31"/>
      <x:c r="C365" s="31"/>
      <x:c r="D365" s="31"/>
      <x:c r="E365" s="31"/>
      <x:c r="F365" s="31"/>
      <x:c r="G365" s="31"/>
      <x:c r="H365" s="31"/>
      <x:c r="I365" s="31"/>
      <x:c r="J365" s="32"/>
      <x:c r="K365" s="32"/>
      <x:c r="L365" s="32"/>
      <x:c r="M365" s="32"/>
      <x:c r="N365" s="31"/>
      <x:c r="O365" s="31"/>
      <x:c r="P365" s="31"/>
      <x:c r="Q365" s="32"/>
      <x:c r="R365" s="31"/>
      <x:c r="S365" s="31"/>
      <x:c r="T365" s="31"/>
      <x:c r="U365" s="31"/>
      <x:c r="V365" s="32"/>
      <x:c r="W365" s="31"/>
      <x:c r="X365" s="32"/>
      <x:c r="Y365" s="31"/>
    </x:row>
    <x:row r="366">
      <x:c r="A366" s="79"/>
      <x:c r="B366" s="31"/>
      <x:c r="C366" s="31"/>
      <x:c r="D366" s="31"/>
      <x:c r="E366" s="31"/>
      <x:c r="F366" s="31"/>
      <x:c r="G366" s="31"/>
      <x:c r="H366" s="31"/>
      <x:c r="I366" s="31"/>
      <x:c r="J366" s="32"/>
      <x:c r="K366" s="32"/>
      <x:c r="L366" s="32"/>
      <x:c r="M366" s="32"/>
      <x:c r="N366" s="31"/>
      <x:c r="O366" s="31"/>
      <x:c r="P366" s="31"/>
      <x:c r="Q366" s="32"/>
      <x:c r="R366" s="31"/>
      <x:c r="S366" s="31"/>
      <x:c r="T366" s="31"/>
      <x:c r="U366" s="31"/>
      <x:c r="V366" s="32"/>
      <x:c r="W366" s="31"/>
      <x:c r="X366" s="32"/>
      <x:c r="Y366" s="31"/>
    </x:row>
    <x:row r="367">
      <x:c r="A367" s="79"/>
      <x:c r="B367" s="31"/>
      <x:c r="C367" s="31"/>
      <x:c r="D367" s="31"/>
      <x:c r="E367" s="31"/>
      <x:c r="F367" s="31"/>
      <x:c r="G367" s="31"/>
      <x:c r="H367" s="31"/>
      <x:c r="I367" s="31"/>
      <x:c r="J367" s="32"/>
      <x:c r="K367" s="32"/>
      <x:c r="L367" s="32"/>
      <x:c r="M367" s="32"/>
      <x:c r="N367" s="31"/>
      <x:c r="O367" s="31"/>
      <x:c r="P367" s="31"/>
      <x:c r="Q367" s="32"/>
      <x:c r="R367" s="31"/>
      <x:c r="S367" s="31"/>
      <x:c r="T367" s="31"/>
      <x:c r="U367" s="31"/>
      <x:c r="V367" s="32"/>
      <x:c r="W367" s="31"/>
      <x:c r="X367" s="32"/>
      <x:c r="Y367" s="31"/>
    </x:row>
    <x:row r="368">
      <x:c r="A368" s="79"/>
      <x:c r="B368" s="31"/>
      <x:c r="C368" s="31"/>
      <x:c r="D368" s="31"/>
      <x:c r="E368" s="31"/>
      <x:c r="F368" s="31"/>
      <x:c r="G368" s="31"/>
      <x:c r="H368" s="31"/>
      <x:c r="I368" s="31"/>
      <x:c r="J368" s="32"/>
      <x:c r="K368" s="32"/>
      <x:c r="L368" s="32"/>
      <x:c r="M368" s="32"/>
      <x:c r="N368" s="31"/>
      <x:c r="O368" s="31"/>
      <x:c r="P368" s="31"/>
      <x:c r="Q368" s="32"/>
      <x:c r="R368" s="31"/>
      <x:c r="S368" s="31"/>
      <x:c r="T368" s="31"/>
      <x:c r="U368" s="31"/>
      <x:c r="V368" s="32"/>
      <x:c r="W368" s="31"/>
      <x:c r="X368" s="32"/>
      <x:c r="Y368" s="31"/>
    </x:row>
    <x:row r="369">
      <x:c r="A369" s="79"/>
      <x:c r="B369" s="31"/>
      <x:c r="C369" s="31"/>
      <x:c r="D369" s="31"/>
      <x:c r="E369" s="31"/>
      <x:c r="F369" s="31"/>
      <x:c r="G369" s="31"/>
      <x:c r="H369" s="31"/>
      <x:c r="I369" s="31"/>
      <x:c r="J369" s="32"/>
      <x:c r="K369" s="32"/>
      <x:c r="L369" s="32"/>
      <x:c r="M369" s="32"/>
      <x:c r="N369" s="31"/>
      <x:c r="O369" s="31"/>
      <x:c r="P369" s="31"/>
      <x:c r="Q369" s="32"/>
      <x:c r="R369" s="31"/>
      <x:c r="S369" s="31"/>
      <x:c r="T369" s="31"/>
      <x:c r="U369" s="31"/>
      <x:c r="V369" s="32"/>
      <x:c r="W369" s="31"/>
      <x:c r="X369" s="32"/>
      <x:c r="Y369" s="31"/>
    </x:row>
    <x:row r="370">
      <x:c r="A370" s="79"/>
      <x:c r="B370" s="31"/>
      <x:c r="C370" s="31"/>
      <x:c r="D370" s="31"/>
      <x:c r="E370" s="31"/>
      <x:c r="F370" s="31"/>
      <x:c r="G370" s="31"/>
      <x:c r="H370" s="31"/>
      <x:c r="I370" s="31"/>
      <x:c r="J370" s="32"/>
      <x:c r="K370" s="32"/>
      <x:c r="L370" s="32"/>
      <x:c r="M370" s="32"/>
      <x:c r="N370" s="31"/>
      <x:c r="O370" s="31"/>
      <x:c r="P370" s="31"/>
      <x:c r="Q370" s="32"/>
      <x:c r="R370" s="31"/>
      <x:c r="S370" s="31"/>
      <x:c r="T370" s="31"/>
      <x:c r="U370" s="31"/>
      <x:c r="V370" s="32"/>
      <x:c r="W370" s="31"/>
      <x:c r="X370" s="32"/>
      <x:c r="Y370" s="31"/>
    </x:row>
    <x:row r="371">
      <x:c r="A371" s="79"/>
      <x:c r="B371" s="31"/>
      <x:c r="C371" s="31"/>
      <x:c r="D371" s="31"/>
      <x:c r="E371" s="31"/>
      <x:c r="F371" s="31"/>
      <x:c r="G371" s="31"/>
      <x:c r="H371" s="31"/>
      <x:c r="I371" s="31"/>
      <x:c r="J371" s="32"/>
      <x:c r="K371" s="32"/>
      <x:c r="L371" s="32"/>
      <x:c r="M371" s="32"/>
      <x:c r="N371" s="31"/>
      <x:c r="O371" s="31"/>
      <x:c r="P371" s="31"/>
      <x:c r="Q371" s="32"/>
      <x:c r="R371" s="31"/>
      <x:c r="S371" s="31"/>
      <x:c r="T371" s="31"/>
      <x:c r="U371" s="31"/>
      <x:c r="V371" s="32"/>
      <x:c r="W371" s="31"/>
      <x:c r="X371" s="32"/>
      <x:c r="Y371" s="31"/>
    </x:row>
    <x:row r="372">
      <x:c r="A372" s="79"/>
      <x:c r="B372" s="31"/>
      <x:c r="C372" s="31"/>
      <x:c r="D372" s="31"/>
      <x:c r="E372" s="31"/>
      <x:c r="F372" s="31"/>
      <x:c r="G372" s="31"/>
      <x:c r="H372" s="31"/>
      <x:c r="I372" s="31"/>
      <x:c r="J372" s="32"/>
      <x:c r="K372" s="32"/>
      <x:c r="L372" s="32"/>
      <x:c r="M372" s="32"/>
      <x:c r="N372" s="31"/>
      <x:c r="O372" s="31"/>
      <x:c r="P372" s="31"/>
      <x:c r="Q372" s="32"/>
      <x:c r="R372" s="31"/>
      <x:c r="S372" s="31"/>
      <x:c r="T372" s="31"/>
      <x:c r="U372" s="31"/>
      <x:c r="V372" s="32"/>
      <x:c r="W372" s="31"/>
      <x:c r="X372" s="32"/>
      <x:c r="Y372" s="31"/>
    </x:row>
    <x:row r="373">
      <x:c r="A373" s="79"/>
      <x:c r="B373" s="31"/>
      <x:c r="C373" s="31"/>
      <x:c r="D373" s="31"/>
      <x:c r="E373" s="31"/>
      <x:c r="F373" s="31"/>
      <x:c r="G373" s="31"/>
      <x:c r="H373" s="31"/>
      <x:c r="I373" s="31"/>
      <x:c r="J373" s="32"/>
      <x:c r="K373" s="32"/>
      <x:c r="L373" s="32"/>
      <x:c r="M373" s="32"/>
      <x:c r="N373" s="31"/>
      <x:c r="O373" s="31"/>
      <x:c r="P373" s="31"/>
      <x:c r="Q373" s="32"/>
      <x:c r="R373" s="31"/>
      <x:c r="S373" s="31"/>
      <x:c r="T373" s="31"/>
      <x:c r="U373" s="31"/>
      <x:c r="V373" s="32"/>
      <x:c r="W373" s="31"/>
      <x:c r="X373" s="32"/>
      <x:c r="Y373" s="31"/>
    </x:row>
    <x:row r="374">
      <x:c r="A374" s="79"/>
      <x:c r="B374" s="31"/>
      <x:c r="C374" s="31"/>
      <x:c r="D374" s="31"/>
      <x:c r="E374" s="31"/>
      <x:c r="F374" s="31"/>
      <x:c r="G374" s="31"/>
      <x:c r="H374" s="31"/>
      <x:c r="I374" s="31"/>
      <x:c r="J374" s="32"/>
      <x:c r="K374" s="32"/>
      <x:c r="L374" s="32"/>
      <x:c r="M374" s="32"/>
      <x:c r="N374" s="31"/>
      <x:c r="O374" s="31"/>
      <x:c r="P374" s="31"/>
      <x:c r="Q374" s="32"/>
      <x:c r="R374" s="31"/>
      <x:c r="S374" s="31"/>
      <x:c r="T374" s="31"/>
      <x:c r="U374" s="31"/>
      <x:c r="V374" s="32"/>
      <x:c r="W374" s="31"/>
      <x:c r="X374" s="32"/>
      <x:c r="Y374" s="31"/>
    </x:row>
    <x:row r="375">
      <x:c r="A375" s="79"/>
      <x:c r="B375" s="31"/>
      <x:c r="C375" s="31"/>
      <x:c r="D375" s="31"/>
      <x:c r="E375" s="31"/>
      <x:c r="F375" s="31"/>
      <x:c r="G375" s="31"/>
      <x:c r="H375" s="31"/>
      <x:c r="I375" s="31"/>
      <x:c r="J375" s="32"/>
      <x:c r="K375" s="32"/>
      <x:c r="L375" s="32"/>
      <x:c r="M375" s="32"/>
      <x:c r="N375" s="31"/>
      <x:c r="O375" s="31"/>
      <x:c r="P375" s="31"/>
      <x:c r="Q375" s="32"/>
      <x:c r="R375" s="31"/>
      <x:c r="S375" s="31"/>
      <x:c r="T375" s="31"/>
      <x:c r="U375" s="31"/>
      <x:c r="V375" s="32"/>
      <x:c r="W375" s="31"/>
      <x:c r="X375" s="32"/>
      <x:c r="Y375" s="31"/>
    </x:row>
    <x:row r="376">
      <x:c r="A376" s="79"/>
      <x:c r="B376" s="31"/>
      <x:c r="C376" s="31"/>
      <x:c r="D376" s="31"/>
      <x:c r="E376" s="31"/>
      <x:c r="F376" s="31"/>
      <x:c r="G376" s="31"/>
      <x:c r="H376" s="31"/>
      <x:c r="I376" s="31"/>
      <x:c r="J376" s="32"/>
      <x:c r="K376" s="32"/>
      <x:c r="L376" s="32"/>
      <x:c r="M376" s="32"/>
      <x:c r="N376" s="31"/>
      <x:c r="O376" s="31"/>
      <x:c r="P376" s="31"/>
      <x:c r="Q376" s="32"/>
      <x:c r="R376" s="31"/>
      <x:c r="S376" s="31"/>
      <x:c r="T376" s="31"/>
      <x:c r="U376" s="31"/>
      <x:c r="V376" s="32"/>
      <x:c r="W376" s="31"/>
      <x:c r="X376" s="32"/>
      <x:c r="Y376" s="31"/>
    </x:row>
    <x:row r="377">
      <x:c r="A377" s="79"/>
      <x:c r="B377" s="31"/>
      <x:c r="C377" s="31"/>
      <x:c r="D377" s="31"/>
      <x:c r="E377" s="31"/>
      <x:c r="F377" s="31"/>
      <x:c r="G377" s="31"/>
      <x:c r="H377" s="31"/>
      <x:c r="I377" s="31"/>
      <x:c r="J377" s="32"/>
      <x:c r="K377" s="32"/>
      <x:c r="L377" s="32"/>
      <x:c r="M377" s="32"/>
      <x:c r="N377" s="31"/>
      <x:c r="O377" s="31"/>
      <x:c r="P377" s="31"/>
      <x:c r="Q377" s="32"/>
      <x:c r="R377" s="31"/>
      <x:c r="S377" s="31"/>
      <x:c r="T377" s="31"/>
      <x:c r="U377" s="31"/>
      <x:c r="V377" s="32"/>
      <x:c r="W377" s="31"/>
      <x:c r="X377" s="32"/>
      <x:c r="Y377" s="31"/>
    </x:row>
    <x:row r="378">
      <x:c r="A378" s="79"/>
      <x:c r="B378" s="31"/>
      <x:c r="C378" s="31"/>
      <x:c r="D378" s="31"/>
      <x:c r="E378" s="31"/>
      <x:c r="F378" s="31"/>
      <x:c r="G378" s="31"/>
      <x:c r="H378" s="31"/>
      <x:c r="I378" s="31"/>
      <x:c r="J378" s="32"/>
      <x:c r="K378" s="32"/>
      <x:c r="L378" s="32"/>
      <x:c r="M378" s="32"/>
      <x:c r="N378" s="31"/>
      <x:c r="O378" s="31"/>
      <x:c r="P378" s="31"/>
      <x:c r="Q378" s="32"/>
      <x:c r="R378" s="31"/>
      <x:c r="S378" s="31"/>
      <x:c r="T378" s="31"/>
      <x:c r="U378" s="31"/>
      <x:c r="V378" s="32"/>
      <x:c r="W378" s="31"/>
      <x:c r="X378" s="32"/>
      <x:c r="Y378" s="31"/>
    </x:row>
    <x:row r="379">
      <x:c r="A379" s="79"/>
      <x:c r="B379" s="31"/>
      <x:c r="C379" s="31"/>
      <x:c r="D379" s="31"/>
      <x:c r="E379" s="31"/>
      <x:c r="F379" s="31"/>
      <x:c r="G379" s="31"/>
      <x:c r="H379" s="31"/>
      <x:c r="I379" s="31"/>
      <x:c r="J379" s="32"/>
      <x:c r="K379" s="32"/>
      <x:c r="L379" s="32"/>
      <x:c r="M379" s="32"/>
      <x:c r="N379" s="31"/>
      <x:c r="O379" s="31"/>
      <x:c r="P379" s="31"/>
      <x:c r="Q379" s="32"/>
      <x:c r="R379" s="31"/>
      <x:c r="S379" s="31"/>
      <x:c r="T379" s="31"/>
      <x:c r="U379" s="31"/>
      <x:c r="V379" s="32"/>
      <x:c r="W379" s="31"/>
      <x:c r="X379" s="32"/>
      <x:c r="Y379" s="31"/>
    </x:row>
    <x:row r="380">
      <x:c r="A380" s="79"/>
      <x:c r="B380" s="31"/>
      <x:c r="C380" s="31"/>
      <x:c r="D380" s="31"/>
      <x:c r="E380" s="31"/>
      <x:c r="F380" s="31"/>
      <x:c r="G380" s="31"/>
      <x:c r="H380" s="31"/>
      <x:c r="I380" s="31"/>
      <x:c r="J380" s="32"/>
      <x:c r="K380" s="32"/>
      <x:c r="L380" s="32"/>
      <x:c r="M380" s="32"/>
      <x:c r="N380" s="31"/>
      <x:c r="O380" s="31"/>
      <x:c r="P380" s="31"/>
      <x:c r="Q380" s="32"/>
      <x:c r="R380" s="31"/>
      <x:c r="S380" s="31"/>
      <x:c r="T380" s="31"/>
      <x:c r="U380" s="31"/>
      <x:c r="V380" s="32"/>
      <x:c r="W380" s="31"/>
      <x:c r="X380" s="32"/>
      <x:c r="Y380" s="31"/>
    </x:row>
    <x:row r="381">
      <x:c r="A381" s="79"/>
      <x:c r="B381" s="31"/>
      <x:c r="C381" s="31"/>
      <x:c r="D381" s="31"/>
      <x:c r="E381" s="31"/>
      <x:c r="F381" s="31"/>
      <x:c r="G381" s="31"/>
      <x:c r="H381" s="31"/>
      <x:c r="I381" s="31"/>
      <x:c r="J381" s="32"/>
      <x:c r="K381" s="32"/>
      <x:c r="L381" s="32"/>
      <x:c r="M381" s="32"/>
      <x:c r="N381" s="31"/>
      <x:c r="O381" s="31"/>
      <x:c r="P381" s="31"/>
      <x:c r="Q381" s="32"/>
      <x:c r="R381" s="31"/>
      <x:c r="S381" s="31"/>
      <x:c r="T381" s="31"/>
      <x:c r="U381" s="31"/>
      <x:c r="V381" s="32"/>
      <x:c r="W381" s="31"/>
      <x:c r="X381" s="32"/>
      <x:c r="Y381" s="31"/>
    </x:row>
    <x:row r="382">
      <x:c r="A382" s="79"/>
      <x:c r="B382" s="31"/>
      <x:c r="C382" s="31"/>
      <x:c r="D382" s="31"/>
      <x:c r="E382" s="31"/>
      <x:c r="F382" s="31"/>
      <x:c r="G382" s="31"/>
      <x:c r="H382" s="31"/>
      <x:c r="I382" s="31"/>
      <x:c r="J382" s="32"/>
      <x:c r="K382" s="32"/>
      <x:c r="L382" s="32"/>
      <x:c r="M382" s="32"/>
      <x:c r="N382" s="31"/>
      <x:c r="O382" s="31"/>
      <x:c r="P382" s="31"/>
      <x:c r="Q382" s="32"/>
      <x:c r="R382" s="31"/>
      <x:c r="S382" s="31"/>
      <x:c r="T382" s="31"/>
      <x:c r="U382" s="31"/>
      <x:c r="V382" s="32"/>
      <x:c r="W382" s="31"/>
      <x:c r="X382" s="32"/>
      <x:c r="Y382" s="31"/>
    </x:row>
    <x:row r="383">
      <x:c r="A383" s="79"/>
      <x:c r="B383" s="31"/>
      <x:c r="C383" s="31"/>
      <x:c r="D383" s="31"/>
      <x:c r="E383" s="31"/>
      <x:c r="F383" s="31"/>
      <x:c r="G383" s="31"/>
      <x:c r="H383" s="31"/>
      <x:c r="I383" s="31"/>
      <x:c r="J383" s="32"/>
      <x:c r="K383" s="32"/>
      <x:c r="L383" s="32"/>
      <x:c r="M383" s="32"/>
      <x:c r="N383" s="31"/>
      <x:c r="O383" s="31"/>
      <x:c r="P383" s="31"/>
      <x:c r="Q383" s="32"/>
      <x:c r="R383" s="31"/>
      <x:c r="S383" s="31"/>
      <x:c r="T383" s="31"/>
      <x:c r="U383" s="31"/>
      <x:c r="V383" s="32"/>
      <x:c r="W383" s="31"/>
      <x:c r="X383" s="32"/>
      <x:c r="Y383" s="31"/>
    </x:row>
    <x:row r="384">
      <x:c r="A384" s="79"/>
      <x:c r="B384" s="31"/>
      <x:c r="C384" s="31"/>
      <x:c r="D384" s="31"/>
      <x:c r="E384" s="31"/>
      <x:c r="F384" s="31"/>
      <x:c r="G384" s="31"/>
      <x:c r="H384" s="31"/>
      <x:c r="I384" s="31"/>
      <x:c r="J384" s="32"/>
      <x:c r="K384" s="32"/>
      <x:c r="L384" s="32"/>
      <x:c r="M384" s="32"/>
      <x:c r="N384" s="31"/>
      <x:c r="O384" s="31"/>
      <x:c r="P384" s="31"/>
      <x:c r="Q384" s="32"/>
      <x:c r="R384" s="31"/>
      <x:c r="S384" s="31"/>
      <x:c r="T384" s="31"/>
      <x:c r="U384" s="31"/>
      <x:c r="V384" s="32"/>
      <x:c r="W384" s="31"/>
      <x:c r="X384" s="32"/>
      <x:c r="Y384" s="31"/>
    </x:row>
    <x:row r="385">
      <x:c r="A385" s="79"/>
      <x:c r="B385" s="31"/>
      <x:c r="C385" s="31"/>
      <x:c r="D385" s="31"/>
      <x:c r="E385" s="31"/>
      <x:c r="F385" s="31"/>
      <x:c r="G385" s="31"/>
      <x:c r="H385" s="31"/>
      <x:c r="I385" s="31"/>
      <x:c r="J385" s="32"/>
      <x:c r="K385" s="32"/>
      <x:c r="L385" s="32"/>
      <x:c r="M385" s="32"/>
      <x:c r="N385" s="31"/>
      <x:c r="O385" s="31"/>
      <x:c r="P385" s="31"/>
      <x:c r="Q385" s="32"/>
      <x:c r="R385" s="31"/>
      <x:c r="S385" s="31"/>
      <x:c r="T385" s="31"/>
      <x:c r="U385" s="31"/>
      <x:c r="V385" s="32"/>
      <x:c r="W385" s="31"/>
      <x:c r="X385" s="32"/>
      <x:c r="Y385" s="31"/>
    </x:row>
    <x:row r="386">
      <x:c r="A386" s="79"/>
      <x:c r="B386" s="31"/>
      <x:c r="C386" s="31"/>
      <x:c r="D386" s="31"/>
      <x:c r="E386" s="31"/>
      <x:c r="F386" s="31"/>
      <x:c r="G386" s="31"/>
      <x:c r="H386" s="31"/>
      <x:c r="I386" s="31"/>
      <x:c r="J386" s="32"/>
      <x:c r="K386" s="32"/>
      <x:c r="L386" s="32"/>
      <x:c r="M386" s="32"/>
      <x:c r="N386" s="31"/>
      <x:c r="O386" s="31"/>
      <x:c r="P386" s="31"/>
      <x:c r="Q386" s="32"/>
      <x:c r="R386" s="31"/>
      <x:c r="S386" s="31"/>
      <x:c r="T386" s="31"/>
      <x:c r="U386" s="31"/>
      <x:c r="V386" s="32"/>
      <x:c r="W386" s="31"/>
      <x:c r="X386" s="32"/>
      <x:c r="Y386" s="31"/>
    </x:row>
    <x:row r="387">
      <x:c r="A387" s="79"/>
      <x:c r="B387" s="31"/>
      <x:c r="C387" s="31"/>
      <x:c r="D387" s="31"/>
      <x:c r="E387" s="31"/>
      <x:c r="F387" s="31"/>
      <x:c r="G387" s="31"/>
      <x:c r="H387" s="31"/>
      <x:c r="I387" s="31"/>
      <x:c r="J387" s="32"/>
      <x:c r="K387" s="32"/>
      <x:c r="L387" s="32"/>
      <x:c r="M387" s="32"/>
      <x:c r="N387" s="31"/>
      <x:c r="O387" s="31"/>
      <x:c r="P387" s="31"/>
      <x:c r="Q387" s="32"/>
      <x:c r="R387" s="31"/>
      <x:c r="S387" s="31"/>
      <x:c r="T387" s="31"/>
      <x:c r="U387" s="31"/>
      <x:c r="V387" s="32"/>
      <x:c r="W387" s="31"/>
      <x:c r="X387" s="32"/>
      <x:c r="Y387" s="31"/>
    </x:row>
    <x:row r="388">
      <x:c r="A388" s="79"/>
      <x:c r="B388" s="31"/>
      <x:c r="C388" s="31"/>
      <x:c r="D388" s="31"/>
      <x:c r="E388" s="31"/>
      <x:c r="F388" s="31"/>
      <x:c r="G388" s="31"/>
      <x:c r="H388" s="31"/>
      <x:c r="I388" s="31"/>
      <x:c r="J388" s="32"/>
      <x:c r="K388" s="32"/>
      <x:c r="L388" s="32"/>
      <x:c r="M388" s="32"/>
      <x:c r="N388" s="31"/>
      <x:c r="O388" s="31"/>
      <x:c r="P388" s="31"/>
      <x:c r="Q388" s="32"/>
      <x:c r="R388" s="31"/>
      <x:c r="S388" s="31"/>
      <x:c r="T388" s="31"/>
      <x:c r="U388" s="31"/>
      <x:c r="V388" s="32"/>
      <x:c r="W388" s="31"/>
      <x:c r="X388" s="32"/>
      <x:c r="Y388" s="31"/>
    </x:row>
    <x:row r="389">
      <x:c r="A389" s="79"/>
      <x:c r="B389" s="31"/>
      <x:c r="C389" s="31"/>
      <x:c r="D389" s="31"/>
      <x:c r="E389" s="31"/>
      <x:c r="F389" s="31"/>
      <x:c r="G389" s="31"/>
      <x:c r="H389" s="31"/>
      <x:c r="I389" s="31"/>
      <x:c r="J389" s="32"/>
      <x:c r="K389" s="32"/>
      <x:c r="L389" s="32"/>
      <x:c r="M389" s="32"/>
      <x:c r="N389" s="31"/>
      <x:c r="O389" s="31"/>
      <x:c r="P389" s="31"/>
      <x:c r="Q389" s="32"/>
      <x:c r="R389" s="31"/>
      <x:c r="S389" s="31"/>
      <x:c r="T389" s="31"/>
      <x:c r="U389" s="31"/>
      <x:c r="V389" s="32"/>
      <x:c r="W389" s="31"/>
      <x:c r="X389" s="32"/>
      <x:c r="Y389" s="31"/>
    </x:row>
    <x:row r="390">
      <x:c r="A390" s="79"/>
      <x:c r="B390" s="31"/>
      <x:c r="C390" s="31"/>
      <x:c r="D390" s="31"/>
      <x:c r="E390" s="31"/>
      <x:c r="F390" s="31"/>
      <x:c r="G390" s="31"/>
      <x:c r="H390" s="31"/>
      <x:c r="I390" s="31"/>
      <x:c r="J390" s="32"/>
      <x:c r="K390" s="32"/>
      <x:c r="L390" s="32"/>
      <x:c r="M390" s="32"/>
      <x:c r="N390" s="31"/>
      <x:c r="O390" s="31"/>
      <x:c r="P390" s="31"/>
      <x:c r="Q390" s="32"/>
      <x:c r="R390" s="31"/>
      <x:c r="S390" s="31"/>
      <x:c r="T390" s="31"/>
      <x:c r="U390" s="31"/>
      <x:c r="V390" s="32"/>
      <x:c r="W390" s="31"/>
      <x:c r="X390" s="32"/>
      <x:c r="Y390" s="31"/>
    </x:row>
    <x:row r="391">
      <x:c r="A391" s="79"/>
      <x:c r="B391" s="31"/>
      <x:c r="C391" s="31"/>
      <x:c r="D391" s="31"/>
      <x:c r="E391" s="31"/>
      <x:c r="F391" s="31"/>
      <x:c r="G391" s="31"/>
      <x:c r="H391" s="31"/>
      <x:c r="I391" s="31"/>
      <x:c r="J391" s="32"/>
      <x:c r="K391" s="32"/>
      <x:c r="L391" s="32"/>
      <x:c r="M391" s="32"/>
      <x:c r="N391" s="31"/>
      <x:c r="O391" s="31"/>
      <x:c r="P391" s="31"/>
      <x:c r="Q391" s="32"/>
      <x:c r="R391" s="31"/>
      <x:c r="S391" s="31"/>
      <x:c r="T391" s="31"/>
      <x:c r="U391" s="31"/>
      <x:c r="V391" s="32"/>
      <x:c r="W391" s="31"/>
      <x:c r="X391" s="32"/>
      <x:c r="Y391" s="31"/>
    </x:row>
    <x:row r="392">
      <x:c r="A392" s="79"/>
      <x:c r="B392" s="31"/>
      <x:c r="C392" s="31"/>
      <x:c r="D392" s="31"/>
      <x:c r="E392" s="31"/>
      <x:c r="F392" s="31"/>
      <x:c r="G392" s="31"/>
      <x:c r="H392" s="31"/>
      <x:c r="I392" s="31"/>
      <x:c r="J392" s="32"/>
      <x:c r="K392" s="32"/>
      <x:c r="L392" s="32"/>
      <x:c r="M392" s="32"/>
      <x:c r="N392" s="31"/>
      <x:c r="O392" s="31"/>
      <x:c r="P392" s="31"/>
      <x:c r="Q392" s="32"/>
      <x:c r="R392" s="31"/>
      <x:c r="S392" s="31"/>
      <x:c r="T392" s="31"/>
      <x:c r="U392" s="31"/>
      <x:c r="V392" s="32"/>
      <x:c r="W392" s="31"/>
      <x:c r="X392" s="32"/>
      <x:c r="Y392" s="31"/>
    </x:row>
    <x:row r="393">
      <x:c r="A393" s="79"/>
      <x:c r="B393" s="31"/>
      <x:c r="C393" s="31"/>
      <x:c r="D393" s="31"/>
      <x:c r="E393" s="31"/>
      <x:c r="F393" s="31"/>
      <x:c r="G393" s="31"/>
      <x:c r="H393" s="31"/>
      <x:c r="I393" s="31"/>
      <x:c r="J393" s="32"/>
      <x:c r="K393" s="32"/>
      <x:c r="L393" s="32"/>
      <x:c r="M393" s="32"/>
      <x:c r="N393" s="31"/>
      <x:c r="O393" s="31"/>
      <x:c r="P393" s="31"/>
      <x:c r="Q393" s="32"/>
      <x:c r="R393" s="31"/>
      <x:c r="S393" s="31"/>
      <x:c r="T393" s="31"/>
      <x:c r="U393" s="31"/>
      <x:c r="V393" s="32"/>
      <x:c r="W393" s="31"/>
      <x:c r="X393" s="32"/>
      <x:c r="Y393" s="31"/>
    </x:row>
    <x:row r="394">
      <x:c r="A394" s="79"/>
      <x:c r="B394" s="31"/>
      <x:c r="C394" s="31"/>
      <x:c r="D394" s="31"/>
      <x:c r="E394" s="31"/>
      <x:c r="F394" s="31"/>
      <x:c r="G394" s="31"/>
      <x:c r="H394" s="31"/>
      <x:c r="I394" s="31"/>
      <x:c r="J394" s="32"/>
      <x:c r="K394" s="32"/>
      <x:c r="L394" s="32"/>
      <x:c r="M394" s="32"/>
      <x:c r="N394" s="31"/>
      <x:c r="O394" s="31"/>
      <x:c r="P394" s="31"/>
      <x:c r="Q394" s="32"/>
      <x:c r="R394" s="31"/>
      <x:c r="S394" s="31"/>
      <x:c r="T394" s="31"/>
      <x:c r="U394" s="31"/>
      <x:c r="V394" s="32"/>
      <x:c r="W394" s="31"/>
      <x:c r="X394" s="32"/>
      <x:c r="Y394" s="31"/>
    </x:row>
    <x:row r="395">
      <x:c r="A395" s="79"/>
      <x:c r="B395" s="31"/>
      <x:c r="C395" s="31"/>
      <x:c r="D395" s="31"/>
      <x:c r="E395" s="31"/>
      <x:c r="F395" s="31"/>
      <x:c r="G395" s="31"/>
      <x:c r="H395" s="31"/>
      <x:c r="I395" s="31"/>
      <x:c r="J395" s="32"/>
      <x:c r="K395" s="32"/>
      <x:c r="L395" s="32"/>
      <x:c r="M395" s="32"/>
      <x:c r="N395" s="31"/>
      <x:c r="O395" s="31"/>
      <x:c r="P395" s="31"/>
      <x:c r="Q395" s="32"/>
      <x:c r="R395" s="31"/>
      <x:c r="S395" s="31"/>
      <x:c r="T395" s="31"/>
      <x:c r="U395" s="31"/>
      <x:c r="V395" s="32"/>
      <x:c r="W395" s="31"/>
      <x:c r="X395" s="32"/>
      <x:c r="Y395" s="31"/>
    </x:row>
    <x:row r="396">
      <x:c r="A396" s="79"/>
      <x:c r="B396" s="31"/>
      <x:c r="C396" s="31"/>
      <x:c r="D396" s="31"/>
      <x:c r="E396" s="31"/>
      <x:c r="F396" s="31"/>
      <x:c r="G396" s="31"/>
      <x:c r="H396" s="31"/>
      <x:c r="I396" s="31"/>
      <x:c r="J396" s="32"/>
      <x:c r="K396" s="32"/>
      <x:c r="L396" s="32"/>
      <x:c r="M396" s="32"/>
      <x:c r="N396" s="31"/>
      <x:c r="O396" s="31"/>
      <x:c r="P396" s="31"/>
      <x:c r="Q396" s="32"/>
      <x:c r="R396" s="31"/>
      <x:c r="S396" s="31"/>
      <x:c r="T396" s="31"/>
      <x:c r="U396" s="31"/>
      <x:c r="V396" s="32"/>
      <x:c r="W396" s="31"/>
      <x:c r="X396" s="32"/>
      <x:c r="Y396" s="31"/>
    </x:row>
    <x:row r="397">
      <x:c r="A397" s="79"/>
      <x:c r="B397" s="31"/>
      <x:c r="C397" s="31"/>
      <x:c r="D397" s="31"/>
      <x:c r="E397" s="31"/>
      <x:c r="F397" s="31"/>
      <x:c r="G397" s="31"/>
      <x:c r="H397" s="31"/>
      <x:c r="I397" s="31"/>
      <x:c r="J397" s="32"/>
      <x:c r="K397" s="32"/>
      <x:c r="L397" s="32"/>
      <x:c r="M397" s="32"/>
      <x:c r="N397" s="31"/>
      <x:c r="O397" s="31"/>
      <x:c r="P397" s="31"/>
      <x:c r="Q397" s="32"/>
      <x:c r="R397" s="31"/>
      <x:c r="S397" s="31"/>
      <x:c r="T397" s="31"/>
      <x:c r="U397" s="31"/>
      <x:c r="V397" s="32"/>
      <x:c r="W397" s="31"/>
      <x:c r="X397" s="32"/>
      <x:c r="Y397" s="31"/>
    </x:row>
    <x:row r="398">
      <x:c r="A398" s="79"/>
      <x:c r="B398" s="31"/>
      <x:c r="C398" s="31"/>
      <x:c r="D398" s="31"/>
      <x:c r="E398" s="31"/>
      <x:c r="F398" s="31"/>
      <x:c r="G398" s="31"/>
      <x:c r="H398" s="31"/>
      <x:c r="I398" s="31"/>
      <x:c r="J398" s="32"/>
      <x:c r="K398" s="32"/>
      <x:c r="L398" s="32"/>
      <x:c r="M398" s="32"/>
      <x:c r="N398" s="31"/>
      <x:c r="O398" s="31"/>
      <x:c r="P398" s="31"/>
      <x:c r="Q398" s="32"/>
      <x:c r="R398" s="31"/>
      <x:c r="S398" s="31"/>
      <x:c r="T398" s="31"/>
      <x:c r="U398" s="31"/>
      <x:c r="V398" s="32"/>
      <x:c r="W398" s="31"/>
      <x:c r="X398" s="32"/>
      <x:c r="Y398" s="31"/>
    </x:row>
    <x:row r="399">
      <x:c r="A399" s="79"/>
      <x:c r="B399" s="31"/>
      <x:c r="C399" s="31"/>
      <x:c r="D399" s="31"/>
      <x:c r="E399" s="31"/>
      <x:c r="F399" s="31"/>
      <x:c r="G399" s="31"/>
      <x:c r="H399" s="31"/>
      <x:c r="I399" s="31"/>
      <x:c r="J399" s="32"/>
      <x:c r="K399" s="32"/>
      <x:c r="L399" s="32"/>
      <x:c r="M399" s="32"/>
      <x:c r="N399" s="31"/>
      <x:c r="O399" s="31"/>
      <x:c r="P399" s="31"/>
      <x:c r="Q399" s="32"/>
      <x:c r="R399" s="31"/>
      <x:c r="S399" s="31"/>
      <x:c r="T399" s="31"/>
      <x:c r="U399" s="31"/>
      <x:c r="V399" s="32"/>
      <x:c r="W399" s="31"/>
      <x:c r="X399" s="32"/>
      <x:c r="Y399" s="31"/>
    </x:row>
    <x:row r="400">
      <x:c r="A400" s="79"/>
      <x:c r="B400" s="31"/>
      <x:c r="C400" s="31"/>
      <x:c r="D400" s="31"/>
      <x:c r="E400" s="31"/>
      <x:c r="F400" s="31"/>
      <x:c r="G400" s="31"/>
      <x:c r="H400" s="31"/>
      <x:c r="I400" s="31"/>
      <x:c r="J400" s="32"/>
      <x:c r="K400" s="32"/>
      <x:c r="L400" s="32"/>
      <x:c r="M400" s="32"/>
      <x:c r="N400" s="31"/>
      <x:c r="O400" s="31"/>
      <x:c r="P400" s="31"/>
      <x:c r="Q400" s="32"/>
      <x:c r="R400" s="31"/>
      <x:c r="S400" s="31"/>
      <x:c r="T400" s="31"/>
      <x:c r="U400" s="31"/>
      <x:c r="V400" s="32"/>
      <x:c r="W400" s="31"/>
      <x:c r="X400" s="32"/>
      <x:c r="Y400" s="31"/>
    </x:row>
    <x:row r="401">
      <x:c r="A401" s="79"/>
      <x:c r="B401" s="31"/>
      <x:c r="C401" s="31"/>
      <x:c r="D401" s="31"/>
      <x:c r="E401" s="31"/>
      <x:c r="F401" s="31"/>
      <x:c r="G401" s="31"/>
      <x:c r="H401" s="31"/>
      <x:c r="I401" s="31"/>
      <x:c r="J401" s="32"/>
      <x:c r="K401" s="32"/>
      <x:c r="L401" s="32"/>
      <x:c r="M401" s="32"/>
      <x:c r="N401" s="31"/>
      <x:c r="O401" s="31"/>
      <x:c r="P401" s="31"/>
      <x:c r="Q401" s="32"/>
      <x:c r="R401" s="31"/>
      <x:c r="S401" s="31"/>
      <x:c r="T401" s="31"/>
      <x:c r="U401" s="31"/>
      <x:c r="V401" s="32"/>
      <x:c r="W401" s="31"/>
      <x:c r="X401" s="32"/>
      <x:c r="Y401" s="31"/>
    </x:row>
    <x:row r="402">
      <x:c r="A402" s="79"/>
      <x:c r="B402" s="31"/>
      <x:c r="C402" s="31"/>
      <x:c r="D402" s="31"/>
      <x:c r="E402" s="31"/>
      <x:c r="F402" s="31"/>
      <x:c r="G402" s="31"/>
      <x:c r="H402" s="31"/>
      <x:c r="I402" s="31"/>
      <x:c r="J402" s="32"/>
      <x:c r="K402" s="32"/>
      <x:c r="L402" s="32"/>
      <x:c r="M402" s="32"/>
      <x:c r="N402" s="31"/>
      <x:c r="O402" s="31"/>
      <x:c r="P402" s="31"/>
      <x:c r="Q402" s="32"/>
      <x:c r="R402" s="31"/>
      <x:c r="S402" s="31"/>
      <x:c r="T402" s="31"/>
      <x:c r="U402" s="31"/>
      <x:c r="V402" s="32"/>
      <x:c r="W402" s="31"/>
      <x:c r="X402" s="32"/>
      <x:c r="Y402" s="31"/>
    </x:row>
    <x:row r="403">
      <x:c r="A403" s="79"/>
      <x:c r="B403" s="31"/>
      <x:c r="C403" s="31"/>
      <x:c r="D403" s="31"/>
      <x:c r="E403" s="31"/>
      <x:c r="F403" s="31"/>
      <x:c r="G403" s="31"/>
      <x:c r="H403" s="31"/>
      <x:c r="I403" s="31"/>
      <x:c r="J403" s="32"/>
      <x:c r="K403" s="32"/>
      <x:c r="L403" s="32"/>
      <x:c r="M403" s="32"/>
      <x:c r="N403" s="31"/>
      <x:c r="O403" s="31"/>
      <x:c r="P403" s="31"/>
      <x:c r="Q403" s="32"/>
      <x:c r="R403" s="31"/>
      <x:c r="S403" s="31"/>
      <x:c r="T403" s="31"/>
      <x:c r="U403" s="31"/>
      <x:c r="V403" s="32"/>
      <x:c r="W403" s="31"/>
      <x:c r="X403" s="32"/>
      <x:c r="Y403" s="31"/>
    </x:row>
    <x:row r="404">
      <x:c r="A404" s="79"/>
      <x:c r="B404" s="31"/>
      <x:c r="C404" s="31"/>
      <x:c r="D404" s="31"/>
      <x:c r="E404" s="31"/>
      <x:c r="F404" s="31"/>
      <x:c r="G404" s="31"/>
      <x:c r="H404" s="31"/>
      <x:c r="I404" s="31"/>
      <x:c r="J404" s="32"/>
      <x:c r="K404" s="32"/>
      <x:c r="L404" s="32"/>
      <x:c r="M404" s="32"/>
      <x:c r="N404" s="31"/>
      <x:c r="O404" s="31"/>
      <x:c r="P404" s="31"/>
      <x:c r="Q404" s="32"/>
      <x:c r="R404" s="31"/>
      <x:c r="S404" s="31"/>
      <x:c r="T404" s="31"/>
      <x:c r="U404" s="31"/>
      <x:c r="V404" s="32"/>
      <x:c r="W404" s="31"/>
      <x:c r="X404" s="32"/>
      <x:c r="Y404" s="31"/>
    </x:row>
    <x:row r="405">
      <x:c r="A405" s="79"/>
      <x:c r="B405" s="31"/>
      <x:c r="C405" s="31"/>
      <x:c r="D405" s="31"/>
      <x:c r="E405" s="31"/>
      <x:c r="F405" s="31"/>
      <x:c r="G405" s="31"/>
      <x:c r="H405" s="31"/>
      <x:c r="I405" s="31"/>
      <x:c r="J405" s="32"/>
      <x:c r="K405" s="32"/>
      <x:c r="L405" s="32"/>
      <x:c r="M405" s="32"/>
      <x:c r="N405" s="31"/>
      <x:c r="O405" s="31"/>
      <x:c r="P405" s="31"/>
      <x:c r="Q405" s="32"/>
      <x:c r="R405" s="31"/>
      <x:c r="S405" s="31"/>
      <x:c r="T405" s="31"/>
      <x:c r="U405" s="31"/>
      <x:c r="V405" s="32"/>
      <x:c r="W405" s="31"/>
      <x:c r="X405" s="32"/>
      <x:c r="Y405" s="31"/>
    </x:row>
    <x:row r="406">
      <x:c r="A406" s="79"/>
      <x:c r="B406" s="31"/>
      <x:c r="C406" s="31"/>
      <x:c r="D406" s="31"/>
      <x:c r="E406" s="31"/>
      <x:c r="F406" s="31"/>
      <x:c r="G406" s="31"/>
      <x:c r="H406" s="31"/>
      <x:c r="I406" s="31"/>
      <x:c r="J406" s="32"/>
      <x:c r="K406" s="32"/>
      <x:c r="L406" s="32"/>
      <x:c r="M406" s="32"/>
      <x:c r="N406" s="31"/>
      <x:c r="O406" s="31"/>
      <x:c r="P406" s="31"/>
      <x:c r="Q406" s="32"/>
      <x:c r="R406" s="31"/>
      <x:c r="S406" s="31"/>
      <x:c r="T406" s="31"/>
      <x:c r="U406" s="31"/>
      <x:c r="V406" s="32"/>
      <x:c r="W406" s="31"/>
      <x:c r="X406" s="32"/>
      <x:c r="Y406" s="31"/>
    </x:row>
    <x:row r="407">
      <x:c r="A407" s="79"/>
      <x:c r="B407" s="31"/>
      <x:c r="C407" s="31"/>
      <x:c r="D407" s="31"/>
      <x:c r="E407" s="31"/>
      <x:c r="F407" s="31"/>
      <x:c r="G407" s="31"/>
      <x:c r="H407" s="31"/>
      <x:c r="I407" s="31"/>
      <x:c r="J407" s="32"/>
      <x:c r="K407" s="32"/>
      <x:c r="L407" s="32"/>
      <x:c r="M407" s="32"/>
      <x:c r="N407" s="31"/>
      <x:c r="O407" s="31"/>
      <x:c r="P407" s="31"/>
      <x:c r="Q407" s="32"/>
      <x:c r="R407" s="31"/>
      <x:c r="S407" s="31"/>
      <x:c r="T407" s="31"/>
      <x:c r="U407" s="31"/>
      <x:c r="V407" s="32"/>
      <x:c r="W407" s="31"/>
      <x:c r="X407" s="32"/>
      <x:c r="Y407" s="31"/>
    </x:row>
    <x:row r="408">
      <x:c r="A408" s="79"/>
      <x:c r="B408" s="31"/>
      <x:c r="C408" s="31"/>
      <x:c r="D408" s="31"/>
      <x:c r="E408" s="31"/>
      <x:c r="F408" s="31"/>
      <x:c r="G408" s="31"/>
      <x:c r="H408" s="31"/>
      <x:c r="I408" s="31"/>
      <x:c r="J408" s="32"/>
      <x:c r="K408" s="32"/>
      <x:c r="L408" s="32"/>
      <x:c r="M408" s="32"/>
      <x:c r="N408" s="31"/>
      <x:c r="O408" s="31"/>
      <x:c r="P408" s="31"/>
      <x:c r="Q408" s="32"/>
      <x:c r="R408" s="31"/>
      <x:c r="S408" s="31"/>
      <x:c r="T408" s="31"/>
      <x:c r="U408" s="31"/>
      <x:c r="V408" s="32"/>
      <x:c r="W408" s="31"/>
      <x:c r="X408" s="32"/>
      <x:c r="Y408" s="31"/>
    </x:row>
    <x:row r="409">
      <x:c r="A409" s="79"/>
      <x:c r="B409" s="31"/>
      <x:c r="C409" s="31"/>
      <x:c r="D409" s="31"/>
      <x:c r="E409" s="31"/>
      <x:c r="F409" s="31"/>
      <x:c r="G409" s="31"/>
      <x:c r="H409" s="31"/>
      <x:c r="I409" s="31"/>
      <x:c r="J409" s="32"/>
      <x:c r="K409" s="32"/>
      <x:c r="L409" s="32"/>
      <x:c r="M409" s="32"/>
      <x:c r="N409" s="31"/>
      <x:c r="O409" s="31"/>
      <x:c r="P409" s="31"/>
      <x:c r="Q409" s="32"/>
      <x:c r="R409" s="31"/>
      <x:c r="S409" s="31"/>
      <x:c r="T409" s="31"/>
      <x:c r="U409" s="31"/>
      <x:c r="V409" s="32"/>
      <x:c r="W409" s="31"/>
      <x:c r="X409" s="32"/>
      <x:c r="Y409" s="31"/>
    </x:row>
    <x:row r="410">
      <x:c r="A410" s="79"/>
      <x:c r="B410" s="31"/>
      <x:c r="C410" s="31"/>
      <x:c r="D410" s="31"/>
      <x:c r="E410" s="31"/>
      <x:c r="F410" s="31"/>
      <x:c r="G410" s="31"/>
      <x:c r="H410" s="31"/>
      <x:c r="I410" s="31"/>
      <x:c r="J410" s="32"/>
      <x:c r="K410" s="32"/>
      <x:c r="L410" s="32"/>
      <x:c r="M410" s="32"/>
      <x:c r="N410" s="31"/>
      <x:c r="O410" s="31"/>
      <x:c r="P410" s="31"/>
      <x:c r="Q410" s="32"/>
      <x:c r="R410" s="31"/>
      <x:c r="S410" s="31"/>
      <x:c r="T410" s="31"/>
      <x:c r="U410" s="31"/>
      <x:c r="V410" s="32"/>
      <x:c r="W410" s="31"/>
      <x:c r="X410" s="32"/>
      <x:c r="Y410" s="31"/>
    </x:row>
    <x:row r="411">
      <x:c r="A411" s="79"/>
      <x:c r="B411" s="31"/>
      <x:c r="C411" s="31"/>
      <x:c r="D411" s="31"/>
      <x:c r="E411" s="31"/>
      <x:c r="F411" s="31"/>
      <x:c r="G411" s="31"/>
      <x:c r="H411" s="31"/>
      <x:c r="I411" s="31"/>
      <x:c r="J411" s="32"/>
      <x:c r="K411" s="32"/>
      <x:c r="L411" s="32"/>
      <x:c r="M411" s="32"/>
      <x:c r="N411" s="31"/>
      <x:c r="O411" s="31"/>
      <x:c r="P411" s="31"/>
      <x:c r="Q411" s="32"/>
      <x:c r="R411" s="31"/>
      <x:c r="S411" s="31"/>
      <x:c r="T411" s="31"/>
      <x:c r="U411" s="31"/>
      <x:c r="V411" s="32"/>
      <x:c r="W411" s="31"/>
      <x:c r="X411" s="32"/>
      <x:c r="Y411" s="31"/>
    </x:row>
    <x:row r="412">
      <x:c r="A412" s="79"/>
      <x:c r="B412" s="31"/>
      <x:c r="C412" s="31"/>
      <x:c r="D412" s="31"/>
      <x:c r="E412" s="31"/>
      <x:c r="F412" s="31"/>
      <x:c r="G412" s="31"/>
      <x:c r="H412" s="31"/>
      <x:c r="I412" s="31"/>
      <x:c r="J412" s="32"/>
      <x:c r="K412" s="32"/>
      <x:c r="L412" s="32"/>
      <x:c r="M412" s="32"/>
      <x:c r="N412" s="31"/>
      <x:c r="O412" s="31"/>
      <x:c r="P412" s="31"/>
      <x:c r="Q412" s="32"/>
      <x:c r="R412" s="31"/>
      <x:c r="S412" s="31"/>
      <x:c r="T412" s="31"/>
      <x:c r="U412" s="31"/>
      <x:c r="V412" s="32"/>
      <x:c r="W412" s="31"/>
      <x:c r="X412" s="32"/>
      <x:c r="Y412" s="31"/>
    </x:row>
    <x:row r="413">
      <x:c r="A413" s="79"/>
      <x:c r="B413" s="31"/>
      <x:c r="C413" s="31"/>
      <x:c r="D413" s="31"/>
      <x:c r="E413" s="31"/>
      <x:c r="F413" s="31"/>
      <x:c r="G413" s="31"/>
      <x:c r="H413" s="31"/>
      <x:c r="I413" s="31"/>
      <x:c r="J413" s="32"/>
      <x:c r="K413" s="32"/>
      <x:c r="L413" s="32"/>
      <x:c r="M413" s="32"/>
      <x:c r="N413" s="31"/>
      <x:c r="O413" s="31"/>
      <x:c r="P413" s="31"/>
      <x:c r="Q413" s="32"/>
      <x:c r="R413" s="31"/>
      <x:c r="S413" s="31"/>
      <x:c r="T413" s="31"/>
      <x:c r="U413" s="31"/>
      <x:c r="V413" s="32"/>
      <x:c r="W413" s="31"/>
      <x:c r="X413" s="32"/>
      <x:c r="Y413" s="31"/>
    </x:row>
    <x:row r="414">
      <x:c r="A414" s="79"/>
      <x:c r="B414" s="31"/>
      <x:c r="C414" s="31"/>
      <x:c r="D414" s="31"/>
      <x:c r="E414" s="31"/>
      <x:c r="F414" s="31"/>
      <x:c r="G414" s="31"/>
      <x:c r="H414" s="31"/>
      <x:c r="I414" s="31"/>
      <x:c r="J414" s="32"/>
      <x:c r="K414" s="32"/>
      <x:c r="L414" s="32"/>
      <x:c r="M414" s="32"/>
      <x:c r="N414" s="31"/>
      <x:c r="O414" s="31"/>
      <x:c r="P414" s="31"/>
      <x:c r="Q414" s="32"/>
      <x:c r="R414" s="31"/>
      <x:c r="S414" s="31"/>
      <x:c r="T414" s="31"/>
      <x:c r="U414" s="31"/>
      <x:c r="V414" s="32"/>
      <x:c r="W414" s="31"/>
      <x:c r="X414" s="32"/>
      <x:c r="Y414" s="31"/>
    </x:row>
    <x:row r="415">
      <x:c r="A415" s="79"/>
      <x:c r="B415" s="31"/>
      <x:c r="C415" s="31"/>
      <x:c r="D415" s="31"/>
      <x:c r="E415" s="31"/>
      <x:c r="F415" s="31"/>
      <x:c r="G415" s="31"/>
      <x:c r="H415" s="31"/>
      <x:c r="I415" s="31"/>
      <x:c r="J415" s="32"/>
      <x:c r="K415" s="32"/>
      <x:c r="L415" s="32"/>
      <x:c r="M415" s="32"/>
      <x:c r="N415" s="31"/>
      <x:c r="O415" s="31"/>
      <x:c r="P415" s="31"/>
      <x:c r="Q415" s="32"/>
      <x:c r="R415" s="31"/>
      <x:c r="S415" s="31"/>
      <x:c r="T415" s="31"/>
      <x:c r="U415" s="31"/>
      <x:c r="V415" s="32"/>
      <x:c r="W415" s="31"/>
      <x:c r="X415" s="32"/>
      <x:c r="Y415" s="31"/>
    </x:row>
    <x:row r="416">
      <x:c r="A416" s="79"/>
      <x:c r="B416" s="31"/>
      <x:c r="C416" s="31"/>
      <x:c r="D416" s="31"/>
      <x:c r="E416" s="31"/>
      <x:c r="F416" s="31"/>
      <x:c r="G416" s="31"/>
      <x:c r="H416" s="31"/>
      <x:c r="I416" s="31"/>
      <x:c r="J416" s="32"/>
      <x:c r="K416" s="32"/>
      <x:c r="L416" s="32"/>
      <x:c r="M416" s="32"/>
      <x:c r="N416" s="31"/>
      <x:c r="O416" s="31"/>
      <x:c r="P416" s="31"/>
      <x:c r="Q416" s="32"/>
      <x:c r="R416" s="31"/>
      <x:c r="S416" s="31"/>
      <x:c r="T416" s="31"/>
      <x:c r="U416" s="31"/>
      <x:c r="V416" s="32"/>
      <x:c r="W416" s="31"/>
      <x:c r="X416" s="32"/>
      <x:c r="Y416" s="31"/>
    </x:row>
    <x:row r="417">
      <x:c r="A417" s="79"/>
      <x:c r="B417" s="31"/>
      <x:c r="C417" s="31"/>
      <x:c r="D417" s="31"/>
      <x:c r="E417" s="31"/>
      <x:c r="F417" s="31"/>
      <x:c r="G417" s="31"/>
      <x:c r="H417" s="31"/>
      <x:c r="I417" s="31"/>
      <x:c r="J417" s="32"/>
      <x:c r="K417" s="32"/>
      <x:c r="L417" s="32"/>
      <x:c r="M417" s="32"/>
      <x:c r="N417" s="31"/>
      <x:c r="O417" s="31"/>
      <x:c r="P417" s="31"/>
      <x:c r="Q417" s="32"/>
      <x:c r="R417" s="31"/>
      <x:c r="S417" s="31"/>
      <x:c r="T417" s="31"/>
      <x:c r="U417" s="31"/>
      <x:c r="V417" s="32"/>
      <x:c r="W417" s="31"/>
      <x:c r="X417" s="32"/>
      <x:c r="Y417" s="31"/>
    </x:row>
    <x:row r="418">
      <x:c r="A418" s="79"/>
      <x:c r="B418" s="31"/>
      <x:c r="C418" s="31"/>
      <x:c r="D418" s="31"/>
      <x:c r="E418" s="31"/>
      <x:c r="F418" s="31"/>
      <x:c r="G418" s="31"/>
      <x:c r="H418" s="31"/>
      <x:c r="I418" s="31"/>
      <x:c r="J418" s="32"/>
      <x:c r="K418" s="32"/>
      <x:c r="L418" s="32"/>
      <x:c r="M418" s="32"/>
      <x:c r="N418" s="31"/>
      <x:c r="O418" s="31"/>
      <x:c r="P418" s="31"/>
      <x:c r="Q418" s="32"/>
      <x:c r="R418" s="31"/>
      <x:c r="S418" s="31"/>
      <x:c r="T418" s="31"/>
      <x:c r="U418" s="31"/>
      <x:c r="V418" s="32"/>
      <x:c r="W418" s="31"/>
      <x:c r="X418" s="32"/>
      <x:c r="Y418" s="31"/>
    </x:row>
    <x:row r="419">
      <x:c r="A419" s="79"/>
      <x:c r="B419" s="31"/>
      <x:c r="C419" s="31"/>
      <x:c r="D419" s="31"/>
      <x:c r="E419" s="31"/>
      <x:c r="F419" s="31"/>
      <x:c r="G419" s="31"/>
      <x:c r="H419" s="31"/>
      <x:c r="I419" s="31"/>
      <x:c r="J419" s="32"/>
      <x:c r="K419" s="32"/>
      <x:c r="L419" s="32"/>
      <x:c r="M419" s="32"/>
      <x:c r="N419" s="31"/>
      <x:c r="O419" s="31"/>
      <x:c r="P419" s="31"/>
      <x:c r="Q419" s="32"/>
      <x:c r="R419" s="31"/>
      <x:c r="S419" s="31"/>
      <x:c r="T419" s="31"/>
      <x:c r="U419" s="31"/>
      <x:c r="V419" s="32"/>
      <x:c r="W419" s="31"/>
      <x:c r="X419" s="32"/>
      <x:c r="Y419" s="31"/>
    </x:row>
    <x:row r="420">
      <x:c r="A420" s="79"/>
      <x:c r="B420" s="31"/>
      <x:c r="C420" s="31"/>
      <x:c r="D420" s="31"/>
      <x:c r="E420" s="31"/>
      <x:c r="F420" s="31"/>
      <x:c r="G420" s="31"/>
      <x:c r="H420" s="31"/>
      <x:c r="I420" s="31"/>
      <x:c r="J420" s="32"/>
      <x:c r="K420" s="32"/>
      <x:c r="L420" s="32"/>
      <x:c r="M420" s="32"/>
      <x:c r="N420" s="31"/>
      <x:c r="O420" s="31"/>
      <x:c r="P420" s="31"/>
      <x:c r="Q420" s="32"/>
      <x:c r="R420" s="31"/>
      <x:c r="S420" s="31"/>
      <x:c r="T420" s="31"/>
      <x:c r="U420" s="31"/>
      <x:c r="V420" s="32"/>
      <x:c r="W420" s="31"/>
      <x:c r="X420" s="32"/>
      <x:c r="Y420" s="31"/>
    </x:row>
    <x:row r="421">
      <x:c r="A421" s="79"/>
      <x:c r="B421" s="31"/>
      <x:c r="C421" s="31"/>
      <x:c r="D421" s="31"/>
      <x:c r="E421" s="31"/>
      <x:c r="F421" s="31"/>
      <x:c r="G421" s="31"/>
      <x:c r="H421" s="31"/>
      <x:c r="I421" s="31"/>
      <x:c r="J421" s="32"/>
      <x:c r="K421" s="32"/>
      <x:c r="L421" s="32"/>
      <x:c r="M421" s="32"/>
      <x:c r="N421" s="31"/>
      <x:c r="O421" s="31"/>
      <x:c r="P421" s="31"/>
      <x:c r="Q421" s="32"/>
      <x:c r="R421" s="31"/>
      <x:c r="S421" s="31"/>
      <x:c r="T421" s="31"/>
      <x:c r="U421" s="31"/>
      <x:c r="V421" s="32"/>
      <x:c r="W421" s="31"/>
      <x:c r="X421" s="32"/>
      <x:c r="Y421" s="31"/>
    </x:row>
    <x:row r="422">
      <x:c r="A422" s="79"/>
      <x:c r="B422" s="31"/>
      <x:c r="C422" s="31"/>
      <x:c r="D422" s="31"/>
      <x:c r="E422" s="31"/>
      <x:c r="F422" s="31"/>
      <x:c r="G422" s="31"/>
      <x:c r="H422" s="31"/>
      <x:c r="I422" s="31"/>
      <x:c r="J422" s="32"/>
      <x:c r="K422" s="32"/>
      <x:c r="L422" s="32"/>
      <x:c r="M422" s="32"/>
      <x:c r="N422" s="31"/>
      <x:c r="O422" s="31"/>
      <x:c r="P422" s="31"/>
      <x:c r="Q422" s="32"/>
      <x:c r="R422" s="31"/>
      <x:c r="S422" s="31"/>
      <x:c r="T422" s="31"/>
      <x:c r="U422" s="31"/>
      <x:c r="V422" s="32"/>
      <x:c r="W422" s="31"/>
      <x:c r="X422" s="32"/>
      <x:c r="Y422" s="31"/>
    </x:row>
    <x:row r="423">
      <x:c r="A423" s="79"/>
      <x:c r="B423" s="31"/>
      <x:c r="C423" s="31"/>
      <x:c r="D423" s="31"/>
      <x:c r="E423" s="31"/>
      <x:c r="F423" s="31"/>
      <x:c r="G423" s="31"/>
      <x:c r="H423" s="31"/>
      <x:c r="I423" s="31"/>
      <x:c r="J423" s="32"/>
      <x:c r="K423" s="32"/>
      <x:c r="L423" s="32"/>
      <x:c r="M423" s="32"/>
      <x:c r="N423" s="31"/>
      <x:c r="O423" s="31"/>
      <x:c r="P423" s="31"/>
      <x:c r="Q423" s="32"/>
      <x:c r="R423" s="31"/>
      <x:c r="S423" s="31"/>
      <x:c r="T423" s="31"/>
      <x:c r="U423" s="31"/>
      <x:c r="V423" s="32"/>
      <x:c r="W423" s="31"/>
      <x:c r="X423" s="32"/>
      <x:c r="Y423" s="31"/>
    </x:row>
    <x:row r="424">
      <x:c r="A424" s="79"/>
      <x:c r="B424" s="31"/>
      <x:c r="C424" s="31"/>
      <x:c r="D424" s="31"/>
      <x:c r="E424" s="31"/>
      <x:c r="F424" s="31"/>
      <x:c r="G424" s="31"/>
      <x:c r="H424" s="31"/>
      <x:c r="I424" s="31"/>
      <x:c r="J424" s="32"/>
      <x:c r="K424" s="32"/>
      <x:c r="L424" s="32"/>
      <x:c r="M424" s="32"/>
      <x:c r="N424" s="31"/>
      <x:c r="O424" s="31"/>
      <x:c r="P424" s="31"/>
      <x:c r="Q424" s="32"/>
      <x:c r="R424" s="31"/>
      <x:c r="S424" s="31"/>
      <x:c r="T424" s="31"/>
      <x:c r="U424" s="31"/>
      <x:c r="V424" s="32"/>
      <x:c r="W424" s="31"/>
      <x:c r="X424" s="32"/>
      <x:c r="Y424" s="31"/>
    </x:row>
    <x:row r="425">
      <x:c r="A425" s="79"/>
      <x:c r="B425" s="31"/>
      <x:c r="C425" s="31"/>
      <x:c r="D425" s="31"/>
      <x:c r="E425" s="31"/>
      <x:c r="F425" s="31"/>
      <x:c r="G425" s="31"/>
      <x:c r="H425" s="31"/>
      <x:c r="I425" s="31"/>
      <x:c r="J425" s="32"/>
      <x:c r="K425" s="32"/>
      <x:c r="L425" s="32"/>
      <x:c r="M425" s="32"/>
      <x:c r="N425" s="31"/>
      <x:c r="O425" s="31"/>
      <x:c r="P425" s="31"/>
      <x:c r="Q425" s="32"/>
      <x:c r="R425" s="31"/>
      <x:c r="S425" s="31"/>
      <x:c r="T425" s="31"/>
      <x:c r="U425" s="31"/>
      <x:c r="V425" s="32"/>
      <x:c r="W425" s="31"/>
      <x:c r="X425" s="32"/>
      <x:c r="Y425" s="31"/>
    </x:row>
    <x:row r="426">
      <x:c r="A426" s="79"/>
      <x:c r="B426" s="31"/>
      <x:c r="C426" s="31"/>
      <x:c r="D426" s="31"/>
      <x:c r="E426" s="31"/>
      <x:c r="F426" s="31"/>
      <x:c r="G426" s="31"/>
      <x:c r="H426" s="31"/>
      <x:c r="I426" s="31"/>
      <x:c r="J426" s="32"/>
      <x:c r="K426" s="32"/>
      <x:c r="L426" s="32"/>
      <x:c r="M426" s="32"/>
      <x:c r="N426" s="31"/>
      <x:c r="O426" s="31"/>
      <x:c r="P426" s="31"/>
      <x:c r="Q426" s="32"/>
      <x:c r="R426" s="31"/>
      <x:c r="S426" s="31"/>
      <x:c r="T426" s="31"/>
      <x:c r="U426" s="31"/>
      <x:c r="V426" s="32"/>
      <x:c r="W426" s="31"/>
      <x:c r="X426" s="32"/>
      <x:c r="Y426" s="31"/>
    </x:row>
    <x:row r="427">
      <x:c r="A427" s="79"/>
      <x:c r="B427" s="31"/>
      <x:c r="C427" s="31"/>
      <x:c r="D427" s="31"/>
      <x:c r="E427" s="31"/>
      <x:c r="F427" s="31"/>
      <x:c r="G427" s="31"/>
      <x:c r="H427" s="31"/>
      <x:c r="I427" s="31"/>
      <x:c r="J427" s="32"/>
      <x:c r="K427" s="32"/>
      <x:c r="L427" s="32"/>
      <x:c r="M427" s="32"/>
      <x:c r="N427" s="31"/>
      <x:c r="O427" s="31"/>
      <x:c r="P427" s="31"/>
      <x:c r="Q427" s="32"/>
      <x:c r="R427" s="31"/>
      <x:c r="S427" s="31"/>
      <x:c r="T427" s="31"/>
      <x:c r="U427" s="31"/>
      <x:c r="V427" s="32"/>
      <x:c r="W427" s="31"/>
      <x:c r="X427" s="32"/>
      <x:c r="Y427" s="31"/>
    </x:row>
    <x:row r="428">
      <x:c r="A428" s="79"/>
      <x:c r="B428" s="31"/>
      <x:c r="C428" s="31"/>
      <x:c r="D428" s="31"/>
      <x:c r="E428" s="31"/>
      <x:c r="F428" s="31"/>
      <x:c r="G428" s="31"/>
      <x:c r="H428" s="31"/>
      <x:c r="I428" s="31"/>
      <x:c r="J428" s="32"/>
      <x:c r="K428" s="32"/>
      <x:c r="L428" s="32"/>
      <x:c r="M428" s="32"/>
      <x:c r="N428" s="31"/>
      <x:c r="O428" s="31"/>
      <x:c r="P428" s="31"/>
      <x:c r="Q428" s="32"/>
      <x:c r="R428" s="31"/>
      <x:c r="S428" s="31"/>
      <x:c r="T428" s="31"/>
      <x:c r="U428" s="31"/>
      <x:c r="V428" s="32"/>
      <x:c r="W428" s="31"/>
      <x:c r="X428" s="32"/>
      <x:c r="Y428" s="31"/>
    </x:row>
    <x:row r="429">
      <x:c r="A429" s="79"/>
      <x:c r="B429" s="31"/>
      <x:c r="C429" s="31"/>
      <x:c r="D429" s="31"/>
      <x:c r="E429" s="31"/>
      <x:c r="F429" s="31"/>
      <x:c r="G429" s="31"/>
      <x:c r="H429" s="31"/>
      <x:c r="I429" s="31"/>
      <x:c r="J429" s="32"/>
      <x:c r="K429" s="32"/>
      <x:c r="L429" s="32"/>
      <x:c r="M429" s="32"/>
      <x:c r="N429" s="31"/>
      <x:c r="O429" s="31"/>
      <x:c r="P429" s="31"/>
      <x:c r="Q429" s="32"/>
      <x:c r="R429" s="31"/>
      <x:c r="S429" s="31"/>
      <x:c r="T429" s="31"/>
      <x:c r="U429" s="31"/>
      <x:c r="V429" s="32"/>
      <x:c r="W429" s="31"/>
      <x:c r="X429" s="32"/>
      <x:c r="Y429" s="31"/>
    </x:row>
    <x:row r="430">
      <x:c r="A430" s="79"/>
      <x:c r="B430" s="31"/>
      <x:c r="C430" s="31"/>
      <x:c r="D430" s="31"/>
      <x:c r="E430" s="31"/>
      <x:c r="F430" s="31"/>
      <x:c r="G430" s="31"/>
      <x:c r="H430" s="31"/>
      <x:c r="I430" s="31"/>
      <x:c r="J430" s="32"/>
      <x:c r="K430" s="32"/>
      <x:c r="L430" s="32"/>
      <x:c r="M430" s="32"/>
      <x:c r="N430" s="31"/>
      <x:c r="O430" s="31"/>
      <x:c r="P430" s="31"/>
      <x:c r="Q430" s="32"/>
      <x:c r="R430" s="31"/>
      <x:c r="S430" s="31"/>
      <x:c r="T430" s="31"/>
      <x:c r="U430" s="31"/>
      <x:c r="V430" s="32"/>
      <x:c r="W430" s="31"/>
      <x:c r="X430" s="32"/>
      <x:c r="Y430" s="31"/>
    </x:row>
    <x:row r="431">
      <x:c r="A431" s="79"/>
      <x:c r="B431" s="31"/>
      <x:c r="C431" s="31"/>
      <x:c r="D431" s="31"/>
      <x:c r="E431" s="31"/>
      <x:c r="F431" s="31"/>
      <x:c r="G431" s="31"/>
      <x:c r="H431" s="31"/>
      <x:c r="I431" s="31"/>
      <x:c r="J431" s="32"/>
      <x:c r="K431" s="32"/>
      <x:c r="L431" s="32"/>
      <x:c r="M431" s="32"/>
      <x:c r="N431" s="31"/>
      <x:c r="O431" s="31"/>
      <x:c r="P431" s="31"/>
      <x:c r="Q431" s="32"/>
      <x:c r="R431" s="31"/>
      <x:c r="S431" s="31"/>
      <x:c r="T431" s="31"/>
      <x:c r="U431" s="31"/>
      <x:c r="V431" s="32"/>
      <x:c r="W431" s="31"/>
      <x:c r="X431" s="32"/>
      <x:c r="Y431" s="31"/>
    </x:row>
    <x:row r="432">
      <x:c r="A432" s="79"/>
      <x:c r="B432" s="31"/>
      <x:c r="C432" s="31"/>
      <x:c r="D432" s="31"/>
      <x:c r="E432" s="31"/>
      <x:c r="F432" s="31"/>
      <x:c r="G432" s="31"/>
      <x:c r="H432" s="31"/>
      <x:c r="I432" s="31"/>
      <x:c r="J432" s="32"/>
      <x:c r="K432" s="32"/>
      <x:c r="L432" s="32"/>
      <x:c r="M432" s="32"/>
      <x:c r="N432" s="31"/>
      <x:c r="O432" s="31"/>
      <x:c r="P432" s="31"/>
      <x:c r="Q432" s="32"/>
      <x:c r="R432" s="31"/>
      <x:c r="S432" s="31"/>
      <x:c r="T432" s="31"/>
      <x:c r="U432" s="31"/>
      <x:c r="V432" s="32"/>
      <x:c r="W432" s="31"/>
      <x:c r="X432" s="32"/>
      <x:c r="Y432" s="31"/>
    </x:row>
    <x:row r="433">
      <x:c r="A433" s="79"/>
      <x:c r="B433" s="31"/>
      <x:c r="C433" s="31"/>
      <x:c r="D433" s="31"/>
      <x:c r="E433" s="31"/>
      <x:c r="F433" s="31"/>
      <x:c r="G433" s="31"/>
      <x:c r="H433" s="31"/>
      <x:c r="I433" s="31"/>
      <x:c r="J433" s="32"/>
      <x:c r="K433" s="32"/>
      <x:c r="L433" s="32"/>
      <x:c r="M433" s="32"/>
      <x:c r="N433" s="31"/>
      <x:c r="O433" s="31"/>
      <x:c r="P433" s="31"/>
      <x:c r="Q433" s="32"/>
      <x:c r="R433" s="31"/>
      <x:c r="S433" s="31"/>
      <x:c r="T433" s="31"/>
      <x:c r="U433" s="31"/>
      <x:c r="V433" s="32"/>
      <x:c r="W433" s="31"/>
      <x:c r="X433" s="32"/>
      <x:c r="Y433" s="31"/>
    </x:row>
    <x:row r="434">
      <x:c r="A434" s="79"/>
      <x:c r="B434" s="31"/>
      <x:c r="C434" s="31"/>
      <x:c r="D434" s="31"/>
      <x:c r="E434" s="31"/>
      <x:c r="F434" s="31"/>
      <x:c r="G434" s="31"/>
      <x:c r="H434" s="31"/>
      <x:c r="I434" s="31"/>
      <x:c r="J434" s="32"/>
      <x:c r="K434" s="32"/>
      <x:c r="L434" s="32"/>
      <x:c r="M434" s="32"/>
      <x:c r="N434" s="31"/>
      <x:c r="O434" s="31"/>
      <x:c r="P434" s="31"/>
      <x:c r="Q434" s="32"/>
      <x:c r="R434" s="31"/>
      <x:c r="S434" s="31"/>
      <x:c r="T434" s="31"/>
      <x:c r="U434" s="31"/>
      <x:c r="V434" s="32"/>
      <x:c r="W434" s="31"/>
      <x:c r="X434" s="32"/>
      <x:c r="Y434" s="31"/>
    </x:row>
    <x:row r="435">
      <x:c r="A435" s="79"/>
      <x:c r="B435" s="31"/>
      <x:c r="C435" s="31"/>
      <x:c r="D435" s="31"/>
      <x:c r="E435" s="31"/>
      <x:c r="F435" s="31"/>
      <x:c r="G435" s="31"/>
      <x:c r="H435" s="31"/>
      <x:c r="I435" s="31"/>
      <x:c r="J435" s="32"/>
      <x:c r="K435" s="32"/>
      <x:c r="L435" s="32"/>
      <x:c r="M435" s="32"/>
      <x:c r="N435" s="31"/>
      <x:c r="O435" s="31"/>
      <x:c r="P435" s="31"/>
      <x:c r="Q435" s="32"/>
      <x:c r="R435" s="31"/>
      <x:c r="S435" s="31"/>
      <x:c r="T435" s="31"/>
      <x:c r="U435" s="31"/>
      <x:c r="V435" s="32"/>
      <x:c r="W435" s="31"/>
      <x:c r="X435" s="32"/>
      <x:c r="Y435" s="31"/>
    </x:row>
    <x:row r="436">
      <x:c r="A436" s="79"/>
      <x:c r="B436" s="31"/>
      <x:c r="C436" s="31"/>
      <x:c r="D436" s="31"/>
      <x:c r="E436" s="31"/>
      <x:c r="F436" s="31"/>
      <x:c r="G436" s="31"/>
      <x:c r="H436" s="31"/>
      <x:c r="I436" s="31"/>
      <x:c r="J436" s="32"/>
      <x:c r="K436" s="32"/>
      <x:c r="L436" s="32"/>
      <x:c r="M436" s="32"/>
      <x:c r="N436" s="31"/>
      <x:c r="O436" s="31"/>
      <x:c r="P436" s="31"/>
      <x:c r="Q436" s="32"/>
      <x:c r="R436" s="31"/>
      <x:c r="S436" s="31"/>
      <x:c r="T436" s="31"/>
      <x:c r="U436" s="31"/>
      <x:c r="V436" s="32"/>
      <x:c r="W436" s="31"/>
      <x:c r="X436" s="32"/>
      <x:c r="Y436" s="31"/>
    </x:row>
    <x:row r="437">
      <x:c r="A437" s="79"/>
      <x:c r="B437" s="31"/>
      <x:c r="C437" s="31"/>
      <x:c r="D437" s="31"/>
      <x:c r="E437" s="31"/>
      <x:c r="F437" s="31"/>
      <x:c r="G437" s="31"/>
      <x:c r="H437" s="31"/>
      <x:c r="I437" s="31"/>
      <x:c r="J437" s="32"/>
      <x:c r="K437" s="32"/>
      <x:c r="L437" s="32"/>
      <x:c r="M437" s="32"/>
      <x:c r="N437" s="31"/>
      <x:c r="O437" s="31"/>
      <x:c r="P437" s="31"/>
      <x:c r="Q437" s="32"/>
      <x:c r="R437" s="31"/>
      <x:c r="S437" s="31"/>
      <x:c r="T437" s="31"/>
      <x:c r="U437" s="31"/>
      <x:c r="V437" s="32"/>
      <x:c r="W437" s="31"/>
      <x:c r="X437" s="32"/>
      <x:c r="Y437" s="31"/>
    </x:row>
    <x:row r="438">
      <x:c r="A438" s="79"/>
      <x:c r="B438" s="31"/>
      <x:c r="C438" s="31"/>
      <x:c r="D438" s="31"/>
      <x:c r="E438" s="31"/>
      <x:c r="F438" s="31"/>
      <x:c r="G438" s="31"/>
      <x:c r="H438" s="31"/>
      <x:c r="I438" s="31"/>
      <x:c r="J438" s="32"/>
      <x:c r="K438" s="32"/>
      <x:c r="L438" s="32"/>
      <x:c r="M438" s="32"/>
      <x:c r="N438" s="31"/>
      <x:c r="O438" s="31"/>
      <x:c r="P438" s="31"/>
      <x:c r="Q438" s="32"/>
      <x:c r="R438" s="31"/>
      <x:c r="S438" s="31"/>
      <x:c r="T438" s="31"/>
      <x:c r="U438" s="31"/>
      <x:c r="V438" s="32"/>
      <x:c r="W438" s="31"/>
      <x:c r="X438" s="32"/>
      <x:c r="Y438" s="31"/>
    </x:row>
    <x:row r="439">
      <x:c r="A439" s="79"/>
      <x:c r="B439" s="31"/>
      <x:c r="C439" s="31"/>
      <x:c r="D439" s="31"/>
      <x:c r="E439" s="31"/>
      <x:c r="F439" s="31"/>
      <x:c r="G439" s="31"/>
      <x:c r="H439" s="31"/>
      <x:c r="I439" s="31"/>
      <x:c r="J439" s="32"/>
      <x:c r="K439" s="32"/>
      <x:c r="L439" s="32"/>
      <x:c r="M439" s="32"/>
      <x:c r="N439" s="31"/>
      <x:c r="O439" s="31"/>
      <x:c r="P439" s="31"/>
      <x:c r="Q439" s="32"/>
      <x:c r="R439" s="31"/>
      <x:c r="S439" s="31"/>
      <x:c r="T439" s="31"/>
      <x:c r="U439" s="31"/>
      <x:c r="V439" s="32"/>
      <x:c r="W439" s="31"/>
      <x:c r="X439" s="32"/>
      <x:c r="Y439" s="31"/>
    </x:row>
    <x:row r="440">
      <x:c r="A440" s="79"/>
      <x:c r="B440" s="31"/>
      <x:c r="C440" s="31"/>
      <x:c r="D440" s="31"/>
      <x:c r="E440" s="31"/>
      <x:c r="F440" s="31"/>
      <x:c r="G440" s="31"/>
      <x:c r="H440" s="31"/>
      <x:c r="I440" s="31"/>
      <x:c r="J440" s="32"/>
      <x:c r="K440" s="32"/>
      <x:c r="L440" s="32"/>
      <x:c r="M440" s="32"/>
      <x:c r="N440" s="31"/>
      <x:c r="O440" s="31"/>
      <x:c r="P440" s="31"/>
      <x:c r="Q440" s="32"/>
      <x:c r="R440" s="31"/>
      <x:c r="S440" s="31"/>
      <x:c r="T440" s="31"/>
      <x:c r="U440" s="31"/>
      <x:c r="V440" s="32"/>
      <x:c r="W440" s="31"/>
      <x:c r="X440" s="32"/>
      <x:c r="Y440" s="31"/>
    </x:row>
    <x:row r="441">
      <x:c r="A441" s="79"/>
      <x:c r="B441" s="31"/>
      <x:c r="C441" s="31"/>
      <x:c r="D441" s="31"/>
      <x:c r="E441" s="31"/>
      <x:c r="F441" s="31"/>
      <x:c r="G441" s="31"/>
      <x:c r="H441" s="31"/>
      <x:c r="I441" s="31"/>
      <x:c r="J441" s="32"/>
      <x:c r="K441" s="32"/>
      <x:c r="L441" s="32"/>
      <x:c r="M441" s="32"/>
      <x:c r="N441" s="31"/>
      <x:c r="O441" s="31"/>
      <x:c r="P441" s="31"/>
      <x:c r="Q441" s="32"/>
      <x:c r="R441" s="31"/>
      <x:c r="S441" s="31"/>
      <x:c r="T441" s="31"/>
      <x:c r="U441" s="31"/>
      <x:c r="V441" s="32"/>
      <x:c r="W441" s="31"/>
      <x:c r="X441" s="32"/>
      <x:c r="Y441" s="31"/>
    </x:row>
    <x:row r="442">
      <x:c r="A442" s="79"/>
      <x:c r="B442" s="31"/>
      <x:c r="C442" s="31"/>
      <x:c r="D442" s="31"/>
      <x:c r="E442" s="31"/>
      <x:c r="F442" s="31"/>
      <x:c r="G442" s="31"/>
      <x:c r="H442" s="31"/>
      <x:c r="I442" s="31"/>
      <x:c r="J442" s="32"/>
      <x:c r="K442" s="32"/>
      <x:c r="L442" s="32"/>
      <x:c r="M442" s="32"/>
      <x:c r="N442" s="31"/>
      <x:c r="O442" s="31"/>
      <x:c r="P442" s="31"/>
      <x:c r="Q442" s="32"/>
      <x:c r="R442" s="31"/>
      <x:c r="S442" s="31"/>
      <x:c r="T442" s="31"/>
      <x:c r="U442" s="31"/>
      <x:c r="V442" s="32"/>
      <x:c r="W442" s="31"/>
      <x:c r="X442" s="32"/>
      <x:c r="Y442" s="31"/>
    </x:row>
    <x:row r="443">
      <x:c r="A443" s="79"/>
      <x:c r="B443" s="31"/>
      <x:c r="C443" s="31"/>
      <x:c r="D443" s="31"/>
      <x:c r="E443" s="31"/>
      <x:c r="F443" s="31"/>
      <x:c r="G443" s="31"/>
      <x:c r="H443" s="31"/>
      <x:c r="I443" s="31"/>
      <x:c r="J443" s="32"/>
      <x:c r="K443" s="32"/>
      <x:c r="L443" s="32"/>
      <x:c r="M443" s="32"/>
      <x:c r="N443" s="31"/>
      <x:c r="O443" s="31"/>
      <x:c r="P443" s="31"/>
      <x:c r="Q443" s="32"/>
      <x:c r="R443" s="31"/>
      <x:c r="S443" s="31"/>
      <x:c r="T443" s="31"/>
      <x:c r="U443" s="31"/>
      <x:c r="V443" s="32"/>
      <x:c r="W443" s="31"/>
      <x:c r="X443" s="32"/>
      <x:c r="Y443" s="31"/>
    </x:row>
    <x:row r="444">
      <x:c r="A444" s="79"/>
      <x:c r="B444" s="31"/>
      <x:c r="C444" s="31"/>
      <x:c r="D444" s="31"/>
      <x:c r="E444" s="31"/>
      <x:c r="F444" s="31"/>
      <x:c r="G444" s="31"/>
      <x:c r="H444" s="31"/>
      <x:c r="I444" s="31"/>
      <x:c r="J444" s="32"/>
      <x:c r="K444" s="32"/>
      <x:c r="L444" s="32"/>
      <x:c r="M444" s="32"/>
      <x:c r="N444" s="31"/>
      <x:c r="O444" s="31"/>
      <x:c r="P444" s="31"/>
      <x:c r="Q444" s="32"/>
      <x:c r="R444" s="31"/>
      <x:c r="S444" s="31"/>
      <x:c r="T444" s="31"/>
      <x:c r="U444" s="31"/>
      <x:c r="V444" s="32"/>
      <x:c r="W444" s="31"/>
      <x:c r="X444" s="32"/>
      <x:c r="Y444" s="31"/>
    </x:row>
    <x:row r="445">
      <x:c r="A445" s="79"/>
      <x:c r="B445" s="31"/>
      <x:c r="C445" s="31"/>
      <x:c r="D445" s="31"/>
      <x:c r="E445" s="31"/>
      <x:c r="F445" s="31"/>
      <x:c r="G445" s="31"/>
      <x:c r="H445" s="31"/>
      <x:c r="I445" s="31"/>
      <x:c r="J445" s="32"/>
      <x:c r="K445" s="32"/>
      <x:c r="L445" s="32"/>
      <x:c r="M445" s="32"/>
      <x:c r="N445" s="31"/>
      <x:c r="O445" s="31"/>
      <x:c r="P445" s="31"/>
      <x:c r="Q445" s="32"/>
      <x:c r="R445" s="31"/>
      <x:c r="S445" s="31"/>
      <x:c r="T445" s="31"/>
      <x:c r="U445" s="31"/>
      <x:c r="V445" s="32"/>
      <x:c r="W445" s="31"/>
      <x:c r="X445" s="32"/>
      <x:c r="Y445" s="31"/>
    </x:row>
    <x:row r="446">
      <x:c r="A446" s="79"/>
      <x:c r="B446" s="31"/>
      <x:c r="C446" s="31"/>
      <x:c r="D446" s="31"/>
      <x:c r="E446" s="31"/>
      <x:c r="F446" s="31"/>
      <x:c r="G446" s="31"/>
      <x:c r="H446" s="31"/>
      <x:c r="I446" s="31"/>
      <x:c r="J446" s="32"/>
      <x:c r="K446" s="32"/>
      <x:c r="L446" s="32"/>
      <x:c r="M446" s="32"/>
      <x:c r="N446" s="31"/>
      <x:c r="O446" s="31"/>
      <x:c r="P446" s="31"/>
      <x:c r="Q446" s="32"/>
      <x:c r="R446" s="31"/>
      <x:c r="S446" s="31"/>
      <x:c r="T446" s="31"/>
      <x:c r="U446" s="31"/>
      <x:c r="V446" s="32"/>
      <x:c r="W446" s="31"/>
      <x:c r="X446" s="32"/>
      <x:c r="Y446" s="31"/>
    </x:row>
    <x:row r="447">
      <x:c r="A447" s="79"/>
      <x:c r="B447" s="31"/>
      <x:c r="C447" s="31"/>
      <x:c r="D447" s="31"/>
      <x:c r="E447" s="31"/>
      <x:c r="F447" s="31"/>
      <x:c r="G447" s="31"/>
      <x:c r="H447" s="31"/>
      <x:c r="I447" s="31"/>
      <x:c r="J447" s="32"/>
      <x:c r="K447" s="32"/>
      <x:c r="L447" s="32"/>
      <x:c r="M447" s="32"/>
      <x:c r="N447" s="31"/>
      <x:c r="O447" s="31"/>
      <x:c r="P447" s="31"/>
      <x:c r="Q447" s="32"/>
      <x:c r="R447" s="31"/>
      <x:c r="S447" s="31"/>
      <x:c r="T447" s="31"/>
      <x:c r="U447" s="31"/>
      <x:c r="V447" s="32"/>
      <x:c r="W447" s="31"/>
      <x:c r="X447" s="32"/>
      <x:c r="Y447" s="31"/>
    </x:row>
    <x:row r="448">
      <x:c r="A448" s="79"/>
      <x:c r="B448" s="31"/>
      <x:c r="C448" s="31"/>
      <x:c r="D448" s="31"/>
      <x:c r="E448" s="31"/>
      <x:c r="F448" s="31"/>
      <x:c r="G448" s="31"/>
      <x:c r="H448" s="31"/>
      <x:c r="I448" s="31"/>
      <x:c r="J448" s="32"/>
      <x:c r="K448" s="32"/>
      <x:c r="L448" s="32"/>
      <x:c r="M448" s="32"/>
      <x:c r="N448" s="31"/>
      <x:c r="O448" s="31"/>
      <x:c r="P448" s="31"/>
      <x:c r="Q448" s="32"/>
      <x:c r="R448" s="31"/>
      <x:c r="S448" s="31"/>
      <x:c r="T448" s="31"/>
      <x:c r="U448" s="31"/>
      <x:c r="V448" s="32"/>
      <x:c r="W448" s="31"/>
      <x:c r="X448" s="32"/>
      <x:c r="Y448" s="31"/>
    </x:row>
    <x:row r="449">
      <x:c r="A449" s="79"/>
      <x:c r="B449" s="31"/>
      <x:c r="C449" s="31"/>
      <x:c r="D449" s="31"/>
      <x:c r="E449" s="31"/>
      <x:c r="F449" s="31"/>
      <x:c r="G449" s="31"/>
      <x:c r="H449" s="31"/>
      <x:c r="I449" s="31"/>
      <x:c r="J449" s="32"/>
      <x:c r="K449" s="32"/>
      <x:c r="L449" s="32"/>
      <x:c r="M449" s="32"/>
      <x:c r="N449" s="31"/>
      <x:c r="O449" s="31"/>
      <x:c r="P449" s="31"/>
      <x:c r="Q449" s="32"/>
      <x:c r="R449" s="31"/>
      <x:c r="S449" s="31"/>
      <x:c r="T449" s="31"/>
      <x:c r="U449" s="31"/>
      <x:c r="V449" s="32"/>
      <x:c r="W449" s="31"/>
      <x:c r="X449" s="32"/>
      <x:c r="Y449" s="31"/>
    </x:row>
    <x:row r="450">
      <x:c r="A450" s="79"/>
      <x:c r="B450" s="31"/>
      <x:c r="C450" s="31"/>
      <x:c r="D450" s="31"/>
      <x:c r="E450" s="31"/>
      <x:c r="F450" s="31"/>
      <x:c r="G450" s="31"/>
      <x:c r="H450" s="31"/>
      <x:c r="I450" s="31"/>
      <x:c r="J450" s="32"/>
      <x:c r="K450" s="32"/>
      <x:c r="L450" s="32"/>
      <x:c r="M450" s="32"/>
      <x:c r="N450" s="31"/>
      <x:c r="O450" s="31"/>
      <x:c r="P450" s="31"/>
      <x:c r="Q450" s="32"/>
      <x:c r="R450" s="31"/>
      <x:c r="S450" s="31"/>
      <x:c r="T450" s="31"/>
      <x:c r="U450" s="31"/>
      <x:c r="V450" s="32"/>
      <x:c r="W450" s="31"/>
      <x:c r="X450" s="32"/>
      <x:c r="Y450" s="31"/>
    </x:row>
    <x:row r="451">
      <x:c r="A451" s="79"/>
      <x:c r="B451" s="31"/>
      <x:c r="C451" s="31"/>
      <x:c r="D451" s="31"/>
      <x:c r="E451" s="31"/>
      <x:c r="F451" s="31"/>
      <x:c r="G451" s="31"/>
      <x:c r="H451" s="31"/>
      <x:c r="I451" s="31"/>
      <x:c r="J451" s="32"/>
      <x:c r="K451" s="32"/>
      <x:c r="L451" s="32"/>
      <x:c r="M451" s="32"/>
      <x:c r="N451" s="31"/>
      <x:c r="O451" s="31"/>
      <x:c r="P451" s="31"/>
      <x:c r="Q451" s="32"/>
      <x:c r="R451" s="31"/>
      <x:c r="S451" s="31"/>
      <x:c r="T451" s="31"/>
      <x:c r="U451" s="31"/>
      <x:c r="V451" s="32"/>
      <x:c r="W451" s="31"/>
      <x:c r="X451" s="32"/>
      <x:c r="Y451" s="31"/>
    </x:row>
    <x:row r="452">
      <x:c r="A452" s="79"/>
      <x:c r="B452" s="31"/>
      <x:c r="C452" s="31"/>
      <x:c r="D452" s="31"/>
      <x:c r="E452" s="31"/>
      <x:c r="F452" s="31"/>
      <x:c r="G452" s="31"/>
      <x:c r="H452" s="31"/>
      <x:c r="I452" s="31"/>
      <x:c r="J452" s="32"/>
      <x:c r="K452" s="32"/>
      <x:c r="L452" s="32"/>
      <x:c r="M452" s="32"/>
      <x:c r="N452" s="31"/>
      <x:c r="O452" s="31"/>
      <x:c r="P452" s="31"/>
      <x:c r="Q452" s="32"/>
      <x:c r="R452" s="31"/>
      <x:c r="S452" s="31"/>
      <x:c r="T452" s="31"/>
      <x:c r="U452" s="31"/>
      <x:c r="V452" s="32"/>
      <x:c r="W452" s="31"/>
      <x:c r="X452" s="32"/>
      <x:c r="Y452" s="31"/>
    </x:row>
    <x:row r="453">
      <x:c r="A453" s="79"/>
      <x:c r="B453" s="31"/>
      <x:c r="C453" s="31"/>
      <x:c r="D453" s="31"/>
      <x:c r="E453" s="31"/>
      <x:c r="F453" s="31"/>
      <x:c r="G453" s="31"/>
      <x:c r="H453" s="31"/>
      <x:c r="I453" s="31"/>
      <x:c r="J453" s="32"/>
      <x:c r="K453" s="32"/>
      <x:c r="L453" s="32"/>
      <x:c r="M453" s="32"/>
      <x:c r="N453" s="31"/>
      <x:c r="O453" s="31"/>
      <x:c r="P453" s="31"/>
      <x:c r="Q453" s="32"/>
      <x:c r="R453" s="31"/>
      <x:c r="S453" s="31"/>
      <x:c r="T453" s="31"/>
      <x:c r="U453" s="31"/>
      <x:c r="V453" s="32"/>
      <x:c r="W453" s="31"/>
      <x:c r="X453" s="32"/>
      <x:c r="Y453" s="31"/>
    </x:row>
    <x:row r="454">
      <x:c r="A454" s="79"/>
      <x:c r="B454" s="31"/>
      <x:c r="C454" s="31"/>
      <x:c r="D454" s="31"/>
      <x:c r="E454" s="31"/>
      <x:c r="F454" s="31"/>
      <x:c r="G454" s="31"/>
      <x:c r="H454" s="31"/>
      <x:c r="I454" s="31"/>
      <x:c r="J454" s="32"/>
      <x:c r="K454" s="32"/>
      <x:c r="L454" s="32"/>
      <x:c r="M454" s="32"/>
      <x:c r="N454" s="31"/>
      <x:c r="O454" s="31"/>
      <x:c r="P454" s="31"/>
      <x:c r="Q454" s="32"/>
      <x:c r="R454" s="31"/>
      <x:c r="S454" s="31"/>
      <x:c r="T454" s="31"/>
      <x:c r="U454" s="31"/>
      <x:c r="V454" s="32"/>
      <x:c r="W454" s="31"/>
      <x:c r="X454" s="32"/>
      <x:c r="Y454" s="31"/>
    </x:row>
    <x:row r="455">
      <x:c r="A455" s="79"/>
      <x:c r="B455" s="31"/>
      <x:c r="C455" s="31"/>
      <x:c r="D455" s="31"/>
      <x:c r="E455" s="31"/>
      <x:c r="F455" s="31"/>
      <x:c r="G455" s="31"/>
      <x:c r="H455" s="31"/>
      <x:c r="I455" s="31"/>
      <x:c r="J455" s="32"/>
      <x:c r="K455" s="32"/>
      <x:c r="L455" s="32"/>
      <x:c r="M455" s="32"/>
      <x:c r="N455" s="31"/>
      <x:c r="O455" s="31"/>
      <x:c r="P455" s="31"/>
      <x:c r="Q455" s="32"/>
      <x:c r="R455" s="31"/>
      <x:c r="S455" s="31"/>
      <x:c r="T455" s="31"/>
      <x:c r="U455" s="31"/>
      <x:c r="V455" s="32"/>
      <x:c r="W455" s="31"/>
      <x:c r="X455" s="32"/>
      <x:c r="Y455" s="31"/>
    </x:row>
    <x:row r="456">
      <x:c r="A456" s="79"/>
      <x:c r="B456" s="31"/>
      <x:c r="C456" s="31"/>
      <x:c r="D456" s="31"/>
      <x:c r="E456" s="31"/>
      <x:c r="F456" s="31"/>
      <x:c r="G456" s="31"/>
      <x:c r="H456" s="31"/>
      <x:c r="I456" s="31"/>
      <x:c r="J456" s="32"/>
      <x:c r="K456" s="32"/>
      <x:c r="L456" s="32"/>
      <x:c r="M456" s="32"/>
      <x:c r="N456" s="31"/>
      <x:c r="O456" s="31"/>
      <x:c r="P456" s="31"/>
      <x:c r="Q456" s="32"/>
      <x:c r="R456" s="31"/>
      <x:c r="S456" s="31"/>
      <x:c r="T456" s="31"/>
      <x:c r="U456" s="31"/>
      <x:c r="V456" s="32"/>
      <x:c r="W456" s="31"/>
      <x:c r="X456" s="32"/>
      <x:c r="Y456" s="31"/>
    </x:row>
    <x:row r="457">
      <x:c r="A457" s="79"/>
      <x:c r="B457" s="31"/>
      <x:c r="C457" s="31"/>
      <x:c r="D457" s="31"/>
      <x:c r="E457" s="31"/>
      <x:c r="F457" s="31"/>
      <x:c r="G457" s="31"/>
      <x:c r="H457" s="31"/>
      <x:c r="I457" s="31"/>
      <x:c r="J457" s="32"/>
      <x:c r="K457" s="32"/>
      <x:c r="L457" s="32"/>
      <x:c r="M457" s="32"/>
      <x:c r="N457" s="31"/>
      <x:c r="O457" s="31"/>
      <x:c r="P457" s="31"/>
      <x:c r="Q457" s="32"/>
      <x:c r="R457" s="31"/>
      <x:c r="S457" s="31"/>
      <x:c r="T457" s="31"/>
      <x:c r="U457" s="31"/>
      <x:c r="V457" s="32"/>
      <x:c r="W457" s="31"/>
      <x:c r="X457" s="32"/>
      <x:c r="Y457" s="31"/>
    </x:row>
    <x:row r="458">
      <x:c r="A458" s="79"/>
      <x:c r="B458" s="31"/>
      <x:c r="C458" s="31"/>
      <x:c r="D458" s="31"/>
      <x:c r="E458" s="31"/>
      <x:c r="F458" s="31"/>
      <x:c r="G458" s="31"/>
      <x:c r="H458" s="31"/>
      <x:c r="I458" s="31"/>
      <x:c r="J458" s="32"/>
      <x:c r="K458" s="32"/>
      <x:c r="L458" s="32"/>
      <x:c r="M458" s="32"/>
      <x:c r="N458" s="31"/>
      <x:c r="O458" s="31"/>
      <x:c r="P458" s="31"/>
      <x:c r="Q458" s="32"/>
      <x:c r="R458" s="31"/>
      <x:c r="S458" s="31"/>
      <x:c r="T458" s="31"/>
      <x:c r="U458" s="31"/>
      <x:c r="V458" s="32"/>
      <x:c r="W458" s="31"/>
      <x:c r="X458" s="32"/>
      <x:c r="Y458" s="31"/>
    </x:row>
    <x:row r="459">
      <x:c r="A459" s="79"/>
      <x:c r="B459" s="31"/>
      <x:c r="C459" s="31"/>
      <x:c r="D459" s="31"/>
      <x:c r="E459" s="31"/>
      <x:c r="F459" s="31"/>
      <x:c r="G459" s="31"/>
      <x:c r="H459" s="31"/>
      <x:c r="I459" s="31"/>
      <x:c r="J459" s="32"/>
      <x:c r="K459" s="32"/>
      <x:c r="L459" s="32"/>
      <x:c r="M459" s="32"/>
      <x:c r="N459" s="31"/>
      <x:c r="O459" s="31"/>
      <x:c r="P459" s="31"/>
      <x:c r="Q459" s="32"/>
      <x:c r="R459" s="31"/>
      <x:c r="S459" s="31"/>
      <x:c r="T459" s="31"/>
      <x:c r="U459" s="31"/>
      <x:c r="V459" s="32"/>
      <x:c r="W459" s="31"/>
      <x:c r="X459" s="32"/>
      <x:c r="Y459" s="31"/>
    </x:row>
    <x:row r="460">
      <x:c r="A460" s="79"/>
      <x:c r="B460" s="31"/>
      <x:c r="C460" s="31"/>
      <x:c r="D460" s="31"/>
      <x:c r="E460" s="31"/>
      <x:c r="F460" s="31"/>
      <x:c r="G460" s="31"/>
      <x:c r="H460" s="31"/>
      <x:c r="I460" s="31"/>
      <x:c r="J460" s="32"/>
      <x:c r="K460" s="32"/>
      <x:c r="L460" s="32"/>
      <x:c r="M460" s="32"/>
      <x:c r="N460" s="31"/>
      <x:c r="O460" s="31"/>
      <x:c r="P460" s="31"/>
      <x:c r="Q460" s="32"/>
      <x:c r="R460" s="31"/>
      <x:c r="S460" s="31"/>
      <x:c r="T460" s="31"/>
      <x:c r="U460" s="31"/>
      <x:c r="V460" s="32"/>
      <x:c r="W460" s="31"/>
      <x:c r="X460" s="32"/>
      <x:c r="Y460" s="31"/>
    </x:row>
    <x:row r="461">
      <x:c r="A461" s="79"/>
      <x:c r="B461" s="31"/>
      <x:c r="C461" s="31"/>
      <x:c r="D461" s="31"/>
      <x:c r="E461" s="31"/>
      <x:c r="F461" s="31"/>
      <x:c r="G461" s="31"/>
      <x:c r="H461" s="31"/>
      <x:c r="I461" s="31"/>
      <x:c r="J461" s="32"/>
      <x:c r="K461" s="32"/>
      <x:c r="L461" s="32"/>
      <x:c r="M461" s="32"/>
      <x:c r="N461" s="31"/>
      <x:c r="O461" s="31"/>
      <x:c r="P461" s="31"/>
      <x:c r="Q461" s="32"/>
      <x:c r="R461" s="31"/>
      <x:c r="S461" s="31"/>
      <x:c r="T461" s="31"/>
      <x:c r="U461" s="31"/>
      <x:c r="V461" s="32"/>
      <x:c r="W461" s="31"/>
      <x:c r="X461" s="32"/>
      <x:c r="Y461" s="31"/>
    </x:row>
    <x:row r="462">
      <x:c r="A462" s="79"/>
      <x:c r="B462" s="31"/>
      <x:c r="C462" s="31"/>
      <x:c r="D462" s="31"/>
      <x:c r="E462" s="31"/>
      <x:c r="F462" s="31"/>
      <x:c r="G462" s="31"/>
      <x:c r="H462" s="31"/>
      <x:c r="I462" s="31"/>
      <x:c r="J462" s="32"/>
      <x:c r="K462" s="32"/>
      <x:c r="L462" s="32"/>
      <x:c r="M462" s="32"/>
      <x:c r="N462" s="31"/>
      <x:c r="O462" s="31"/>
      <x:c r="P462" s="31"/>
      <x:c r="Q462" s="32"/>
      <x:c r="R462" s="31"/>
      <x:c r="S462" s="31"/>
      <x:c r="T462" s="31"/>
      <x:c r="U462" s="31"/>
      <x:c r="V462" s="32"/>
      <x:c r="W462" s="31"/>
      <x:c r="X462" s="32"/>
      <x:c r="Y462" s="31"/>
    </x:row>
    <x:row r="463">
      <x:c r="A463" s="79"/>
      <x:c r="B463" s="31"/>
      <x:c r="C463" s="31"/>
      <x:c r="D463" s="31"/>
      <x:c r="E463" s="31"/>
      <x:c r="F463" s="31"/>
      <x:c r="G463" s="31"/>
      <x:c r="H463" s="31"/>
      <x:c r="I463" s="31"/>
      <x:c r="J463" s="32"/>
      <x:c r="K463" s="32"/>
      <x:c r="L463" s="32"/>
      <x:c r="M463" s="32"/>
      <x:c r="N463" s="31"/>
      <x:c r="O463" s="31"/>
      <x:c r="P463" s="31"/>
      <x:c r="Q463" s="32"/>
      <x:c r="R463" s="31"/>
      <x:c r="S463" s="31"/>
      <x:c r="T463" s="31"/>
      <x:c r="U463" s="31"/>
      <x:c r="V463" s="32"/>
      <x:c r="W463" s="31"/>
      <x:c r="X463" s="32"/>
      <x:c r="Y463" s="31"/>
    </x:row>
    <x:row r="464">
      <x:c r="A464" s="79"/>
      <x:c r="B464" s="31"/>
      <x:c r="C464" s="31"/>
      <x:c r="D464" s="31"/>
      <x:c r="E464" s="31"/>
      <x:c r="F464" s="31"/>
      <x:c r="G464" s="31"/>
      <x:c r="H464" s="31"/>
      <x:c r="I464" s="31"/>
      <x:c r="J464" s="32"/>
      <x:c r="K464" s="32"/>
      <x:c r="L464" s="32"/>
      <x:c r="M464" s="32"/>
      <x:c r="N464" s="31"/>
      <x:c r="O464" s="31"/>
      <x:c r="P464" s="31"/>
      <x:c r="Q464" s="32"/>
      <x:c r="R464" s="31"/>
      <x:c r="S464" s="31"/>
      <x:c r="T464" s="31"/>
      <x:c r="U464" s="31"/>
      <x:c r="V464" s="32"/>
      <x:c r="W464" s="31"/>
      <x:c r="X464" s="32"/>
      <x:c r="Y464" s="31"/>
    </x:row>
    <x:row r="465">
      <x:c r="A465" s="79"/>
      <x:c r="B465" s="31"/>
      <x:c r="C465" s="31"/>
      <x:c r="D465" s="31"/>
      <x:c r="E465" s="31"/>
      <x:c r="F465" s="31"/>
      <x:c r="G465" s="31"/>
      <x:c r="H465" s="31"/>
      <x:c r="I465" s="31"/>
      <x:c r="J465" s="32"/>
      <x:c r="K465" s="32"/>
      <x:c r="L465" s="32"/>
      <x:c r="M465" s="32"/>
      <x:c r="N465" s="31"/>
      <x:c r="O465" s="31"/>
      <x:c r="P465" s="31"/>
      <x:c r="Q465" s="32"/>
      <x:c r="R465" s="31"/>
      <x:c r="S465" s="31"/>
      <x:c r="T465" s="31"/>
      <x:c r="U465" s="31"/>
      <x:c r="V465" s="32"/>
      <x:c r="W465" s="31"/>
      <x:c r="X465" s="32"/>
      <x:c r="Y465" s="31"/>
    </x:row>
    <x:row r="466">
      <x:c r="A466" s="79"/>
      <x:c r="B466" s="31"/>
      <x:c r="C466" s="31"/>
      <x:c r="D466" s="31"/>
      <x:c r="E466" s="31"/>
      <x:c r="F466" s="31"/>
      <x:c r="G466" s="31"/>
      <x:c r="H466" s="31"/>
      <x:c r="I466" s="31"/>
      <x:c r="J466" s="32"/>
      <x:c r="K466" s="32"/>
      <x:c r="L466" s="32"/>
      <x:c r="M466" s="32"/>
      <x:c r="N466" s="31"/>
      <x:c r="O466" s="31"/>
      <x:c r="P466" s="31"/>
      <x:c r="Q466" s="32"/>
      <x:c r="R466" s="31"/>
      <x:c r="S466" s="31"/>
      <x:c r="T466" s="31"/>
      <x:c r="U466" s="31"/>
      <x:c r="V466" s="32"/>
      <x:c r="W466" s="31"/>
      <x:c r="X466" s="32"/>
      <x:c r="Y466" s="31"/>
    </x:row>
    <x:row r="467">
      <x:c r="A467" s="79"/>
      <x:c r="B467" s="31"/>
      <x:c r="C467" s="31"/>
      <x:c r="D467" s="31"/>
      <x:c r="E467" s="31"/>
      <x:c r="F467" s="31"/>
      <x:c r="G467" s="31"/>
      <x:c r="H467" s="31"/>
      <x:c r="I467" s="31"/>
      <x:c r="J467" s="32"/>
      <x:c r="K467" s="32"/>
      <x:c r="L467" s="32"/>
      <x:c r="M467" s="32"/>
      <x:c r="N467" s="31"/>
      <x:c r="O467" s="31"/>
      <x:c r="P467" s="31"/>
      <x:c r="Q467" s="32"/>
      <x:c r="R467" s="31"/>
      <x:c r="S467" s="31"/>
      <x:c r="T467" s="31"/>
      <x:c r="U467" s="31"/>
      <x:c r="V467" s="32"/>
      <x:c r="W467" s="31"/>
      <x:c r="X467" s="32"/>
      <x:c r="Y467" s="31"/>
    </x:row>
    <x:row r="468">
      <x:c r="A468" s="79"/>
      <x:c r="B468" s="31"/>
      <x:c r="C468" s="31"/>
      <x:c r="D468" s="31"/>
      <x:c r="E468" s="31"/>
      <x:c r="F468" s="31"/>
      <x:c r="G468" s="31"/>
      <x:c r="H468" s="31"/>
      <x:c r="I468" s="31"/>
      <x:c r="J468" s="32"/>
      <x:c r="K468" s="32"/>
      <x:c r="L468" s="32"/>
      <x:c r="M468" s="32"/>
      <x:c r="N468" s="31"/>
      <x:c r="O468" s="31"/>
      <x:c r="P468" s="31"/>
      <x:c r="Q468" s="32"/>
      <x:c r="R468" s="31"/>
      <x:c r="S468" s="31"/>
      <x:c r="T468" s="31"/>
      <x:c r="U468" s="31"/>
      <x:c r="V468" s="32"/>
      <x:c r="W468" s="31"/>
      <x:c r="X468" s="32"/>
      <x:c r="Y468" s="31"/>
    </x:row>
    <x:row r="469">
      <x:c r="A469" s="79"/>
      <x:c r="B469" s="31"/>
      <x:c r="C469" s="31"/>
      <x:c r="D469" s="31"/>
      <x:c r="E469" s="31"/>
      <x:c r="F469" s="31"/>
      <x:c r="G469" s="31"/>
      <x:c r="H469" s="31"/>
      <x:c r="I469" s="31"/>
      <x:c r="J469" s="32"/>
      <x:c r="K469" s="32"/>
      <x:c r="L469" s="32"/>
      <x:c r="M469" s="32"/>
      <x:c r="N469" s="31"/>
      <x:c r="O469" s="31"/>
      <x:c r="P469" s="31"/>
      <x:c r="Q469" s="32"/>
      <x:c r="R469" s="31"/>
      <x:c r="S469" s="31"/>
      <x:c r="T469" s="31"/>
      <x:c r="U469" s="31"/>
      <x:c r="V469" s="32"/>
      <x:c r="W469" s="31"/>
      <x:c r="X469" s="32"/>
      <x:c r="Y469" s="31"/>
    </x:row>
    <x:row r="470">
      <x:c r="A470" s="79"/>
      <x:c r="B470" s="31"/>
      <x:c r="C470" s="31"/>
      <x:c r="D470" s="31"/>
      <x:c r="E470" s="31"/>
      <x:c r="F470" s="31"/>
      <x:c r="G470" s="31"/>
      <x:c r="H470" s="31"/>
      <x:c r="I470" s="31"/>
      <x:c r="J470" s="32"/>
      <x:c r="K470" s="32"/>
      <x:c r="L470" s="32"/>
      <x:c r="M470" s="32"/>
      <x:c r="N470" s="31"/>
      <x:c r="O470" s="31"/>
      <x:c r="P470" s="31"/>
      <x:c r="Q470" s="32"/>
      <x:c r="R470" s="31"/>
      <x:c r="S470" s="31"/>
      <x:c r="T470" s="31"/>
      <x:c r="U470" s="31"/>
      <x:c r="V470" s="32"/>
      <x:c r="W470" s="31"/>
      <x:c r="X470" s="32"/>
      <x:c r="Y470" s="31"/>
    </x:row>
    <x:row r="471">
      <x:c r="A471" s="79"/>
      <x:c r="B471" s="31"/>
      <x:c r="C471" s="31"/>
      <x:c r="D471" s="31"/>
      <x:c r="E471" s="31"/>
      <x:c r="F471" s="31"/>
      <x:c r="G471" s="31"/>
      <x:c r="H471" s="31"/>
      <x:c r="I471" s="31"/>
      <x:c r="J471" s="32"/>
      <x:c r="K471" s="32"/>
      <x:c r="L471" s="32"/>
      <x:c r="M471" s="32"/>
      <x:c r="N471" s="31"/>
      <x:c r="O471" s="31"/>
      <x:c r="P471" s="31"/>
      <x:c r="Q471" s="32"/>
      <x:c r="R471" s="31"/>
      <x:c r="S471" s="31"/>
      <x:c r="T471" s="31"/>
      <x:c r="U471" s="31"/>
      <x:c r="V471" s="32"/>
      <x:c r="W471" s="31"/>
      <x:c r="X471" s="32"/>
      <x:c r="Y471" s="31"/>
    </x:row>
    <x:row r="472">
      <x:c r="A472" s="79"/>
      <x:c r="B472" s="31"/>
      <x:c r="C472" s="31"/>
      <x:c r="D472" s="31"/>
      <x:c r="E472" s="31"/>
      <x:c r="F472" s="31"/>
      <x:c r="G472" s="31"/>
      <x:c r="H472" s="31"/>
      <x:c r="I472" s="31"/>
      <x:c r="J472" s="32"/>
      <x:c r="K472" s="32"/>
      <x:c r="L472" s="32"/>
      <x:c r="M472" s="32"/>
      <x:c r="N472" s="31"/>
      <x:c r="O472" s="31"/>
      <x:c r="P472" s="31"/>
      <x:c r="Q472" s="32"/>
      <x:c r="R472" s="31"/>
      <x:c r="S472" s="31"/>
      <x:c r="T472" s="31"/>
      <x:c r="U472" s="31"/>
      <x:c r="V472" s="32"/>
      <x:c r="W472" s="31"/>
      <x:c r="X472" s="32"/>
      <x:c r="Y472" s="31"/>
    </x:row>
    <x:row r="473">
      <x:c r="A473" s="79"/>
      <x:c r="B473" s="31"/>
      <x:c r="C473" s="31"/>
      <x:c r="D473" s="31"/>
      <x:c r="E473" s="31"/>
      <x:c r="F473" s="31"/>
      <x:c r="G473" s="31"/>
      <x:c r="H473" s="31"/>
      <x:c r="I473" s="31"/>
      <x:c r="J473" s="32"/>
      <x:c r="K473" s="32"/>
      <x:c r="L473" s="32"/>
      <x:c r="M473" s="32"/>
      <x:c r="N473" s="31"/>
      <x:c r="O473" s="31"/>
      <x:c r="P473" s="31"/>
      <x:c r="Q473" s="32"/>
      <x:c r="R473" s="31"/>
      <x:c r="S473" s="31"/>
      <x:c r="T473" s="31"/>
      <x:c r="U473" s="31"/>
      <x:c r="V473" s="32"/>
      <x:c r="W473" s="31"/>
      <x:c r="X473" s="32"/>
      <x:c r="Y473" s="31"/>
    </x:row>
    <x:row r="474">
      <x:c r="A474" s="79"/>
      <x:c r="B474" s="31"/>
      <x:c r="C474" s="31"/>
      <x:c r="D474" s="31"/>
      <x:c r="E474" s="31"/>
      <x:c r="F474" s="31"/>
      <x:c r="G474" s="31"/>
      <x:c r="H474" s="31"/>
      <x:c r="I474" s="31"/>
      <x:c r="J474" s="32"/>
      <x:c r="K474" s="32"/>
      <x:c r="L474" s="32"/>
      <x:c r="M474" s="32"/>
      <x:c r="N474" s="31"/>
      <x:c r="O474" s="31"/>
      <x:c r="P474" s="31"/>
      <x:c r="Q474" s="32"/>
      <x:c r="R474" s="31"/>
      <x:c r="S474" s="31"/>
      <x:c r="T474" s="31"/>
      <x:c r="U474" s="31"/>
      <x:c r="V474" s="32"/>
      <x:c r="W474" s="31"/>
      <x:c r="X474" s="32"/>
      <x:c r="Y474" s="31"/>
    </x:row>
    <x:row r="475">
      <x:c r="A475" s="79"/>
      <x:c r="B475" s="31"/>
      <x:c r="C475" s="31"/>
      <x:c r="D475" s="31"/>
      <x:c r="E475" s="31"/>
      <x:c r="F475" s="31"/>
      <x:c r="G475" s="31"/>
      <x:c r="H475" s="31"/>
      <x:c r="I475" s="31"/>
      <x:c r="J475" s="32"/>
      <x:c r="K475" s="32"/>
      <x:c r="L475" s="32"/>
      <x:c r="M475" s="32"/>
      <x:c r="N475" s="31"/>
      <x:c r="O475" s="31"/>
      <x:c r="P475" s="31"/>
      <x:c r="Q475" s="32"/>
      <x:c r="R475" s="31"/>
      <x:c r="S475" s="31"/>
      <x:c r="T475" s="31"/>
      <x:c r="U475" s="31"/>
      <x:c r="V475" s="32"/>
      <x:c r="W475" s="31"/>
      <x:c r="X475" s="32"/>
      <x:c r="Y475" s="31"/>
    </x:row>
    <x:row r="476">
      <x:c r="A476" s="79"/>
      <x:c r="B476" s="31"/>
      <x:c r="C476" s="31"/>
      <x:c r="D476" s="31"/>
      <x:c r="E476" s="31"/>
      <x:c r="F476" s="31"/>
      <x:c r="G476" s="31"/>
      <x:c r="H476" s="31"/>
      <x:c r="I476" s="31"/>
      <x:c r="J476" s="32"/>
      <x:c r="K476" s="32"/>
      <x:c r="L476" s="32"/>
      <x:c r="M476" s="32"/>
      <x:c r="N476" s="31"/>
      <x:c r="O476" s="31"/>
      <x:c r="P476" s="31"/>
      <x:c r="Q476" s="32"/>
      <x:c r="R476" s="31"/>
      <x:c r="S476" s="31"/>
      <x:c r="T476" s="31"/>
      <x:c r="U476" s="31"/>
      <x:c r="V476" s="32"/>
      <x:c r="W476" s="31"/>
      <x:c r="X476" s="32"/>
      <x:c r="Y476" s="31"/>
    </x:row>
    <x:row r="477">
      <x:c r="A477" s="79"/>
      <x:c r="B477" s="31"/>
      <x:c r="C477" s="31"/>
      <x:c r="D477" s="31"/>
      <x:c r="E477" s="31"/>
      <x:c r="F477" s="31"/>
      <x:c r="G477" s="31"/>
      <x:c r="H477" s="31"/>
      <x:c r="I477" s="31"/>
      <x:c r="J477" s="32"/>
      <x:c r="K477" s="32"/>
      <x:c r="L477" s="32"/>
      <x:c r="M477" s="32"/>
      <x:c r="N477" s="31"/>
      <x:c r="O477" s="31"/>
      <x:c r="P477" s="31"/>
      <x:c r="Q477" s="32"/>
      <x:c r="R477" s="31"/>
      <x:c r="S477" s="31"/>
      <x:c r="T477" s="31"/>
      <x:c r="U477" s="31"/>
      <x:c r="V477" s="32"/>
      <x:c r="W477" s="31"/>
      <x:c r="X477" s="32"/>
      <x:c r="Y477" s="31"/>
    </x:row>
    <x:row r="478">
      <x:c r="A478" s="79"/>
      <x:c r="B478" s="31"/>
      <x:c r="C478" s="31"/>
      <x:c r="D478" s="31"/>
      <x:c r="E478" s="31"/>
      <x:c r="F478" s="31"/>
      <x:c r="G478" s="31"/>
      <x:c r="H478" s="31"/>
      <x:c r="I478" s="31"/>
      <x:c r="J478" s="32"/>
      <x:c r="K478" s="32"/>
      <x:c r="L478" s="32"/>
      <x:c r="M478" s="32"/>
      <x:c r="N478" s="31"/>
      <x:c r="O478" s="31"/>
      <x:c r="P478" s="31"/>
      <x:c r="Q478" s="32"/>
      <x:c r="R478" s="31"/>
      <x:c r="S478" s="31"/>
      <x:c r="T478" s="31"/>
      <x:c r="U478" s="31"/>
      <x:c r="V478" s="32"/>
      <x:c r="W478" s="31"/>
      <x:c r="X478" s="32"/>
      <x:c r="Y478" s="31"/>
    </x:row>
    <x:row r="479">
      <x:c r="A479" s="79"/>
      <x:c r="B479" s="31"/>
      <x:c r="C479" s="31"/>
      <x:c r="D479" s="31"/>
      <x:c r="E479" s="31"/>
      <x:c r="F479" s="31"/>
      <x:c r="G479" s="31"/>
      <x:c r="H479" s="31"/>
      <x:c r="I479" s="31"/>
      <x:c r="J479" s="32"/>
      <x:c r="K479" s="32"/>
      <x:c r="L479" s="32"/>
      <x:c r="M479" s="32"/>
      <x:c r="N479" s="31"/>
      <x:c r="O479" s="31"/>
      <x:c r="P479" s="31"/>
      <x:c r="Q479" s="32"/>
      <x:c r="R479" s="31"/>
      <x:c r="S479" s="31"/>
      <x:c r="T479" s="31"/>
      <x:c r="U479" s="31"/>
      <x:c r="V479" s="32"/>
      <x:c r="W479" s="31"/>
      <x:c r="X479" s="32"/>
      <x:c r="Y479" s="31"/>
    </x:row>
    <x:row r="480">
      <x:c r="A480" s="79"/>
      <x:c r="B480" s="31"/>
      <x:c r="C480" s="31"/>
      <x:c r="D480" s="31"/>
      <x:c r="E480" s="31"/>
      <x:c r="F480" s="31"/>
      <x:c r="G480" s="31"/>
      <x:c r="H480" s="31"/>
      <x:c r="I480" s="31"/>
      <x:c r="J480" s="32"/>
      <x:c r="K480" s="32"/>
      <x:c r="L480" s="32"/>
      <x:c r="M480" s="32"/>
      <x:c r="N480" s="31"/>
      <x:c r="O480" s="31"/>
      <x:c r="P480" s="31"/>
      <x:c r="Q480" s="32"/>
      <x:c r="R480" s="31"/>
      <x:c r="S480" s="31"/>
      <x:c r="T480" s="31"/>
      <x:c r="U480" s="31"/>
      <x:c r="V480" s="32"/>
      <x:c r="W480" s="31"/>
      <x:c r="X480" s="32"/>
      <x:c r="Y480" s="31"/>
    </x:row>
    <x:row r="481">
      <x:c r="A481" s="79"/>
      <x:c r="B481" s="31"/>
      <x:c r="C481" s="31"/>
      <x:c r="D481" s="31"/>
      <x:c r="E481" s="31"/>
      <x:c r="F481" s="31"/>
      <x:c r="G481" s="31"/>
      <x:c r="H481" s="31"/>
      <x:c r="I481" s="31"/>
      <x:c r="J481" s="32"/>
      <x:c r="K481" s="32"/>
      <x:c r="L481" s="32"/>
      <x:c r="M481" s="32"/>
      <x:c r="N481" s="31"/>
      <x:c r="O481" s="31"/>
      <x:c r="P481" s="31"/>
      <x:c r="Q481" s="32"/>
      <x:c r="R481" s="31"/>
      <x:c r="S481" s="31"/>
      <x:c r="T481" s="31"/>
      <x:c r="U481" s="31"/>
      <x:c r="V481" s="32"/>
      <x:c r="W481" s="31"/>
      <x:c r="X481" s="32"/>
      <x:c r="Y481" s="31"/>
    </x:row>
    <x:row r="482">
      <x:c r="A482" s="79"/>
      <x:c r="B482" s="31"/>
      <x:c r="C482" s="31"/>
      <x:c r="D482" s="31"/>
      <x:c r="E482" s="31"/>
      <x:c r="F482" s="31"/>
      <x:c r="G482" s="31"/>
      <x:c r="H482" s="31"/>
      <x:c r="I482" s="31"/>
      <x:c r="J482" s="32"/>
      <x:c r="K482" s="32"/>
      <x:c r="L482" s="32"/>
      <x:c r="M482" s="32"/>
      <x:c r="N482" s="31"/>
      <x:c r="O482" s="31"/>
      <x:c r="P482" s="31"/>
      <x:c r="Q482" s="32"/>
      <x:c r="R482" s="31"/>
      <x:c r="S482" s="31"/>
      <x:c r="T482" s="31"/>
      <x:c r="U482" s="31"/>
      <x:c r="V482" s="32"/>
      <x:c r="W482" s="31"/>
      <x:c r="X482" s="32"/>
      <x:c r="Y482" s="31"/>
    </x:row>
    <x:row r="483">
      <x:c r="A483" s="79"/>
      <x:c r="B483" s="31"/>
      <x:c r="C483" s="31"/>
      <x:c r="D483" s="31"/>
      <x:c r="E483" s="31"/>
      <x:c r="F483" s="31"/>
      <x:c r="G483" s="31"/>
      <x:c r="H483" s="31"/>
      <x:c r="I483" s="31"/>
      <x:c r="J483" s="32"/>
      <x:c r="K483" s="32"/>
      <x:c r="L483" s="32"/>
      <x:c r="M483" s="32"/>
      <x:c r="N483" s="31"/>
      <x:c r="O483" s="31"/>
      <x:c r="P483" s="31"/>
      <x:c r="Q483" s="32"/>
      <x:c r="R483" s="31"/>
      <x:c r="S483" s="31"/>
      <x:c r="T483" s="31"/>
      <x:c r="U483" s="31"/>
      <x:c r="V483" s="32"/>
      <x:c r="W483" s="31"/>
      <x:c r="X483" s="32"/>
      <x:c r="Y483" s="31"/>
    </x:row>
    <x:row r="484">
      <x:c r="A484" s="79"/>
      <x:c r="B484" s="31"/>
      <x:c r="C484" s="31"/>
      <x:c r="D484" s="31"/>
      <x:c r="E484" s="31"/>
      <x:c r="F484" s="31"/>
      <x:c r="G484" s="31"/>
      <x:c r="H484" s="31"/>
      <x:c r="I484" s="31"/>
      <x:c r="J484" s="32"/>
      <x:c r="K484" s="32"/>
      <x:c r="L484" s="32"/>
      <x:c r="M484" s="32"/>
      <x:c r="N484" s="31"/>
      <x:c r="O484" s="31"/>
      <x:c r="P484" s="31"/>
      <x:c r="Q484" s="32"/>
      <x:c r="R484" s="31"/>
      <x:c r="S484" s="31"/>
      <x:c r="T484" s="31"/>
      <x:c r="U484" s="31"/>
      <x:c r="V484" s="32"/>
      <x:c r="W484" s="31"/>
      <x:c r="X484" s="32"/>
      <x:c r="Y484" s="31"/>
    </x:row>
    <x:row r="485">
      <x:c r="A485" s="79"/>
      <x:c r="B485" s="31"/>
      <x:c r="C485" s="31"/>
      <x:c r="D485" s="31"/>
      <x:c r="E485" s="31"/>
      <x:c r="F485" s="31"/>
      <x:c r="G485" s="31"/>
      <x:c r="H485" s="31"/>
      <x:c r="I485" s="31"/>
      <x:c r="J485" s="32"/>
      <x:c r="K485" s="32"/>
      <x:c r="L485" s="32"/>
      <x:c r="M485" s="32"/>
      <x:c r="N485" s="31"/>
      <x:c r="O485" s="31"/>
      <x:c r="P485" s="31"/>
      <x:c r="Q485" s="32"/>
      <x:c r="R485" s="31"/>
      <x:c r="S485" s="31"/>
      <x:c r="T485" s="31"/>
      <x:c r="U485" s="31"/>
      <x:c r="V485" s="32"/>
      <x:c r="W485" s="31"/>
      <x:c r="X485" s="32"/>
      <x:c r="Y485" s="31"/>
    </x:row>
    <x:row r="486">
      <x:c r="A486" s="79"/>
      <x:c r="B486" s="31"/>
      <x:c r="C486" s="31"/>
      <x:c r="D486" s="31"/>
      <x:c r="E486" s="31"/>
      <x:c r="F486" s="31"/>
      <x:c r="G486" s="31"/>
      <x:c r="H486" s="31"/>
      <x:c r="I486" s="31"/>
      <x:c r="J486" s="32"/>
      <x:c r="K486" s="32"/>
      <x:c r="L486" s="32"/>
      <x:c r="M486" s="32"/>
      <x:c r="N486" s="31"/>
      <x:c r="O486" s="31"/>
      <x:c r="P486" s="31"/>
      <x:c r="Q486" s="32"/>
      <x:c r="R486" s="31"/>
      <x:c r="S486" s="31"/>
      <x:c r="T486" s="31"/>
      <x:c r="U486" s="31"/>
      <x:c r="V486" s="32"/>
      <x:c r="W486" s="31"/>
      <x:c r="X486" s="32"/>
      <x:c r="Y486" s="31"/>
    </x:row>
    <x:row r="487">
      <x:c r="A487" s="79"/>
      <x:c r="B487" s="31"/>
      <x:c r="C487" s="31"/>
      <x:c r="D487" s="31"/>
      <x:c r="E487" s="31"/>
      <x:c r="F487" s="31"/>
      <x:c r="G487" s="31"/>
      <x:c r="H487" s="31"/>
      <x:c r="I487" s="31"/>
      <x:c r="J487" s="32"/>
      <x:c r="K487" s="32"/>
      <x:c r="L487" s="32"/>
      <x:c r="M487" s="32"/>
      <x:c r="N487" s="31"/>
      <x:c r="O487" s="31"/>
      <x:c r="P487" s="31"/>
      <x:c r="Q487" s="32"/>
      <x:c r="R487" s="31"/>
      <x:c r="S487" s="31"/>
      <x:c r="T487" s="31"/>
      <x:c r="U487" s="31"/>
      <x:c r="V487" s="32"/>
      <x:c r="W487" s="31"/>
      <x:c r="X487" s="32"/>
      <x:c r="Y487" s="31"/>
    </x:row>
    <x:row r="488">
      <x:c r="A488" s="79"/>
      <x:c r="B488" s="31"/>
      <x:c r="C488" s="31"/>
      <x:c r="D488" s="31"/>
      <x:c r="E488" s="31"/>
      <x:c r="F488" s="31"/>
      <x:c r="G488" s="31"/>
      <x:c r="H488" s="31"/>
      <x:c r="I488" s="31"/>
      <x:c r="J488" s="32"/>
      <x:c r="K488" s="32"/>
      <x:c r="L488" s="32"/>
      <x:c r="M488" s="32"/>
      <x:c r="N488" s="31"/>
      <x:c r="O488" s="31"/>
      <x:c r="P488" s="31"/>
      <x:c r="Q488" s="32"/>
      <x:c r="R488" s="31"/>
      <x:c r="S488" s="31"/>
      <x:c r="T488" s="31"/>
      <x:c r="U488" s="31"/>
      <x:c r="V488" s="32"/>
      <x:c r="W488" s="31"/>
      <x:c r="X488" s="32"/>
      <x:c r="Y488" s="31"/>
    </x:row>
    <x:row r="489">
      <x:c r="A489" s="79"/>
      <x:c r="B489" s="31"/>
      <x:c r="C489" s="31"/>
      <x:c r="D489" s="31"/>
      <x:c r="E489" s="31"/>
      <x:c r="F489" s="31"/>
      <x:c r="G489" s="31"/>
      <x:c r="H489" s="31"/>
      <x:c r="I489" s="31"/>
      <x:c r="J489" s="32"/>
      <x:c r="K489" s="32"/>
      <x:c r="L489" s="32"/>
      <x:c r="M489" s="32"/>
      <x:c r="N489" s="31"/>
      <x:c r="O489" s="31"/>
      <x:c r="P489" s="31"/>
      <x:c r="Q489" s="32"/>
      <x:c r="R489" s="31"/>
      <x:c r="S489" s="31"/>
      <x:c r="T489" s="31"/>
      <x:c r="U489" s="31"/>
      <x:c r="V489" s="32"/>
      <x:c r="W489" s="31"/>
      <x:c r="X489" s="32"/>
      <x:c r="Y489" s="31"/>
    </x:row>
    <x:row r="490">
      <x:c r="A490" s="79"/>
      <x:c r="B490" s="31"/>
      <x:c r="C490" s="31"/>
      <x:c r="D490" s="31"/>
      <x:c r="E490" s="31"/>
      <x:c r="F490" s="31"/>
      <x:c r="G490" s="31"/>
      <x:c r="H490" s="31"/>
      <x:c r="I490" s="31"/>
      <x:c r="J490" s="32"/>
      <x:c r="K490" s="32"/>
      <x:c r="L490" s="32"/>
      <x:c r="M490" s="32"/>
      <x:c r="N490" s="31"/>
      <x:c r="O490" s="31"/>
      <x:c r="P490" s="31"/>
      <x:c r="Q490" s="32"/>
      <x:c r="R490" s="31"/>
      <x:c r="S490" s="31"/>
      <x:c r="T490" s="31"/>
      <x:c r="U490" s="31"/>
      <x:c r="V490" s="32"/>
      <x:c r="W490" s="31"/>
      <x:c r="X490" s="32"/>
      <x:c r="Y490" s="31"/>
    </x:row>
    <x:row r="491">
      <x:c r="A491" s="79"/>
      <x:c r="B491" s="31"/>
      <x:c r="C491" s="31"/>
      <x:c r="D491" s="31"/>
      <x:c r="E491" s="31"/>
      <x:c r="F491" s="31"/>
      <x:c r="G491" s="31"/>
      <x:c r="H491" s="31"/>
      <x:c r="I491" s="31"/>
      <x:c r="J491" s="32"/>
      <x:c r="K491" s="32"/>
      <x:c r="L491" s="32"/>
      <x:c r="M491" s="32"/>
      <x:c r="N491" s="31"/>
      <x:c r="O491" s="31"/>
      <x:c r="P491" s="31"/>
      <x:c r="Q491" s="32"/>
      <x:c r="R491" s="31"/>
      <x:c r="S491" s="31"/>
      <x:c r="T491" s="31"/>
      <x:c r="U491" s="31"/>
      <x:c r="V491" s="32"/>
      <x:c r="W491" s="31"/>
      <x:c r="X491" s="32"/>
      <x:c r="Y491" s="31"/>
    </x:row>
    <x:row r="492">
      <x:c r="A492" s="79"/>
      <x:c r="B492" s="31"/>
      <x:c r="C492" s="31"/>
      <x:c r="D492" s="31"/>
      <x:c r="E492" s="31"/>
      <x:c r="F492" s="31"/>
      <x:c r="G492" s="31"/>
      <x:c r="H492" s="31"/>
      <x:c r="I492" s="31"/>
      <x:c r="J492" s="32"/>
      <x:c r="K492" s="32"/>
      <x:c r="L492" s="32"/>
      <x:c r="M492" s="32"/>
      <x:c r="N492" s="31"/>
      <x:c r="O492" s="31"/>
      <x:c r="P492" s="31"/>
      <x:c r="Q492" s="32"/>
      <x:c r="R492" s="31"/>
      <x:c r="S492" s="31"/>
      <x:c r="T492" s="31"/>
      <x:c r="U492" s="31"/>
      <x:c r="V492" s="32"/>
      <x:c r="W492" s="31"/>
      <x:c r="X492" s="32"/>
      <x:c r="Y492" s="31"/>
    </x:row>
    <x:row r="493">
      <x:c r="A493" s="79"/>
      <x:c r="B493" s="31"/>
      <x:c r="C493" s="31"/>
      <x:c r="D493" s="31"/>
      <x:c r="E493" s="31"/>
      <x:c r="F493" s="31"/>
      <x:c r="G493" s="31"/>
      <x:c r="H493" s="31"/>
      <x:c r="I493" s="31"/>
      <x:c r="J493" s="32"/>
      <x:c r="K493" s="32"/>
      <x:c r="L493" s="32"/>
      <x:c r="M493" s="32"/>
      <x:c r="N493" s="31"/>
      <x:c r="O493" s="31"/>
      <x:c r="P493" s="31"/>
      <x:c r="Q493" s="32"/>
      <x:c r="R493" s="31"/>
      <x:c r="S493" s="31"/>
      <x:c r="T493" s="31"/>
      <x:c r="U493" s="31"/>
      <x:c r="V493" s="32"/>
      <x:c r="W493" s="31"/>
      <x:c r="X493" s="32"/>
      <x:c r="Y493" s="31"/>
    </x:row>
    <x:row r="494">
      <x:c r="A494" s="79"/>
      <x:c r="B494" s="31"/>
      <x:c r="C494" s="31"/>
      <x:c r="D494" s="31"/>
      <x:c r="E494" s="31"/>
      <x:c r="F494" s="31"/>
      <x:c r="G494" s="31"/>
      <x:c r="H494" s="31"/>
      <x:c r="I494" s="31"/>
      <x:c r="J494" s="32"/>
      <x:c r="K494" s="32"/>
      <x:c r="L494" s="32"/>
      <x:c r="M494" s="32"/>
      <x:c r="N494" s="31"/>
      <x:c r="O494" s="31"/>
      <x:c r="P494" s="31"/>
      <x:c r="Q494" s="32"/>
      <x:c r="R494" s="31"/>
      <x:c r="S494" s="31"/>
      <x:c r="T494" s="31"/>
      <x:c r="U494" s="31"/>
      <x:c r="V494" s="32"/>
      <x:c r="W494" s="31"/>
      <x:c r="X494" s="32"/>
      <x:c r="Y494" s="31"/>
    </x:row>
    <x:row r="495">
      <x:c r="A495" s="79"/>
      <x:c r="B495" s="31"/>
      <x:c r="C495" s="31"/>
      <x:c r="D495" s="31"/>
      <x:c r="E495" s="31"/>
      <x:c r="F495" s="31"/>
      <x:c r="G495" s="31"/>
      <x:c r="H495" s="31"/>
      <x:c r="I495" s="31"/>
      <x:c r="J495" s="32"/>
      <x:c r="K495" s="32"/>
      <x:c r="L495" s="32"/>
      <x:c r="M495" s="32"/>
      <x:c r="N495" s="31"/>
      <x:c r="O495" s="31"/>
      <x:c r="P495" s="31"/>
      <x:c r="Q495" s="32"/>
      <x:c r="R495" s="31"/>
      <x:c r="S495" s="31"/>
      <x:c r="T495" s="31"/>
      <x:c r="U495" s="31"/>
      <x:c r="V495" s="32"/>
      <x:c r="W495" s="31"/>
      <x:c r="X495" s="32"/>
      <x:c r="Y495" s="31"/>
    </x:row>
    <x:row r="496">
      <x:c r="A496" s="79"/>
      <x:c r="B496" s="31"/>
      <x:c r="C496" s="31"/>
      <x:c r="D496" s="31"/>
      <x:c r="E496" s="31"/>
      <x:c r="F496" s="31"/>
      <x:c r="G496" s="31"/>
      <x:c r="H496" s="31"/>
      <x:c r="I496" s="31"/>
      <x:c r="J496" s="32"/>
      <x:c r="K496" s="32"/>
      <x:c r="L496" s="32"/>
      <x:c r="M496" s="32"/>
      <x:c r="N496" s="31"/>
      <x:c r="O496" s="31"/>
      <x:c r="P496" s="31"/>
      <x:c r="Q496" s="32"/>
      <x:c r="R496" s="31"/>
      <x:c r="S496" s="31"/>
      <x:c r="T496" s="31"/>
      <x:c r="U496" s="31"/>
      <x:c r="V496" s="32"/>
      <x:c r="W496" s="31"/>
      <x:c r="X496" s="32"/>
      <x:c r="Y496" s="31"/>
    </x:row>
    <x:row r="497">
      <x:c r="A497" s="79"/>
      <x:c r="B497" s="31"/>
      <x:c r="C497" s="31"/>
      <x:c r="D497" s="31"/>
      <x:c r="E497" s="31"/>
      <x:c r="F497" s="31"/>
      <x:c r="G497" s="31"/>
      <x:c r="H497" s="31"/>
      <x:c r="I497" s="31"/>
      <x:c r="J497" s="32"/>
      <x:c r="K497" s="32"/>
      <x:c r="L497" s="32"/>
      <x:c r="M497" s="32"/>
      <x:c r="N497" s="31"/>
      <x:c r="O497" s="31"/>
      <x:c r="P497" s="31"/>
      <x:c r="Q497" s="32"/>
      <x:c r="R497" s="31"/>
      <x:c r="S497" s="31"/>
      <x:c r="T497" s="31"/>
      <x:c r="U497" s="31"/>
      <x:c r="V497" s="32"/>
      <x:c r="W497" s="31"/>
      <x:c r="X497" s="32"/>
      <x:c r="Y497" s="31"/>
    </x:row>
    <x:row r="498">
      <x:c r="A498" s="79"/>
      <x:c r="B498" s="31"/>
      <x:c r="C498" s="31"/>
      <x:c r="D498" s="31"/>
      <x:c r="E498" s="31"/>
      <x:c r="F498" s="31"/>
      <x:c r="G498" s="31"/>
      <x:c r="H498" s="31"/>
      <x:c r="I498" s="31"/>
      <x:c r="J498" s="32"/>
      <x:c r="K498" s="32"/>
      <x:c r="L498" s="32"/>
      <x:c r="M498" s="32"/>
      <x:c r="N498" s="31"/>
      <x:c r="O498" s="31"/>
      <x:c r="P498" s="31"/>
      <x:c r="Q498" s="32"/>
      <x:c r="R498" s="31"/>
      <x:c r="S498" s="31"/>
      <x:c r="T498" s="31"/>
      <x:c r="U498" s="31"/>
      <x:c r="V498" s="32"/>
      <x:c r="W498" s="31"/>
      <x:c r="X498" s="32"/>
      <x:c r="Y498" s="31"/>
    </x:row>
    <x:row r="499">
      <x:c r="A499" s="79"/>
      <x:c r="B499" s="31"/>
      <x:c r="C499" s="31"/>
      <x:c r="D499" s="31"/>
      <x:c r="E499" s="31"/>
      <x:c r="F499" s="31"/>
      <x:c r="G499" s="31"/>
      <x:c r="H499" s="31"/>
      <x:c r="I499" s="31"/>
      <x:c r="J499" s="32"/>
      <x:c r="K499" s="32"/>
      <x:c r="L499" s="32"/>
      <x:c r="M499" s="32"/>
      <x:c r="N499" s="31"/>
      <x:c r="O499" s="31"/>
      <x:c r="P499" s="31"/>
      <x:c r="Q499" s="32"/>
      <x:c r="R499" s="31"/>
      <x:c r="S499" s="31"/>
      <x:c r="T499" s="31"/>
      <x:c r="U499" s="31"/>
      <x:c r="V499" s="32"/>
      <x:c r="W499" s="31"/>
      <x:c r="X499" s="32"/>
      <x:c r="Y499" s="31"/>
    </x:row>
    <x:row r="500">
      <x:c r="A500" s="79"/>
      <x:c r="B500" s="31"/>
      <x:c r="C500" s="31"/>
      <x:c r="D500" s="31"/>
      <x:c r="E500" s="31"/>
      <x:c r="F500" s="31"/>
      <x:c r="G500" s="31"/>
      <x:c r="H500" s="31"/>
      <x:c r="I500" s="31"/>
      <x:c r="J500" s="32"/>
      <x:c r="K500" s="32"/>
      <x:c r="L500" s="32"/>
      <x:c r="M500" s="32"/>
      <x:c r="N500" s="31"/>
      <x:c r="O500" s="31"/>
      <x:c r="P500" s="31"/>
      <x:c r="Q500" s="32"/>
      <x:c r="R500" s="31"/>
      <x:c r="S500" s="31"/>
      <x:c r="T500" s="31"/>
      <x:c r="U500" s="31"/>
      <x:c r="V500" s="32"/>
      <x:c r="W500" s="31"/>
      <x:c r="X500" s="32"/>
      <x:c r="Y500" s="31"/>
    </x:row>
  </x:sheetData>
  <x:dataValidations count="2">
    <x:dataValidation type="list" sqref="H2:H500">
      <x:formula1>"BET,PAPER,REJECTED"</x:formula1>
    </x:dataValidation>
    <x:dataValidation type="list" sqref="I2:I500">
      <x:formula1>"Win,Loss,Push,Pending"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0" hidden="0" customWidth="1"/>
    <x:col min="5" max="5" width="18" hidden="0" customWidth="1"/>
    <x:col min="6" max="6" width="9" hidden="0" customWidth="1"/>
    <x:col min="7" max="7" width="10" hidden="0" customWidth="1"/>
    <x:col min="8" max="8" width="10" hidden="0" customWidth="1"/>
    <x:col min="9" max="9" width="9" hidden="0" customWidth="1"/>
    <x:col min="10" max="10" width="9" hidden="0" customWidth="1"/>
    <x:col min="11" max="11" width="10" hidden="0" customWidth="1"/>
    <x:col min="12" max="12" width="9" hidden="0" customWidth="1"/>
    <x:col min="13" max="13" width="10" hidden="0" customWidth="1"/>
    <x:col min="14" max="14" width="10" hidden="0" customWidth="1"/>
    <x:col min="15" max="15" width="9" hidden="0" customWidth="1"/>
    <x:col min="16" max="16" width="12" hidden="0" customWidth="1"/>
    <x:col min="17" max="17" width="16" hidden="0" customWidth="1"/>
    <x:col min="18" max="18" width="10" hidden="0" customWidth="1"/>
    <x:col min="19" max="19" width="11" hidden="0" customWidth="1"/>
    <x:col min="20" max="20" width="15" hidden="0" customWidth="1"/>
    <x:col min="21" max="21" width="11" hidden="0" customWidth="1"/>
    <x:col min="22" max="22" width="15" hidden="0" customWidth="1"/>
    <x:col min="23" max="23" width="14" hidden="0" customWidth="1"/>
    <x:col min="24" max="24" width="14" hidden="0" customWidth="1"/>
    <x:col min="25" max="25" width="14" hidden="0" customWidth="1"/>
    <x:col min="26" max="26" width="18" hidden="0" customWidth="1"/>
    <x:col min="27" max="27" width="12" hidden="0" customWidth="1"/>
    <x:col min="28" max="28" width="18" hidden="0" customWidth="1"/>
    <x:col min="29" max="29" width="10" hidden="0" customWidth="1"/>
    <x:col min="30" max="30" width="18" hidden="0" customWidth="1"/>
    <x:col min="31" max="31" width="10" hidden="0" customWidth="1"/>
    <x:col min="32" max="32" width="32" hidden="0" customWidth="1"/>
  </x:cols>
  <x:sheetData>
    <x:row r="1">
      <x:c r="A1" s="78" t="str">
        <x:v>Date</x:v>
      </x:c>
      <x:c r="B1" s="78" t="str">
        <x:v>Candidate ID</x:v>
      </x:c>
      <x:c r="C1" s="78" t="str">
        <x:v>Hitter</x:v>
      </x:c>
      <x:c r="D1" s="78" t="str">
        <x:v>Opponent Pitcher</x:v>
      </x:c>
      <x:c r="E1" s="78" t="str">
        <x:v>Market</x:v>
      </x:c>
      <x:c r="F1" s="78" t="str">
        <x:v>Line</x:v>
      </x:c>
      <x:c r="G1" s="78" t="str">
        <x:v>Odds</x:v>
      </x:c>
      <x:c r="H1" s="78" t="str">
        <x:v>Decision</x:v>
      </x:c>
      <x:c r="I1" s="78" t="str">
        <x:v>Result</x:v>
      </x:c>
      <x:c r="J1" s="78" t="str">
        <x:v>xBA</x:v>
      </x:c>
      <x:c r="K1" s="78" t="str">
        <x:v>xwOBA</x:v>
      </x:c>
      <x:c r="L1" s="78" t="str">
        <x:v>ISO</x:v>
      </x:c>
      <x:c r="M1" s="78" t="str">
        <x:v>Barrel%</x:v>
      </x:c>
      <x:c r="N1" s="78" t="str">
        <x:v>Hard-Hit%</x:v>
      </x:c>
      <x:c r="O1" s="78" t="str">
        <x:v>K%</x:v>
      </x:c>
      <x:c r="P1" s="78" t="str">
        <x:v>Platoon xwOBA</x:v>
      </x:c>
      <x:c r="Q1" s="78" t="str">
        <x:v>Pitch-Type Edge Score</x:v>
      </x:c>
      <x:c r="R1" s="78" t="str">
        <x:v>Lineup Spot</x:v>
      </x:c>
      <x:c r="S1" s="78" t="str">
        <x:v>Projected PA</x:v>
      </x:c>
      <x:c r="T1" s="78" t="str">
        <x:v>Opponent xwOBA Allowed</x:v>
      </x:c>
      <x:c r="U1" s="78" t="str">
        <x:v>Opponent K%</x:v>
      </x:c>
      <x:c r="V1" s="78" t="str">
        <x:v>Bullpen Quality Score</x:v>
      </x:c>
      <x:c r="W1" s="78" t="str">
        <x:v>Park/Weather Score</x:v>
      </x:c>
      <x:c r="X1" s="78" t="str">
        <x:v>Team Implied Runs</x:v>
      </x:c>
      <x:c r="Y1" s="78" t="str">
        <x:v>Recent Raw Hit Rate</x:v>
      </x:c>
      <x:c r="Z1" s="78" t="str">
        <x:v>Recent EV/Barrel Trend Score</x:v>
      </x:c>
      <x:c r="AA1" s="78" t="str">
        <x:v>Price Edge Est.</x:v>
      </x:c>
      <x:c r="AB1" s="78" t="str">
        <x:v>Alt Market 1</x:v>
      </x:c>
      <x:c r="AC1" s="78" t="str">
        <x:v>Alt Odds 1</x:v>
      </x:c>
      <x:c r="AD1" s="78" t="str">
        <x:v>Alt Market 2</x:v>
      </x:c>
      <x:c r="AE1" s="78" t="str">
        <x:v>Alt Odds 2</x:v>
      </x:c>
      <x:c r="AF1" s="78" t="str">
        <x:v>Notes</x:v>
      </x:c>
    </x:row>
    <x:row r="2">
      <x:c r="A2" s="79"/>
      <x:c r="B2" s="31"/>
      <x:c r="C2" s="31"/>
      <x:c r="D2" s="31"/>
      <x:c r="E2" s="31"/>
      <x:c r="F2" s="31"/>
      <x:c r="G2" s="31"/>
      <x:c r="H2" s="31"/>
      <x:c r="I2" s="31"/>
      <x:c r="J2" s="32"/>
      <x:c r="K2" s="32"/>
      <x:c r="L2" s="32"/>
      <x:c r="M2" s="32"/>
      <x:c r="N2" s="32"/>
      <x:c r="O2" s="32"/>
      <x:c r="P2" s="32"/>
      <x:c r="Q2" s="31"/>
      <x:c r="R2" s="31"/>
      <x:c r="S2" s="31"/>
      <x:c r="T2" s="32"/>
      <x:c r="U2" s="32"/>
      <x:c r="V2" s="31"/>
      <x:c r="W2" s="31"/>
      <x:c r="X2" s="31"/>
      <x:c r="Y2" s="32"/>
      <x:c r="Z2" s="31"/>
      <x:c r="AA2" s="32"/>
      <x:c r="AB2" s="31"/>
      <x:c r="AC2" s="31"/>
      <x:c r="AD2" s="31"/>
      <x:c r="AE2" s="31"/>
      <x:c r="AF2" s="31"/>
    </x:row>
    <x:row r="3">
      <x:c r="A3" s="79"/>
      <x:c r="B3" s="31"/>
      <x:c r="C3" s="31"/>
      <x:c r="D3" s="31"/>
      <x:c r="E3" s="31"/>
      <x:c r="F3" s="31"/>
      <x:c r="G3" s="31"/>
      <x:c r="H3" s="31"/>
      <x:c r="I3" s="31"/>
      <x:c r="J3" s="32"/>
      <x:c r="K3" s="32"/>
      <x:c r="L3" s="32"/>
      <x:c r="M3" s="32"/>
      <x:c r="N3" s="32"/>
      <x:c r="O3" s="32"/>
      <x:c r="P3" s="32"/>
      <x:c r="Q3" s="31"/>
      <x:c r="R3" s="31"/>
      <x:c r="S3" s="31"/>
      <x:c r="T3" s="32"/>
      <x:c r="U3" s="32"/>
      <x:c r="V3" s="31"/>
      <x:c r="W3" s="31"/>
      <x:c r="X3" s="31"/>
      <x:c r="Y3" s="32"/>
      <x:c r="Z3" s="31"/>
      <x:c r="AA3" s="32"/>
      <x:c r="AB3" s="31"/>
      <x:c r="AC3" s="31"/>
      <x:c r="AD3" s="31"/>
      <x:c r="AE3" s="31"/>
      <x:c r="AF3" s="31"/>
    </x:row>
    <x:row r="4">
      <x:c r="A4" s="79"/>
      <x:c r="B4" s="31"/>
      <x:c r="C4" s="31"/>
      <x:c r="D4" s="31"/>
      <x:c r="E4" s="31"/>
      <x:c r="F4" s="31"/>
      <x:c r="G4" s="31"/>
      <x:c r="H4" s="31"/>
      <x:c r="I4" s="31"/>
      <x:c r="J4" s="32"/>
      <x:c r="K4" s="32"/>
      <x:c r="L4" s="32"/>
      <x:c r="M4" s="32"/>
      <x:c r="N4" s="32"/>
      <x:c r="O4" s="32"/>
      <x:c r="P4" s="32"/>
      <x:c r="Q4" s="31"/>
      <x:c r="R4" s="31"/>
      <x:c r="S4" s="31"/>
      <x:c r="T4" s="32"/>
      <x:c r="U4" s="32"/>
      <x:c r="V4" s="31"/>
      <x:c r="W4" s="31"/>
      <x:c r="X4" s="31"/>
      <x:c r="Y4" s="32"/>
      <x:c r="Z4" s="31"/>
      <x:c r="AA4" s="32"/>
      <x:c r="AB4" s="31"/>
      <x:c r="AC4" s="31"/>
      <x:c r="AD4" s="31"/>
      <x:c r="AE4" s="31"/>
      <x:c r="AF4" s="31"/>
    </x:row>
    <x:row r="5">
      <x:c r="A5" s="79"/>
      <x:c r="B5" s="31"/>
      <x:c r="C5" s="31"/>
      <x:c r="D5" s="31"/>
      <x:c r="E5" s="31"/>
      <x:c r="F5" s="31"/>
      <x:c r="G5" s="31"/>
      <x:c r="H5" s="31"/>
      <x:c r="I5" s="31"/>
      <x:c r="J5" s="32"/>
      <x:c r="K5" s="32"/>
      <x:c r="L5" s="32"/>
      <x:c r="M5" s="32"/>
      <x:c r="N5" s="32"/>
      <x:c r="O5" s="32"/>
      <x:c r="P5" s="32"/>
      <x:c r="Q5" s="31"/>
      <x:c r="R5" s="31"/>
      <x:c r="S5" s="31"/>
      <x:c r="T5" s="32"/>
      <x:c r="U5" s="32"/>
      <x:c r="V5" s="31"/>
      <x:c r="W5" s="31"/>
      <x:c r="X5" s="31"/>
      <x:c r="Y5" s="32"/>
      <x:c r="Z5" s="31"/>
      <x:c r="AA5" s="32"/>
      <x:c r="AB5" s="31"/>
      <x:c r="AC5" s="31"/>
      <x:c r="AD5" s="31"/>
      <x:c r="AE5" s="31"/>
      <x:c r="AF5" s="31"/>
    </x:row>
    <x:row r="6">
      <x:c r="A6" s="79"/>
      <x:c r="B6" s="31"/>
      <x:c r="C6" s="31"/>
      <x:c r="D6" s="31"/>
      <x:c r="E6" s="31"/>
      <x:c r="F6" s="31"/>
      <x:c r="G6" s="31"/>
      <x:c r="H6" s="31"/>
      <x:c r="I6" s="31"/>
      <x:c r="J6" s="32"/>
      <x:c r="K6" s="32"/>
      <x:c r="L6" s="32"/>
      <x:c r="M6" s="32"/>
      <x:c r="N6" s="32"/>
      <x:c r="O6" s="32"/>
      <x:c r="P6" s="32"/>
      <x:c r="Q6" s="31"/>
      <x:c r="R6" s="31"/>
      <x:c r="S6" s="31"/>
      <x:c r="T6" s="32"/>
      <x:c r="U6" s="32"/>
      <x:c r="V6" s="31"/>
      <x:c r="W6" s="31"/>
      <x:c r="X6" s="31"/>
      <x:c r="Y6" s="32"/>
      <x:c r="Z6" s="31"/>
      <x:c r="AA6" s="32"/>
      <x:c r="AB6" s="31"/>
      <x:c r="AC6" s="31"/>
      <x:c r="AD6" s="31"/>
      <x:c r="AE6" s="31"/>
      <x:c r="AF6" s="31"/>
    </x:row>
    <x:row r="7">
      <x:c r="A7" s="79"/>
      <x:c r="B7" s="31"/>
      <x:c r="C7" s="31"/>
      <x:c r="D7" s="31"/>
      <x:c r="E7" s="31"/>
      <x:c r="F7" s="31"/>
      <x:c r="G7" s="31"/>
      <x:c r="H7" s="31"/>
      <x:c r="I7" s="31"/>
      <x:c r="J7" s="32"/>
      <x:c r="K7" s="32"/>
      <x:c r="L7" s="32"/>
      <x:c r="M7" s="32"/>
      <x:c r="N7" s="32"/>
      <x:c r="O7" s="32"/>
      <x:c r="P7" s="32"/>
      <x:c r="Q7" s="31"/>
      <x:c r="R7" s="31"/>
      <x:c r="S7" s="31"/>
      <x:c r="T7" s="32"/>
      <x:c r="U7" s="32"/>
      <x:c r="V7" s="31"/>
      <x:c r="W7" s="31"/>
      <x:c r="X7" s="31"/>
      <x:c r="Y7" s="32"/>
      <x:c r="Z7" s="31"/>
      <x:c r="AA7" s="32"/>
      <x:c r="AB7" s="31"/>
      <x:c r="AC7" s="31"/>
      <x:c r="AD7" s="31"/>
      <x:c r="AE7" s="31"/>
      <x:c r="AF7" s="31"/>
    </x:row>
    <x:row r="8">
      <x:c r="A8" s="79"/>
      <x:c r="B8" s="31"/>
      <x:c r="C8" s="31"/>
      <x:c r="D8" s="31"/>
      <x:c r="E8" s="31"/>
      <x:c r="F8" s="31"/>
      <x:c r="G8" s="31"/>
      <x:c r="H8" s="31"/>
      <x:c r="I8" s="31"/>
      <x:c r="J8" s="32"/>
      <x:c r="K8" s="32"/>
      <x:c r="L8" s="32"/>
      <x:c r="M8" s="32"/>
      <x:c r="N8" s="32"/>
      <x:c r="O8" s="32"/>
      <x:c r="P8" s="32"/>
      <x:c r="Q8" s="31"/>
      <x:c r="R8" s="31"/>
      <x:c r="S8" s="31"/>
      <x:c r="T8" s="32"/>
      <x:c r="U8" s="32"/>
      <x:c r="V8" s="31"/>
      <x:c r="W8" s="31"/>
      <x:c r="X8" s="31"/>
      <x:c r="Y8" s="32"/>
      <x:c r="Z8" s="31"/>
      <x:c r="AA8" s="32"/>
      <x:c r="AB8" s="31"/>
      <x:c r="AC8" s="31"/>
      <x:c r="AD8" s="31"/>
      <x:c r="AE8" s="31"/>
      <x:c r="AF8" s="31"/>
    </x:row>
    <x:row r="9">
      <x:c r="A9" s="79"/>
      <x:c r="B9" s="31"/>
      <x:c r="C9" s="31"/>
      <x:c r="D9" s="31"/>
      <x:c r="E9" s="31"/>
      <x:c r="F9" s="31"/>
      <x:c r="G9" s="31"/>
      <x:c r="H9" s="31"/>
      <x:c r="I9" s="31"/>
      <x:c r="J9" s="32"/>
      <x:c r="K9" s="32"/>
      <x:c r="L9" s="32"/>
      <x:c r="M9" s="32"/>
      <x:c r="N9" s="32"/>
      <x:c r="O9" s="32"/>
      <x:c r="P9" s="32"/>
      <x:c r="Q9" s="31"/>
      <x:c r="R9" s="31"/>
      <x:c r="S9" s="31"/>
      <x:c r="T9" s="32"/>
      <x:c r="U9" s="32"/>
      <x:c r="V9" s="31"/>
      <x:c r="W9" s="31"/>
      <x:c r="X9" s="31"/>
      <x:c r="Y9" s="32"/>
      <x:c r="Z9" s="31"/>
      <x:c r="AA9" s="32"/>
      <x:c r="AB9" s="31"/>
      <x:c r="AC9" s="31"/>
      <x:c r="AD9" s="31"/>
      <x:c r="AE9" s="31"/>
      <x:c r="AF9" s="31"/>
    </x:row>
    <x:row r="10">
      <x:c r="A10" s="79"/>
      <x:c r="B10" s="31"/>
      <x:c r="C10" s="31"/>
      <x:c r="D10" s="31"/>
      <x:c r="E10" s="31"/>
      <x:c r="F10" s="31"/>
      <x:c r="G10" s="31"/>
      <x:c r="H10" s="31"/>
      <x:c r="I10" s="31"/>
      <x:c r="J10" s="32"/>
      <x:c r="K10" s="32"/>
      <x:c r="L10" s="32"/>
      <x:c r="M10" s="32"/>
      <x:c r="N10" s="32"/>
      <x:c r="O10" s="32"/>
      <x:c r="P10" s="32"/>
      <x:c r="Q10" s="31"/>
      <x:c r="R10" s="31"/>
      <x:c r="S10" s="31"/>
      <x:c r="T10" s="32"/>
      <x:c r="U10" s="32"/>
      <x:c r="V10" s="31"/>
      <x:c r="W10" s="31"/>
      <x:c r="X10" s="31"/>
      <x:c r="Y10" s="32"/>
      <x:c r="Z10" s="31"/>
      <x:c r="AA10" s="32"/>
      <x:c r="AB10" s="31"/>
      <x:c r="AC10" s="31"/>
      <x:c r="AD10" s="31"/>
      <x:c r="AE10" s="31"/>
      <x:c r="AF10" s="31"/>
    </x:row>
    <x:row r="11">
      <x:c r="A11" s="79"/>
      <x:c r="B11" s="31"/>
      <x:c r="C11" s="31"/>
      <x:c r="D11" s="31"/>
      <x:c r="E11" s="31"/>
      <x:c r="F11" s="31"/>
      <x:c r="G11" s="31"/>
      <x:c r="H11" s="31"/>
      <x:c r="I11" s="31"/>
      <x:c r="J11" s="32"/>
      <x:c r="K11" s="32"/>
      <x:c r="L11" s="32"/>
      <x:c r="M11" s="32"/>
      <x:c r="N11" s="32"/>
      <x:c r="O11" s="32"/>
      <x:c r="P11" s="32"/>
      <x:c r="Q11" s="31"/>
      <x:c r="R11" s="31"/>
      <x:c r="S11" s="31"/>
      <x:c r="T11" s="32"/>
      <x:c r="U11" s="32"/>
      <x:c r="V11" s="31"/>
      <x:c r="W11" s="31"/>
      <x:c r="X11" s="31"/>
      <x:c r="Y11" s="32"/>
      <x:c r="Z11" s="31"/>
      <x:c r="AA11" s="32"/>
      <x:c r="AB11" s="31"/>
      <x:c r="AC11" s="31"/>
      <x:c r="AD11" s="31"/>
      <x:c r="AE11" s="31"/>
      <x:c r="AF11" s="31"/>
    </x:row>
    <x:row r="12">
      <x:c r="A12" s="79"/>
      <x:c r="B12" s="31"/>
      <x:c r="C12" s="31"/>
      <x:c r="D12" s="31"/>
      <x:c r="E12" s="31"/>
      <x:c r="F12" s="31"/>
      <x:c r="G12" s="31"/>
      <x:c r="H12" s="31"/>
      <x:c r="I12" s="31"/>
      <x:c r="J12" s="32"/>
      <x:c r="K12" s="32"/>
      <x:c r="L12" s="32"/>
      <x:c r="M12" s="32"/>
      <x:c r="N12" s="32"/>
      <x:c r="O12" s="32"/>
      <x:c r="P12" s="32"/>
      <x:c r="Q12" s="31"/>
      <x:c r="R12" s="31"/>
      <x:c r="S12" s="31"/>
      <x:c r="T12" s="32"/>
      <x:c r="U12" s="32"/>
      <x:c r="V12" s="31"/>
      <x:c r="W12" s="31"/>
      <x:c r="X12" s="31"/>
      <x:c r="Y12" s="32"/>
      <x:c r="Z12" s="31"/>
      <x:c r="AA12" s="32"/>
      <x:c r="AB12" s="31"/>
      <x:c r="AC12" s="31"/>
      <x:c r="AD12" s="31"/>
      <x:c r="AE12" s="31"/>
      <x:c r="AF12" s="31"/>
    </x:row>
    <x:row r="13">
      <x:c r="A13" s="79"/>
      <x:c r="B13" s="31"/>
      <x:c r="C13" s="31"/>
      <x:c r="D13" s="31"/>
      <x:c r="E13" s="31"/>
      <x:c r="F13" s="31"/>
      <x:c r="G13" s="31"/>
      <x:c r="H13" s="31"/>
      <x:c r="I13" s="31"/>
      <x:c r="J13" s="32"/>
      <x:c r="K13" s="32"/>
      <x:c r="L13" s="32"/>
      <x:c r="M13" s="32"/>
      <x:c r="N13" s="32"/>
      <x:c r="O13" s="32"/>
      <x:c r="P13" s="32"/>
      <x:c r="Q13" s="31"/>
      <x:c r="R13" s="31"/>
      <x:c r="S13" s="31"/>
      <x:c r="T13" s="32"/>
      <x:c r="U13" s="32"/>
      <x:c r="V13" s="31"/>
      <x:c r="W13" s="31"/>
      <x:c r="X13" s="31"/>
      <x:c r="Y13" s="32"/>
      <x:c r="Z13" s="31"/>
      <x:c r="AA13" s="32"/>
      <x:c r="AB13" s="31"/>
      <x:c r="AC13" s="31"/>
      <x:c r="AD13" s="31"/>
      <x:c r="AE13" s="31"/>
      <x:c r="AF13" s="31"/>
    </x:row>
    <x:row r="14">
      <x:c r="A14" s="79"/>
      <x:c r="B14" s="31"/>
      <x:c r="C14" s="31"/>
      <x:c r="D14" s="31"/>
      <x:c r="E14" s="31"/>
      <x:c r="F14" s="31"/>
      <x:c r="G14" s="31"/>
      <x:c r="H14" s="31"/>
      <x:c r="I14" s="31"/>
      <x:c r="J14" s="32"/>
      <x:c r="K14" s="32"/>
      <x:c r="L14" s="32"/>
      <x:c r="M14" s="32"/>
      <x:c r="N14" s="32"/>
      <x:c r="O14" s="32"/>
      <x:c r="P14" s="32"/>
      <x:c r="Q14" s="31"/>
      <x:c r="R14" s="31"/>
      <x:c r="S14" s="31"/>
      <x:c r="T14" s="32"/>
      <x:c r="U14" s="32"/>
      <x:c r="V14" s="31"/>
      <x:c r="W14" s="31"/>
      <x:c r="X14" s="31"/>
      <x:c r="Y14" s="32"/>
      <x:c r="Z14" s="31"/>
      <x:c r="AA14" s="32"/>
      <x:c r="AB14" s="31"/>
      <x:c r="AC14" s="31"/>
      <x:c r="AD14" s="31"/>
      <x:c r="AE14" s="31"/>
      <x:c r="AF14" s="31"/>
    </x:row>
    <x:row r="15">
      <x:c r="A15" s="79"/>
      <x:c r="B15" s="31"/>
      <x:c r="C15" s="31"/>
      <x:c r="D15" s="31"/>
      <x:c r="E15" s="31"/>
      <x:c r="F15" s="31"/>
      <x:c r="G15" s="31"/>
      <x:c r="H15" s="31"/>
      <x:c r="I15" s="31"/>
      <x:c r="J15" s="32"/>
      <x:c r="K15" s="32"/>
      <x:c r="L15" s="32"/>
      <x:c r="M15" s="32"/>
      <x:c r="N15" s="32"/>
      <x:c r="O15" s="32"/>
      <x:c r="P15" s="32"/>
      <x:c r="Q15" s="31"/>
      <x:c r="R15" s="31"/>
      <x:c r="S15" s="31"/>
      <x:c r="T15" s="32"/>
      <x:c r="U15" s="32"/>
      <x:c r="V15" s="31"/>
      <x:c r="W15" s="31"/>
      <x:c r="X15" s="31"/>
      <x:c r="Y15" s="32"/>
      <x:c r="Z15" s="31"/>
      <x:c r="AA15" s="32"/>
      <x:c r="AB15" s="31"/>
      <x:c r="AC15" s="31"/>
      <x:c r="AD15" s="31"/>
      <x:c r="AE15" s="31"/>
      <x:c r="AF15" s="31"/>
    </x:row>
    <x:row r="16">
      <x:c r="A16" s="79"/>
      <x:c r="B16" s="31"/>
      <x:c r="C16" s="31"/>
      <x:c r="D16" s="31"/>
      <x:c r="E16" s="31"/>
      <x:c r="F16" s="31"/>
      <x:c r="G16" s="31"/>
      <x:c r="H16" s="31"/>
      <x:c r="I16" s="31"/>
      <x:c r="J16" s="32"/>
      <x:c r="K16" s="32"/>
      <x:c r="L16" s="32"/>
      <x:c r="M16" s="32"/>
      <x:c r="N16" s="32"/>
      <x:c r="O16" s="32"/>
      <x:c r="P16" s="32"/>
      <x:c r="Q16" s="31"/>
      <x:c r="R16" s="31"/>
      <x:c r="S16" s="31"/>
      <x:c r="T16" s="32"/>
      <x:c r="U16" s="32"/>
      <x:c r="V16" s="31"/>
      <x:c r="W16" s="31"/>
      <x:c r="X16" s="31"/>
      <x:c r="Y16" s="32"/>
      <x:c r="Z16" s="31"/>
      <x:c r="AA16" s="32"/>
      <x:c r="AB16" s="31"/>
      <x:c r="AC16" s="31"/>
      <x:c r="AD16" s="31"/>
      <x:c r="AE16" s="31"/>
      <x:c r="AF16" s="31"/>
    </x:row>
    <x:row r="17">
      <x:c r="A17" s="79"/>
      <x:c r="B17" s="31"/>
      <x:c r="C17" s="31"/>
      <x:c r="D17" s="31"/>
      <x:c r="E17" s="31"/>
      <x:c r="F17" s="31"/>
      <x:c r="G17" s="31"/>
      <x:c r="H17" s="31"/>
      <x:c r="I17" s="31"/>
      <x:c r="J17" s="32"/>
      <x:c r="K17" s="32"/>
      <x:c r="L17" s="32"/>
      <x:c r="M17" s="32"/>
      <x:c r="N17" s="32"/>
      <x:c r="O17" s="32"/>
      <x:c r="P17" s="32"/>
      <x:c r="Q17" s="31"/>
      <x:c r="R17" s="31"/>
      <x:c r="S17" s="31"/>
      <x:c r="T17" s="32"/>
      <x:c r="U17" s="32"/>
      <x:c r="V17" s="31"/>
      <x:c r="W17" s="31"/>
      <x:c r="X17" s="31"/>
      <x:c r="Y17" s="32"/>
      <x:c r="Z17" s="31"/>
      <x:c r="AA17" s="32"/>
      <x:c r="AB17" s="31"/>
      <x:c r="AC17" s="31"/>
      <x:c r="AD17" s="31"/>
      <x:c r="AE17" s="31"/>
      <x:c r="AF17" s="31"/>
    </x:row>
    <x:row r="18">
      <x:c r="A18" s="79"/>
      <x:c r="B18" s="31"/>
      <x:c r="C18" s="31"/>
      <x:c r="D18" s="31"/>
      <x:c r="E18" s="31"/>
      <x:c r="F18" s="31"/>
      <x:c r="G18" s="31"/>
      <x:c r="H18" s="31"/>
      <x:c r="I18" s="31"/>
      <x:c r="J18" s="32"/>
      <x:c r="K18" s="32"/>
      <x:c r="L18" s="32"/>
      <x:c r="M18" s="32"/>
      <x:c r="N18" s="32"/>
      <x:c r="O18" s="32"/>
      <x:c r="P18" s="32"/>
      <x:c r="Q18" s="31"/>
      <x:c r="R18" s="31"/>
      <x:c r="S18" s="31"/>
      <x:c r="T18" s="32"/>
      <x:c r="U18" s="32"/>
      <x:c r="V18" s="31"/>
      <x:c r="W18" s="31"/>
      <x:c r="X18" s="31"/>
      <x:c r="Y18" s="32"/>
      <x:c r="Z18" s="31"/>
      <x:c r="AA18" s="32"/>
      <x:c r="AB18" s="31"/>
      <x:c r="AC18" s="31"/>
      <x:c r="AD18" s="31"/>
      <x:c r="AE18" s="31"/>
      <x:c r="AF18" s="31"/>
    </x:row>
    <x:row r="19">
      <x:c r="A19" s="79"/>
      <x:c r="B19" s="31"/>
      <x:c r="C19" s="31"/>
      <x:c r="D19" s="31"/>
      <x:c r="E19" s="31"/>
      <x:c r="F19" s="31"/>
      <x:c r="G19" s="31"/>
      <x:c r="H19" s="31"/>
      <x:c r="I19" s="31"/>
      <x:c r="J19" s="32"/>
      <x:c r="K19" s="32"/>
      <x:c r="L19" s="32"/>
      <x:c r="M19" s="32"/>
      <x:c r="N19" s="32"/>
      <x:c r="O19" s="32"/>
      <x:c r="P19" s="32"/>
      <x:c r="Q19" s="31"/>
      <x:c r="R19" s="31"/>
      <x:c r="S19" s="31"/>
      <x:c r="T19" s="32"/>
      <x:c r="U19" s="32"/>
      <x:c r="V19" s="31"/>
      <x:c r="W19" s="31"/>
      <x:c r="X19" s="31"/>
      <x:c r="Y19" s="32"/>
      <x:c r="Z19" s="31"/>
      <x:c r="AA19" s="32"/>
      <x:c r="AB19" s="31"/>
      <x:c r="AC19" s="31"/>
      <x:c r="AD19" s="31"/>
      <x:c r="AE19" s="31"/>
      <x:c r="AF19" s="31"/>
    </x:row>
    <x:row r="20">
      <x:c r="A20" s="79"/>
      <x:c r="B20" s="31"/>
      <x:c r="C20" s="31"/>
      <x:c r="D20" s="31"/>
      <x:c r="E20" s="31"/>
      <x:c r="F20" s="31"/>
      <x:c r="G20" s="31"/>
      <x:c r="H20" s="31"/>
      <x:c r="I20" s="31"/>
      <x:c r="J20" s="32"/>
      <x:c r="K20" s="32"/>
      <x:c r="L20" s="32"/>
      <x:c r="M20" s="32"/>
      <x:c r="N20" s="32"/>
      <x:c r="O20" s="32"/>
      <x:c r="P20" s="32"/>
      <x:c r="Q20" s="31"/>
      <x:c r="R20" s="31"/>
      <x:c r="S20" s="31"/>
      <x:c r="T20" s="32"/>
      <x:c r="U20" s="32"/>
      <x:c r="V20" s="31"/>
      <x:c r="W20" s="31"/>
      <x:c r="X20" s="31"/>
      <x:c r="Y20" s="32"/>
      <x:c r="Z20" s="31"/>
      <x:c r="AA20" s="32"/>
      <x:c r="AB20" s="31"/>
      <x:c r="AC20" s="31"/>
      <x:c r="AD20" s="31"/>
      <x:c r="AE20" s="31"/>
      <x:c r="AF20" s="31"/>
    </x:row>
    <x:row r="21">
      <x:c r="A21" s="79"/>
      <x:c r="B21" s="31"/>
      <x:c r="C21" s="31"/>
      <x:c r="D21" s="31"/>
      <x:c r="E21" s="31"/>
      <x:c r="F21" s="31"/>
      <x:c r="G21" s="31"/>
      <x:c r="H21" s="31"/>
      <x:c r="I21" s="31"/>
      <x:c r="J21" s="32"/>
      <x:c r="K21" s="32"/>
      <x:c r="L21" s="32"/>
      <x:c r="M21" s="32"/>
      <x:c r="N21" s="32"/>
      <x:c r="O21" s="32"/>
      <x:c r="P21" s="32"/>
      <x:c r="Q21" s="31"/>
      <x:c r="R21" s="31"/>
      <x:c r="S21" s="31"/>
      <x:c r="T21" s="32"/>
      <x:c r="U21" s="32"/>
      <x:c r="V21" s="31"/>
      <x:c r="W21" s="31"/>
      <x:c r="X21" s="31"/>
      <x:c r="Y21" s="32"/>
      <x:c r="Z21" s="31"/>
      <x:c r="AA21" s="32"/>
      <x:c r="AB21" s="31"/>
      <x:c r="AC21" s="31"/>
      <x:c r="AD21" s="31"/>
      <x:c r="AE21" s="31"/>
      <x:c r="AF21" s="31"/>
    </x:row>
    <x:row r="22">
      <x:c r="A22" s="79"/>
      <x:c r="B22" s="31"/>
      <x:c r="C22" s="31"/>
      <x:c r="D22" s="31"/>
      <x:c r="E22" s="31"/>
      <x:c r="F22" s="31"/>
      <x:c r="G22" s="31"/>
      <x:c r="H22" s="31"/>
      <x:c r="I22" s="31"/>
      <x:c r="J22" s="32"/>
      <x:c r="K22" s="32"/>
      <x:c r="L22" s="32"/>
      <x:c r="M22" s="32"/>
      <x:c r="N22" s="32"/>
      <x:c r="O22" s="32"/>
      <x:c r="P22" s="32"/>
      <x:c r="Q22" s="31"/>
      <x:c r="R22" s="31"/>
      <x:c r="S22" s="31"/>
      <x:c r="T22" s="32"/>
      <x:c r="U22" s="32"/>
      <x:c r="V22" s="31"/>
      <x:c r="W22" s="31"/>
      <x:c r="X22" s="31"/>
      <x:c r="Y22" s="32"/>
      <x:c r="Z22" s="31"/>
      <x:c r="AA22" s="32"/>
      <x:c r="AB22" s="31"/>
      <x:c r="AC22" s="31"/>
      <x:c r="AD22" s="31"/>
      <x:c r="AE22" s="31"/>
      <x:c r="AF22" s="31"/>
    </x:row>
    <x:row r="23">
      <x:c r="A23" s="79"/>
      <x:c r="B23" s="31"/>
      <x:c r="C23" s="31"/>
      <x:c r="D23" s="31"/>
      <x:c r="E23" s="31"/>
      <x:c r="F23" s="31"/>
      <x:c r="G23" s="31"/>
      <x:c r="H23" s="31"/>
      <x:c r="I23" s="31"/>
      <x:c r="J23" s="32"/>
      <x:c r="K23" s="32"/>
      <x:c r="L23" s="32"/>
      <x:c r="M23" s="32"/>
      <x:c r="N23" s="32"/>
      <x:c r="O23" s="32"/>
      <x:c r="P23" s="32"/>
      <x:c r="Q23" s="31"/>
      <x:c r="R23" s="31"/>
      <x:c r="S23" s="31"/>
      <x:c r="T23" s="32"/>
      <x:c r="U23" s="32"/>
      <x:c r="V23" s="31"/>
      <x:c r="W23" s="31"/>
      <x:c r="X23" s="31"/>
      <x:c r="Y23" s="32"/>
      <x:c r="Z23" s="31"/>
      <x:c r="AA23" s="32"/>
      <x:c r="AB23" s="31"/>
      <x:c r="AC23" s="31"/>
      <x:c r="AD23" s="31"/>
      <x:c r="AE23" s="31"/>
      <x:c r="AF23" s="31"/>
    </x:row>
    <x:row r="24">
      <x:c r="A24" s="79"/>
      <x:c r="B24" s="31"/>
      <x:c r="C24" s="31"/>
      <x:c r="D24" s="31"/>
      <x:c r="E24" s="31"/>
      <x:c r="F24" s="31"/>
      <x:c r="G24" s="31"/>
      <x:c r="H24" s="31"/>
      <x:c r="I24" s="31"/>
      <x:c r="J24" s="32"/>
      <x:c r="K24" s="32"/>
      <x:c r="L24" s="32"/>
      <x:c r="M24" s="32"/>
      <x:c r="N24" s="32"/>
      <x:c r="O24" s="32"/>
      <x:c r="P24" s="32"/>
      <x:c r="Q24" s="31"/>
      <x:c r="R24" s="31"/>
      <x:c r="S24" s="31"/>
      <x:c r="T24" s="32"/>
      <x:c r="U24" s="32"/>
      <x:c r="V24" s="31"/>
      <x:c r="W24" s="31"/>
      <x:c r="X24" s="31"/>
      <x:c r="Y24" s="32"/>
      <x:c r="Z24" s="31"/>
      <x:c r="AA24" s="32"/>
      <x:c r="AB24" s="31"/>
      <x:c r="AC24" s="31"/>
      <x:c r="AD24" s="31"/>
      <x:c r="AE24" s="31"/>
      <x:c r="AF24" s="31"/>
    </x:row>
    <x:row r="25">
      <x:c r="A25" s="79"/>
      <x:c r="B25" s="31"/>
      <x:c r="C25" s="31"/>
      <x:c r="D25" s="31"/>
      <x:c r="E25" s="31"/>
      <x:c r="F25" s="31"/>
      <x:c r="G25" s="31"/>
      <x:c r="H25" s="31"/>
      <x:c r="I25" s="31"/>
      <x:c r="J25" s="32"/>
      <x:c r="K25" s="32"/>
      <x:c r="L25" s="32"/>
      <x:c r="M25" s="32"/>
      <x:c r="N25" s="32"/>
      <x:c r="O25" s="32"/>
      <x:c r="P25" s="32"/>
      <x:c r="Q25" s="31"/>
      <x:c r="R25" s="31"/>
      <x:c r="S25" s="31"/>
      <x:c r="T25" s="32"/>
      <x:c r="U25" s="32"/>
      <x:c r="V25" s="31"/>
      <x:c r="W25" s="31"/>
      <x:c r="X25" s="31"/>
      <x:c r="Y25" s="32"/>
      <x:c r="Z25" s="31"/>
      <x:c r="AA25" s="32"/>
      <x:c r="AB25" s="31"/>
      <x:c r="AC25" s="31"/>
      <x:c r="AD25" s="31"/>
      <x:c r="AE25" s="31"/>
      <x:c r="AF25" s="31"/>
    </x:row>
    <x:row r="26">
      <x:c r="A26" s="79"/>
      <x:c r="B26" s="31"/>
      <x:c r="C26" s="31"/>
      <x:c r="D26" s="31"/>
      <x:c r="E26" s="31"/>
      <x:c r="F26" s="31"/>
      <x:c r="G26" s="31"/>
      <x:c r="H26" s="31"/>
      <x:c r="I26" s="31"/>
      <x:c r="J26" s="32"/>
      <x:c r="K26" s="32"/>
      <x:c r="L26" s="32"/>
      <x:c r="M26" s="32"/>
      <x:c r="N26" s="32"/>
      <x:c r="O26" s="32"/>
      <x:c r="P26" s="32"/>
      <x:c r="Q26" s="31"/>
      <x:c r="R26" s="31"/>
      <x:c r="S26" s="31"/>
      <x:c r="T26" s="32"/>
      <x:c r="U26" s="32"/>
      <x:c r="V26" s="31"/>
      <x:c r="W26" s="31"/>
      <x:c r="X26" s="31"/>
      <x:c r="Y26" s="32"/>
      <x:c r="Z26" s="31"/>
      <x:c r="AA26" s="32"/>
      <x:c r="AB26" s="31"/>
      <x:c r="AC26" s="31"/>
      <x:c r="AD26" s="31"/>
      <x:c r="AE26" s="31"/>
      <x:c r="AF26" s="31"/>
    </x:row>
    <x:row r="27">
      <x:c r="A27" s="79"/>
      <x:c r="B27" s="31"/>
      <x:c r="C27" s="31"/>
      <x:c r="D27" s="31"/>
      <x:c r="E27" s="31"/>
      <x:c r="F27" s="31"/>
      <x:c r="G27" s="31"/>
      <x:c r="H27" s="31"/>
      <x:c r="I27" s="31"/>
      <x:c r="J27" s="32"/>
      <x:c r="K27" s="32"/>
      <x:c r="L27" s="32"/>
      <x:c r="M27" s="32"/>
      <x:c r="N27" s="32"/>
      <x:c r="O27" s="32"/>
      <x:c r="P27" s="32"/>
      <x:c r="Q27" s="31"/>
      <x:c r="R27" s="31"/>
      <x:c r="S27" s="31"/>
      <x:c r="T27" s="32"/>
      <x:c r="U27" s="32"/>
      <x:c r="V27" s="31"/>
      <x:c r="W27" s="31"/>
      <x:c r="X27" s="31"/>
      <x:c r="Y27" s="32"/>
      <x:c r="Z27" s="31"/>
      <x:c r="AA27" s="32"/>
      <x:c r="AB27" s="31"/>
      <x:c r="AC27" s="31"/>
      <x:c r="AD27" s="31"/>
      <x:c r="AE27" s="31"/>
      <x:c r="AF27" s="31"/>
    </x:row>
    <x:row r="28">
      <x:c r="A28" s="79"/>
      <x:c r="B28" s="31"/>
      <x:c r="C28" s="31"/>
      <x:c r="D28" s="31"/>
      <x:c r="E28" s="31"/>
      <x:c r="F28" s="31"/>
      <x:c r="G28" s="31"/>
      <x:c r="H28" s="31"/>
      <x:c r="I28" s="31"/>
      <x:c r="J28" s="32"/>
      <x:c r="K28" s="32"/>
      <x:c r="L28" s="32"/>
      <x:c r="M28" s="32"/>
      <x:c r="N28" s="32"/>
      <x:c r="O28" s="32"/>
      <x:c r="P28" s="32"/>
      <x:c r="Q28" s="31"/>
      <x:c r="R28" s="31"/>
      <x:c r="S28" s="31"/>
      <x:c r="T28" s="32"/>
      <x:c r="U28" s="32"/>
      <x:c r="V28" s="31"/>
      <x:c r="W28" s="31"/>
      <x:c r="X28" s="31"/>
      <x:c r="Y28" s="32"/>
      <x:c r="Z28" s="31"/>
      <x:c r="AA28" s="32"/>
      <x:c r="AB28" s="31"/>
      <x:c r="AC28" s="31"/>
      <x:c r="AD28" s="31"/>
      <x:c r="AE28" s="31"/>
      <x:c r="AF28" s="31"/>
    </x:row>
    <x:row r="29">
      <x:c r="A29" s="79"/>
      <x:c r="B29" s="31"/>
      <x:c r="C29" s="31"/>
      <x:c r="D29" s="31"/>
      <x:c r="E29" s="31"/>
      <x:c r="F29" s="31"/>
      <x:c r="G29" s="31"/>
      <x:c r="H29" s="31"/>
      <x:c r="I29" s="31"/>
      <x:c r="J29" s="32"/>
      <x:c r="K29" s="32"/>
      <x:c r="L29" s="32"/>
      <x:c r="M29" s="32"/>
      <x:c r="N29" s="32"/>
      <x:c r="O29" s="32"/>
      <x:c r="P29" s="32"/>
      <x:c r="Q29" s="31"/>
      <x:c r="R29" s="31"/>
      <x:c r="S29" s="31"/>
      <x:c r="T29" s="32"/>
      <x:c r="U29" s="32"/>
      <x:c r="V29" s="31"/>
      <x:c r="W29" s="31"/>
      <x:c r="X29" s="31"/>
      <x:c r="Y29" s="32"/>
      <x:c r="Z29" s="31"/>
      <x:c r="AA29" s="32"/>
      <x:c r="AB29" s="31"/>
      <x:c r="AC29" s="31"/>
      <x:c r="AD29" s="31"/>
      <x:c r="AE29" s="31"/>
      <x:c r="AF29" s="31"/>
    </x:row>
    <x:row r="30">
      <x:c r="A30" s="79"/>
      <x:c r="B30" s="31"/>
      <x:c r="C30" s="31"/>
      <x:c r="D30" s="31"/>
      <x:c r="E30" s="31"/>
      <x:c r="F30" s="31"/>
      <x:c r="G30" s="31"/>
      <x:c r="H30" s="31"/>
      <x:c r="I30" s="31"/>
      <x:c r="J30" s="32"/>
      <x:c r="K30" s="32"/>
      <x:c r="L30" s="32"/>
      <x:c r="M30" s="32"/>
      <x:c r="N30" s="32"/>
      <x:c r="O30" s="32"/>
      <x:c r="P30" s="32"/>
      <x:c r="Q30" s="31"/>
      <x:c r="R30" s="31"/>
      <x:c r="S30" s="31"/>
      <x:c r="T30" s="32"/>
      <x:c r="U30" s="32"/>
      <x:c r="V30" s="31"/>
      <x:c r="W30" s="31"/>
      <x:c r="X30" s="31"/>
      <x:c r="Y30" s="32"/>
      <x:c r="Z30" s="31"/>
      <x:c r="AA30" s="32"/>
      <x:c r="AB30" s="31"/>
      <x:c r="AC30" s="31"/>
      <x:c r="AD30" s="31"/>
      <x:c r="AE30" s="31"/>
      <x:c r="AF30" s="31"/>
    </x:row>
    <x:row r="31">
      <x:c r="A31" s="79"/>
      <x:c r="B31" s="31"/>
      <x:c r="C31" s="31"/>
      <x:c r="D31" s="31"/>
      <x:c r="E31" s="31"/>
      <x:c r="F31" s="31"/>
      <x:c r="G31" s="31"/>
      <x:c r="H31" s="31"/>
      <x:c r="I31" s="31"/>
      <x:c r="J31" s="32"/>
      <x:c r="K31" s="32"/>
      <x:c r="L31" s="32"/>
      <x:c r="M31" s="32"/>
      <x:c r="N31" s="32"/>
      <x:c r="O31" s="32"/>
      <x:c r="P31" s="32"/>
      <x:c r="Q31" s="31"/>
      <x:c r="R31" s="31"/>
      <x:c r="S31" s="31"/>
      <x:c r="T31" s="32"/>
      <x:c r="U31" s="32"/>
      <x:c r="V31" s="31"/>
      <x:c r="W31" s="31"/>
      <x:c r="X31" s="31"/>
      <x:c r="Y31" s="32"/>
      <x:c r="Z31" s="31"/>
      <x:c r="AA31" s="32"/>
      <x:c r="AB31" s="31"/>
      <x:c r="AC31" s="31"/>
      <x:c r="AD31" s="31"/>
      <x:c r="AE31" s="31"/>
      <x:c r="AF31" s="31"/>
    </x:row>
    <x:row r="32">
      <x:c r="A32" s="79"/>
      <x:c r="B32" s="31"/>
      <x:c r="C32" s="31"/>
      <x:c r="D32" s="31"/>
      <x:c r="E32" s="31"/>
      <x:c r="F32" s="31"/>
      <x:c r="G32" s="31"/>
      <x:c r="H32" s="31"/>
      <x:c r="I32" s="31"/>
      <x:c r="J32" s="32"/>
      <x:c r="K32" s="32"/>
      <x:c r="L32" s="32"/>
      <x:c r="M32" s="32"/>
      <x:c r="N32" s="32"/>
      <x:c r="O32" s="32"/>
      <x:c r="P32" s="32"/>
      <x:c r="Q32" s="31"/>
      <x:c r="R32" s="31"/>
      <x:c r="S32" s="31"/>
      <x:c r="T32" s="32"/>
      <x:c r="U32" s="32"/>
      <x:c r="V32" s="31"/>
      <x:c r="W32" s="31"/>
      <x:c r="X32" s="31"/>
      <x:c r="Y32" s="32"/>
      <x:c r="Z32" s="31"/>
      <x:c r="AA32" s="32"/>
      <x:c r="AB32" s="31"/>
      <x:c r="AC32" s="31"/>
      <x:c r="AD32" s="31"/>
      <x:c r="AE32" s="31"/>
      <x:c r="AF32" s="31"/>
    </x:row>
    <x:row r="33">
      <x:c r="A33" s="79"/>
      <x:c r="B33" s="31"/>
      <x:c r="C33" s="31"/>
      <x:c r="D33" s="31"/>
      <x:c r="E33" s="31"/>
      <x:c r="F33" s="31"/>
      <x:c r="G33" s="31"/>
      <x:c r="H33" s="31"/>
      <x:c r="I33" s="31"/>
      <x:c r="J33" s="32"/>
      <x:c r="K33" s="32"/>
      <x:c r="L33" s="32"/>
      <x:c r="M33" s="32"/>
      <x:c r="N33" s="32"/>
      <x:c r="O33" s="32"/>
      <x:c r="P33" s="32"/>
      <x:c r="Q33" s="31"/>
      <x:c r="R33" s="31"/>
      <x:c r="S33" s="31"/>
      <x:c r="T33" s="32"/>
      <x:c r="U33" s="32"/>
      <x:c r="V33" s="31"/>
      <x:c r="W33" s="31"/>
      <x:c r="X33" s="31"/>
      <x:c r="Y33" s="32"/>
      <x:c r="Z33" s="31"/>
      <x:c r="AA33" s="32"/>
      <x:c r="AB33" s="31"/>
      <x:c r="AC33" s="31"/>
      <x:c r="AD33" s="31"/>
      <x:c r="AE33" s="31"/>
      <x:c r="AF33" s="31"/>
    </x:row>
    <x:row r="34">
      <x:c r="A34" s="79"/>
      <x:c r="B34" s="31"/>
      <x:c r="C34" s="31"/>
      <x:c r="D34" s="31"/>
      <x:c r="E34" s="31"/>
      <x:c r="F34" s="31"/>
      <x:c r="G34" s="31"/>
      <x:c r="H34" s="31"/>
      <x:c r="I34" s="31"/>
      <x:c r="J34" s="32"/>
      <x:c r="K34" s="32"/>
      <x:c r="L34" s="32"/>
      <x:c r="M34" s="32"/>
      <x:c r="N34" s="32"/>
      <x:c r="O34" s="32"/>
      <x:c r="P34" s="32"/>
      <x:c r="Q34" s="31"/>
      <x:c r="R34" s="31"/>
      <x:c r="S34" s="31"/>
      <x:c r="T34" s="32"/>
      <x:c r="U34" s="32"/>
      <x:c r="V34" s="31"/>
      <x:c r="W34" s="31"/>
      <x:c r="X34" s="31"/>
      <x:c r="Y34" s="32"/>
      <x:c r="Z34" s="31"/>
      <x:c r="AA34" s="32"/>
      <x:c r="AB34" s="31"/>
      <x:c r="AC34" s="31"/>
      <x:c r="AD34" s="31"/>
      <x:c r="AE34" s="31"/>
      <x:c r="AF34" s="31"/>
    </x:row>
    <x:row r="35">
      <x:c r="A35" s="79"/>
      <x:c r="B35" s="31"/>
      <x:c r="C35" s="31"/>
      <x:c r="D35" s="31"/>
      <x:c r="E35" s="31"/>
      <x:c r="F35" s="31"/>
      <x:c r="G35" s="31"/>
      <x:c r="H35" s="31"/>
      <x:c r="I35" s="31"/>
      <x:c r="J35" s="32"/>
      <x:c r="K35" s="32"/>
      <x:c r="L35" s="32"/>
      <x:c r="M35" s="32"/>
      <x:c r="N35" s="32"/>
      <x:c r="O35" s="32"/>
      <x:c r="P35" s="32"/>
      <x:c r="Q35" s="31"/>
      <x:c r="R35" s="31"/>
      <x:c r="S35" s="31"/>
      <x:c r="T35" s="32"/>
      <x:c r="U35" s="32"/>
      <x:c r="V35" s="31"/>
      <x:c r="W35" s="31"/>
      <x:c r="X35" s="31"/>
      <x:c r="Y35" s="32"/>
      <x:c r="Z35" s="31"/>
      <x:c r="AA35" s="32"/>
      <x:c r="AB35" s="31"/>
      <x:c r="AC35" s="31"/>
      <x:c r="AD35" s="31"/>
      <x:c r="AE35" s="31"/>
      <x:c r="AF35" s="31"/>
    </x:row>
    <x:row r="36">
      <x:c r="A36" s="79"/>
      <x:c r="B36" s="31"/>
      <x:c r="C36" s="31"/>
      <x:c r="D36" s="31"/>
      <x:c r="E36" s="31"/>
      <x:c r="F36" s="31"/>
      <x:c r="G36" s="31"/>
      <x:c r="H36" s="31"/>
      <x:c r="I36" s="31"/>
      <x:c r="J36" s="32"/>
      <x:c r="K36" s="32"/>
      <x:c r="L36" s="32"/>
      <x:c r="M36" s="32"/>
      <x:c r="N36" s="32"/>
      <x:c r="O36" s="32"/>
      <x:c r="P36" s="32"/>
      <x:c r="Q36" s="31"/>
      <x:c r="R36" s="31"/>
      <x:c r="S36" s="31"/>
      <x:c r="T36" s="32"/>
      <x:c r="U36" s="32"/>
      <x:c r="V36" s="31"/>
      <x:c r="W36" s="31"/>
      <x:c r="X36" s="31"/>
      <x:c r="Y36" s="32"/>
      <x:c r="Z36" s="31"/>
      <x:c r="AA36" s="32"/>
      <x:c r="AB36" s="31"/>
      <x:c r="AC36" s="31"/>
      <x:c r="AD36" s="31"/>
      <x:c r="AE36" s="31"/>
      <x:c r="AF36" s="31"/>
    </x:row>
    <x:row r="37">
      <x:c r="A37" s="79"/>
      <x:c r="B37" s="31"/>
      <x:c r="C37" s="31"/>
      <x:c r="D37" s="31"/>
      <x:c r="E37" s="31"/>
      <x:c r="F37" s="31"/>
      <x:c r="G37" s="31"/>
      <x:c r="H37" s="31"/>
      <x:c r="I37" s="31"/>
      <x:c r="J37" s="32"/>
      <x:c r="K37" s="32"/>
      <x:c r="L37" s="32"/>
      <x:c r="M37" s="32"/>
      <x:c r="N37" s="32"/>
      <x:c r="O37" s="32"/>
      <x:c r="P37" s="32"/>
      <x:c r="Q37" s="31"/>
      <x:c r="R37" s="31"/>
      <x:c r="S37" s="31"/>
      <x:c r="T37" s="32"/>
      <x:c r="U37" s="32"/>
      <x:c r="V37" s="31"/>
      <x:c r="W37" s="31"/>
      <x:c r="X37" s="31"/>
      <x:c r="Y37" s="32"/>
      <x:c r="Z37" s="31"/>
      <x:c r="AA37" s="32"/>
      <x:c r="AB37" s="31"/>
      <x:c r="AC37" s="31"/>
      <x:c r="AD37" s="31"/>
      <x:c r="AE37" s="31"/>
      <x:c r="AF37" s="31"/>
    </x:row>
    <x:row r="38">
      <x:c r="A38" s="79"/>
      <x:c r="B38" s="31"/>
      <x:c r="C38" s="31"/>
      <x:c r="D38" s="31"/>
      <x:c r="E38" s="31"/>
      <x:c r="F38" s="31"/>
      <x:c r="G38" s="31"/>
      <x:c r="H38" s="31"/>
      <x:c r="I38" s="31"/>
      <x:c r="J38" s="32"/>
      <x:c r="K38" s="32"/>
      <x:c r="L38" s="32"/>
      <x:c r="M38" s="32"/>
      <x:c r="N38" s="32"/>
      <x:c r="O38" s="32"/>
      <x:c r="P38" s="32"/>
      <x:c r="Q38" s="31"/>
      <x:c r="R38" s="31"/>
      <x:c r="S38" s="31"/>
      <x:c r="T38" s="32"/>
      <x:c r="U38" s="32"/>
      <x:c r="V38" s="31"/>
      <x:c r="W38" s="31"/>
      <x:c r="X38" s="31"/>
      <x:c r="Y38" s="32"/>
      <x:c r="Z38" s="31"/>
      <x:c r="AA38" s="32"/>
      <x:c r="AB38" s="31"/>
      <x:c r="AC38" s="31"/>
      <x:c r="AD38" s="31"/>
      <x:c r="AE38" s="31"/>
      <x:c r="AF38" s="31"/>
    </x:row>
    <x:row r="39">
      <x:c r="A39" s="79"/>
      <x:c r="B39" s="31"/>
      <x:c r="C39" s="31"/>
      <x:c r="D39" s="31"/>
      <x:c r="E39" s="31"/>
      <x:c r="F39" s="31"/>
      <x:c r="G39" s="31"/>
      <x:c r="H39" s="31"/>
      <x:c r="I39" s="31"/>
      <x:c r="J39" s="32"/>
      <x:c r="K39" s="32"/>
      <x:c r="L39" s="32"/>
      <x:c r="M39" s="32"/>
      <x:c r="N39" s="32"/>
      <x:c r="O39" s="32"/>
      <x:c r="P39" s="32"/>
      <x:c r="Q39" s="31"/>
      <x:c r="R39" s="31"/>
      <x:c r="S39" s="31"/>
      <x:c r="T39" s="32"/>
      <x:c r="U39" s="32"/>
      <x:c r="V39" s="31"/>
      <x:c r="W39" s="31"/>
      <x:c r="X39" s="31"/>
      <x:c r="Y39" s="32"/>
      <x:c r="Z39" s="31"/>
      <x:c r="AA39" s="32"/>
      <x:c r="AB39" s="31"/>
      <x:c r="AC39" s="31"/>
      <x:c r="AD39" s="31"/>
      <x:c r="AE39" s="31"/>
      <x:c r="AF39" s="31"/>
    </x:row>
    <x:row r="40">
      <x:c r="A40" s="79"/>
      <x:c r="B40" s="31"/>
      <x:c r="C40" s="31"/>
      <x:c r="D40" s="31"/>
      <x:c r="E40" s="31"/>
      <x:c r="F40" s="31"/>
      <x:c r="G40" s="31"/>
      <x:c r="H40" s="31"/>
      <x:c r="I40" s="31"/>
      <x:c r="J40" s="32"/>
      <x:c r="K40" s="32"/>
      <x:c r="L40" s="32"/>
      <x:c r="M40" s="32"/>
      <x:c r="N40" s="32"/>
      <x:c r="O40" s="32"/>
      <x:c r="P40" s="32"/>
      <x:c r="Q40" s="31"/>
      <x:c r="R40" s="31"/>
      <x:c r="S40" s="31"/>
      <x:c r="T40" s="32"/>
      <x:c r="U40" s="32"/>
      <x:c r="V40" s="31"/>
      <x:c r="W40" s="31"/>
      <x:c r="X40" s="31"/>
      <x:c r="Y40" s="32"/>
      <x:c r="Z40" s="31"/>
      <x:c r="AA40" s="32"/>
      <x:c r="AB40" s="31"/>
      <x:c r="AC40" s="31"/>
      <x:c r="AD40" s="31"/>
      <x:c r="AE40" s="31"/>
      <x:c r="AF40" s="31"/>
    </x:row>
    <x:row r="41">
      <x:c r="A41" s="79"/>
      <x:c r="B41" s="31"/>
      <x:c r="C41" s="31"/>
      <x:c r="D41" s="31"/>
      <x:c r="E41" s="31"/>
      <x:c r="F41" s="31"/>
      <x:c r="G41" s="31"/>
      <x:c r="H41" s="31"/>
      <x:c r="I41" s="31"/>
      <x:c r="J41" s="32"/>
      <x:c r="K41" s="32"/>
      <x:c r="L41" s="32"/>
      <x:c r="M41" s="32"/>
      <x:c r="N41" s="32"/>
      <x:c r="O41" s="32"/>
      <x:c r="P41" s="32"/>
      <x:c r="Q41" s="31"/>
      <x:c r="R41" s="31"/>
      <x:c r="S41" s="31"/>
      <x:c r="T41" s="32"/>
      <x:c r="U41" s="32"/>
      <x:c r="V41" s="31"/>
      <x:c r="W41" s="31"/>
      <x:c r="X41" s="31"/>
      <x:c r="Y41" s="32"/>
      <x:c r="Z41" s="31"/>
      <x:c r="AA41" s="32"/>
      <x:c r="AB41" s="31"/>
      <x:c r="AC41" s="31"/>
      <x:c r="AD41" s="31"/>
      <x:c r="AE41" s="31"/>
      <x:c r="AF41" s="31"/>
    </x:row>
    <x:row r="42">
      <x:c r="A42" s="79"/>
      <x:c r="B42" s="31"/>
      <x:c r="C42" s="31"/>
      <x:c r="D42" s="31"/>
      <x:c r="E42" s="31"/>
      <x:c r="F42" s="31"/>
      <x:c r="G42" s="31"/>
      <x:c r="H42" s="31"/>
      <x:c r="I42" s="31"/>
      <x:c r="J42" s="32"/>
      <x:c r="K42" s="32"/>
      <x:c r="L42" s="32"/>
      <x:c r="M42" s="32"/>
      <x:c r="N42" s="32"/>
      <x:c r="O42" s="32"/>
      <x:c r="P42" s="32"/>
      <x:c r="Q42" s="31"/>
      <x:c r="R42" s="31"/>
      <x:c r="S42" s="31"/>
      <x:c r="T42" s="32"/>
      <x:c r="U42" s="32"/>
      <x:c r="V42" s="31"/>
      <x:c r="W42" s="31"/>
      <x:c r="X42" s="31"/>
      <x:c r="Y42" s="32"/>
      <x:c r="Z42" s="31"/>
      <x:c r="AA42" s="32"/>
      <x:c r="AB42" s="31"/>
      <x:c r="AC42" s="31"/>
      <x:c r="AD42" s="31"/>
      <x:c r="AE42" s="31"/>
      <x:c r="AF42" s="31"/>
    </x:row>
    <x:row r="43">
      <x:c r="A43" s="79"/>
      <x:c r="B43" s="31"/>
      <x:c r="C43" s="31"/>
      <x:c r="D43" s="31"/>
      <x:c r="E43" s="31"/>
      <x:c r="F43" s="31"/>
      <x:c r="G43" s="31"/>
      <x:c r="H43" s="31"/>
      <x:c r="I43" s="31"/>
      <x:c r="J43" s="32"/>
      <x:c r="K43" s="32"/>
      <x:c r="L43" s="32"/>
      <x:c r="M43" s="32"/>
      <x:c r="N43" s="32"/>
      <x:c r="O43" s="32"/>
      <x:c r="P43" s="32"/>
      <x:c r="Q43" s="31"/>
      <x:c r="R43" s="31"/>
      <x:c r="S43" s="31"/>
      <x:c r="T43" s="32"/>
      <x:c r="U43" s="32"/>
      <x:c r="V43" s="31"/>
      <x:c r="W43" s="31"/>
      <x:c r="X43" s="31"/>
      <x:c r="Y43" s="32"/>
      <x:c r="Z43" s="31"/>
      <x:c r="AA43" s="32"/>
      <x:c r="AB43" s="31"/>
      <x:c r="AC43" s="31"/>
      <x:c r="AD43" s="31"/>
      <x:c r="AE43" s="31"/>
      <x:c r="AF43" s="31"/>
    </x:row>
    <x:row r="44">
      <x:c r="A44" s="79"/>
      <x:c r="B44" s="31"/>
      <x:c r="C44" s="31"/>
      <x:c r="D44" s="31"/>
      <x:c r="E44" s="31"/>
      <x:c r="F44" s="31"/>
      <x:c r="G44" s="31"/>
      <x:c r="H44" s="31"/>
      <x:c r="I44" s="31"/>
      <x:c r="J44" s="32"/>
      <x:c r="K44" s="32"/>
      <x:c r="L44" s="32"/>
      <x:c r="M44" s="32"/>
      <x:c r="N44" s="32"/>
      <x:c r="O44" s="32"/>
      <x:c r="P44" s="32"/>
      <x:c r="Q44" s="31"/>
      <x:c r="R44" s="31"/>
      <x:c r="S44" s="31"/>
      <x:c r="T44" s="32"/>
      <x:c r="U44" s="32"/>
      <x:c r="V44" s="31"/>
      <x:c r="W44" s="31"/>
      <x:c r="X44" s="31"/>
      <x:c r="Y44" s="32"/>
      <x:c r="Z44" s="31"/>
      <x:c r="AA44" s="32"/>
      <x:c r="AB44" s="31"/>
      <x:c r="AC44" s="31"/>
      <x:c r="AD44" s="31"/>
      <x:c r="AE44" s="31"/>
      <x:c r="AF44" s="31"/>
    </x:row>
    <x:row r="45">
      <x:c r="A45" s="79"/>
      <x:c r="B45" s="31"/>
      <x:c r="C45" s="31"/>
      <x:c r="D45" s="31"/>
      <x:c r="E45" s="31"/>
      <x:c r="F45" s="31"/>
      <x:c r="G45" s="31"/>
      <x:c r="H45" s="31"/>
      <x:c r="I45" s="31"/>
      <x:c r="J45" s="32"/>
      <x:c r="K45" s="32"/>
      <x:c r="L45" s="32"/>
      <x:c r="M45" s="32"/>
      <x:c r="N45" s="32"/>
      <x:c r="O45" s="32"/>
      <x:c r="P45" s="32"/>
      <x:c r="Q45" s="31"/>
      <x:c r="R45" s="31"/>
      <x:c r="S45" s="31"/>
      <x:c r="T45" s="32"/>
      <x:c r="U45" s="32"/>
      <x:c r="V45" s="31"/>
      <x:c r="W45" s="31"/>
      <x:c r="X45" s="31"/>
      <x:c r="Y45" s="32"/>
      <x:c r="Z45" s="31"/>
      <x:c r="AA45" s="32"/>
      <x:c r="AB45" s="31"/>
      <x:c r="AC45" s="31"/>
      <x:c r="AD45" s="31"/>
      <x:c r="AE45" s="31"/>
      <x:c r="AF45" s="31"/>
    </x:row>
    <x:row r="46">
      <x:c r="A46" s="79"/>
      <x:c r="B46" s="31"/>
      <x:c r="C46" s="31"/>
      <x:c r="D46" s="31"/>
      <x:c r="E46" s="31"/>
      <x:c r="F46" s="31"/>
      <x:c r="G46" s="31"/>
      <x:c r="H46" s="31"/>
      <x:c r="I46" s="31"/>
      <x:c r="J46" s="32"/>
      <x:c r="K46" s="32"/>
      <x:c r="L46" s="32"/>
      <x:c r="M46" s="32"/>
      <x:c r="N46" s="32"/>
      <x:c r="O46" s="32"/>
      <x:c r="P46" s="32"/>
      <x:c r="Q46" s="31"/>
      <x:c r="R46" s="31"/>
      <x:c r="S46" s="31"/>
      <x:c r="T46" s="32"/>
      <x:c r="U46" s="32"/>
      <x:c r="V46" s="31"/>
      <x:c r="W46" s="31"/>
      <x:c r="X46" s="31"/>
      <x:c r="Y46" s="32"/>
      <x:c r="Z46" s="31"/>
      <x:c r="AA46" s="32"/>
      <x:c r="AB46" s="31"/>
      <x:c r="AC46" s="31"/>
      <x:c r="AD46" s="31"/>
      <x:c r="AE46" s="31"/>
      <x:c r="AF46" s="31"/>
    </x:row>
    <x:row r="47">
      <x:c r="A47" s="79"/>
      <x:c r="B47" s="31"/>
      <x:c r="C47" s="31"/>
      <x:c r="D47" s="31"/>
      <x:c r="E47" s="31"/>
      <x:c r="F47" s="31"/>
      <x:c r="G47" s="31"/>
      <x:c r="H47" s="31"/>
      <x:c r="I47" s="31"/>
      <x:c r="J47" s="32"/>
      <x:c r="K47" s="32"/>
      <x:c r="L47" s="32"/>
      <x:c r="M47" s="32"/>
      <x:c r="N47" s="32"/>
      <x:c r="O47" s="32"/>
      <x:c r="P47" s="32"/>
      <x:c r="Q47" s="31"/>
      <x:c r="R47" s="31"/>
      <x:c r="S47" s="31"/>
      <x:c r="T47" s="32"/>
      <x:c r="U47" s="32"/>
      <x:c r="V47" s="31"/>
      <x:c r="W47" s="31"/>
      <x:c r="X47" s="31"/>
      <x:c r="Y47" s="32"/>
      <x:c r="Z47" s="31"/>
      <x:c r="AA47" s="32"/>
      <x:c r="AB47" s="31"/>
      <x:c r="AC47" s="31"/>
      <x:c r="AD47" s="31"/>
      <x:c r="AE47" s="31"/>
      <x:c r="AF47" s="31"/>
    </x:row>
    <x:row r="48">
      <x:c r="A48" s="79"/>
      <x:c r="B48" s="31"/>
      <x:c r="C48" s="31"/>
      <x:c r="D48" s="31"/>
      <x:c r="E48" s="31"/>
      <x:c r="F48" s="31"/>
      <x:c r="G48" s="31"/>
      <x:c r="H48" s="31"/>
      <x:c r="I48" s="31"/>
      <x:c r="J48" s="32"/>
      <x:c r="K48" s="32"/>
      <x:c r="L48" s="32"/>
      <x:c r="M48" s="32"/>
      <x:c r="N48" s="32"/>
      <x:c r="O48" s="32"/>
      <x:c r="P48" s="32"/>
      <x:c r="Q48" s="31"/>
      <x:c r="R48" s="31"/>
      <x:c r="S48" s="31"/>
      <x:c r="T48" s="32"/>
      <x:c r="U48" s="32"/>
      <x:c r="V48" s="31"/>
      <x:c r="W48" s="31"/>
      <x:c r="X48" s="31"/>
      <x:c r="Y48" s="32"/>
      <x:c r="Z48" s="31"/>
      <x:c r="AA48" s="32"/>
      <x:c r="AB48" s="31"/>
      <x:c r="AC48" s="31"/>
      <x:c r="AD48" s="31"/>
      <x:c r="AE48" s="31"/>
      <x:c r="AF48" s="31"/>
    </x:row>
    <x:row r="49">
      <x:c r="A49" s="79"/>
      <x:c r="B49" s="31"/>
      <x:c r="C49" s="31"/>
      <x:c r="D49" s="31"/>
      <x:c r="E49" s="31"/>
      <x:c r="F49" s="31"/>
      <x:c r="G49" s="31"/>
      <x:c r="H49" s="31"/>
      <x:c r="I49" s="31"/>
      <x:c r="J49" s="32"/>
      <x:c r="K49" s="32"/>
      <x:c r="L49" s="32"/>
      <x:c r="M49" s="32"/>
      <x:c r="N49" s="32"/>
      <x:c r="O49" s="32"/>
      <x:c r="P49" s="32"/>
      <x:c r="Q49" s="31"/>
      <x:c r="R49" s="31"/>
      <x:c r="S49" s="31"/>
      <x:c r="T49" s="32"/>
      <x:c r="U49" s="32"/>
      <x:c r="V49" s="31"/>
      <x:c r="W49" s="31"/>
      <x:c r="X49" s="31"/>
      <x:c r="Y49" s="32"/>
      <x:c r="Z49" s="31"/>
      <x:c r="AA49" s="32"/>
      <x:c r="AB49" s="31"/>
      <x:c r="AC49" s="31"/>
      <x:c r="AD49" s="31"/>
      <x:c r="AE49" s="31"/>
      <x:c r="AF49" s="31"/>
    </x:row>
    <x:row r="50">
      <x:c r="A50" s="79"/>
      <x:c r="B50" s="31"/>
      <x:c r="C50" s="31"/>
      <x:c r="D50" s="31"/>
      <x:c r="E50" s="31"/>
      <x:c r="F50" s="31"/>
      <x:c r="G50" s="31"/>
      <x:c r="H50" s="31"/>
      <x:c r="I50" s="31"/>
      <x:c r="J50" s="32"/>
      <x:c r="K50" s="32"/>
      <x:c r="L50" s="32"/>
      <x:c r="M50" s="32"/>
      <x:c r="N50" s="32"/>
      <x:c r="O50" s="32"/>
      <x:c r="P50" s="32"/>
      <x:c r="Q50" s="31"/>
      <x:c r="R50" s="31"/>
      <x:c r="S50" s="31"/>
      <x:c r="T50" s="32"/>
      <x:c r="U50" s="32"/>
      <x:c r="V50" s="31"/>
      <x:c r="W50" s="31"/>
      <x:c r="X50" s="31"/>
      <x:c r="Y50" s="32"/>
      <x:c r="Z50" s="31"/>
      <x:c r="AA50" s="32"/>
      <x:c r="AB50" s="31"/>
      <x:c r="AC50" s="31"/>
      <x:c r="AD50" s="31"/>
      <x:c r="AE50" s="31"/>
      <x:c r="AF50" s="31"/>
    </x:row>
    <x:row r="51">
      <x:c r="A51" s="79"/>
      <x:c r="B51" s="31"/>
      <x:c r="C51" s="31"/>
      <x:c r="D51" s="31"/>
      <x:c r="E51" s="31"/>
      <x:c r="F51" s="31"/>
      <x:c r="G51" s="31"/>
      <x:c r="H51" s="31"/>
      <x:c r="I51" s="31"/>
      <x:c r="J51" s="32"/>
      <x:c r="K51" s="32"/>
      <x:c r="L51" s="32"/>
      <x:c r="M51" s="32"/>
      <x:c r="N51" s="32"/>
      <x:c r="O51" s="32"/>
      <x:c r="P51" s="32"/>
      <x:c r="Q51" s="31"/>
      <x:c r="R51" s="31"/>
      <x:c r="S51" s="31"/>
      <x:c r="T51" s="32"/>
      <x:c r="U51" s="32"/>
      <x:c r="V51" s="31"/>
      <x:c r="W51" s="31"/>
      <x:c r="X51" s="31"/>
      <x:c r="Y51" s="32"/>
      <x:c r="Z51" s="31"/>
      <x:c r="AA51" s="32"/>
      <x:c r="AB51" s="31"/>
      <x:c r="AC51" s="31"/>
      <x:c r="AD51" s="31"/>
      <x:c r="AE51" s="31"/>
      <x:c r="AF51" s="31"/>
    </x:row>
    <x:row r="52">
      <x:c r="A52" s="79"/>
      <x:c r="B52" s="31"/>
      <x:c r="C52" s="31"/>
      <x:c r="D52" s="31"/>
      <x:c r="E52" s="31"/>
      <x:c r="F52" s="31"/>
      <x:c r="G52" s="31"/>
      <x:c r="H52" s="31"/>
      <x:c r="I52" s="31"/>
      <x:c r="J52" s="32"/>
      <x:c r="K52" s="32"/>
      <x:c r="L52" s="32"/>
      <x:c r="M52" s="32"/>
      <x:c r="N52" s="32"/>
      <x:c r="O52" s="32"/>
      <x:c r="P52" s="32"/>
      <x:c r="Q52" s="31"/>
      <x:c r="R52" s="31"/>
      <x:c r="S52" s="31"/>
      <x:c r="T52" s="32"/>
      <x:c r="U52" s="32"/>
      <x:c r="V52" s="31"/>
      <x:c r="W52" s="31"/>
      <x:c r="X52" s="31"/>
      <x:c r="Y52" s="32"/>
      <x:c r="Z52" s="31"/>
      <x:c r="AA52" s="32"/>
      <x:c r="AB52" s="31"/>
      <x:c r="AC52" s="31"/>
      <x:c r="AD52" s="31"/>
      <x:c r="AE52" s="31"/>
      <x:c r="AF52" s="31"/>
    </x:row>
    <x:row r="53">
      <x:c r="A53" s="79"/>
      <x:c r="B53" s="31"/>
      <x:c r="C53" s="31"/>
      <x:c r="D53" s="31"/>
      <x:c r="E53" s="31"/>
      <x:c r="F53" s="31"/>
      <x:c r="G53" s="31"/>
      <x:c r="H53" s="31"/>
      <x:c r="I53" s="31"/>
      <x:c r="J53" s="32"/>
      <x:c r="K53" s="32"/>
      <x:c r="L53" s="32"/>
      <x:c r="M53" s="32"/>
      <x:c r="N53" s="32"/>
      <x:c r="O53" s="32"/>
      <x:c r="P53" s="32"/>
      <x:c r="Q53" s="31"/>
      <x:c r="R53" s="31"/>
      <x:c r="S53" s="31"/>
      <x:c r="T53" s="32"/>
      <x:c r="U53" s="32"/>
      <x:c r="V53" s="31"/>
      <x:c r="W53" s="31"/>
      <x:c r="X53" s="31"/>
      <x:c r="Y53" s="32"/>
      <x:c r="Z53" s="31"/>
      <x:c r="AA53" s="32"/>
      <x:c r="AB53" s="31"/>
      <x:c r="AC53" s="31"/>
      <x:c r="AD53" s="31"/>
      <x:c r="AE53" s="31"/>
      <x:c r="AF53" s="31"/>
    </x:row>
    <x:row r="54">
      <x:c r="A54" s="79"/>
      <x:c r="B54" s="31"/>
      <x:c r="C54" s="31"/>
      <x:c r="D54" s="31"/>
      <x:c r="E54" s="31"/>
      <x:c r="F54" s="31"/>
      <x:c r="G54" s="31"/>
      <x:c r="H54" s="31"/>
      <x:c r="I54" s="31"/>
      <x:c r="J54" s="32"/>
      <x:c r="K54" s="32"/>
      <x:c r="L54" s="32"/>
      <x:c r="M54" s="32"/>
      <x:c r="N54" s="32"/>
      <x:c r="O54" s="32"/>
      <x:c r="P54" s="32"/>
      <x:c r="Q54" s="31"/>
      <x:c r="R54" s="31"/>
      <x:c r="S54" s="31"/>
      <x:c r="T54" s="32"/>
      <x:c r="U54" s="32"/>
      <x:c r="V54" s="31"/>
      <x:c r="W54" s="31"/>
      <x:c r="X54" s="31"/>
      <x:c r="Y54" s="32"/>
      <x:c r="Z54" s="31"/>
      <x:c r="AA54" s="32"/>
      <x:c r="AB54" s="31"/>
      <x:c r="AC54" s="31"/>
      <x:c r="AD54" s="31"/>
      <x:c r="AE54" s="31"/>
      <x:c r="AF54" s="31"/>
    </x:row>
    <x:row r="55">
      <x:c r="A55" s="79"/>
      <x:c r="B55" s="31"/>
      <x:c r="C55" s="31"/>
      <x:c r="D55" s="31"/>
      <x:c r="E55" s="31"/>
      <x:c r="F55" s="31"/>
      <x:c r="G55" s="31"/>
      <x:c r="H55" s="31"/>
      <x:c r="I55" s="31"/>
      <x:c r="J55" s="32"/>
      <x:c r="K55" s="32"/>
      <x:c r="L55" s="32"/>
      <x:c r="M55" s="32"/>
      <x:c r="N55" s="32"/>
      <x:c r="O55" s="32"/>
      <x:c r="P55" s="32"/>
      <x:c r="Q55" s="31"/>
      <x:c r="R55" s="31"/>
      <x:c r="S55" s="31"/>
      <x:c r="T55" s="32"/>
      <x:c r="U55" s="32"/>
      <x:c r="V55" s="31"/>
      <x:c r="W55" s="31"/>
      <x:c r="X55" s="31"/>
      <x:c r="Y55" s="32"/>
      <x:c r="Z55" s="31"/>
      <x:c r="AA55" s="32"/>
      <x:c r="AB55" s="31"/>
      <x:c r="AC55" s="31"/>
      <x:c r="AD55" s="31"/>
      <x:c r="AE55" s="31"/>
      <x:c r="AF55" s="31"/>
    </x:row>
    <x:row r="56">
      <x:c r="A56" s="79"/>
      <x:c r="B56" s="31"/>
      <x:c r="C56" s="31"/>
      <x:c r="D56" s="31"/>
      <x:c r="E56" s="31"/>
      <x:c r="F56" s="31"/>
      <x:c r="G56" s="31"/>
      <x:c r="H56" s="31"/>
      <x:c r="I56" s="31"/>
      <x:c r="J56" s="32"/>
      <x:c r="K56" s="32"/>
      <x:c r="L56" s="32"/>
      <x:c r="M56" s="32"/>
      <x:c r="N56" s="32"/>
      <x:c r="O56" s="32"/>
      <x:c r="P56" s="32"/>
      <x:c r="Q56" s="31"/>
      <x:c r="R56" s="31"/>
      <x:c r="S56" s="31"/>
      <x:c r="T56" s="32"/>
      <x:c r="U56" s="32"/>
      <x:c r="V56" s="31"/>
      <x:c r="W56" s="31"/>
      <x:c r="X56" s="31"/>
      <x:c r="Y56" s="32"/>
      <x:c r="Z56" s="31"/>
      <x:c r="AA56" s="32"/>
      <x:c r="AB56" s="31"/>
      <x:c r="AC56" s="31"/>
      <x:c r="AD56" s="31"/>
      <x:c r="AE56" s="31"/>
      <x:c r="AF56" s="31"/>
    </x:row>
    <x:row r="57">
      <x:c r="A57" s="79"/>
      <x:c r="B57" s="31"/>
      <x:c r="C57" s="31"/>
      <x:c r="D57" s="31"/>
      <x:c r="E57" s="31"/>
      <x:c r="F57" s="31"/>
      <x:c r="G57" s="31"/>
      <x:c r="H57" s="31"/>
      <x:c r="I57" s="31"/>
      <x:c r="J57" s="32"/>
      <x:c r="K57" s="32"/>
      <x:c r="L57" s="32"/>
      <x:c r="M57" s="32"/>
      <x:c r="N57" s="32"/>
      <x:c r="O57" s="32"/>
      <x:c r="P57" s="32"/>
      <x:c r="Q57" s="31"/>
      <x:c r="R57" s="31"/>
      <x:c r="S57" s="31"/>
      <x:c r="T57" s="32"/>
      <x:c r="U57" s="32"/>
      <x:c r="V57" s="31"/>
      <x:c r="W57" s="31"/>
      <x:c r="X57" s="31"/>
      <x:c r="Y57" s="32"/>
      <x:c r="Z57" s="31"/>
      <x:c r="AA57" s="32"/>
      <x:c r="AB57" s="31"/>
      <x:c r="AC57" s="31"/>
      <x:c r="AD57" s="31"/>
      <x:c r="AE57" s="31"/>
      <x:c r="AF57" s="31"/>
    </x:row>
    <x:row r="58">
      <x:c r="A58" s="79"/>
      <x:c r="B58" s="31"/>
      <x:c r="C58" s="31"/>
      <x:c r="D58" s="31"/>
      <x:c r="E58" s="31"/>
      <x:c r="F58" s="31"/>
      <x:c r="G58" s="31"/>
      <x:c r="H58" s="31"/>
      <x:c r="I58" s="31"/>
      <x:c r="J58" s="32"/>
      <x:c r="K58" s="32"/>
      <x:c r="L58" s="32"/>
      <x:c r="M58" s="32"/>
      <x:c r="N58" s="32"/>
      <x:c r="O58" s="32"/>
      <x:c r="P58" s="32"/>
      <x:c r="Q58" s="31"/>
      <x:c r="R58" s="31"/>
      <x:c r="S58" s="31"/>
      <x:c r="T58" s="32"/>
      <x:c r="U58" s="32"/>
      <x:c r="V58" s="31"/>
      <x:c r="W58" s="31"/>
      <x:c r="X58" s="31"/>
      <x:c r="Y58" s="32"/>
      <x:c r="Z58" s="31"/>
      <x:c r="AA58" s="32"/>
      <x:c r="AB58" s="31"/>
      <x:c r="AC58" s="31"/>
      <x:c r="AD58" s="31"/>
      <x:c r="AE58" s="31"/>
      <x:c r="AF58" s="31"/>
    </x:row>
    <x:row r="59">
      <x:c r="A59" s="79"/>
      <x:c r="B59" s="31"/>
      <x:c r="C59" s="31"/>
      <x:c r="D59" s="31"/>
      <x:c r="E59" s="31"/>
      <x:c r="F59" s="31"/>
      <x:c r="G59" s="31"/>
      <x:c r="H59" s="31"/>
      <x:c r="I59" s="31"/>
      <x:c r="J59" s="32"/>
      <x:c r="K59" s="32"/>
      <x:c r="L59" s="32"/>
      <x:c r="M59" s="32"/>
      <x:c r="N59" s="32"/>
      <x:c r="O59" s="32"/>
      <x:c r="P59" s="32"/>
      <x:c r="Q59" s="31"/>
      <x:c r="R59" s="31"/>
      <x:c r="S59" s="31"/>
      <x:c r="T59" s="32"/>
      <x:c r="U59" s="32"/>
      <x:c r="V59" s="31"/>
      <x:c r="W59" s="31"/>
      <x:c r="X59" s="31"/>
      <x:c r="Y59" s="32"/>
      <x:c r="Z59" s="31"/>
      <x:c r="AA59" s="32"/>
      <x:c r="AB59" s="31"/>
      <x:c r="AC59" s="31"/>
      <x:c r="AD59" s="31"/>
      <x:c r="AE59" s="31"/>
      <x:c r="AF59" s="31"/>
    </x:row>
    <x:row r="60">
      <x:c r="A60" s="79"/>
      <x:c r="B60" s="31"/>
      <x:c r="C60" s="31"/>
      <x:c r="D60" s="31"/>
      <x:c r="E60" s="31"/>
      <x:c r="F60" s="31"/>
      <x:c r="G60" s="31"/>
      <x:c r="H60" s="31"/>
      <x:c r="I60" s="31"/>
      <x:c r="J60" s="32"/>
      <x:c r="K60" s="32"/>
      <x:c r="L60" s="32"/>
      <x:c r="M60" s="32"/>
      <x:c r="N60" s="32"/>
      <x:c r="O60" s="32"/>
      <x:c r="P60" s="32"/>
      <x:c r="Q60" s="31"/>
      <x:c r="R60" s="31"/>
      <x:c r="S60" s="31"/>
      <x:c r="T60" s="32"/>
      <x:c r="U60" s="32"/>
      <x:c r="V60" s="31"/>
      <x:c r="W60" s="31"/>
      <x:c r="X60" s="31"/>
      <x:c r="Y60" s="32"/>
      <x:c r="Z60" s="31"/>
      <x:c r="AA60" s="32"/>
      <x:c r="AB60" s="31"/>
      <x:c r="AC60" s="31"/>
      <x:c r="AD60" s="31"/>
      <x:c r="AE60" s="31"/>
      <x:c r="AF60" s="31"/>
    </x:row>
    <x:row r="61">
      <x:c r="A61" s="79"/>
      <x:c r="B61" s="31"/>
      <x:c r="C61" s="31"/>
      <x:c r="D61" s="31"/>
      <x:c r="E61" s="31"/>
      <x:c r="F61" s="31"/>
      <x:c r="G61" s="31"/>
      <x:c r="H61" s="31"/>
      <x:c r="I61" s="31"/>
      <x:c r="J61" s="32"/>
      <x:c r="K61" s="32"/>
      <x:c r="L61" s="32"/>
      <x:c r="M61" s="32"/>
      <x:c r="N61" s="32"/>
      <x:c r="O61" s="32"/>
      <x:c r="P61" s="32"/>
      <x:c r="Q61" s="31"/>
      <x:c r="R61" s="31"/>
      <x:c r="S61" s="31"/>
      <x:c r="T61" s="32"/>
      <x:c r="U61" s="32"/>
      <x:c r="V61" s="31"/>
      <x:c r="W61" s="31"/>
      <x:c r="X61" s="31"/>
      <x:c r="Y61" s="32"/>
      <x:c r="Z61" s="31"/>
      <x:c r="AA61" s="32"/>
      <x:c r="AB61" s="31"/>
      <x:c r="AC61" s="31"/>
      <x:c r="AD61" s="31"/>
      <x:c r="AE61" s="31"/>
      <x:c r="AF61" s="31"/>
    </x:row>
    <x:row r="62">
      <x:c r="A62" s="79"/>
      <x:c r="B62" s="31"/>
      <x:c r="C62" s="31"/>
      <x:c r="D62" s="31"/>
      <x:c r="E62" s="31"/>
      <x:c r="F62" s="31"/>
      <x:c r="G62" s="31"/>
      <x:c r="H62" s="31"/>
      <x:c r="I62" s="31"/>
      <x:c r="J62" s="32"/>
      <x:c r="K62" s="32"/>
      <x:c r="L62" s="32"/>
      <x:c r="M62" s="32"/>
      <x:c r="N62" s="32"/>
      <x:c r="O62" s="32"/>
      <x:c r="P62" s="32"/>
      <x:c r="Q62" s="31"/>
      <x:c r="R62" s="31"/>
      <x:c r="S62" s="31"/>
      <x:c r="T62" s="32"/>
      <x:c r="U62" s="32"/>
      <x:c r="V62" s="31"/>
      <x:c r="W62" s="31"/>
      <x:c r="X62" s="31"/>
      <x:c r="Y62" s="32"/>
      <x:c r="Z62" s="31"/>
      <x:c r="AA62" s="32"/>
      <x:c r="AB62" s="31"/>
      <x:c r="AC62" s="31"/>
      <x:c r="AD62" s="31"/>
      <x:c r="AE62" s="31"/>
      <x:c r="AF62" s="31"/>
    </x:row>
    <x:row r="63">
      <x:c r="A63" s="79"/>
      <x:c r="B63" s="31"/>
      <x:c r="C63" s="31"/>
      <x:c r="D63" s="31"/>
      <x:c r="E63" s="31"/>
      <x:c r="F63" s="31"/>
      <x:c r="G63" s="31"/>
      <x:c r="H63" s="31"/>
      <x:c r="I63" s="31"/>
      <x:c r="J63" s="32"/>
      <x:c r="K63" s="32"/>
      <x:c r="L63" s="32"/>
      <x:c r="M63" s="32"/>
      <x:c r="N63" s="32"/>
      <x:c r="O63" s="32"/>
      <x:c r="P63" s="32"/>
      <x:c r="Q63" s="31"/>
      <x:c r="R63" s="31"/>
      <x:c r="S63" s="31"/>
      <x:c r="T63" s="32"/>
      <x:c r="U63" s="32"/>
      <x:c r="V63" s="31"/>
      <x:c r="W63" s="31"/>
      <x:c r="X63" s="31"/>
      <x:c r="Y63" s="32"/>
      <x:c r="Z63" s="31"/>
      <x:c r="AA63" s="32"/>
      <x:c r="AB63" s="31"/>
      <x:c r="AC63" s="31"/>
      <x:c r="AD63" s="31"/>
      <x:c r="AE63" s="31"/>
      <x:c r="AF63" s="31"/>
    </x:row>
    <x:row r="64">
      <x:c r="A64" s="79"/>
      <x:c r="B64" s="31"/>
      <x:c r="C64" s="31"/>
      <x:c r="D64" s="31"/>
      <x:c r="E64" s="31"/>
      <x:c r="F64" s="31"/>
      <x:c r="G64" s="31"/>
      <x:c r="H64" s="31"/>
      <x:c r="I64" s="31"/>
      <x:c r="J64" s="32"/>
      <x:c r="K64" s="32"/>
      <x:c r="L64" s="32"/>
      <x:c r="M64" s="32"/>
      <x:c r="N64" s="32"/>
      <x:c r="O64" s="32"/>
      <x:c r="P64" s="32"/>
      <x:c r="Q64" s="31"/>
      <x:c r="R64" s="31"/>
      <x:c r="S64" s="31"/>
      <x:c r="T64" s="32"/>
      <x:c r="U64" s="32"/>
      <x:c r="V64" s="31"/>
      <x:c r="W64" s="31"/>
      <x:c r="X64" s="31"/>
      <x:c r="Y64" s="32"/>
      <x:c r="Z64" s="31"/>
      <x:c r="AA64" s="32"/>
      <x:c r="AB64" s="31"/>
      <x:c r="AC64" s="31"/>
      <x:c r="AD64" s="31"/>
      <x:c r="AE64" s="31"/>
      <x:c r="AF64" s="31"/>
    </x:row>
    <x:row r="65">
      <x:c r="A65" s="79"/>
      <x:c r="B65" s="31"/>
      <x:c r="C65" s="31"/>
      <x:c r="D65" s="31"/>
      <x:c r="E65" s="31"/>
      <x:c r="F65" s="31"/>
      <x:c r="G65" s="31"/>
      <x:c r="H65" s="31"/>
      <x:c r="I65" s="31"/>
      <x:c r="J65" s="32"/>
      <x:c r="K65" s="32"/>
      <x:c r="L65" s="32"/>
      <x:c r="M65" s="32"/>
      <x:c r="N65" s="32"/>
      <x:c r="O65" s="32"/>
      <x:c r="P65" s="32"/>
      <x:c r="Q65" s="31"/>
      <x:c r="R65" s="31"/>
      <x:c r="S65" s="31"/>
      <x:c r="T65" s="32"/>
      <x:c r="U65" s="32"/>
      <x:c r="V65" s="31"/>
      <x:c r="W65" s="31"/>
      <x:c r="X65" s="31"/>
      <x:c r="Y65" s="32"/>
      <x:c r="Z65" s="31"/>
      <x:c r="AA65" s="32"/>
      <x:c r="AB65" s="31"/>
      <x:c r="AC65" s="31"/>
      <x:c r="AD65" s="31"/>
      <x:c r="AE65" s="31"/>
      <x:c r="AF65" s="31"/>
    </x:row>
    <x:row r="66">
      <x:c r="A66" s="79"/>
      <x:c r="B66" s="31"/>
      <x:c r="C66" s="31"/>
      <x:c r="D66" s="31"/>
      <x:c r="E66" s="31"/>
      <x:c r="F66" s="31"/>
      <x:c r="G66" s="31"/>
      <x:c r="H66" s="31"/>
      <x:c r="I66" s="31"/>
      <x:c r="J66" s="32"/>
      <x:c r="K66" s="32"/>
      <x:c r="L66" s="32"/>
      <x:c r="M66" s="32"/>
      <x:c r="N66" s="32"/>
      <x:c r="O66" s="32"/>
      <x:c r="P66" s="32"/>
      <x:c r="Q66" s="31"/>
      <x:c r="R66" s="31"/>
      <x:c r="S66" s="31"/>
      <x:c r="T66" s="32"/>
      <x:c r="U66" s="32"/>
      <x:c r="V66" s="31"/>
      <x:c r="W66" s="31"/>
      <x:c r="X66" s="31"/>
      <x:c r="Y66" s="32"/>
      <x:c r="Z66" s="31"/>
      <x:c r="AA66" s="32"/>
      <x:c r="AB66" s="31"/>
      <x:c r="AC66" s="31"/>
      <x:c r="AD66" s="31"/>
      <x:c r="AE66" s="31"/>
      <x:c r="AF66" s="31"/>
    </x:row>
    <x:row r="67">
      <x:c r="A67" s="79"/>
      <x:c r="B67" s="31"/>
      <x:c r="C67" s="31"/>
      <x:c r="D67" s="31"/>
      <x:c r="E67" s="31"/>
      <x:c r="F67" s="31"/>
      <x:c r="G67" s="31"/>
      <x:c r="H67" s="31"/>
      <x:c r="I67" s="31"/>
      <x:c r="J67" s="32"/>
      <x:c r="K67" s="32"/>
      <x:c r="L67" s="32"/>
      <x:c r="M67" s="32"/>
      <x:c r="N67" s="32"/>
      <x:c r="O67" s="32"/>
      <x:c r="P67" s="32"/>
      <x:c r="Q67" s="31"/>
      <x:c r="R67" s="31"/>
      <x:c r="S67" s="31"/>
      <x:c r="T67" s="32"/>
      <x:c r="U67" s="32"/>
      <x:c r="V67" s="31"/>
      <x:c r="W67" s="31"/>
      <x:c r="X67" s="31"/>
      <x:c r="Y67" s="32"/>
      <x:c r="Z67" s="31"/>
      <x:c r="AA67" s="32"/>
      <x:c r="AB67" s="31"/>
      <x:c r="AC67" s="31"/>
      <x:c r="AD67" s="31"/>
      <x:c r="AE67" s="31"/>
      <x:c r="AF67" s="31"/>
    </x:row>
    <x:row r="68">
      <x:c r="A68" s="79"/>
      <x:c r="B68" s="31"/>
      <x:c r="C68" s="31"/>
      <x:c r="D68" s="31"/>
      <x:c r="E68" s="31"/>
      <x:c r="F68" s="31"/>
      <x:c r="G68" s="31"/>
      <x:c r="H68" s="31"/>
      <x:c r="I68" s="31"/>
      <x:c r="J68" s="32"/>
      <x:c r="K68" s="32"/>
      <x:c r="L68" s="32"/>
      <x:c r="M68" s="32"/>
      <x:c r="N68" s="32"/>
      <x:c r="O68" s="32"/>
      <x:c r="P68" s="32"/>
      <x:c r="Q68" s="31"/>
      <x:c r="R68" s="31"/>
      <x:c r="S68" s="31"/>
      <x:c r="T68" s="32"/>
      <x:c r="U68" s="32"/>
      <x:c r="V68" s="31"/>
      <x:c r="W68" s="31"/>
      <x:c r="X68" s="31"/>
      <x:c r="Y68" s="32"/>
      <x:c r="Z68" s="31"/>
      <x:c r="AA68" s="32"/>
      <x:c r="AB68" s="31"/>
      <x:c r="AC68" s="31"/>
      <x:c r="AD68" s="31"/>
      <x:c r="AE68" s="31"/>
      <x:c r="AF68" s="31"/>
    </x:row>
    <x:row r="69">
      <x:c r="A69" s="79"/>
      <x:c r="B69" s="31"/>
      <x:c r="C69" s="31"/>
      <x:c r="D69" s="31"/>
      <x:c r="E69" s="31"/>
      <x:c r="F69" s="31"/>
      <x:c r="G69" s="31"/>
      <x:c r="H69" s="31"/>
      <x:c r="I69" s="31"/>
      <x:c r="J69" s="32"/>
      <x:c r="K69" s="32"/>
      <x:c r="L69" s="32"/>
      <x:c r="M69" s="32"/>
      <x:c r="N69" s="32"/>
      <x:c r="O69" s="32"/>
      <x:c r="P69" s="32"/>
      <x:c r="Q69" s="31"/>
      <x:c r="R69" s="31"/>
      <x:c r="S69" s="31"/>
      <x:c r="T69" s="32"/>
      <x:c r="U69" s="32"/>
      <x:c r="V69" s="31"/>
      <x:c r="W69" s="31"/>
      <x:c r="X69" s="31"/>
      <x:c r="Y69" s="32"/>
      <x:c r="Z69" s="31"/>
      <x:c r="AA69" s="32"/>
      <x:c r="AB69" s="31"/>
      <x:c r="AC69" s="31"/>
      <x:c r="AD69" s="31"/>
      <x:c r="AE69" s="31"/>
      <x:c r="AF69" s="31"/>
    </x:row>
    <x:row r="70">
      <x:c r="A70" s="79"/>
      <x:c r="B70" s="31"/>
      <x:c r="C70" s="31"/>
      <x:c r="D70" s="31"/>
      <x:c r="E70" s="31"/>
      <x:c r="F70" s="31"/>
      <x:c r="G70" s="31"/>
      <x:c r="H70" s="31"/>
      <x:c r="I70" s="31"/>
      <x:c r="J70" s="32"/>
      <x:c r="K70" s="32"/>
      <x:c r="L70" s="32"/>
      <x:c r="M70" s="32"/>
      <x:c r="N70" s="32"/>
      <x:c r="O70" s="32"/>
      <x:c r="P70" s="32"/>
      <x:c r="Q70" s="31"/>
      <x:c r="R70" s="31"/>
      <x:c r="S70" s="31"/>
      <x:c r="T70" s="32"/>
      <x:c r="U70" s="32"/>
      <x:c r="V70" s="31"/>
      <x:c r="W70" s="31"/>
      <x:c r="X70" s="31"/>
      <x:c r="Y70" s="32"/>
      <x:c r="Z70" s="31"/>
      <x:c r="AA70" s="32"/>
      <x:c r="AB70" s="31"/>
      <x:c r="AC70" s="31"/>
      <x:c r="AD70" s="31"/>
      <x:c r="AE70" s="31"/>
      <x:c r="AF70" s="31"/>
    </x:row>
    <x:row r="71">
      <x:c r="A71" s="79"/>
      <x:c r="B71" s="31"/>
      <x:c r="C71" s="31"/>
      <x:c r="D71" s="31"/>
      <x:c r="E71" s="31"/>
      <x:c r="F71" s="31"/>
      <x:c r="G71" s="31"/>
      <x:c r="H71" s="31"/>
      <x:c r="I71" s="31"/>
      <x:c r="J71" s="32"/>
      <x:c r="K71" s="32"/>
      <x:c r="L71" s="32"/>
      <x:c r="M71" s="32"/>
      <x:c r="N71" s="32"/>
      <x:c r="O71" s="32"/>
      <x:c r="P71" s="32"/>
      <x:c r="Q71" s="31"/>
      <x:c r="R71" s="31"/>
      <x:c r="S71" s="31"/>
      <x:c r="T71" s="32"/>
      <x:c r="U71" s="32"/>
      <x:c r="V71" s="31"/>
      <x:c r="W71" s="31"/>
      <x:c r="X71" s="31"/>
      <x:c r="Y71" s="32"/>
      <x:c r="Z71" s="31"/>
      <x:c r="AA71" s="32"/>
      <x:c r="AB71" s="31"/>
      <x:c r="AC71" s="31"/>
      <x:c r="AD71" s="31"/>
      <x:c r="AE71" s="31"/>
      <x:c r="AF71" s="31"/>
    </x:row>
    <x:row r="72">
      <x:c r="A72" s="79"/>
      <x:c r="B72" s="31"/>
      <x:c r="C72" s="31"/>
      <x:c r="D72" s="31"/>
      <x:c r="E72" s="31"/>
      <x:c r="F72" s="31"/>
      <x:c r="G72" s="31"/>
      <x:c r="H72" s="31"/>
      <x:c r="I72" s="31"/>
      <x:c r="J72" s="32"/>
      <x:c r="K72" s="32"/>
      <x:c r="L72" s="32"/>
      <x:c r="M72" s="32"/>
      <x:c r="N72" s="32"/>
      <x:c r="O72" s="32"/>
      <x:c r="P72" s="32"/>
      <x:c r="Q72" s="31"/>
      <x:c r="R72" s="31"/>
      <x:c r="S72" s="31"/>
      <x:c r="T72" s="32"/>
      <x:c r="U72" s="32"/>
      <x:c r="V72" s="31"/>
      <x:c r="W72" s="31"/>
      <x:c r="X72" s="31"/>
      <x:c r="Y72" s="32"/>
      <x:c r="Z72" s="31"/>
      <x:c r="AA72" s="32"/>
      <x:c r="AB72" s="31"/>
      <x:c r="AC72" s="31"/>
      <x:c r="AD72" s="31"/>
      <x:c r="AE72" s="31"/>
      <x:c r="AF72" s="31"/>
    </x:row>
    <x:row r="73">
      <x:c r="A73" s="79"/>
      <x:c r="B73" s="31"/>
      <x:c r="C73" s="31"/>
      <x:c r="D73" s="31"/>
      <x:c r="E73" s="31"/>
      <x:c r="F73" s="31"/>
      <x:c r="G73" s="31"/>
      <x:c r="H73" s="31"/>
      <x:c r="I73" s="31"/>
      <x:c r="J73" s="32"/>
      <x:c r="K73" s="32"/>
      <x:c r="L73" s="32"/>
      <x:c r="M73" s="32"/>
      <x:c r="N73" s="32"/>
      <x:c r="O73" s="32"/>
      <x:c r="P73" s="32"/>
      <x:c r="Q73" s="31"/>
      <x:c r="R73" s="31"/>
      <x:c r="S73" s="31"/>
      <x:c r="T73" s="32"/>
      <x:c r="U73" s="32"/>
      <x:c r="V73" s="31"/>
      <x:c r="W73" s="31"/>
      <x:c r="X73" s="31"/>
      <x:c r="Y73" s="32"/>
      <x:c r="Z73" s="31"/>
      <x:c r="AA73" s="32"/>
      <x:c r="AB73" s="31"/>
      <x:c r="AC73" s="31"/>
      <x:c r="AD73" s="31"/>
      <x:c r="AE73" s="31"/>
      <x:c r="AF73" s="31"/>
    </x:row>
    <x:row r="74">
      <x:c r="A74" s="79"/>
      <x:c r="B74" s="31"/>
      <x:c r="C74" s="31"/>
      <x:c r="D74" s="31"/>
      <x:c r="E74" s="31"/>
      <x:c r="F74" s="31"/>
      <x:c r="G74" s="31"/>
      <x:c r="H74" s="31"/>
      <x:c r="I74" s="31"/>
      <x:c r="J74" s="32"/>
      <x:c r="K74" s="32"/>
      <x:c r="L74" s="32"/>
      <x:c r="M74" s="32"/>
      <x:c r="N74" s="32"/>
      <x:c r="O74" s="32"/>
      <x:c r="P74" s="32"/>
      <x:c r="Q74" s="31"/>
      <x:c r="R74" s="31"/>
      <x:c r="S74" s="31"/>
      <x:c r="T74" s="32"/>
      <x:c r="U74" s="32"/>
      <x:c r="V74" s="31"/>
      <x:c r="W74" s="31"/>
      <x:c r="X74" s="31"/>
      <x:c r="Y74" s="32"/>
      <x:c r="Z74" s="31"/>
      <x:c r="AA74" s="32"/>
      <x:c r="AB74" s="31"/>
      <x:c r="AC74" s="31"/>
      <x:c r="AD74" s="31"/>
      <x:c r="AE74" s="31"/>
      <x:c r="AF74" s="31"/>
    </x:row>
    <x:row r="75">
      <x:c r="A75" s="79"/>
      <x:c r="B75" s="31"/>
      <x:c r="C75" s="31"/>
      <x:c r="D75" s="31"/>
      <x:c r="E75" s="31"/>
      <x:c r="F75" s="31"/>
      <x:c r="G75" s="31"/>
      <x:c r="H75" s="31"/>
      <x:c r="I75" s="31"/>
      <x:c r="J75" s="32"/>
      <x:c r="K75" s="32"/>
      <x:c r="L75" s="32"/>
      <x:c r="M75" s="32"/>
      <x:c r="N75" s="32"/>
      <x:c r="O75" s="32"/>
      <x:c r="P75" s="32"/>
      <x:c r="Q75" s="31"/>
      <x:c r="R75" s="31"/>
      <x:c r="S75" s="31"/>
      <x:c r="T75" s="32"/>
      <x:c r="U75" s="32"/>
      <x:c r="V75" s="31"/>
      <x:c r="W75" s="31"/>
      <x:c r="X75" s="31"/>
      <x:c r="Y75" s="32"/>
      <x:c r="Z75" s="31"/>
      <x:c r="AA75" s="32"/>
      <x:c r="AB75" s="31"/>
      <x:c r="AC75" s="31"/>
      <x:c r="AD75" s="31"/>
      <x:c r="AE75" s="31"/>
      <x:c r="AF75" s="31"/>
    </x:row>
    <x:row r="76">
      <x:c r="A76" s="79"/>
      <x:c r="B76" s="31"/>
      <x:c r="C76" s="31"/>
      <x:c r="D76" s="31"/>
      <x:c r="E76" s="31"/>
      <x:c r="F76" s="31"/>
      <x:c r="G76" s="31"/>
      <x:c r="H76" s="31"/>
      <x:c r="I76" s="31"/>
      <x:c r="J76" s="32"/>
      <x:c r="K76" s="32"/>
      <x:c r="L76" s="32"/>
      <x:c r="M76" s="32"/>
      <x:c r="N76" s="32"/>
      <x:c r="O76" s="32"/>
      <x:c r="P76" s="32"/>
      <x:c r="Q76" s="31"/>
      <x:c r="R76" s="31"/>
      <x:c r="S76" s="31"/>
      <x:c r="T76" s="32"/>
      <x:c r="U76" s="32"/>
      <x:c r="V76" s="31"/>
      <x:c r="W76" s="31"/>
      <x:c r="X76" s="31"/>
      <x:c r="Y76" s="32"/>
      <x:c r="Z76" s="31"/>
      <x:c r="AA76" s="32"/>
      <x:c r="AB76" s="31"/>
      <x:c r="AC76" s="31"/>
      <x:c r="AD76" s="31"/>
      <x:c r="AE76" s="31"/>
      <x:c r="AF76" s="31"/>
    </x:row>
    <x:row r="77">
      <x:c r="A77" s="79"/>
      <x:c r="B77" s="31"/>
      <x:c r="C77" s="31"/>
      <x:c r="D77" s="31"/>
      <x:c r="E77" s="31"/>
      <x:c r="F77" s="31"/>
      <x:c r="G77" s="31"/>
      <x:c r="H77" s="31"/>
      <x:c r="I77" s="31"/>
      <x:c r="J77" s="32"/>
      <x:c r="K77" s="32"/>
      <x:c r="L77" s="32"/>
      <x:c r="M77" s="32"/>
      <x:c r="N77" s="32"/>
      <x:c r="O77" s="32"/>
      <x:c r="P77" s="32"/>
      <x:c r="Q77" s="31"/>
      <x:c r="R77" s="31"/>
      <x:c r="S77" s="31"/>
      <x:c r="T77" s="32"/>
      <x:c r="U77" s="32"/>
      <x:c r="V77" s="31"/>
      <x:c r="W77" s="31"/>
      <x:c r="X77" s="31"/>
      <x:c r="Y77" s="32"/>
      <x:c r="Z77" s="31"/>
      <x:c r="AA77" s="32"/>
      <x:c r="AB77" s="31"/>
      <x:c r="AC77" s="31"/>
      <x:c r="AD77" s="31"/>
      <x:c r="AE77" s="31"/>
      <x:c r="AF77" s="31"/>
    </x:row>
    <x:row r="78">
      <x:c r="A78" s="79"/>
      <x:c r="B78" s="31"/>
      <x:c r="C78" s="31"/>
      <x:c r="D78" s="31"/>
      <x:c r="E78" s="31"/>
      <x:c r="F78" s="31"/>
      <x:c r="G78" s="31"/>
      <x:c r="H78" s="31"/>
      <x:c r="I78" s="31"/>
      <x:c r="J78" s="32"/>
      <x:c r="K78" s="32"/>
      <x:c r="L78" s="32"/>
      <x:c r="M78" s="32"/>
      <x:c r="N78" s="32"/>
      <x:c r="O78" s="32"/>
      <x:c r="P78" s="32"/>
      <x:c r="Q78" s="31"/>
      <x:c r="R78" s="31"/>
      <x:c r="S78" s="31"/>
      <x:c r="T78" s="32"/>
      <x:c r="U78" s="32"/>
      <x:c r="V78" s="31"/>
      <x:c r="W78" s="31"/>
      <x:c r="X78" s="31"/>
      <x:c r="Y78" s="32"/>
      <x:c r="Z78" s="31"/>
      <x:c r="AA78" s="32"/>
      <x:c r="AB78" s="31"/>
      <x:c r="AC78" s="31"/>
      <x:c r="AD78" s="31"/>
      <x:c r="AE78" s="31"/>
      <x:c r="AF78" s="31"/>
    </x:row>
    <x:row r="79">
      <x:c r="A79" s="79"/>
      <x:c r="B79" s="31"/>
      <x:c r="C79" s="31"/>
      <x:c r="D79" s="31"/>
      <x:c r="E79" s="31"/>
      <x:c r="F79" s="31"/>
      <x:c r="G79" s="31"/>
      <x:c r="H79" s="31"/>
      <x:c r="I79" s="31"/>
      <x:c r="J79" s="32"/>
      <x:c r="K79" s="32"/>
      <x:c r="L79" s="32"/>
      <x:c r="M79" s="32"/>
      <x:c r="N79" s="32"/>
      <x:c r="O79" s="32"/>
      <x:c r="P79" s="32"/>
      <x:c r="Q79" s="31"/>
      <x:c r="R79" s="31"/>
      <x:c r="S79" s="31"/>
      <x:c r="T79" s="32"/>
      <x:c r="U79" s="32"/>
      <x:c r="V79" s="31"/>
      <x:c r="W79" s="31"/>
      <x:c r="X79" s="31"/>
      <x:c r="Y79" s="32"/>
      <x:c r="Z79" s="31"/>
      <x:c r="AA79" s="32"/>
      <x:c r="AB79" s="31"/>
      <x:c r="AC79" s="31"/>
      <x:c r="AD79" s="31"/>
      <x:c r="AE79" s="31"/>
      <x:c r="AF79" s="31"/>
    </x:row>
    <x:row r="80">
      <x:c r="A80" s="79"/>
      <x:c r="B80" s="31"/>
      <x:c r="C80" s="31"/>
      <x:c r="D80" s="31"/>
      <x:c r="E80" s="31"/>
      <x:c r="F80" s="31"/>
      <x:c r="G80" s="31"/>
      <x:c r="H80" s="31"/>
      <x:c r="I80" s="31"/>
      <x:c r="J80" s="32"/>
      <x:c r="K80" s="32"/>
      <x:c r="L80" s="32"/>
      <x:c r="M80" s="32"/>
      <x:c r="N80" s="32"/>
      <x:c r="O80" s="32"/>
      <x:c r="P80" s="32"/>
      <x:c r="Q80" s="31"/>
      <x:c r="R80" s="31"/>
      <x:c r="S80" s="31"/>
      <x:c r="T80" s="32"/>
      <x:c r="U80" s="32"/>
      <x:c r="V80" s="31"/>
      <x:c r="W80" s="31"/>
      <x:c r="X80" s="31"/>
      <x:c r="Y80" s="32"/>
      <x:c r="Z80" s="31"/>
      <x:c r="AA80" s="32"/>
      <x:c r="AB80" s="31"/>
      <x:c r="AC80" s="31"/>
      <x:c r="AD80" s="31"/>
      <x:c r="AE80" s="31"/>
      <x:c r="AF80" s="31"/>
    </x:row>
    <x:row r="81">
      <x:c r="A81" s="79"/>
      <x:c r="B81" s="31"/>
      <x:c r="C81" s="31"/>
      <x:c r="D81" s="31"/>
      <x:c r="E81" s="31"/>
      <x:c r="F81" s="31"/>
      <x:c r="G81" s="31"/>
      <x:c r="H81" s="31"/>
      <x:c r="I81" s="31"/>
      <x:c r="J81" s="32"/>
      <x:c r="K81" s="32"/>
      <x:c r="L81" s="32"/>
      <x:c r="M81" s="32"/>
      <x:c r="N81" s="32"/>
      <x:c r="O81" s="32"/>
      <x:c r="P81" s="32"/>
      <x:c r="Q81" s="31"/>
      <x:c r="R81" s="31"/>
      <x:c r="S81" s="31"/>
      <x:c r="T81" s="32"/>
      <x:c r="U81" s="32"/>
      <x:c r="V81" s="31"/>
      <x:c r="W81" s="31"/>
      <x:c r="X81" s="31"/>
      <x:c r="Y81" s="32"/>
      <x:c r="Z81" s="31"/>
      <x:c r="AA81" s="32"/>
      <x:c r="AB81" s="31"/>
      <x:c r="AC81" s="31"/>
      <x:c r="AD81" s="31"/>
      <x:c r="AE81" s="31"/>
      <x:c r="AF81" s="31"/>
    </x:row>
    <x:row r="82">
      <x:c r="A82" s="79"/>
      <x:c r="B82" s="31"/>
      <x:c r="C82" s="31"/>
      <x:c r="D82" s="31"/>
      <x:c r="E82" s="31"/>
      <x:c r="F82" s="31"/>
      <x:c r="G82" s="31"/>
      <x:c r="H82" s="31"/>
      <x:c r="I82" s="31"/>
      <x:c r="J82" s="32"/>
      <x:c r="K82" s="32"/>
      <x:c r="L82" s="32"/>
      <x:c r="M82" s="32"/>
      <x:c r="N82" s="32"/>
      <x:c r="O82" s="32"/>
      <x:c r="P82" s="32"/>
      <x:c r="Q82" s="31"/>
      <x:c r="R82" s="31"/>
      <x:c r="S82" s="31"/>
      <x:c r="T82" s="32"/>
      <x:c r="U82" s="32"/>
      <x:c r="V82" s="31"/>
      <x:c r="W82" s="31"/>
      <x:c r="X82" s="31"/>
      <x:c r="Y82" s="32"/>
      <x:c r="Z82" s="31"/>
      <x:c r="AA82" s="32"/>
      <x:c r="AB82" s="31"/>
      <x:c r="AC82" s="31"/>
      <x:c r="AD82" s="31"/>
      <x:c r="AE82" s="31"/>
      <x:c r="AF82" s="31"/>
    </x:row>
    <x:row r="83">
      <x:c r="A83" s="79"/>
      <x:c r="B83" s="31"/>
      <x:c r="C83" s="31"/>
      <x:c r="D83" s="31"/>
      <x:c r="E83" s="31"/>
      <x:c r="F83" s="31"/>
      <x:c r="G83" s="31"/>
      <x:c r="H83" s="31"/>
      <x:c r="I83" s="31"/>
      <x:c r="J83" s="32"/>
      <x:c r="K83" s="32"/>
      <x:c r="L83" s="32"/>
      <x:c r="M83" s="32"/>
      <x:c r="N83" s="32"/>
      <x:c r="O83" s="32"/>
      <x:c r="P83" s="32"/>
      <x:c r="Q83" s="31"/>
      <x:c r="R83" s="31"/>
      <x:c r="S83" s="31"/>
      <x:c r="T83" s="32"/>
      <x:c r="U83" s="32"/>
      <x:c r="V83" s="31"/>
      <x:c r="W83" s="31"/>
      <x:c r="X83" s="31"/>
      <x:c r="Y83" s="32"/>
      <x:c r="Z83" s="31"/>
      <x:c r="AA83" s="32"/>
      <x:c r="AB83" s="31"/>
      <x:c r="AC83" s="31"/>
      <x:c r="AD83" s="31"/>
      <x:c r="AE83" s="31"/>
      <x:c r="AF83" s="31"/>
    </x:row>
    <x:row r="84">
      <x:c r="A84" s="79"/>
      <x:c r="B84" s="31"/>
      <x:c r="C84" s="31"/>
      <x:c r="D84" s="31"/>
      <x:c r="E84" s="31"/>
      <x:c r="F84" s="31"/>
      <x:c r="G84" s="31"/>
      <x:c r="H84" s="31"/>
      <x:c r="I84" s="31"/>
      <x:c r="J84" s="32"/>
      <x:c r="K84" s="32"/>
      <x:c r="L84" s="32"/>
      <x:c r="M84" s="32"/>
      <x:c r="N84" s="32"/>
      <x:c r="O84" s="32"/>
      <x:c r="P84" s="32"/>
      <x:c r="Q84" s="31"/>
      <x:c r="R84" s="31"/>
      <x:c r="S84" s="31"/>
      <x:c r="T84" s="32"/>
      <x:c r="U84" s="32"/>
      <x:c r="V84" s="31"/>
      <x:c r="W84" s="31"/>
      <x:c r="X84" s="31"/>
      <x:c r="Y84" s="32"/>
      <x:c r="Z84" s="31"/>
      <x:c r="AA84" s="32"/>
      <x:c r="AB84" s="31"/>
      <x:c r="AC84" s="31"/>
      <x:c r="AD84" s="31"/>
      <x:c r="AE84" s="31"/>
      <x:c r="AF84" s="31"/>
    </x:row>
    <x:row r="85">
      <x:c r="A85" s="79"/>
      <x:c r="B85" s="31"/>
      <x:c r="C85" s="31"/>
      <x:c r="D85" s="31"/>
      <x:c r="E85" s="31"/>
      <x:c r="F85" s="31"/>
      <x:c r="G85" s="31"/>
      <x:c r="H85" s="31"/>
      <x:c r="I85" s="31"/>
      <x:c r="J85" s="32"/>
      <x:c r="K85" s="32"/>
      <x:c r="L85" s="32"/>
      <x:c r="M85" s="32"/>
      <x:c r="N85" s="32"/>
      <x:c r="O85" s="32"/>
      <x:c r="P85" s="32"/>
      <x:c r="Q85" s="31"/>
      <x:c r="R85" s="31"/>
      <x:c r="S85" s="31"/>
      <x:c r="T85" s="32"/>
      <x:c r="U85" s="32"/>
      <x:c r="V85" s="31"/>
      <x:c r="W85" s="31"/>
      <x:c r="X85" s="31"/>
      <x:c r="Y85" s="32"/>
      <x:c r="Z85" s="31"/>
      <x:c r="AA85" s="32"/>
      <x:c r="AB85" s="31"/>
      <x:c r="AC85" s="31"/>
      <x:c r="AD85" s="31"/>
      <x:c r="AE85" s="31"/>
      <x:c r="AF85" s="31"/>
    </x:row>
    <x:row r="86">
      <x:c r="A86" s="79"/>
      <x:c r="B86" s="31"/>
      <x:c r="C86" s="31"/>
      <x:c r="D86" s="31"/>
      <x:c r="E86" s="31"/>
      <x:c r="F86" s="31"/>
      <x:c r="G86" s="31"/>
      <x:c r="H86" s="31"/>
      <x:c r="I86" s="31"/>
      <x:c r="J86" s="32"/>
      <x:c r="K86" s="32"/>
      <x:c r="L86" s="32"/>
      <x:c r="M86" s="32"/>
      <x:c r="N86" s="32"/>
      <x:c r="O86" s="32"/>
      <x:c r="P86" s="32"/>
      <x:c r="Q86" s="31"/>
      <x:c r="R86" s="31"/>
      <x:c r="S86" s="31"/>
      <x:c r="T86" s="32"/>
      <x:c r="U86" s="32"/>
      <x:c r="V86" s="31"/>
      <x:c r="W86" s="31"/>
      <x:c r="X86" s="31"/>
      <x:c r="Y86" s="32"/>
      <x:c r="Z86" s="31"/>
      <x:c r="AA86" s="32"/>
      <x:c r="AB86" s="31"/>
      <x:c r="AC86" s="31"/>
      <x:c r="AD86" s="31"/>
      <x:c r="AE86" s="31"/>
      <x:c r="AF86" s="31"/>
    </x:row>
    <x:row r="87">
      <x:c r="A87" s="79"/>
      <x:c r="B87" s="31"/>
      <x:c r="C87" s="31"/>
      <x:c r="D87" s="31"/>
      <x:c r="E87" s="31"/>
      <x:c r="F87" s="31"/>
      <x:c r="G87" s="31"/>
      <x:c r="H87" s="31"/>
      <x:c r="I87" s="31"/>
      <x:c r="J87" s="32"/>
      <x:c r="K87" s="32"/>
      <x:c r="L87" s="32"/>
      <x:c r="M87" s="32"/>
      <x:c r="N87" s="32"/>
      <x:c r="O87" s="32"/>
      <x:c r="P87" s="32"/>
      <x:c r="Q87" s="31"/>
      <x:c r="R87" s="31"/>
      <x:c r="S87" s="31"/>
      <x:c r="T87" s="32"/>
      <x:c r="U87" s="32"/>
      <x:c r="V87" s="31"/>
      <x:c r="W87" s="31"/>
      <x:c r="X87" s="31"/>
      <x:c r="Y87" s="32"/>
      <x:c r="Z87" s="31"/>
      <x:c r="AA87" s="32"/>
      <x:c r="AB87" s="31"/>
      <x:c r="AC87" s="31"/>
      <x:c r="AD87" s="31"/>
      <x:c r="AE87" s="31"/>
      <x:c r="AF87" s="31"/>
    </x:row>
    <x:row r="88">
      <x:c r="A88" s="79"/>
      <x:c r="B88" s="31"/>
      <x:c r="C88" s="31"/>
      <x:c r="D88" s="31"/>
      <x:c r="E88" s="31"/>
      <x:c r="F88" s="31"/>
      <x:c r="G88" s="31"/>
      <x:c r="H88" s="31"/>
      <x:c r="I88" s="31"/>
      <x:c r="J88" s="32"/>
      <x:c r="K88" s="32"/>
      <x:c r="L88" s="32"/>
      <x:c r="M88" s="32"/>
      <x:c r="N88" s="32"/>
      <x:c r="O88" s="32"/>
      <x:c r="P88" s="32"/>
      <x:c r="Q88" s="31"/>
      <x:c r="R88" s="31"/>
      <x:c r="S88" s="31"/>
      <x:c r="T88" s="32"/>
      <x:c r="U88" s="32"/>
      <x:c r="V88" s="31"/>
      <x:c r="W88" s="31"/>
      <x:c r="X88" s="31"/>
      <x:c r="Y88" s="32"/>
      <x:c r="Z88" s="31"/>
      <x:c r="AA88" s="32"/>
      <x:c r="AB88" s="31"/>
      <x:c r="AC88" s="31"/>
      <x:c r="AD88" s="31"/>
      <x:c r="AE88" s="31"/>
      <x:c r="AF88" s="31"/>
    </x:row>
    <x:row r="89">
      <x:c r="A89" s="79"/>
      <x:c r="B89" s="31"/>
      <x:c r="C89" s="31"/>
      <x:c r="D89" s="31"/>
      <x:c r="E89" s="31"/>
      <x:c r="F89" s="31"/>
      <x:c r="G89" s="31"/>
      <x:c r="H89" s="31"/>
      <x:c r="I89" s="31"/>
      <x:c r="J89" s="32"/>
      <x:c r="K89" s="32"/>
      <x:c r="L89" s="32"/>
      <x:c r="M89" s="32"/>
      <x:c r="N89" s="32"/>
      <x:c r="O89" s="32"/>
      <x:c r="P89" s="32"/>
      <x:c r="Q89" s="31"/>
      <x:c r="R89" s="31"/>
      <x:c r="S89" s="31"/>
      <x:c r="T89" s="32"/>
      <x:c r="U89" s="32"/>
      <x:c r="V89" s="31"/>
      <x:c r="W89" s="31"/>
      <x:c r="X89" s="31"/>
      <x:c r="Y89" s="32"/>
      <x:c r="Z89" s="31"/>
      <x:c r="AA89" s="32"/>
      <x:c r="AB89" s="31"/>
      <x:c r="AC89" s="31"/>
      <x:c r="AD89" s="31"/>
      <x:c r="AE89" s="31"/>
      <x:c r="AF89" s="31"/>
    </x:row>
    <x:row r="90">
      <x:c r="A90" s="79"/>
      <x:c r="B90" s="31"/>
      <x:c r="C90" s="31"/>
      <x:c r="D90" s="31"/>
      <x:c r="E90" s="31"/>
      <x:c r="F90" s="31"/>
      <x:c r="G90" s="31"/>
      <x:c r="H90" s="31"/>
      <x:c r="I90" s="31"/>
      <x:c r="J90" s="32"/>
      <x:c r="K90" s="32"/>
      <x:c r="L90" s="32"/>
      <x:c r="M90" s="32"/>
      <x:c r="N90" s="32"/>
      <x:c r="O90" s="32"/>
      <x:c r="P90" s="32"/>
      <x:c r="Q90" s="31"/>
      <x:c r="R90" s="31"/>
      <x:c r="S90" s="31"/>
      <x:c r="T90" s="32"/>
      <x:c r="U90" s="32"/>
      <x:c r="V90" s="31"/>
      <x:c r="W90" s="31"/>
      <x:c r="X90" s="31"/>
      <x:c r="Y90" s="32"/>
      <x:c r="Z90" s="31"/>
      <x:c r="AA90" s="32"/>
      <x:c r="AB90" s="31"/>
      <x:c r="AC90" s="31"/>
      <x:c r="AD90" s="31"/>
      <x:c r="AE90" s="31"/>
      <x:c r="AF90" s="31"/>
    </x:row>
    <x:row r="91">
      <x:c r="A91" s="79"/>
      <x:c r="B91" s="31"/>
      <x:c r="C91" s="31"/>
      <x:c r="D91" s="31"/>
      <x:c r="E91" s="31"/>
      <x:c r="F91" s="31"/>
      <x:c r="G91" s="31"/>
      <x:c r="H91" s="31"/>
      <x:c r="I91" s="31"/>
      <x:c r="J91" s="32"/>
      <x:c r="K91" s="32"/>
      <x:c r="L91" s="32"/>
      <x:c r="M91" s="32"/>
      <x:c r="N91" s="32"/>
      <x:c r="O91" s="32"/>
      <x:c r="P91" s="32"/>
      <x:c r="Q91" s="31"/>
      <x:c r="R91" s="31"/>
      <x:c r="S91" s="31"/>
      <x:c r="T91" s="32"/>
      <x:c r="U91" s="32"/>
      <x:c r="V91" s="31"/>
      <x:c r="W91" s="31"/>
      <x:c r="X91" s="31"/>
      <x:c r="Y91" s="32"/>
      <x:c r="Z91" s="31"/>
      <x:c r="AA91" s="32"/>
      <x:c r="AB91" s="31"/>
      <x:c r="AC91" s="31"/>
      <x:c r="AD91" s="31"/>
      <x:c r="AE91" s="31"/>
      <x:c r="AF91" s="31"/>
    </x:row>
    <x:row r="92">
      <x:c r="A92" s="79"/>
      <x:c r="B92" s="31"/>
      <x:c r="C92" s="31"/>
      <x:c r="D92" s="31"/>
      <x:c r="E92" s="31"/>
      <x:c r="F92" s="31"/>
      <x:c r="G92" s="31"/>
      <x:c r="H92" s="31"/>
      <x:c r="I92" s="31"/>
      <x:c r="J92" s="32"/>
      <x:c r="K92" s="32"/>
      <x:c r="L92" s="32"/>
      <x:c r="M92" s="32"/>
      <x:c r="N92" s="32"/>
      <x:c r="O92" s="32"/>
      <x:c r="P92" s="32"/>
      <x:c r="Q92" s="31"/>
      <x:c r="R92" s="31"/>
      <x:c r="S92" s="31"/>
      <x:c r="T92" s="32"/>
      <x:c r="U92" s="32"/>
      <x:c r="V92" s="31"/>
      <x:c r="W92" s="31"/>
      <x:c r="X92" s="31"/>
      <x:c r="Y92" s="32"/>
      <x:c r="Z92" s="31"/>
      <x:c r="AA92" s="32"/>
      <x:c r="AB92" s="31"/>
      <x:c r="AC92" s="31"/>
      <x:c r="AD92" s="31"/>
      <x:c r="AE92" s="31"/>
      <x:c r="AF92" s="31"/>
    </x:row>
    <x:row r="93">
      <x:c r="A93" s="79"/>
      <x:c r="B93" s="31"/>
      <x:c r="C93" s="31"/>
      <x:c r="D93" s="31"/>
      <x:c r="E93" s="31"/>
      <x:c r="F93" s="31"/>
      <x:c r="G93" s="31"/>
      <x:c r="H93" s="31"/>
      <x:c r="I93" s="31"/>
      <x:c r="J93" s="32"/>
      <x:c r="K93" s="32"/>
      <x:c r="L93" s="32"/>
      <x:c r="M93" s="32"/>
      <x:c r="N93" s="32"/>
      <x:c r="O93" s="32"/>
      <x:c r="P93" s="32"/>
      <x:c r="Q93" s="31"/>
      <x:c r="R93" s="31"/>
      <x:c r="S93" s="31"/>
      <x:c r="T93" s="32"/>
      <x:c r="U93" s="32"/>
      <x:c r="V93" s="31"/>
      <x:c r="W93" s="31"/>
      <x:c r="X93" s="31"/>
      <x:c r="Y93" s="32"/>
      <x:c r="Z93" s="31"/>
      <x:c r="AA93" s="32"/>
      <x:c r="AB93" s="31"/>
      <x:c r="AC93" s="31"/>
      <x:c r="AD93" s="31"/>
      <x:c r="AE93" s="31"/>
      <x:c r="AF93" s="31"/>
    </x:row>
    <x:row r="94">
      <x:c r="A94" s="79"/>
      <x:c r="B94" s="31"/>
      <x:c r="C94" s="31"/>
      <x:c r="D94" s="31"/>
      <x:c r="E94" s="31"/>
      <x:c r="F94" s="31"/>
      <x:c r="G94" s="31"/>
      <x:c r="H94" s="31"/>
      <x:c r="I94" s="31"/>
      <x:c r="J94" s="32"/>
      <x:c r="K94" s="32"/>
      <x:c r="L94" s="32"/>
      <x:c r="M94" s="32"/>
      <x:c r="N94" s="32"/>
      <x:c r="O94" s="32"/>
      <x:c r="P94" s="32"/>
      <x:c r="Q94" s="31"/>
      <x:c r="R94" s="31"/>
      <x:c r="S94" s="31"/>
      <x:c r="T94" s="32"/>
      <x:c r="U94" s="32"/>
      <x:c r="V94" s="31"/>
      <x:c r="W94" s="31"/>
      <x:c r="X94" s="31"/>
      <x:c r="Y94" s="32"/>
      <x:c r="Z94" s="31"/>
      <x:c r="AA94" s="32"/>
      <x:c r="AB94" s="31"/>
      <x:c r="AC94" s="31"/>
      <x:c r="AD94" s="31"/>
      <x:c r="AE94" s="31"/>
      <x:c r="AF94" s="31"/>
    </x:row>
    <x:row r="95">
      <x:c r="A95" s="79"/>
      <x:c r="B95" s="31"/>
      <x:c r="C95" s="31"/>
      <x:c r="D95" s="31"/>
      <x:c r="E95" s="31"/>
      <x:c r="F95" s="31"/>
      <x:c r="G95" s="31"/>
      <x:c r="H95" s="31"/>
      <x:c r="I95" s="31"/>
      <x:c r="J95" s="32"/>
      <x:c r="K95" s="32"/>
      <x:c r="L95" s="32"/>
      <x:c r="M95" s="32"/>
      <x:c r="N95" s="32"/>
      <x:c r="O95" s="32"/>
      <x:c r="P95" s="32"/>
      <x:c r="Q95" s="31"/>
      <x:c r="R95" s="31"/>
      <x:c r="S95" s="31"/>
      <x:c r="T95" s="32"/>
      <x:c r="U95" s="32"/>
      <x:c r="V95" s="31"/>
      <x:c r="W95" s="31"/>
      <x:c r="X95" s="31"/>
      <x:c r="Y95" s="32"/>
      <x:c r="Z95" s="31"/>
      <x:c r="AA95" s="32"/>
      <x:c r="AB95" s="31"/>
      <x:c r="AC95" s="31"/>
      <x:c r="AD95" s="31"/>
      <x:c r="AE95" s="31"/>
      <x:c r="AF95" s="31"/>
    </x:row>
    <x:row r="96">
      <x:c r="A96" s="79"/>
      <x:c r="B96" s="31"/>
      <x:c r="C96" s="31"/>
      <x:c r="D96" s="31"/>
      <x:c r="E96" s="31"/>
      <x:c r="F96" s="31"/>
      <x:c r="G96" s="31"/>
      <x:c r="H96" s="31"/>
      <x:c r="I96" s="31"/>
      <x:c r="J96" s="32"/>
      <x:c r="K96" s="32"/>
      <x:c r="L96" s="32"/>
      <x:c r="M96" s="32"/>
      <x:c r="N96" s="32"/>
      <x:c r="O96" s="32"/>
      <x:c r="P96" s="32"/>
      <x:c r="Q96" s="31"/>
      <x:c r="R96" s="31"/>
      <x:c r="S96" s="31"/>
      <x:c r="T96" s="32"/>
      <x:c r="U96" s="32"/>
      <x:c r="V96" s="31"/>
      <x:c r="W96" s="31"/>
      <x:c r="X96" s="31"/>
      <x:c r="Y96" s="32"/>
      <x:c r="Z96" s="31"/>
      <x:c r="AA96" s="32"/>
      <x:c r="AB96" s="31"/>
      <x:c r="AC96" s="31"/>
      <x:c r="AD96" s="31"/>
      <x:c r="AE96" s="31"/>
      <x:c r="AF96" s="31"/>
    </x:row>
    <x:row r="97">
      <x:c r="A97" s="79"/>
      <x:c r="B97" s="31"/>
      <x:c r="C97" s="31"/>
      <x:c r="D97" s="31"/>
      <x:c r="E97" s="31"/>
      <x:c r="F97" s="31"/>
      <x:c r="G97" s="31"/>
      <x:c r="H97" s="31"/>
      <x:c r="I97" s="31"/>
      <x:c r="J97" s="32"/>
      <x:c r="K97" s="32"/>
      <x:c r="L97" s="32"/>
      <x:c r="M97" s="32"/>
      <x:c r="N97" s="32"/>
      <x:c r="O97" s="32"/>
      <x:c r="P97" s="32"/>
      <x:c r="Q97" s="31"/>
      <x:c r="R97" s="31"/>
      <x:c r="S97" s="31"/>
      <x:c r="T97" s="32"/>
      <x:c r="U97" s="32"/>
      <x:c r="V97" s="31"/>
      <x:c r="W97" s="31"/>
      <x:c r="X97" s="31"/>
      <x:c r="Y97" s="32"/>
      <x:c r="Z97" s="31"/>
      <x:c r="AA97" s="32"/>
      <x:c r="AB97" s="31"/>
      <x:c r="AC97" s="31"/>
      <x:c r="AD97" s="31"/>
      <x:c r="AE97" s="31"/>
      <x:c r="AF97" s="31"/>
    </x:row>
    <x:row r="98">
      <x:c r="A98" s="79"/>
      <x:c r="B98" s="31"/>
      <x:c r="C98" s="31"/>
      <x:c r="D98" s="31"/>
      <x:c r="E98" s="31"/>
      <x:c r="F98" s="31"/>
      <x:c r="G98" s="31"/>
      <x:c r="H98" s="31"/>
      <x:c r="I98" s="31"/>
      <x:c r="J98" s="32"/>
      <x:c r="K98" s="32"/>
      <x:c r="L98" s="32"/>
      <x:c r="M98" s="32"/>
      <x:c r="N98" s="32"/>
      <x:c r="O98" s="32"/>
      <x:c r="P98" s="32"/>
      <x:c r="Q98" s="31"/>
      <x:c r="R98" s="31"/>
      <x:c r="S98" s="31"/>
      <x:c r="T98" s="32"/>
      <x:c r="U98" s="32"/>
      <x:c r="V98" s="31"/>
      <x:c r="W98" s="31"/>
      <x:c r="X98" s="31"/>
      <x:c r="Y98" s="32"/>
      <x:c r="Z98" s="31"/>
      <x:c r="AA98" s="32"/>
      <x:c r="AB98" s="31"/>
      <x:c r="AC98" s="31"/>
      <x:c r="AD98" s="31"/>
      <x:c r="AE98" s="31"/>
      <x:c r="AF98" s="31"/>
    </x:row>
    <x:row r="99">
      <x:c r="A99" s="79"/>
      <x:c r="B99" s="31"/>
      <x:c r="C99" s="31"/>
      <x:c r="D99" s="31"/>
      <x:c r="E99" s="31"/>
      <x:c r="F99" s="31"/>
      <x:c r="G99" s="31"/>
      <x:c r="H99" s="31"/>
      <x:c r="I99" s="31"/>
      <x:c r="J99" s="32"/>
      <x:c r="K99" s="32"/>
      <x:c r="L99" s="32"/>
      <x:c r="M99" s="32"/>
      <x:c r="N99" s="32"/>
      <x:c r="O99" s="32"/>
      <x:c r="P99" s="32"/>
      <x:c r="Q99" s="31"/>
      <x:c r="R99" s="31"/>
      <x:c r="S99" s="31"/>
      <x:c r="T99" s="32"/>
      <x:c r="U99" s="32"/>
      <x:c r="V99" s="31"/>
      <x:c r="W99" s="31"/>
      <x:c r="X99" s="31"/>
      <x:c r="Y99" s="32"/>
      <x:c r="Z99" s="31"/>
      <x:c r="AA99" s="32"/>
      <x:c r="AB99" s="31"/>
      <x:c r="AC99" s="31"/>
      <x:c r="AD99" s="31"/>
      <x:c r="AE99" s="31"/>
      <x:c r="AF99" s="31"/>
    </x:row>
    <x:row r="100">
      <x:c r="A100" s="79"/>
      <x:c r="B100" s="31"/>
      <x:c r="C100" s="31"/>
      <x:c r="D100" s="31"/>
      <x:c r="E100" s="31"/>
      <x:c r="F100" s="31"/>
      <x:c r="G100" s="31"/>
      <x:c r="H100" s="31"/>
      <x:c r="I100" s="31"/>
      <x:c r="J100" s="32"/>
      <x:c r="K100" s="32"/>
      <x:c r="L100" s="32"/>
      <x:c r="M100" s="32"/>
      <x:c r="N100" s="32"/>
      <x:c r="O100" s="32"/>
      <x:c r="P100" s="32"/>
      <x:c r="Q100" s="31"/>
      <x:c r="R100" s="31"/>
      <x:c r="S100" s="31"/>
      <x:c r="T100" s="32"/>
      <x:c r="U100" s="32"/>
      <x:c r="V100" s="31"/>
      <x:c r="W100" s="31"/>
      <x:c r="X100" s="31"/>
      <x:c r="Y100" s="32"/>
      <x:c r="Z100" s="31"/>
      <x:c r="AA100" s="32"/>
      <x:c r="AB100" s="31"/>
      <x:c r="AC100" s="31"/>
      <x:c r="AD100" s="31"/>
      <x:c r="AE100" s="31"/>
      <x:c r="AF100" s="31"/>
    </x:row>
    <x:row r="101">
      <x:c r="A101" s="79"/>
      <x:c r="B101" s="31"/>
      <x:c r="C101" s="31"/>
      <x:c r="D101" s="31"/>
      <x:c r="E101" s="31"/>
      <x:c r="F101" s="31"/>
      <x:c r="G101" s="31"/>
      <x:c r="H101" s="31"/>
      <x:c r="I101" s="31"/>
      <x:c r="J101" s="32"/>
      <x:c r="K101" s="32"/>
      <x:c r="L101" s="32"/>
      <x:c r="M101" s="32"/>
      <x:c r="N101" s="32"/>
      <x:c r="O101" s="32"/>
      <x:c r="P101" s="32"/>
      <x:c r="Q101" s="31"/>
      <x:c r="R101" s="31"/>
      <x:c r="S101" s="31"/>
      <x:c r="T101" s="32"/>
      <x:c r="U101" s="32"/>
      <x:c r="V101" s="31"/>
      <x:c r="W101" s="31"/>
      <x:c r="X101" s="31"/>
      <x:c r="Y101" s="32"/>
      <x:c r="Z101" s="31"/>
      <x:c r="AA101" s="32"/>
      <x:c r="AB101" s="31"/>
      <x:c r="AC101" s="31"/>
      <x:c r="AD101" s="31"/>
      <x:c r="AE101" s="31"/>
      <x:c r="AF101" s="31"/>
    </x:row>
    <x:row r="102">
      <x:c r="A102" s="79"/>
      <x:c r="B102" s="31"/>
      <x:c r="C102" s="31"/>
      <x:c r="D102" s="31"/>
      <x:c r="E102" s="31"/>
      <x:c r="F102" s="31"/>
      <x:c r="G102" s="31"/>
      <x:c r="H102" s="31"/>
      <x:c r="I102" s="31"/>
      <x:c r="J102" s="32"/>
      <x:c r="K102" s="32"/>
      <x:c r="L102" s="32"/>
      <x:c r="M102" s="32"/>
      <x:c r="N102" s="32"/>
      <x:c r="O102" s="32"/>
      <x:c r="P102" s="32"/>
      <x:c r="Q102" s="31"/>
      <x:c r="R102" s="31"/>
      <x:c r="S102" s="31"/>
      <x:c r="T102" s="32"/>
      <x:c r="U102" s="32"/>
      <x:c r="V102" s="31"/>
      <x:c r="W102" s="31"/>
      <x:c r="X102" s="31"/>
      <x:c r="Y102" s="32"/>
      <x:c r="Z102" s="31"/>
      <x:c r="AA102" s="32"/>
      <x:c r="AB102" s="31"/>
      <x:c r="AC102" s="31"/>
      <x:c r="AD102" s="31"/>
      <x:c r="AE102" s="31"/>
      <x:c r="AF102" s="31"/>
    </x:row>
    <x:row r="103">
      <x:c r="A103" s="79"/>
      <x:c r="B103" s="31"/>
      <x:c r="C103" s="31"/>
      <x:c r="D103" s="31"/>
      <x:c r="E103" s="31"/>
      <x:c r="F103" s="31"/>
      <x:c r="G103" s="31"/>
      <x:c r="H103" s="31"/>
      <x:c r="I103" s="31"/>
      <x:c r="J103" s="32"/>
      <x:c r="K103" s="32"/>
      <x:c r="L103" s="32"/>
      <x:c r="M103" s="32"/>
      <x:c r="N103" s="32"/>
      <x:c r="O103" s="32"/>
      <x:c r="P103" s="32"/>
      <x:c r="Q103" s="31"/>
      <x:c r="R103" s="31"/>
      <x:c r="S103" s="31"/>
      <x:c r="T103" s="32"/>
      <x:c r="U103" s="32"/>
      <x:c r="V103" s="31"/>
      <x:c r="W103" s="31"/>
      <x:c r="X103" s="31"/>
      <x:c r="Y103" s="32"/>
      <x:c r="Z103" s="31"/>
      <x:c r="AA103" s="32"/>
      <x:c r="AB103" s="31"/>
      <x:c r="AC103" s="31"/>
      <x:c r="AD103" s="31"/>
      <x:c r="AE103" s="31"/>
      <x:c r="AF103" s="31"/>
    </x:row>
    <x:row r="104">
      <x:c r="A104" s="79"/>
      <x:c r="B104" s="31"/>
      <x:c r="C104" s="31"/>
      <x:c r="D104" s="31"/>
      <x:c r="E104" s="31"/>
      <x:c r="F104" s="31"/>
      <x:c r="G104" s="31"/>
      <x:c r="H104" s="31"/>
      <x:c r="I104" s="31"/>
      <x:c r="J104" s="32"/>
      <x:c r="K104" s="32"/>
      <x:c r="L104" s="32"/>
      <x:c r="M104" s="32"/>
      <x:c r="N104" s="32"/>
      <x:c r="O104" s="32"/>
      <x:c r="P104" s="32"/>
      <x:c r="Q104" s="31"/>
      <x:c r="R104" s="31"/>
      <x:c r="S104" s="31"/>
      <x:c r="T104" s="32"/>
      <x:c r="U104" s="32"/>
      <x:c r="V104" s="31"/>
      <x:c r="W104" s="31"/>
      <x:c r="X104" s="31"/>
      <x:c r="Y104" s="32"/>
      <x:c r="Z104" s="31"/>
      <x:c r="AA104" s="32"/>
      <x:c r="AB104" s="31"/>
      <x:c r="AC104" s="31"/>
      <x:c r="AD104" s="31"/>
      <x:c r="AE104" s="31"/>
      <x:c r="AF104" s="31"/>
    </x:row>
    <x:row r="105">
      <x:c r="A105" s="79"/>
      <x:c r="B105" s="31"/>
      <x:c r="C105" s="31"/>
      <x:c r="D105" s="31"/>
      <x:c r="E105" s="31"/>
      <x:c r="F105" s="31"/>
      <x:c r="G105" s="31"/>
      <x:c r="H105" s="31"/>
      <x:c r="I105" s="31"/>
      <x:c r="J105" s="32"/>
      <x:c r="K105" s="32"/>
      <x:c r="L105" s="32"/>
      <x:c r="M105" s="32"/>
      <x:c r="N105" s="32"/>
      <x:c r="O105" s="32"/>
      <x:c r="P105" s="32"/>
      <x:c r="Q105" s="31"/>
      <x:c r="R105" s="31"/>
      <x:c r="S105" s="31"/>
      <x:c r="T105" s="32"/>
      <x:c r="U105" s="32"/>
      <x:c r="V105" s="31"/>
      <x:c r="W105" s="31"/>
      <x:c r="X105" s="31"/>
      <x:c r="Y105" s="32"/>
      <x:c r="Z105" s="31"/>
      <x:c r="AA105" s="32"/>
      <x:c r="AB105" s="31"/>
      <x:c r="AC105" s="31"/>
      <x:c r="AD105" s="31"/>
      <x:c r="AE105" s="31"/>
      <x:c r="AF105" s="31"/>
    </x:row>
    <x:row r="106">
      <x:c r="A106" s="79"/>
      <x:c r="B106" s="31"/>
      <x:c r="C106" s="31"/>
      <x:c r="D106" s="31"/>
      <x:c r="E106" s="31"/>
      <x:c r="F106" s="31"/>
      <x:c r="G106" s="31"/>
      <x:c r="H106" s="31"/>
      <x:c r="I106" s="31"/>
      <x:c r="J106" s="32"/>
      <x:c r="K106" s="32"/>
      <x:c r="L106" s="32"/>
      <x:c r="M106" s="32"/>
      <x:c r="N106" s="32"/>
      <x:c r="O106" s="32"/>
      <x:c r="P106" s="32"/>
      <x:c r="Q106" s="31"/>
      <x:c r="R106" s="31"/>
      <x:c r="S106" s="31"/>
      <x:c r="T106" s="32"/>
      <x:c r="U106" s="32"/>
      <x:c r="V106" s="31"/>
      <x:c r="W106" s="31"/>
      <x:c r="X106" s="31"/>
      <x:c r="Y106" s="32"/>
      <x:c r="Z106" s="31"/>
      <x:c r="AA106" s="32"/>
      <x:c r="AB106" s="31"/>
      <x:c r="AC106" s="31"/>
      <x:c r="AD106" s="31"/>
      <x:c r="AE106" s="31"/>
      <x:c r="AF106" s="31"/>
    </x:row>
    <x:row r="107">
      <x:c r="A107" s="79"/>
      <x:c r="B107" s="31"/>
      <x:c r="C107" s="31"/>
      <x:c r="D107" s="31"/>
      <x:c r="E107" s="31"/>
      <x:c r="F107" s="31"/>
      <x:c r="G107" s="31"/>
      <x:c r="H107" s="31"/>
      <x:c r="I107" s="31"/>
      <x:c r="J107" s="32"/>
      <x:c r="K107" s="32"/>
      <x:c r="L107" s="32"/>
      <x:c r="M107" s="32"/>
      <x:c r="N107" s="32"/>
      <x:c r="O107" s="32"/>
      <x:c r="P107" s="32"/>
      <x:c r="Q107" s="31"/>
      <x:c r="R107" s="31"/>
      <x:c r="S107" s="31"/>
      <x:c r="T107" s="32"/>
      <x:c r="U107" s="32"/>
      <x:c r="V107" s="31"/>
      <x:c r="W107" s="31"/>
      <x:c r="X107" s="31"/>
      <x:c r="Y107" s="32"/>
      <x:c r="Z107" s="31"/>
      <x:c r="AA107" s="32"/>
      <x:c r="AB107" s="31"/>
      <x:c r="AC107" s="31"/>
      <x:c r="AD107" s="31"/>
      <x:c r="AE107" s="31"/>
      <x:c r="AF107" s="31"/>
    </x:row>
    <x:row r="108">
      <x:c r="A108" s="79"/>
      <x:c r="B108" s="31"/>
      <x:c r="C108" s="31"/>
      <x:c r="D108" s="31"/>
      <x:c r="E108" s="31"/>
      <x:c r="F108" s="31"/>
      <x:c r="G108" s="31"/>
      <x:c r="H108" s="31"/>
      <x:c r="I108" s="31"/>
      <x:c r="J108" s="32"/>
      <x:c r="K108" s="32"/>
      <x:c r="L108" s="32"/>
      <x:c r="M108" s="32"/>
      <x:c r="N108" s="32"/>
      <x:c r="O108" s="32"/>
      <x:c r="P108" s="32"/>
      <x:c r="Q108" s="31"/>
      <x:c r="R108" s="31"/>
      <x:c r="S108" s="31"/>
      <x:c r="T108" s="32"/>
      <x:c r="U108" s="32"/>
      <x:c r="V108" s="31"/>
      <x:c r="W108" s="31"/>
      <x:c r="X108" s="31"/>
      <x:c r="Y108" s="32"/>
      <x:c r="Z108" s="31"/>
      <x:c r="AA108" s="32"/>
      <x:c r="AB108" s="31"/>
      <x:c r="AC108" s="31"/>
      <x:c r="AD108" s="31"/>
      <x:c r="AE108" s="31"/>
      <x:c r="AF108" s="31"/>
    </x:row>
    <x:row r="109">
      <x:c r="A109" s="79"/>
      <x:c r="B109" s="31"/>
      <x:c r="C109" s="31"/>
      <x:c r="D109" s="31"/>
      <x:c r="E109" s="31"/>
      <x:c r="F109" s="31"/>
      <x:c r="G109" s="31"/>
      <x:c r="H109" s="31"/>
      <x:c r="I109" s="31"/>
      <x:c r="J109" s="32"/>
      <x:c r="K109" s="32"/>
      <x:c r="L109" s="32"/>
      <x:c r="M109" s="32"/>
      <x:c r="N109" s="32"/>
      <x:c r="O109" s="32"/>
      <x:c r="P109" s="32"/>
      <x:c r="Q109" s="31"/>
      <x:c r="R109" s="31"/>
      <x:c r="S109" s="31"/>
      <x:c r="T109" s="32"/>
      <x:c r="U109" s="32"/>
      <x:c r="V109" s="31"/>
      <x:c r="W109" s="31"/>
      <x:c r="X109" s="31"/>
      <x:c r="Y109" s="32"/>
      <x:c r="Z109" s="31"/>
      <x:c r="AA109" s="32"/>
      <x:c r="AB109" s="31"/>
      <x:c r="AC109" s="31"/>
      <x:c r="AD109" s="31"/>
      <x:c r="AE109" s="31"/>
      <x:c r="AF109" s="31"/>
    </x:row>
    <x:row r="110">
      <x:c r="A110" s="79"/>
      <x:c r="B110" s="31"/>
      <x:c r="C110" s="31"/>
      <x:c r="D110" s="31"/>
      <x:c r="E110" s="31"/>
      <x:c r="F110" s="31"/>
      <x:c r="G110" s="31"/>
      <x:c r="H110" s="31"/>
      <x:c r="I110" s="31"/>
      <x:c r="J110" s="32"/>
      <x:c r="K110" s="32"/>
      <x:c r="L110" s="32"/>
      <x:c r="M110" s="32"/>
      <x:c r="N110" s="32"/>
      <x:c r="O110" s="32"/>
      <x:c r="P110" s="32"/>
      <x:c r="Q110" s="31"/>
      <x:c r="R110" s="31"/>
      <x:c r="S110" s="31"/>
      <x:c r="T110" s="32"/>
      <x:c r="U110" s="32"/>
      <x:c r="V110" s="31"/>
      <x:c r="W110" s="31"/>
      <x:c r="X110" s="31"/>
      <x:c r="Y110" s="32"/>
      <x:c r="Z110" s="31"/>
      <x:c r="AA110" s="32"/>
      <x:c r="AB110" s="31"/>
      <x:c r="AC110" s="31"/>
      <x:c r="AD110" s="31"/>
      <x:c r="AE110" s="31"/>
      <x:c r="AF110" s="31"/>
    </x:row>
    <x:row r="111">
      <x:c r="A111" s="79"/>
      <x:c r="B111" s="31"/>
      <x:c r="C111" s="31"/>
      <x:c r="D111" s="31"/>
      <x:c r="E111" s="31"/>
      <x:c r="F111" s="31"/>
      <x:c r="G111" s="31"/>
      <x:c r="H111" s="31"/>
      <x:c r="I111" s="31"/>
      <x:c r="J111" s="32"/>
      <x:c r="K111" s="32"/>
      <x:c r="L111" s="32"/>
      <x:c r="M111" s="32"/>
      <x:c r="N111" s="32"/>
      <x:c r="O111" s="32"/>
      <x:c r="P111" s="32"/>
      <x:c r="Q111" s="31"/>
      <x:c r="R111" s="31"/>
      <x:c r="S111" s="31"/>
      <x:c r="T111" s="32"/>
      <x:c r="U111" s="32"/>
      <x:c r="V111" s="31"/>
      <x:c r="W111" s="31"/>
      <x:c r="X111" s="31"/>
      <x:c r="Y111" s="32"/>
      <x:c r="Z111" s="31"/>
      <x:c r="AA111" s="32"/>
      <x:c r="AB111" s="31"/>
      <x:c r="AC111" s="31"/>
      <x:c r="AD111" s="31"/>
      <x:c r="AE111" s="31"/>
      <x:c r="AF111" s="31"/>
    </x:row>
    <x:row r="112">
      <x:c r="A112" s="79"/>
      <x:c r="B112" s="31"/>
      <x:c r="C112" s="31"/>
      <x:c r="D112" s="31"/>
      <x:c r="E112" s="31"/>
      <x:c r="F112" s="31"/>
      <x:c r="G112" s="31"/>
      <x:c r="H112" s="31"/>
      <x:c r="I112" s="31"/>
      <x:c r="J112" s="32"/>
      <x:c r="K112" s="32"/>
      <x:c r="L112" s="32"/>
      <x:c r="M112" s="32"/>
      <x:c r="N112" s="32"/>
      <x:c r="O112" s="32"/>
      <x:c r="P112" s="32"/>
      <x:c r="Q112" s="31"/>
      <x:c r="R112" s="31"/>
      <x:c r="S112" s="31"/>
      <x:c r="T112" s="32"/>
      <x:c r="U112" s="32"/>
      <x:c r="V112" s="31"/>
      <x:c r="W112" s="31"/>
      <x:c r="X112" s="31"/>
      <x:c r="Y112" s="32"/>
      <x:c r="Z112" s="31"/>
      <x:c r="AA112" s="32"/>
      <x:c r="AB112" s="31"/>
      <x:c r="AC112" s="31"/>
      <x:c r="AD112" s="31"/>
      <x:c r="AE112" s="31"/>
      <x:c r="AF112" s="31"/>
    </x:row>
    <x:row r="113">
      <x:c r="A113" s="79"/>
      <x:c r="B113" s="31"/>
      <x:c r="C113" s="31"/>
      <x:c r="D113" s="31"/>
      <x:c r="E113" s="31"/>
      <x:c r="F113" s="31"/>
      <x:c r="G113" s="31"/>
      <x:c r="H113" s="31"/>
      <x:c r="I113" s="31"/>
      <x:c r="J113" s="32"/>
      <x:c r="K113" s="32"/>
      <x:c r="L113" s="32"/>
      <x:c r="M113" s="32"/>
      <x:c r="N113" s="32"/>
      <x:c r="O113" s="32"/>
      <x:c r="P113" s="32"/>
      <x:c r="Q113" s="31"/>
      <x:c r="R113" s="31"/>
      <x:c r="S113" s="31"/>
      <x:c r="T113" s="32"/>
      <x:c r="U113" s="32"/>
      <x:c r="V113" s="31"/>
      <x:c r="W113" s="31"/>
      <x:c r="X113" s="31"/>
      <x:c r="Y113" s="32"/>
      <x:c r="Z113" s="31"/>
      <x:c r="AA113" s="32"/>
      <x:c r="AB113" s="31"/>
      <x:c r="AC113" s="31"/>
      <x:c r="AD113" s="31"/>
      <x:c r="AE113" s="31"/>
      <x:c r="AF113" s="31"/>
    </x:row>
    <x:row r="114">
      <x:c r="A114" s="79"/>
      <x:c r="B114" s="31"/>
      <x:c r="C114" s="31"/>
      <x:c r="D114" s="31"/>
      <x:c r="E114" s="31"/>
      <x:c r="F114" s="31"/>
      <x:c r="G114" s="31"/>
      <x:c r="H114" s="31"/>
      <x:c r="I114" s="31"/>
      <x:c r="J114" s="32"/>
      <x:c r="K114" s="32"/>
      <x:c r="L114" s="32"/>
      <x:c r="M114" s="32"/>
      <x:c r="N114" s="32"/>
      <x:c r="O114" s="32"/>
      <x:c r="P114" s="32"/>
      <x:c r="Q114" s="31"/>
      <x:c r="R114" s="31"/>
      <x:c r="S114" s="31"/>
      <x:c r="T114" s="32"/>
      <x:c r="U114" s="32"/>
      <x:c r="V114" s="31"/>
      <x:c r="W114" s="31"/>
      <x:c r="X114" s="31"/>
      <x:c r="Y114" s="32"/>
      <x:c r="Z114" s="31"/>
      <x:c r="AA114" s="32"/>
      <x:c r="AB114" s="31"/>
      <x:c r="AC114" s="31"/>
      <x:c r="AD114" s="31"/>
      <x:c r="AE114" s="31"/>
      <x:c r="AF114" s="31"/>
    </x:row>
    <x:row r="115">
      <x:c r="A115" s="79"/>
      <x:c r="B115" s="31"/>
      <x:c r="C115" s="31"/>
      <x:c r="D115" s="31"/>
      <x:c r="E115" s="31"/>
      <x:c r="F115" s="31"/>
      <x:c r="G115" s="31"/>
      <x:c r="H115" s="31"/>
      <x:c r="I115" s="31"/>
      <x:c r="J115" s="32"/>
      <x:c r="K115" s="32"/>
      <x:c r="L115" s="32"/>
      <x:c r="M115" s="32"/>
      <x:c r="N115" s="32"/>
      <x:c r="O115" s="32"/>
      <x:c r="P115" s="32"/>
      <x:c r="Q115" s="31"/>
      <x:c r="R115" s="31"/>
      <x:c r="S115" s="31"/>
      <x:c r="T115" s="32"/>
      <x:c r="U115" s="32"/>
      <x:c r="V115" s="31"/>
      <x:c r="W115" s="31"/>
      <x:c r="X115" s="31"/>
      <x:c r="Y115" s="32"/>
      <x:c r="Z115" s="31"/>
      <x:c r="AA115" s="32"/>
      <x:c r="AB115" s="31"/>
      <x:c r="AC115" s="31"/>
      <x:c r="AD115" s="31"/>
      <x:c r="AE115" s="31"/>
      <x:c r="AF115" s="31"/>
    </x:row>
    <x:row r="116">
      <x:c r="A116" s="79"/>
      <x:c r="B116" s="31"/>
      <x:c r="C116" s="31"/>
      <x:c r="D116" s="31"/>
      <x:c r="E116" s="31"/>
      <x:c r="F116" s="31"/>
      <x:c r="G116" s="31"/>
      <x:c r="H116" s="31"/>
      <x:c r="I116" s="31"/>
      <x:c r="J116" s="32"/>
      <x:c r="K116" s="32"/>
      <x:c r="L116" s="32"/>
      <x:c r="M116" s="32"/>
      <x:c r="N116" s="32"/>
      <x:c r="O116" s="32"/>
      <x:c r="P116" s="32"/>
      <x:c r="Q116" s="31"/>
      <x:c r="R116" s="31"/>
      <x:c r="S116" s="31"/>
      <x:c r="T116" s="32"/>
      <x:c r="U116" s="32"/>
      <x:c r="V116" s="31"/>
      <x:c r="W116" s="31"/>
      <x:c r="X116" s="31"/>
      <x:c r="Y116" s="32"/>
      <x:c r="Z116" s="31"/>
      <x:c r="AA116" s="32"/>
      <x:c r="AB116" s="31"/>
      <x:c r="AC116" s="31"/>
      <x:c r="AD116" s="31"/>
      <x:c r="AE116" s="31"/>
      <x:c r="AF116" s="31"/>
    </x:row>
    <x:row r="117">
      <x:c r="A117" s="79"/>
      <x:c r="B117" s="31"/>
      <x:c r="C117" s="31"/>
      <x:c r="D117" s="31"/>
      <x:c r="E117" s="31"/>
      <x:c r="F117" s="31"/>
      <x:c r="G117" s="31"/>
      <x:c r="H117" s="31"/>
      <x:c r="I117" s="31"/>
      <x:c r="J117" s="32"/>
      <x:c r="K117" s="32"/>
      <x:c r="L117" s="32"/>
      <x:c r="M117" s="32"/>
      <x:c r="N117" s="32"/>
      <x:c r="O117" s="32"/>
      <x:c r="P117" s="32"/>
      <x:c r="Q117" s="31"/>
      <x:c r="R117" s="31"/>
      <x:c r="S117" s="31"/>
      <x:c r="T117" s="32"/>
      <x:c r="U117" s="32"/>
      <x:c r="V117" s="31"/>
      <x:c r="W117" s="31"/>
      <x:c r="X117" s="31"/>
      <x:c r="Y117" s="32"/>
      <x:c r="Z117" s="31"/>
      <x:c r="AA117" s="32"/>
      <x:c r="AB117" s="31"/>
      <x:c r="AC117" s="31"/>
      <x:c r="AD117" s="31"/>
      <x:c r="AE117" s="31"/>
      <x:c r="AF117" s="31"/>
    </x:row>
    <x:row r="118">
      <x:c r="A118" s="79"/>
      <x:c r="B118" s="31"/>
      <x:c r="C118" s="31"/>
      <x:c r="D118" s="31"/>
      <x:c r="E118" s="31"/>
      <x:c r="F118" s="31"/>
      <x:c r="G118" s="31"/>
      <x:c r="H118" s="31"/>
      <x:c r="I118" s="31"/>
      <x:c r="J118" s="32"/>
      <x:c r="K118" s="32"/>
      <x:c r="L118" s="32"/>
      <x:c r="M118" s="32"/>
      <x:c r="N118" s="32"/>
      <x:c r="O118" s="32"/>
      <x:c r="P118" s="32"/>
      <x:c r="Q118" s="31"/>
      <x:c r="R118" s="31"/>
      <x:c r="S118" s="31"/>
      <x:c r="T118" s="32"/>
      <x:c r="U118" s="32"/>
      <x:c r="V118" s="31"/>
      <x:c r="W118" s="31"/>
      <x:c r="X118" s="31"/>
      <x:c r="Y118" s="32"/>
      <x:c r="Z118" s="31"/>
      <x:c r="AA118" s="32"/>
      <x:c r="AB118" s="31"/>
      <x:c r="AC118" s="31"/>
      <x:c r="AD118" s="31"/>
      <x:c r="AE118" s="31"/>
      <x:c r="AF118" s="31"/>
    </x:row>
    <x:row r="119">
      <x:c r="A119" s="79"/>
      <x:c r="B119" s="31"/>
      <x:c r="C119" s="31"/>
      <x:c r="D119" s="31"/>
      <x:c r="E119" s="31"/>
      <x:c r="F119" s="31"/>
      <x:c r="G119" s="31"/>
      <x:c r="H119" s="31"/>
      <x:c r="I119" s="31"/>
      <x:c r="J119" s="32"/>
      <x:c r="K119" s="32"/>
      <x:c r="L119" s="32"/>
      <x:c r="M119" s="32"/>
      <x:c r="N119" s="32"/>
      <x:c r="O119" s="32"/>
      <x:c r="P119" s="32"/>
      <x:c r="Q119" s="31"/>
      <x:c r="R119" s="31"/>
      <x:c r="S119" s="31"/>
      <x:c r="T119" s="32"/>
      <x:c r="U119" s="32"/>
      <x:c r="V119" s="31"/>
      <x:c r="W119" s="31"/>
      <x:c r="X119" s="31"/>
      <x:c r="Y119" s="32"/>
      <x:c r="Z119" s="31"/>
      <x:c r="AA119" s="32"/>
      <x:c r="AB119" s="31"/>
      <x:c r="AC119" s="31"/>
      <x:c r="AD119" s="31"/>
      <x:c r="AE119" s="31"/>
      <x:c r="AF119" s="31"/>
    </x:row>
    <x:row r="120">
      <x:c r="A120" s="79"/>
      <x:c r="B120" s="31"/>
      <x:c r="C120" s="31"/>
      <x:c r="D120" s="31"/>
      <x:c r="E120" s="31"/>
      <x:c r="F120" s="31"/>
      <x:c r="G120" s="31"/>
      <x:c r="H120" s="31"/>
      <x:c r="I120" s="31"/>
      <x:c r="J120" s="32"/>
      <x:c r="K120" s="32"/>
      <x:c r="L120" s="32"/>
      <x:c r="M120" s="32"/>
      <x:c r="N120" s="32"/>
      <x:c r="O120" s="32"/>
      <x:c r="P120" s="32"/>
      <x:c r="Q120" s="31"/>
      <x:c r="R120" s="31"/>
      <x:c r="S120" s="31"/>
      <x:c r="T120" s="32"/>
      <x:c r="U120" s="32"/>
      <x:c r="V120" s="31"/>
      <x:c r="W120" s="31"/>
      <x:c r="X120" s="31"/>
      <x:c r="Y120" s="32"/>
      <x:c r="Z120" s="31"/>
      <x:c r="AA120" s="32"/>
      <x:c r="AB120" s="31"/>
      <x:c r="AC120" s="31"/>
      <x:c r="AD120" s="31"/>
      <x:c r="AE120" s="31"/>
      <x:c r="AF120" s="31"/>
    </x:row>
    <x:row r="121">
      <x:c r="A121" s="79"/>
      <x:c r="B121" s="31"/>
      <x:c r="C121" s="31"/>
      <x:c r="D121" s="31"/>
      <x:c r="E121" s="31"/>
      <x:c r="F121" s="31"/>
      <x:c r="G121" s="31"/>
      <x:c r="H121" s="31"/>
      <x:c r="I121" s="31"/>
      <x:c r="J121" s="32"/>
      <x:c r="K121" s="32"/>
      <x:c r="L121" s="32"/>
      <x:c r="M121" s="32"/>
      <x:c r="N121" s="32"/>
      <x:c r="O121" s="32"/>
      <x:c r="P121" s="32"/>
      <x:c r="Q121" s="31"/>
      <x:c r="R121" s="31"/>
      <x:c r="S121" s="31"/>
      <x:c r="T121" s="32"/>
      <x:c r="U121" s="32"/>
      <x:c r="V121" s="31"/>
      <x:c r="W121" s="31"/>
      <x:c r="X121" s="31"/>
      <x:c r="Y121" s="32"/>
      <x:c r="Z121" s="31"/>
      <x:c r="AA121" s="32"/>
      <x:c r="AB121" s="31"/>
      <x:c r="AC121" s="31"/>
      <x:c r="AD121" s="31"/>
      <x:c r="AE121" s="31"/>
      <x:c r="AF121" s="31"/>
    </x:row>
    <x:row r="122">
      <x:c r="A122" s="79"/>
      <x:c r="B122" s="31"/>
      <x:c r="C122" s="31"/>
      <x:c r="D122" s="31"/>
      <x:c r="E122" s="31"/>
      <x:c r="F122" s="31"/>
      <x:c r="G122" s="31"/>
      <x:c r="H122" s="31"/>
      <x:c r="I122" s="31"/>
      <x:c r="J122" s="32"/>
      <x:c r="K122" s="32"/>
      <x:c r="L122" s="32"/>
      <x:c r="M122" s="32"/>
      <x:c r="N122" s="32"/>
      <x:c r="O122" s="32"/>
      <x:c r="P122" s="32"/>
      <x:c r="Q122" s="31"/>
      <x:c r="R122" s="31"/>
      <x:c r="S122" s="31"/>
      <x:c r="T122" s="32"/>
      <x:c r="U122" s="32"/>
      <x:c r="V122" s="31"/>
      <x:c r="W122" s="31"/>
      <x:c r="X122" s="31"/>
      <x:c r="Y122" s="32"/>
      <x:c r="Z122" s="31"/>
      <x:c r="AA122" s="32"/>
      <x:c r="AB122" s="31"/>
      <x:c r="AC122" s="31"/>
      <x:c r="AD122" s="31"/>
      <x:c r="AE122" s="31"/>
      <x:c r="AF122" s="31"/>
    </x:row>
    <x:row r="123">
      <x:c r="A123" s="79"/>
      <x:c r="B123" s="31"/>
      <x:c r="C123" s="31"/>
      <x:c r="D123" s="31"/>
      <x:c r="E123" s="31"/>
      <x:c r="F123" s="31"/>
      <x:c r="G123" s="31"/>
      <x:c r="H123" s="31"/>
      <x:c r="I123" s="31"/>
      <x:c r="J123" s="32"/>
      <x:c r="K123" s="32"/>
      <x:c r="L123" s="32"/>
      <x:c r="M123" s="32"/>
      <x:c r="N123" s="32"/>
      <x:c r="O123" s="32"/>
      <x:c r="P123" s="32"/>
      <x:c r="Q123" s="31"/>
      <x:c r="R123" s="31"/>
      <x:c r="S123" s="31"/>
      <x:c r="T123" s="32"/>
      <x:c r="U123" s="32"/>
      <x:c r="V123" s="31"/>
      <x:c r="W123" s="31"/>
      <x:c r="X123" s="31"/>
      <x:c r="Y123" s="32"/>
      <x:c r="Z123" s="31"/>
      <x:c r="AA123" s="32"/>
      <x:c r="AB123" s="31"/>
      <x:c r="AC123" s="31"/>
      <x:c r="AD123" s="31"/>
      <x:c r="AE123" s="31"/>
      <x:c r="AF123" s="31"/>
    </x:row>
    <x:row r="124">
      <x:c r="A124" s="79"/>
      <x:c r="B124" s="31"/>
      <x:c r="C124" s="31"/>
      <x:c r="D124" s="31"/>
      <x:c r="E124" s="31"/>
      <x:c r="F124" s="31"/>
      <x:c r="G124" s="31"/>
      <x:c r="H124" s="31"/>
      <x:c r="I124" s="31"/>
      <x:c r="J124" s="32"/>
      <x:c r="K124" s="32"/>
      <x:c r="L124" s="32"/>
      <x:c r="M124" s="32"/>
      <x:c r="N124" s="32"/>
      <x:c r="O124" s="32"/>
      <x:c r="P124" s="32"/>
      <x:c r="Q124" s="31"/>
      <x:c r="R124" s="31"/>
      <x:c r="S124" s="31"/>
      <x:c r="T124" s="32"/>
      <x:c r="U124" s="32"/>
      <x:c r="V124" s="31"/>
      <x:c r="W124" s="31"/>
      <x:c r="X124" s="31"/>
      <x:c r="Y124" s="32"/>
      <x:c r="Z124" s="31"/>
      <x:c r="AA124" s="32"/>
      <x:c r="AB124" s="31"/>
      <x:c r="AC124" s="31"/>
      <x:c r="AD124" s="31"/>
      <x:c r="AE124" s="31"/>
      <x:c r="AF124" s="31"/>
    </x:row>
    <x:row r="125">
      <x:c r="A125" s="79"/>
      <x:c r="B125" s="31"/>
      <x:c r="C125" s="31"/>
      <x:c r="D125" s="31"/>
      <x:c r="E125" s="31"/>
      <x:c r="F125" s="31"/>
      <x:c r="G125" s="31"/>
      <x:c r="H125" s="31"/>
      <x:c r="I125" s="31"/>
      <x:c r="J125" s="32"/>
      <x:c r="K125" s="32"/>
      <x:c r="L125" s="32"/>
      <x:c r="M125" s="32"/>
      <x:c r="N125" s="32"/>
      <x:c r="O125" s="32"/>
      <x:c r="P125" s="32"/>
      <x:c r="Q125" s="31"/>
      <x:c r="R125" s="31"/>
      <x:c r="S125" s="31"/>
      <x:c r="T125" s="32"/>
      <x:c r="U125" s="32"/>
      <x:c r="V125" s="31"/>
      <x:c r="W125" s="31"/>
      <x:c r="X125" s="31"/>
      <x:c r="Y125" s="32"/>
      <x:c r="Z125" s="31"/>
      <x:c r="AA125" s="32"/>
      <x:c r="AB125" s="31"/>
      <x:c r="AC125" s="31"/>
      <x:c r="AD125" s="31"/>
      <x:c r="AE125" s="31"/>
      <x:c r="AF125" s="31"/>
    </x:row>
    <x:row r="126">
      <x:c r="A126" s="79"/>
      <x:c r="B126" s="31"/>
      <x:c r="C126" s="31"/>
      <x:c r="D126" s="31"/>
      <x:c r="E126" s="31"/>
      <x:c r="F126" s="31"/>
      <x:c r="G126" s="31"/>
      <x:c r="H126" s="31"/>
      <x:c r="I126" s="31"/>
      <x:c r="J126" s="32"/>
      <x:c r="K126" s="32"/>
      <x:c r="L126" s="32"/>
      <x:c r="M126" s="32"/>
      <x:c r="N126" s="32"/>
      <x:c r="O126" s="32"/>
      <x:c r="P126" s="32"/>
      <x:c r="Q126" s="31"/>
      <x:c r="R126" s="31"/>
      <x:c r="S126" s="31"/>
      <x:c r="T126" s="32"/>
      <x:c r="U126" s="32"/>
      <x:c r="V126" s="31"/>
      <x:c r="W126" s="31"/>
      <x:c r="X126" s="31"/>
      <x:c r="Y126" s="32"/>
      <x:c r="Z126" s="31"/>
      <x:c r="AA126" s="32"/>
      <x:c r="AB126" s="31"/>
      <x:c r="AC126" s="31"/>
      <x:c r="AD126" s="31"/>
      <x:c r="AE126" s="31"/>
      <x:c r="AF126" s="31"/>
    </x:row>
    <x:row r="127">
      <x:c r="A127" s="79"/>
      <x:c r="B127" s="31"/>
      <x:c r="C127" s="31"/>
      <x:c r="D127" s="31"/>
      <x:c r="E127" s="31"/>
      <x:c r="F127" s="31"/>
      <x:c r="G127" s="31"/>
      <x:c r="H127" s="31"/>
      <x:c r="I127" s="31"/>
      <x:c r="J127" s="32"/>
      <x:c r="K127" s="32"/>
      <x:c r="L127" s="32"/>
      <x:c r="M127" s="32"/>
      <x:c r="N127" s="32"/>
      <x:c r="O127" s="32"/>
      <x:c r="P127" s="32"/>
      <x:c r="Q127" s="31"/>
      <x:c r="R127" s="31"/>
      <x:c r="S127" s="31"/>
      <x:c r="T127" s="32"/>
      <x:c r="U127" s="32"/>
      <x:c r="V127" s="31"/>
      <x:c r="W127" s="31"/>
      <x:c r="X127" s="31"/>
      <x:c r="Y127" s="32"/>
      <x:c r="Z127" s="31"/>
      <x:c r="AA127" s="32"/>
      <x:c r="AB127" s="31"/>
      <x:c r="AC127" s="31"/>
      <x:c r="AD127" s="31"/>
      <x:c r="AE127" s="31"/>
      <x:c r="AF127" s="31"/>
    </x:row>
    <x:row r="128">
      <x:c r="A128" s="79"/>
      <x:c r="B128" s="31"/>
      <x:c r="C128" s="31"/>
      <x:c r="D128" s="31"/>
      <x:c r="E128" s="31"/>
      <x:c r="F128" s="31"/>
      <x:c r="G128" s="31"/>
      <x:c r="H128" s="31"/>
      <x:c r="I128" s="31"/>
      <x:c r="J128" s="32"/>
      <x:c r="K128" s="32"/>
      <x:c r="L128" s="32"/>
      <x:c r="M128" s="32"/>
      <x:c r="N128" s="32"/>
      <x:c r="O128" s="32"/>
      <x:c r="P128" s="32"/>
      <x:c r="Q128" s="31"/>
      <x:c r="R128" s="31"/>
      <x:c r="S128" s="31"/>
      <x:c r="T128" s="32"/>
      <x:c r="U128" s="32"/>
      <x:c r="V128" s="31"/>
      <x:c r="W128" s="31"/>
      <x:c r="X128" s="31"/>
      <x:c r="Y128" s="32"/>
      <x:c r="Z128" s="31"/>
      <x:c r="AA128" s="32"/>
      <x:c r="AB128" s="31"/>
      <x:c r="AC128" s="31"/>
      <x:c r="AD128" s="31"/>
      <x:c r="AE128" s="31"/>
      <x:c r="AF128" s="31"/>
    </x:row>
    <x:row r="129">
      <x:c r="A129" s="79"/>
      <x:c r="B129" s="31"/>
      <x:c r="C129" s="31"/>
      <x:c r="D129" s="31"/>
      <x:c r="E129" s="31"/>
      <x:c r="F129" s="31"/>
      <x:c r="G129" s="31"/>
      <x:c r="H129" s="31"/>
      <x:c r="I129" s="31"/>
      <x:c r="J129" s="32"/>
      <x:c r="K129" s="32"/>
      <x:c r="L129" s="32"/>
      <x:c r="M129" s="32"/>
      <x:c r="N129" s="32"/>
      <x:c r="O129" s="32"/>
      <x:c r="P129" s="32"/>
      <x:c r="Q129" s="31"/>
      <x:c r="R129" s="31"/>
      <x:c r="S129" s="31"/>
      <x:c r="T129" s="32"/>
      <x:c r="U129" s="32"/>
      <x:c r="V129" s="31"/>
      <x:c r="W129" s="31"/>
      <x:c r="X129" s="31"/>
      <x:c r="Y129" s="32"/>
      <x:c r="Z129" s="31"/>
      <x:c r="AA129" s="32"/>
      <x:c r="AB129" s="31"/>
      <x:c r="AC129" s="31"/>
      <x:c r="AD129" s="31"/>
      <x:c r="AE129" s="31"/>
      <x:c r="AF129" s="31"/>
    </x:row>
    <x:row r="130">
      <x:c r="A130" s="79"/>
      <x:c r="B130" s="31"/>
      <x:c r="C130" s="31"/>
      <x:c r="D130" s="31"/>
      <x:c r="E130" s="31"/>
      <x:c r="F130" s="31"/>
      <x:c r="G130" s="31"/>
      <x:c r="H130" s="31"/>
      <x:c r="I130" s="31"/>
      <x:c r="J130" s="32"/>
      <x:c r="K130" s="32"/>
      <x:c r="L130" s="32"/>
      <x:c r="M130" s="32"/>
      <x:c r="N130" s="32"/>
      <x:c r="O130" s="32"/>
      <x:c r="P130" s="32"/>
      <x:c r="Q130" s="31"/>
      <x:c r="R130" s="31"/>
      <x:c r="S130" s="31"/>
      <x:c r="T130" s="32"/>
      <x:c r="U130" s="32"/>
      <x:c r="V130" s="31"/>
      <x:c r="W130" s="31"/>
      <x:c r="X130" s="31"/>
      <x:c r="Y130" s="32"/>
      <x:c r="Z130" s="31"/>
      <x:c r="AA130" s="32"/>
      <x:c r="AB130" s="31"/>
      <x:c r="AC130" s="31"/>
      <x:c r="AD130" s="31"/>
      <x:c r="AE130" s="31"/>
      <x:c r="AF130" s="31"/>
    </x:row>
    <x:row r="131">
      <x:c r="A131" s="79"/>
      <x:c r="B131" s="31"/>
      <x:c r="C131" s="31"/>
      <x:c r="D131" s="31"/>
      <x:c r="E131" s="31"/>
      <x:c r="F131" s="31"/>
      <x:c r="G131" s="31"/>
      <x:c r="H131" s="31"/>
      <x:c r="I131" s="31"/>
      <x:c r="J131" s="32"/>
      <x:c r="K131" s="32"/>
      <x:c r="L131" s="32"/>
      <x:c r="M131" s="32"/>
      <x:c r="N131" s="32"/>
      <x:c r="O131" s="32"/>
      <x:c r="P131" s="32"/>
      <x:c r="Q131" s="31"/>
      <x:c r="R131" s="31"/>
      <x:c r="S131" s="31"/>
      <x:c r="T131" s="32"/>
      <x:c r="U131" s="32"/>
      <x:c r="V131" s="31"/>
      <x:c r="W131" s="31"/>
      <x:c r="X131" s="31"/>
      <x:c r="Y131" s="32"/>
      <x:c r="Z131" s="31"/>
      <x:c r="AA131" s="32"/>
      <x:c r="AB131" s="31"/>
      <x:c r="AC131" s="31"/>
      <x:c r="AD131" s="31"/>
      <x:c r="AE131" s="31"/>
      <x:c r="AF131" s="31"/>
    </x:row>
    <x:row r="132">
      <x:c r="A132" s="79"/>
      <x:c r="B132" s="31"/>
      <x:c r="C132" s="31"/>
      <x:c r="D132" s="31"/>
      <x:c r="E132" s="31"/>
      <x:c r="F132" s="31"/>
      <x:c r="G132" s="31"/>
      <x:c r="H132" s="31"/>
      <x:c r="I132" s="31"/>
      <x:c r="J132" s="32"/>
      <x:c r="K132" s="32"/>
      <x:c r="L132" s="32"/>
      <x:c r="M132" s="32"/>
      <x:c r="N132" s="32"/>
      <x:c r="O132" s="32"/>
      <x:c r="P132" s="32"/>
      <x:c r="Q132" s="31"/>
      <x:c r="R132" s="31"/>
      <x:c r="S132" s="31"/>
      <x:c r="T132" s="32"/>
      <x:c r="U132" s="32"/>
      <x:c r="V132" s="31"/>
      <x:c r="W132" s="31"/>
      <x:c r="X132" s="31"/>
      <x:c r="Y132" s="32"/>
      <x:c r="Z132" s="31"/>
      <x:c r="AA132" s="32"/>
      <x:c r="AB132" s="31"/>
      <x:c r="AC132" s="31"/>
      <x:c r="AD132" s="31"/>
      <x:c r="AE132" s="31"/>
      <x:c r="AF132" s="31"/>
    </x:row>
    <x:row r="133">
      <x:c r="A133" s="79"/>
      <x:c r="B133" s="31"/>
      <x:c r="C133" s="31"/>
      <x:c r="D133" s="31"/>
      <x:c r="E133" s="31"/>
      <x:c r="F133" s="31"/>
      <x:c r="G133" s="31"/>
      <x:c r="H133" s="31"/>
      <x:c r="I133" s="31"/>
      <x:c r="J133" s="32"/>
      <x:c r="K133" s="32"/>
      <x:c r="L133" s="32"/>
      <x:c r="M133" s="32"/>
      <x:c r="N133" s="32"/>
      <x:c r="O133" s="32"/>
      <x:c r="P133" s="32"/>
      <x:c r="Q133" s="31"/>
      <x:c r="R133" s="31"/>
      <x:c r="S133" s="31"/>
      <x:c r="T133" s="32"/>
      <x:c r="U133" s="32"/>
      <x:c r="V133" s="31"/>
      <x:c r="W133" s="31"/>
      <x:c r="X133" s="31"/>
      <x:c r="Y133" s="32"/>
      <x:c r="Z133" s="31"/>
      <x:c r="AA133" s="32"/>
      <x:c r="AB133" s="31"/>
      <x:c r="AC133" s="31"/>
      <x:c r="AD133" s="31"/>
      <x:c r="AE133" s="31"/>
      <x:c r="AF133" s="31"/>
    </x:row>
    <x:row r="134">
      <x:c r="A134" s="79"/>
      <x:c r="B134" s="31"/>
      <x:c r="C134" s="31"/>
      <x:c r="D134" s="31"/>
      <x:c r="E134" s="31"/>
      <x:c r="F134" s="31"/>
      <x:c r="G134" s="31"/>
      <x:c r="H134" s="31"/>
      <x:c r="I134" s="31"/>
      <x:c r="J134" s="32"/>
      <x:c r="K134" s="32"/>
      <x:c r="L134" s="32"/>
      <x:c r="M134" s="32"/>
      <x:c r="N134" s="32"/>
      <x:c r="O134" s="32"/>
      <x:c r="P134" s="32"/>
      <x:c r="Q134" s="31"/>
      <x:c r="R134" s="31"/>
      <x:c r="S134" s="31"/>
      <x:c r="T134" s="32"/>
      <x:c r="U134" s="32"/>
      <x:c r="V134" s="31"/>
      <x:c r="W134" s="31"/>
      <x:c r="X134" s="31"/>
      <x:c r="Y134" s="32"/>
      <x:c r="Z134" s="31"/>
      <x:c r="AA134" s="32"/>
      <x:c r="AB134" s="31"/>
      <x:c r="AC134" s="31"/>
      <x:c r="AD134" s="31"/>
      <x:c r="AE134" s="31"/>
      <x:c r="AF134" s="31"/>
    </x:row>
    <x:row r="135">
      <x:c r="A135" s="79"/>
      <x:c r="B135" s="31"/>
      <x:c r="C135" s="31"/>
      <x:c r="D135" s="31"/>
      <x:c r="E135" s="31"/>
      <x:c r="F135" s="31"/>
      <x:c r="G135" s="31"/>
      <x:c r="H135" s="31"/>
      <x:c r="I135" s="31"/>
      <x:c r="J135" s="32"/>
      <x:c r="K135" s="32"/>
      <x:c r="L135" s="32"/>
      <x:c r="M135" s="32"/>
      <x:c r="N135" s="32"/>
      <x:c r="O135" s="32"/>
      <x:c r="P135" s="32"/>
      <x:c r="Q135" s="31"/>
      <x:c r="R135" s="31"/>
      <x:c r="S135" s="31"/>
      <x:c r="T135" s="32"/>
      <x:c r="U135" s="32"/>
      <x:c r="V135" s="31"/>
      <x:c r="W135" s="31"/>
      <x:c r="X135" s="31"/>
      <x:c r="Y135" s="32"/>
      <x:c r="Z135" s="31"/>
      <x:c r="AA135" s="32"/>
      <x:c r="AB135" s="31"/>
      <x:c r="AC135" s="31"/>
      <x:c r="AD135" s="31"/>
      <x:c r="AE135" s="31"/>
      <x:c r="AF135" s="31"/>
    </x:row>
    <x:row r="136">
      <x:c r="A136" s="79"/>
      <x:c r="B136" s="31"/>
      <x:c r="C136" s="31"/>
      <x:c r="D136" s="31"/>
      <x:c r="E136" s="31"/>
      <x:c r="F136" s="31"/>
      <x:c r="G136" s="31"/>
      <x:c r="H136" s="31"/>
      <x:c r="I136" s="31"/>
      <x:c r="J136" s="32"/>
      <x:c r="K136" s="32"/>
      <x:c r="L136" s="32"/>
      <x:c r="M136" s="32"/>
      <x:c r="N136" s="32"/>
      <x:c r="O136" s="32"/>
      <x:c r="P136" s="32"/>
      <x:c r="Q136" s="31"/>
      <x:c r="R136" s="31"/>
      <x:c r="S136" s="31"/>
      <x:c r="T136" s="32"/>
      <x:c r="U136" s="32"/>
      <x:c r="V136" s="31"/>
      <x:c r="W136" s="31"/>
      <x:c r="X136" s="31"/>
      <x:c r="Y136" s="32"/>
      <x:c r="Z136" s="31"/>
      <x:c r="AA136" s="32"/>
      <x:c r="AB136" s="31"/>
      <x:c r="AC136" s="31"/>
      <x:c r="AD136" s="31"/>
      <x:c r="AE136" s="31"/>
      <x:c r="AF136" s="31"/>
    </x:row>
    <x:row r="137">
      <x:c r="A137" s="79"/>
      <x:c r="B137" s="31"/>
      <x:c r="C137" s="31"/>
      <x:c r="D137" s="31"/>
      <x:c r="E137" s="31"/>
      <x:c r="F137" s="31"/>
      <x:c r="G137" s="31"/>
      <x:c r="H137" s="31"/>
      <x:c r="I137" s="31"/>
      <x:c r="J137" s="32"/>
      <x:c r="K137" s="32"/>
      <x:c r="L137" s="32"/>
      <x:c r="M137" s="32"/>
      <x:c r="N137" s="32"/>
      <x:c r="O137" s="32"/>
      <x:c r="P137" s="32"/>
      <x:c r="Q137" s="31"/>
      <x:c r="R137" s="31"/>
      <x:c r="S137" s="31"/>
      <x:c r="T137" s="32"/>
      <x:c r="U137" s="32"/>
      <x:c r="V137" s="31"/>
      <x:c r="W137" s="31"/>
      <x:c r="X137" s="31"/>
      <x:c r="Y137" s="32"/>
      <x:c r="Z137" s="31"/>
      <x:c r="AA137" s="32"/>
      <x:c r="AB137" s="31"/>
      <x:c r="AC137" s="31"/>
      <x:c r="AD137" s="31"/>
      <x:c r="AE137" s="31"/>
      <x:c r="AF137" s="31"/>
    </x:row>
    <x:row r="138">
      <x:c r="A138" s="79"/>
      <x:c r="B138" s="31"/>
      <x:c r="C138" s="31"/>
      <x:c r="D138" s="31"/>
      <x:c r="E138" s="31"/>
      <x:c r="F138" s="31"/>
      <x:c r="G138" s="31"/>
      <x:c r="H138" s="31"/>
      <x:c r="I138" s="31"/>
      <x:c r="J138" s="32"/>
      <x:c r="K138" s="32"/>
      <x:c r="L138" s="32"/>
      <x:c r="M138" s="32"/>
      <x:c r="N138" s="32"/>
      <x:c r="O138" s="32"/>
      <x:c r="P138" s="32"/>
      <x:c r="Q138" s="31"/>
      <x:c r="R138" s="31"/>
      <x:c r="S138" s="31"/>
      <x:c r="T138" s="32"/>
      <x:c r="U138" s="32"/>
      <x:c r="V138" s="31"/>
      <x:c r="W138" s="31"/>
      <x:c r="X138" s="31"/>
      <x:c r="Y138" s="32"/>
      <x:c r="Z138" s="31"/>
      <x:c r="AA138" s="32"/>
      <x:c r="AB138" s="31"/>
      <x:c r="AC138" s="31"/>
      <x:c r="AD138" s="31"/>
      <x:c r="AE138" s="31"/>
      <x:c r="AF138" s="31"/>
    </x:row>
    <x:row r="139">
      <x:c r="A139" s="79"/>
      <x:c r="B139" s="31"/>
      <x:c r="C139" s="31"/>
      <x:c r="D139" s="31"/>
      <x:c r="E139" s="31"/>
      <x:c r="F139" s="31"/>
      <x:c r="G139" s="31"/>
      <x:c r="H139" s="31"/>
      <x:c r="I139" s="31"/>
      <x:c r="J139" s="32"/>
      <x:c r="K139" s="32"/>
      <x:c r="L139" s="32"/>
      <x:c r="M139" s="32"/>
      <x:c r="N139" s="32"/>
      <x:c r="O139" s="32"/>
      <x:c r="P139" s="32"/>
      <x:c r="Q139" s="31"/>
      <x:c r="R139" s="31"/>
      <x:c r="S139" s="31"/>
      <x:c r="T139" s="32"/>
      <x:c r="U139" s="32"/>
      <x:c r="V139" s="31"/>
      <x:c r="W139" s="31"/>
      <x:c r="X139" s="31"/>
      <x:c r="Y139" s="32"/>
      <x:c r="Z139" s="31"/>
      <x:c r="AA139" s="32"/>
      <x:c r="AB139" s="31"/>
      <x:c r="AC139" s="31"/>
      <x:c r="AD139" s="31"/>
      <x:c r="AE139" s="31"/>
      <x:c r="AF139" s="31"/>
    </x:row>
    <x:row r="140">
      <x:c r="A140" s="79"/>
      <x:c r="B140" s="31"/>
      <x:c r="C140" s="31"/>
      <x:c r="D140" s="31"/>
      <x:c r="E140" s="31"/>
      <x:c r="F140" s="31"/>
      <x:c r="G140" s="31"/>
      <x:c r="H140" s="31"/>
      <x:c r="I140" s="31"/>
      <x:c r="J140" s="32"/>
      <x:c r="K140" s="32"/>
      <x:c r="L140" s="32"/>
      <x:c r="M140" s="32"/>
      <x:c r="N140" s="32"/>
      <x:c r="O140" s="32"/>
      <x:c r="P140" s="32"/>
      <x:c r="Q140" s="31"/>
      <x:c r="R140" s="31"/>
      <x:c r="S140" s="31"/>
      <x:c r="T140" s="32"/>
      <x:c r="U140" s="32"/>
      <x:c r="V140" s="31"/>
      <x:c r="W140" s="31"/>
      <x:c r="X140" s="31"/>
      <x:c r="Y140" s="32"/>
      <x:c r="Z140" s="31"/>
      <x:c r="AA140" s="32"/>
      <x:c r="AB140" s="31"/>
      <x:c r="AC140" s="31"/>
      <x:c r="AD140" s="31"/>
      <x:c r="AE140" s="31"/>
      <x:c r="AF140" s="31"/>
    </x:row>
    <x:row r="141">
      <x:c r="A141" s="79"/>
      <x:c r="B141" s="31"/>
      <x:c r="C141" s="31"/>
      <x:c r="D141" s="31"/>
      <x:c r="E141" s="31"/>
      <x:c r="F141" s="31"/>
      <x:c r="G141" s="31"/>
      <x:c r="H141" s="31"/>
      <x:c r="I141" s="31"/>
      <x:c r="J141" s="32"/>
      <x:c r="K141" s="32"/>
      <x:c r="L141" s="32"/>
      <x:c r="M141" s="32"/>
      <x:c r="N141" s="32"/>
      <x:c r="O141" s="32"/>
      <x:c r="P141" s="32"/>
      <x:c r="Q141" s="31"/>
      <x:c r="R141" s="31"/>
      <x:c r="S141" s="31"/>
      <x:c r="T141" s="32"/>
      <x:c r="U141" s="32"/>
      <x:c r="V141" s="31"/>
      <x:c r="W141" s="31"/>
      <x:c r="X141" s="31"/>
      <x:c r="Y141" s="32"/>
      <x:c r="Z141" s="31"/>
      <x:c r="AA141" s="32"/>
      <x:c r="AB141" s="31"/>
      <x:c r="AC141" s="31"/>
      <x:c r="AD141" s="31"/>
      <x:c r="AE141" s="31"/>
      <x:c r="AF141" s="31"/>
    </x:row>
    <x:row r="142">
      <x:c r="A142" s="79"/>
      <x:c r="B142" s="31"/>
      <x:c r="C142" s="31"/>
      <x:c r="D142" s="31"/>
      <x:c r="E142" s="31"/>
      <x:c r="F142" s="31"/>
      <x:c r="G142" s="31"/>
      <x:c r="H142" s="31"/>
      <x:c r="I142" s="31"/>
      <x:c r="J142" s="32"/>
      <x:c r="K142" s="32"/>
      <x:c r="L142" s="32"/>
      <x:c r="M142" s="32"/>
      <x:c r="N142" s="32"/>
      <x:c r="O142" s="32"/>
      <x:c r="P142" s="32"/>
      <x:c r="Q142" s="31"/>
      <x:c r="R142" s="31"/>
      <x:c r="S142" s="31"/>
      <x:c r="T142" s="32"/>
      <x:c r="U142" s="32"/>
      <x:c r="V142" s="31"/>
      <x:c r="W142" s="31"/>
      <x:c r="X142" s="31"/>
      <x:c r="Y142" s="32"/>
      <x:c r="Z142" s="31"/>
      <x:c r="AA142" s="32"/>
      <x:c r="AB142" s="31"/>
      <x:c r="AC142" s="31"/>
      <x:c r="AD142" s="31"/>
      <x:c r="AE142" s="31"/>
      <x:c r="AF142" s="31"/>
    </x:row>
    <x:row r="143">
      <x:c r="A143" s="79"/>
      <x:c r="B143" s="31"/>
      <x:c r="C143" s="31"/>
      <x:c r="D143" s="31"/>
      <x:c r="E143" s="31"/>
      <x:c r="F143" s="31"/>
      <x:c r="G143" s="31"/>
      <x:c r="H143" s="31"/>
      <x:c r="I143" s="31"/>
      <x:c r="J143" s="32"/>
      <x:c r="K143" s="32"/>
      <x:c r="L143" s="32"/>
      <x:c r="M143" s="32"/>
      <x:c r="N143" s="32"/>
      <x:c r="O143" s="32"/>
      <x:c r="P143" s="32"/>
      <x:c r="Q143" s="31"/>
      <x:c r="R143" s="31"/>
      <x:c r="S143" s="31"/>
      <x:c r="T143" s="32"/>
      <x:c r="U143" s="32"/>
      <x:c r="V143" s="31"/>
      <x:c r="W143" s="31"/>
      <x:c r="X143" s="31"/>
      <x:c r="Y143" s="32"/>
      <x:c r="Z143" s="31"/>
      <x:c r="AA143" s="32"/>
      <x:c r="AB143" s="31"/>
      <x:c r="AC143" s="31"/>
      <x:c r="AD143" s="31"/>
      <x:c r="AE143" s="31"/>
      <x:c r="AF143" s="31"/>
    </x:row>
    <x:row r="144">
      <x:c r="A144" s="79"/>
      <x:c r="B144" s="31"/>
      <x:c r="C144" s="31"/>
      <x:c r="D144" s="31"/>
      <x:c r="E144" s="31"/>
      <x:c r="F144" s="31"/>
      <x:c r="G144" s="31"/>
      <x:c r="H144" s="31"/>
      <x:c r="I144" s="31"/>
      <x:c r="J144" s="32"/>
      <x:c r="K144" s="32"/>
      <x:c r="L144" s="32"/>
      <x:c r="M144" s="32"/>
      <x:c r="N144" s="32"/>
      <x:c r="O144" s="32"/>
      <x:c r="P144" s="32"/>
      <x:c r="Q144" s="31"/>
      <x:c r="R144" s="31"/>
      <x:c r="S144" s="31"/>
      <x:c r="T144" s="32"/>
      <x:c r="U144" s="32"/>
      <x:c r="V144" s="31"/>
      <x:c r="W144" s="31"/>
      <x:c r="X144" s="31"/>
      <x:c r="Y144" s="32"/>
      <x:c r="Z144" s="31"/>
      <x:c r="AA144" s="32"/>
      <x:c r="AB144" s="31"/>
      <x:c r="AC144" s="31"/>
      <x:c r="AD144" s="31"/>
      <x:c r="AE144" s="31"/>
      <x:c r="AF144" s="31"/>
    </x:row>
    <x:row r="145">
      <x:c r="A145" s="79"/>
      <x:c r="B145" s="31"/>
      <x:c r="C145" s="31"/>
      <x:c r="D145" s="31"/>
      <x:c r="E145" s="31"/>
      <x:c r="F145" s="31"/>
      <x:c r="G145" s="31"/>
      <x:c r="H145" s="31"/>
      <x:c r="I145" s="31"/>
      <x:c r="J145" s="32"/>
      <x:c r="K145" s="32"/>
      <x:c r="L145" s="32"/>
      <x:c r="M145" s="32"/>
      <x:c r="N145" s="32"/>
      <x:c r="O145" s="32"/>
      <x:c r="P145" s="32"/>
      <x:c r="Q145" s="31"/>
      <x:c r="R145" s="31"/>
      <x:c r="S145" s="31"/>
      <x:c r="T145" s="32"/>
      <x:c r="U145" s="32"/>
      <x:c r="V145" s="31"/>
      <x:c r="W145" s="31"/>
      <x:c r="X145" s="31"/>
      <x:c r="Y145" s="32"/>
      <x:c r="Z145" s="31"/>
      <x:c r="AA145" s="32"/>
      <x:c r="AB145" s="31"/>
      <x:c r="AC145" s="31"/>
      <x:c r="AD145" s="31"/>
      <x:c r="AE145" s="31"/>
      <x:c r="AF145" s="31"/>
    </x:row>
    <x:row r="146">
      <x:c r="A146" s="79"/>
      <x:c r="B146" s="31"/>
      <x:c r="C146" s="31"/>
      <x:c r="D146" s="31"/>
      <x:c r="E146" s="31"/>
      <x:c r="F146" s="31"/>
      <x:c r="G146" s="31"/>
      <x:c r="H146" s="31"/>
      <x:c r="I146" s="31"/>
      <x:c r="J146" s="32"/>
      <x:c r="K146" s="32"/>
      <x:c r="L146" s="32"/>
      <x:c r="M146" s="32"/>
      <x:c r="N146" s="32"/>
      <x:c r="O146" s="32"/>
      <x:c r="P146" s="32"/>
      <x:c r="Q146" s="31"/>
      <x:c r="R146" s="31"/>
      <x:c r="S146" s="31"/>
      <x:c r="T146" s="32"/>
      <x:c r="U146" s="32"/>
      <x:c r="V146" s="31"/>
      <x:c r="W146" s="31"/>
      <x:c r="X146" s="31"/>
      <x:c r="Y146" s="32"/>
      <x:c r="Z146" s="31"/>
      <x:c r="AA146" s="32"/>
      <x:c r="AB146" s="31"/>
      <x:c r="AC146" s="31"/>
      <x:c r="AD146" s="31"/>
      <x:c r="AE146" s="31"/>
      <x:c r="AF146" s="31"/>
    </x:row>
    <x:row r="147">
      <x:c r="A147" s="79"/>
      <x:c r="B147" s="31"/>
      <x:c r="C147" s="31"/>
      <x:c r="D147" s="31"/>
      <x:c r="E147" s="31"/>
      <x:c r="F147" s="31"/>
      <x:c r="G147" s="31"/>
      <x:c r="H147" s="31"/>
      <x:c r="I147" s="31"/>
      <x:c r="J147" s="32"/>
      <x:c r="K147" s="32"/>
      <x:c r="L147" s="32"/>
      <x:c r="M147" s="32"/>
      <x:c r="N147" s="32"/>
      <x:c r="O147" s="32"/>
      <x:c r="P147" s="32"/>
      <x:c r="Q147" s="31"/>
      <x:c r="R147" s="31"/>
      <x:c r="S147" s="31"/>
      <x:c r="T147" s="32"/>
      <x:c r="U147" s="32"/>
      <x:c r="V147" s="31"/>
      <x:c r="W147" s="31"/>
      <x:c r="X147" s="31"/>
      <x:c r="Y147" s="32"/>
      <x:c r="Z147" s="31"/>
      <x:c r="AA147" s="32"/>
      <x:c r="AB147" s="31"/>
      <x:c r="AC147" s="31"/>
      <x:c r="AD147" s="31"/>
      <x:c r="AE147" s="31"/>
      <x:c r="AF147" s="31"/>
    </x:row>
    <x:row r="148">
      <x:c r="A148" s="79"/>
      <x:c r="B148" s="31"/>
      <x:c r="C148" s="31"/>
      <x:c r="D148" s="31"/>
      <x:c r="E148" s="31"/>
      <x:c r="F148" s="31"/>
      <x:c r="G148" s="31"/>
      <x:c r="H148" s="31"/>
      <x:c r="I148" s="31"/>
      <x:c r="J148" s="32"/>
      <x:c r="K148" s="32"/>
      <x:c r="L148" s="32"/>
      <x:c r="M148" s="32"/>
      <x:c r="N148" s="32"/>
      <x:c r="O148" s="32"/>
      <x:c r="P148" s="32"/>
      <x:c r="Q148" s="31"/>
      <x:c r="R148" s="31"/>
      <x:c r="S148" s="31"/>
      <x:c r="T148" s="32"/>
      <x:c r="U148" s="32"/>
      <x:c r="V148" s="31"/>
      <x:c r="W148" s="31"/>
      <x:c r="X148" s="31"/>
      <x:c r="Y148" s="32"/>
      <x:c r="Z148" s="31"/>
      <x:c r="AA148" s="32"/>
      <x:c r="AB148" s="31"/>
      <x:c r="AC148" s="31"/>
      <x:c r="AD148" s="31"/>
      <x:c r="AE148" s="31"/>
      <x:c r="AF148" s="31"/>
    </x:row>
    <x:row r="149">
      <x:c r="A149" s="79"/>
      <x:c r="B149" s="31"/>
      <x:c r="C149" s="31"/>
      <x:c r="D149" s="31"/>
      <x:c r="E149" s="31"/>
      <x:c r="F149" s="31"/>
      <x:c r="G149" s="31"/>
      <x:c r="H149" s="31"/>
      <x:c r="I149" s="31"/>
      <x:c r="J149" s="32"/>
      <x:c r="K149" s="32"/>
      <x:c r="L149" s="32"/>
      <x:c r="M149" s="32"/>
      <x:c r="N149" s="32"/>
      <x:c r="O149" s="32"/>
      <x:c r="P149" s="32"/>
      <x:c r="Q149" s="31"/>
      <x:c r="R149" s="31"/>
      <x:c r="S149" s="31"/>
      <x:c r="T149" s="32"/>
      <x:c r="U149" s="32"/>
      <x:c r="V149" s="31"/>
      <x:c r="W149" s="31"/>
      <x:c r="X149" s="31"/>
      <x:c r="Y149" s="32"/>
      <x:c r="Z149" s="31"/>
      <x:c r="AA149" s="32"/>
      <x:c r="AB149" s="31"/>
      <x:c r="AC149" s="31"/>
      <x:c r="AD149" s="31"/>
      <x:c r="AE149" s="31"/>
      <x:c r="AF149" s="31"/>
    </x:row>
    <x:row r="150">
      <x:c r="A150" s="79"/>
      <x:c r="B150" s="31"/>
      <x:c r="C150" s="31"/>
      <x:c r="D150" s="31"/>
      <x:c r="E150" s="31"/>
      <x:c r="F150" s="31"/>
      <x:c r="G150" s="31"/>
      <x:c r="H150" s="31"/>
      <x:c r="I150" s="31"/>
      <x:c r="J150" s="32"/>
      <x:c r="K150" s="32"/>
      <x:c r="L150" s="32"/>
      <x:c r="M150" s="32"/>
      <x:c r="N150" s="32"/>
      <x:c r="O150" s="32"/>
      <x:c r="P150" s="32"/>
      <x:c r="Q150" s="31"/>
      <x:c r="R150" s="31"/>
      <x:c r="S150" s="31"/>
      <x:c r="T150" s="32"/>
      <x:c r="U150" s="32"/>
      <x:c r="V150" s="31"/>
      <x:c r="W150" s="31"/>
      <x:c r="X150" s="31"/>
      <x:c r="Y150" s="32"/>
      <x:c r="Z150" s="31"/>
      <x:c r="AA150" s="32"/>
      <x:c r="AB150" s="31"/>
      <x:c r="AC150" s="31"/>
      <x:c r="AD150" s="31"/>
      <x:c r="AE150" s="31"/>
      <x:c r="AF150" s="31"/>
    </x:row>
    <x:row r="151">
      <x:c r="A151" s="79"/>
      <x:c r="B151" s="31"/>
      <x:c r="C151" s="31"/>
      <x:c r="D151" s="31"/>
      <x:c r="E151" s="31"/>
      <x:c r="F151" s="31"/>
      <x:c r="G151" s="31"/>
      <x:c r="H151" s="31"/>
      <x:c r="I151" s="31"/>
      <x:c r="J151" s="32"/>
      <x:c r="K151" s="32"/>
      <x:c r="L151" s="32"/>
      <x:c r="M151" s="32"/>
      <x:c r="N151" s="32"/>
      <x:c r="O151" s="32"/>
      <x:c r="P151" s="32"/>
      <x:c r="Q151" s="31"/>
      <x:c r="R151" s="31"/>
      <x:c r="S151" s="31"/>
      <x:c r="T151" s="32"/>
      <x:c r="U151" s="32"/>
      <x:c r="V151" s="31"/>
      <x:c r="W151" s="31"/>
      <x:c r="X151" s="31"/>
      <x:c r="Y151" s="32"/>
      <x:c r="Z151" s="31"/>
      <x:c r="AA151" s="32"/>
      <x:c r="AB151" s="31"/>
      <x:c r="AC151" s="31"/>
      <x:c r="AD151" s="31"/>
      <x:c r="AE151" s="31"/>
      <x:c r="AF151" s="31"/>
    </x:row>
    <x:row r="152">
      <x:c r="A152" s="79"/>
      <x:c r="B152" s="31"/>
      <x:c r="C152" s="31"/>
      <x:c r="D152" s="31"/>
      <x:c r="E152" s="31"/>
      <x:c r="F152" s="31"/>
      <x:c r="G152" s="31"/>
      <x:c r="H152" s="31"/>
      <x:c r="I152" s="31"/>
      <x:c r="J152" s="32"/>
      <x:c r="K152" s="32"/>
      <x:c r="L152" s="32"/>
      <x:c r="M152" s="32"/>
      <x:c r="N152" s="32"/>
      <x:c r="O152" s="32"/>
      <x:c r="P152" s="32"/>
      <x:c r="Q152" s="31"/>
      <x:c r="R152" s="31"/>
      <x:c r="S152" s="31"/>
      <x:c r="T152" s="32"/>
      <x:c r="U152" s="32"/>
      <x:c r="V152" s="31"/>
      <x:c r="W152" s="31"/>
      <x:c r="X152" s="31"/>
      <x:c r="Y152" s="32"/>
      <x:c r="Z152" s="31"/>
      <x:c r="AA152" s="32"/>
      <x:c r="AB152" s="31"/>
      <x:c r="AC152" s="31"/>
      <x:c r="AD152" s="31"/>
      <x:c r="AE152" s="31"/>
      <x:c r="AF152" s="31"/>
    </x:row>
    <x:row r="153">
      <x:c r="A153" s="79"/>
      <x:c r="B153" s="31"/>
      <x:c r="C153" s="31"/>
      <x:c r="D153" s="31"/>
      <x:c r="E153" s="31"/>
      <x:c r="F153" s="31"/>
      <x:c r="G153" s="31"/>
      <x:c r="H153" s="31"/>
      <x:c r="I153" s="31"/>
      <x:c r="J153" s="32"/>
      <x:c r="K153" s="32"/>
      <x:c r="L153" s="32"/>
      <x:c r="M153" s="32"/>
      <x:c r="N153" s="32"/>
      <x:c r="O153" s="32"/>
      <x:c r="P153" s="32"/>
      <x:c r="Q153" s="31"/>
      <x:c r="R153" s="31"/>
      <x:c r="S153" s="31"/>
      <x:c r="T153" s="32"/>
      <x:c r="U153" s="32"/>
      <x:c r="V153" s="31"/>
      <x:c r="W153" s="31"/>
      <x:c r="X153" s="31"/>
      <x:c r="Y153" s="32"/>
      <x:c r="Z153" s="31"/>
      <x:c r="AA153" s="32"/>
      <x:c r="AB153" s="31"/>
      <x:c r="AC153" s="31"/>
      <x:c r="AD153" s="31"/>
      <x:c r="AE153" s="31"/>
      <x:c r="AF153" s="31"/>
    </x:row>
    <x:row r="154">
      <x:c r="A154" s="79"/>
      <x:c r="B154" s="31"/>
      <x:c r="C154" s="31"/>
      <x:c r="D154" s="31"/>
      <x:c r="E154" s="31"/>
      <x:c r="F154" s="31"/>
      <x:c r="G154" s="31"/>
      <x:c r="H154" s="31"/>
      <x:c r="I154" s="31"/>
      <x:c r="J154" s="32"/>
      <x:c r="K154" s="32"/>
      <x:c r="L154" s="32"/>
      <x:c r="M154" s="32"/>
      <x:c r="N154" s="32"/>
      <x:c r="O154" s="32"/>
      <x:c r="P154" s="32"/>
      <x:c r="Q154" s="31"/>
      <x:c r="R154" s="31"/>
      <x:c r="S154" s="31"/>
      <x:c r="T154" s="32"/>
      <x:c r="U154" s="32"/>
      <x:c r="V154" s="31"/>
      <x:c r="W154" s="31"/>
      <x:c r="X154" s="31"/>
      <x:c r="Y154" s="32"/>
      <x:c r="Z154" s="31"/>
      <x:c r="AA154" s="32"/>
      <x:c r="AB154" s="31"/>
      <x:c r="AC154" s="31"/>
      <x:c r="AD154" s="31"/>
      <x:c r="AE154" s="31"/>
      <x:c r="AF154" s="31"/>
    </x:row>
    <x:row r="155">
      <x:c r="A155" s="79"/>
      <x:c r="B155" s="31"/>
      <x:c r="C155" s="31"/>
      <x:c r="D155" s="31"/>
      <x:c r="E155" s="31"/>
      <x:c r="F155" s="31"/>
      <x:c r="G155" s="31"/>
      <x:c r="H155" s="31"/>
      <x:c r="I155" s="31"/>
      <x:c r="J155" s="32"/>
      <x:c r="K155" s="32"/>
      <x:c r="L155" s="32"/>
      <x:c r="M155" s="32"/>
      <x:c r="N155" s="32"/>
      <x:c r="O155" s="32"/>
      <x:c r="P155" s="32"/>
      <x:c r="Q155" s="31"/>
      <x:c r="R155" s="31"/>
      <x:c r="S155" s="31"/>
      <x:c r="T155" s="32"/>
      <x:c r="U155" s="32"/>
      <x:c r="V155" s="31"/>
      <x:c r="W155" s="31"/>
      <x:c r="X155" s="31"/>
      <x:c r="Y155" s="32"/>
      <x:c r="Z155" s="31"/>
      <x:c r="AA155" s="32"/>
      <x:c r="AB155" s="31"/>
      <x:c r="AC155" s="31"/>
      <x:c r="AD155" s="31"/>
      <x:c r="AE155" s="31"/>
      <x:c r="AF155" s="31"/>
    </x:row>
    <x:row r="156">
      <x:c r="A156" s="79"/>
      <x:c r="B156" s="31"/>
      <x:c r="C156" s="31"/>
      <x:c r="D156" s="31"/>
      <x:c r="E156" s="31"/>
      <x:c r="F156" s="31"/>
      <x:c r="G156" s="31"/>
      <x:c r="H156" s="31"/>
      <x:c r="I156" s="31"/>
      <x:c r="J156" s="32"/>
      <x:c r="K156" s="32"/>
      <x:c r="L156" s="32"/>
      <x:c r="M156" s="32"/>
      <x:c r="N156" s="32"/>
      <x:c r="O156" s="32"/>
      <x:c r="P156" s="32"/>
      <x:c r="Q156" s="31"/>
      <x:c r="R156" s="31"/>
      <x:c r="S156" s="31"/>
      <x:c r="T156" s="32"/>
      <x:c r="U156" s="32"/>
      <x:c r="V156" s="31"/>
      <x:c r="W156" s="31"/>
      <x:c r="X156" s="31"/>
      <x:c r="Y156" s="32"/>
      <x:c r="Z156" s="31"/>
      <x:c r="AA156" s="32"/>
      <x:c r="AB156" s="31"/>
      <x:c r="AC156" s="31"/>
      <x:c r="AD156" s="31"/>
      <x:c r="AE156" s="31"/>
      <x:c r="AF156" s="31"/>
    </x:row>
    <x:row r="157">
      <x:c r="A157" s="79"/>
      <x:c r="B157" s="31"/>
      <x:c r="C157" s="31"/>
      <x:c r="D157" s="31"/>
      <x:c r="E157" s="31"/>
      <x:c r="F157" s="31"/>
      <x:c r="G157" s="31"/>
      <x:c r="H157" s="31"/>
      <x:c r="I157" s="31"/>
      <x:c r="J157" s="32"/>
      <x:c r="K157" s="32"/>
      <x:c r="L157" s="32"/>
      <x:c r="M157" s="32"/>
      <x:c r="N157" s="32"/>
      <x:c r="O157" s="32"/>
      <x:c r="P157" s="32"/>
      <x:c r="Q157" s="31"/>
      <x:c r="R157" s="31"/>
      <x:c r="S157" s="31"/>
      <x:c r="T157" s="32"/>
      <x:c r="U157" s="32"/>
      <x:c r="V157" s="31"/>
      <x:c r="W157" s="31"/>
      <x:c r="X157" s="31"/>
      <x:c r="Y157" s="32"/>
      <x:c r="Z157" s="31"/>
      <x:c r="AA157" s="32"/>
      <x:c r="AB157" s="31"/>
      <x:c r="AC157" s="31"/>
      <x:c r="AD157" s="31"/>
      <x:c r="AE157" s="31"/>
      <x:c r="AF157" s="31"/>
    </x:row>
    <x:row r="158">
      <x:c r="A158" s="79"/>
      <x:c r="B158" s="31"/>
      <x:c r="C158" s="31"/>
      <x:c r="D158" s="31"/>
      <x:c r="E158" s="31"/>
      <x:c r="F158" s="31"/>
      <x:c r="G158" s="31"/>
      <x:c r="H158" s="31"/>
      <x:c r="I158" s="31"/>
      <x:c r="J158" s="32"/>
      <x:c r="K158" s="32"/>
      <x:c r="L158" s="32"/>
      <x:c r="M158" s="32"/>
      <x:c r="N158" s="32"/>
      <x:c r="O158" s="32"/>
      <x:c r="P158" s="32"/>
      <x:c r="Q158" s="31"/>
      <x:c r="R158" s="31"/>
      <x:c r="S158" s="31"/>
      <x:c r="T158" s="32"/>
      <x:c r="U158" s="32"/>
      <x:c r="V158" s="31"/>
      <x:c r="W158" s="31"/>
      <x:c r="X158" s="31"/>
      <x:c r="Y158" s="32"/>
      <x:c r="Z158" s="31"/>
      <x:c r="AA158" s="32"/>
      <x:c r="AB158" s="31"/>
      <x:c r="AC158" s="31"/>
      <x:c r="AD158" s="31"/>
      <x:c r="AE158" s="31"/>
      <x:c r="AF158" s="31"/>
    </x:row>
    <x:row r="159">
      <x:c r="A159" s="79"/>
      <x:c r="B159" s="31"/>
      <x:c r="C159" s="31"/>
      <x:c r="D159" s="31"/>
      <x:c r="E159" s="31"/>
      <x:c r="F159" s="31"/>
      <x:c r="G159" s="31"/>
      <x:c r="H159" s="31"/>
      <x:c r="I159" s="31"/>
      <x:c r="J159" s="32"/>
      <x:c r="K159" s="32"/>
      <x:c r="L159" s="32"/>
      <x:c r="M159" s="32"/>
      <x:c r="N159" s="32"/>
      <x:c r="O159" s="32"/>
      <x:c r="P159" s="32"/>
      <x:c r="Q159" s="31"/>
      <x:c r="R159" s="31"/>
      <x:c r="S159" s="31"/>
      <x:c r="T159" s="32"/>
      <x:c r="U159" s="32"/>
      <x:c r="V159" s="31"/>
      <x:c r="W159" s="31"/>
      <x:c r="X159" s="31"/>
      <x:c r="Y159" s="32"/>
      <x:c r="Z159" s="31"/>
      <x:c r="AA159" s="32"/>
      <x:c r="AB159" s="31"/>
      <x:c r="AC159" s="31"/>
      <x:c r="AD159" s="31"/>
      <x:c r="AE159" s="31"/>
      <x:c r="AF159" s="31"/>
    </x:row>
    <x:row r="160">
      <x:c r="A160" s="79"/>
      <x:c r="B160" s="31"/>
      <x:c r="C160" s="31"/>
      <x:c r="D160" s="31"/>
      <x:c r="E160" s="31"/>
      <x:c r="F160" s="31"/>
      <x:c r="G160" s="31"/>
      <x:c r="H160" s="31"/>
      <x:c r="I160" s="31"/>
      <x:c r="J160" s="32"/>
      <x:c r="K160" s="32"/>
      <x:c r="L160" s="32"/>
      <x:c r="M160" s="32"/>
      <x:c r="N160" s="32"/>
      <x:c r="O160" s="32"/>
      <x:c r="P160" s="32"/>
      <x:c r="Q160" s="31"/>
      <x:c r="R160" s="31"/>
      <x:c r="S160" s="31"/>
      <x:c r="T160" s="32"/>
      <x:c r="U160" s="32"/>
      <x:c r="V160" s="31"/>
      <x:c r="W160" s="31"/>
      <x:c r="X160" s="31"/>
      <x:c r="Y160" s="32"/>
      <x:c r="Z160" s="31"/>
      <x:c r="AA160" s="32"/>
      <x:c r="AB160" s="31"/>
      <x:c r="AC160" s="31"/>
      <x:c r="AD160" s="31"/>
      <x:c r="AE160" s="31"/>
      <x:c r="AF160" s="31"/>
    </x:row>
    <x:row r="161">
      <x:c r="A161" s="79"/>
      <x:c r="B161" s="31"/>
      <x:c r="C161" s="31"/>
      <x:c r="D161" s="31"/>
      <x:c r="E161" s="31"/>
      <x:c r="F161" s="31"/>
      <x:c r="G161" s="31"/>
      <x:c r="H161" s="31"/>
      <x:c r="I161" s="31"/>
      <x:c r="J161" s="32"/>
      <x:c r="K161" s="32"/>
      <x:c r="L161" s="32"/>
      <x:c r="M161" s="32"/>
      <x:c r="N161" s="32"/>
      <x:c r="O161" s="32"/>
      <x:c r="P161" s="32"/>
      <x:c r="Q161" s="31"/>
      <x:c r="R161" s="31"/>
      <x:c r="S161" s="31"/>
      <x:c r="T161" s="32"/>
      <x:c r="U161" s="32"/>
      <x:c r="V161" s="31"/>
      <x:c r="W161" s="31"/>
      <x:c r="X161" s="31"/>
      <x:c r="Y161" s="32"/>
      <x:c r="Z161" s="31"/>
      <x:c r="AA161" s="32"/>
      <x:c r="AB161" s="31"/>
      <x:c r="AC161" s="31"/>
      <x:c r="AD161" s="31"/>
      <x:c r="AE161" s="31"/>
      <x:c r="AF161" s="31"/>
    </x:row>
    <x:row r="162">
      <x:c r="A162" s="79"/>
      <x:c r="B162" s="31"/>
      <x:c r="C162" s="31"/>
      <x:c r="D162" s="31"/>
      <x:c r="E162" s="31"/>
      <x:c r="F162" s="31"/>
      <x:c r="G162" s="31"/>
      <x:c r="H162" s="31"/>
      <x:c r="I162" s="31"/>
      <x:c r="J162" s="32"/>
      <x:c r="K162" s="32"/>
      <x:c r="L162" s="32"/>
      <x:c r="M162" s="32"/>
      <x:c r="N162" s="32"/>
      <x:c r="O162" s="32"/>
      <x:c r="P162" s="32"/>
      <x:c r="Q162" s="31"/>
      <x:c r="R162" s="31"/>
      <x:c r="S162" s="31"/>
      <x:c r="T162" s="32"/>
      <x:c r="U162" s="32"/>
      <x:c r="V162" s="31"/>
      <x:c r="W162" s="31"/>
      <x:c r="X162" s="31"/>
      <x:c r="Y162" s="32"/>
      <x:c r="Z162" s="31"/>
      <x:c r="AA162" s="32"/>
      <x:c r="AB162" s="31"/>
      <x:c r="AC162" s="31"/>
      <x:c r="AD162" s="31"/>
      <x:c r="AE162" s="31"/>
      <x:c r="AF162" s="31"/>
    </x:row>
    <x:row r="163">
      <x:c r="A163" s="79"/>
      <x:c r="B163" s="31"/>
      <x:c r="C163" s="31"/>
      <x:c r="D163" s="31"/>
      <x:c r="E163" s="31"/>
      <x:c r="F163" s="31"/>
      <x:c r="G163" s="31"/>
      <x:c r="H163" s="31"/>
      <x:c r="I163" s="31"/>
      <x:c r="J163" s="32"/>
      <x:c r="K163" s="32"/>
      <x:c r="L163" s="32"/>
      <x:c r="M163" s="32"/>
      <x:c r="N163" s="32"/>
      <x:c r="O163" s="32"/>
      <x:c r="P163" s="32"/>
      <x:c r="Q163" s="31"/>
      <x:c r="R163" s="31"/>
      <x:c r="S163" s="31"/>
      <x:c r="T163" s="32"/>
      <x:c r="U163" s="32"/>
      <x:c r="V163" s="31"/>
      <x:c r="W163" s="31"/>
      <x:c r="X163" s="31"/>
      <x:c r="Y163" s="32"/>
      <x:c r="Z163" s="31"/>
      <x:c r="AA163" s="32"/>
      <x:c r="AB163" s="31"/>
      <x:c r="AC163" s="31"/>
      <x:c r="AD163" s="31"/>
      <x:c r="AE163" s="31"/>
      <x:c r="AF163" s="31"/>
    </x:row>
    <x:row r="164">
      <x:c r="A164" s="79"/>
      <x:c r="B164" s="31"/>
      <x:c r="C164" s="31"/>
      <x:c r="D164" s="31"/>
      <x:c r="E164" s="31"/>
      <x:c r="F164" s="31"/>
      <x:c r="G164" s="31"/>
      <x:c r="H164" s="31"/>
      <x:c r="I164" s="31"/>
      <x:c r="J164" s="32"/>
      <x:c r="K164" s="32"/>
      <x:c r="L164" s="32"/>
      <x:c r="M164" s="32"/>
      <x:c r="N164" s="32"/>
      <x:c r="O164" s="32"/>
      <x:c r="P164" s="32"/>
      <x:c r="Q164" s="31"/>
      <x:c r="R164" s="31"/>
      <x:c r="S164" s="31"/>
      <x:c r="T164" s="32"/>
      <x:c r="U164" s="32"/>
      <x:c r="V164" s="31"/>
      <x:c r="W164" s="31"/>
      <x:c r="X164" s="31"/>
      <x:c r="Y164" s="32"/>
      <x:c r="Z164" s="31"/>
      <x:c r="AA164" s="32"/>
      <x:c r="AB164" s="31"/>
      <x:c r="AC164" s="31"/>
      <x:c r="AD164" s="31"/>
      <x:c r="AE164" s="31"/>
      <x:c r="AF164" s="31"/>
    </x:row>
    <x:row r="165">
      <x:c r="A165" s="79"/>
      <x:c r="B165" s="31"/>
      <x:c r="C165" s="31"/>
      <x:c r="D165" s="31"/>
      <x:c r="E165" s="31"/>
      <x:c r="F165" s="31"/>
      <x:c r="G165" s="31"/>
      <x:c r="H165" s="31"/>
      <x:c r="I165" s="31"/>
      <x:c r="J165" s="32"/>
      <x:c r="K165" s="32"/>
      <x:c r="L165" s="32"/>
      <x:c r="M165" s="32"/>
      <x:c r="N165" s="32"/>
      <x:c r="O165" s="32"/>
      <x:c r="P165" s="32"/>
      <x:c r="Q165" s="31"/>
      <x:c r="R165" s="31"/>
      <x:c r="S165" s="31"/>
      <x:c r="T165" s="32"/>
      <x:c r="U165" s="32"/>
      <x:c r="V165" s="31"/>
      <x:c r="W165" s="31"/>
      <x:c r="X165" s="31"/>
      <x:c r="Y165" s="32"/>
      <x:c r="Z165" s="31"/>
      <x:c r="AA165" s="32"/>
      <x:c r="AB165" s="31"/>
      <x:c r="AC165" s="31"/>
      <x:c r="AD165" s="31"/>
      <x:c r="AE165" s="31"/>
      <x:c r="AF165" s="31"/>
    </x:row>
    <x:row r="166">
      <x:c r="A166" s="79"/>
      <x:c r="B166" s="31"/>
      <x:c r="C166" s="31"/>
      <x:c r="D166" s="31"/>
      <x:c r="E166" s="31"/>
      <x:c r="F166" s="31"/>
      <x:c r="G166" s="31"/>
      <x:c r="H166" s="31"/>
      <x:c r="I166" s="31"/>
      <x:c r="J166" s="32"/>
      <x:c r="K166" s="32"/>
      <x:c r="L166" s="32"/>
      <x:c r="M166" s="32"/>
      <x:c r="N166" s="32"/>
      <x:c r="O166" s="32"/>
      <x:c r="P166" s="32"/>
      <x:c r="Q166" s="31"/>
      <x:c r="R166" s="31"/>
      <x:c r="S166" s="31"/>
      <x:c r="T166" s="32"/>
      <x:c r="U166" s="32"/>
      <x:c r="V166" s="31"/>
      <x:c r="W166" s="31"/>
      <x:c r="X166" s="31"/>
      <x:c r="Y166" s="32"/>
      <x:c r="Z166" s="31"/>
      <x:c r="AA166" s="32"/>
      <x:c r="AB166" s="31"/>
      <x:c r="AC166" s="31"/>
      <x:c r="AD166" s="31"/>
      <x:c r="AE166" s="31"/>
      <x:c r="AF166" s="31"/>
    </x:row>
    <x:row r="167">
      <x:c r="A167" s="79"/>
      <x:c r="B167" s="31"/>
      <x:c r="C167" s="31"/>
      <x:c r="D167" s="31"/>
      <x:c r="E167" s="31"/>
      <x:c r="F167" s="31"/>
      <x:c r="G167" s="31"/>
      <x:c r="H167" s="31"/>
      <x:c r="I167" s="31"/>
      <x:c r="J167" s="32"/>
      <x:c r="K167" s="32"/>
      <x:c r="L167" s="32"/>
      <x:c r="M167" s="32"/>
      <x:c r="N167" s="32"/>
      <x:c r="O167" s="32"/>
      <x:c r="P167" s="32"/>
      <x:c r="Q167" s="31"/>
      <x:c r="R167" s="31"/>
      <x:c r="S167" s="31"/>
      <x:c r="T167" s="32"/>
      <x:c r="U167" s="32"/>
      <x:c r="V167" s="31"/>
      <x:c r="W167" s="31"/>
      <x:c r="X167" s="31"/>
      <x:c r="Y167" s="32"/>
      <x:c r="Z167" s="31"/>
      <x:c r="AA167" s="32"/>
      <x:c r="AB167" s="31"/>
      <x:c r="AC167" s="31"/>
      <x:c r="AD167" s="31"/>
      <x:c r="AE167" s="31"/>
      <x:c r="AF167" s="31"/>
    </x:row>
    <x:row r="168">
      <x:c r="A168" s="79"/>
      <x:c r="B168" s="31"/>
      <x:c r="C168" s="31"/>
      <x:c r="D168" s="31"/>
      <x:c r="E168" s="31"/>
      <x:c r="F168" s="31"/>
      <x:c r="G168" s="31"/>
      <x:c r="H168" s="31"/>
      <x:c r="I168" s="31"/>
      <x:c r="J168" s="32"/>
      <x:c r="K168" s="32"/>
      <x:c r="L168" s="32"/>
      <x:c r="M168" s="32"/>
      <x:c r="N168" s="32"/>
      <x:c r="O168" s="32"/>
      <x:c r="P168" s="32"/>
      <x:c r="Q168" s="31"/>
      <x:c r="R168" s="31"/>
      <x:c r="S168" s="31"/>
      <x:c r="T168" s="32"/>
      <x:c r="U168" s="32"/>
      <x:c r="V168" s="31"/>
      <x:c r="W168" s="31"/>
      <x:c r="X168" s="31"/>
      <x:c r="Y168" s="32"/>
      <x:c r="Z168" s="31"/>
      <x:c r="AA168" s="32"/>
      <x:c r="AB168" s="31"/>
      <x:c r="AC168" s="31"/>
      <x:c r="AD168" s="31"/>
      <x:c r="AE168" s="31"/>
      <x:c r="AF168" s="31"/>
    </x:row>
    <x:row r="169">
      <x:c r="A169" s="79"/>
      <x:c r="B169" s="31"/>
      <x:c r="C169" s="31"/>
      <x:c r="D169" s="31"/>
      <x:c r="E169" s="31"/>
      <x:c r="F169" s="31"/>
      <x:c r="G169" s="31"/>
      <x:c r="H169" s="31"/>
      <x:c r="I169" s="31"/>
      <x:c r="J169" s="32"/>
      <x:c r="K169" s="32"/>
      <x:c r="L169" s="32"/>
      <x:c r="M169" s="32"/>
      <x:c r="N169" s="32"/>
      <x:c r="O169" s="32"/>
      <x:c r="P169" s="32"/>
      <x:c r="Q169" s="31"/>
      <x:c r="R169" s="31"/>
      <x:c r="S169" s="31"/>
      <x:c r="T169" s="32"/>
      <x:c r="U169" s="32"/>
      <x:c r="V169" s="31"/>
      <x:c r="W169" s="31"/>
      <x:c r="X169" s="31"/>
      <x:c r="Y169" s="32"/>
      <x:c r="Z169" s="31"/>
      <x:c r="AA169" s="32"/>
      <x:c r="AB169" s="31"/>
      <x:c r="AC169" s="31"/>
      <x:c r="AD169" s="31"/>
      <x:c r="AE169" s="31"/>
      <x:c r="AF169" s="31"/>
    </x:row>
    <x:row r="170">
      <x:c r="A170" s="79"/>
      <x:c r="B170" s="31"/>
      <x:c r="C170" s="31"/>
      <x:c r="D170" s="31"/>
      <x:c r="E170" s="31"/>
      <x:c r="F170" s="31"/>
      <x:c r="G170" s="31"/>
      <x:c r="H170" s="31"/>
      <x:c r="I170" s="31"/>
      <x:c r="J170" s="32"/>
      <x:c r="K170" s="32"/>
      <x:c r="L170" s="32"/>
      <x:c r="M170" s="32"/>
      <x:c r="N170" s="32"/>
      <x:c r="O170" s="32"/>
      <x:c r="P170" s="32"/>
      <x:c r="Q170" s="31"/>
      <x:c r="R170" s="31"/>
      <x:c r="S170" s="31"/>
      <x:c r="T170" s="32"/>
      <x:c r="U170" s="32"/>
      <x:c r="V170" s="31"/>
      <x:c r="W170" s="31"/>
      <x:c r="X170" s="31"/>
      <x:c r="Y170" s="32"/>
      <x:c r="Z170" s="31"/>
      <x:c r="AA170" s="32"/>
      <x:c r="AB170" s="31"/>
      <x:c r="AC170" s="31"/>
      <x:c r="AD170" s="31"/>
      <x:c r="AE170" s="31"/>
      <x:c r="AF170" s="31"/>
    </x:row>
    <x:row r="171">
      <x:c r="A171" s="79"/>
      <x:c r="B171" s="31"/>
      <x:c r="C171" s="31"/>
      <x:c r="D171" s="31"/>
      <x:c r="E171" s="31"/>
      <x:c r="F171" s="31"/>
      <x:c r="G171" s="31"/>
      <x:c r="H171" s="31"/>
      <x:c r="I171" s="31"/>
      <x:c r="J171" s="32"/>
      <x:c r="K171" s="32"/>
      <x:c r="L171" s="32"/>
      <x:c r="M171" s="32"/>
      <x:c r="N171" s="32"/>
      <x:c r="O171" s="32"/>
      <x:c r="P171" s="32"/>
      <x:c r="Q171" s="31"/>
      <x:c r="R171" s="31"/>
      <x:c r="S171" s="31"/>
      <x:c r="T171" s="32"/>
      <x:c r="U171" s="32"/>
      <x:c r="V171" s="31"/>
      <x:c r="W171" s="31"/>
      <x:c r="X171" s="31"/>
      <x:c r="Y171" s="32"/>
      <x:c r="Z171" s="31"/>
      <x:c r="AA171" s="32"/>
      <x:c r="AB171" s="31"/>
      <x:c r="AC171" s="31"/>
      <x:c r="AD171" s="31"/>
      <x:c r="AE171" s="31"/>
      <x:c r="AF171" s="31"/>
    </x:row>
    <x:row r="172">
      <x:c r="A172" s="79"/>
      <x:c r="B172" s="31"/>
      <x:c r="C172" s="31"/>
      <x:c r="D172" s="31"/>
      <x:c r="E172" s="31"/>
      <x:c r="F172" s="31"/>
      <x:c r="G172" s="31"/>
      <x:c r="H172" s="31"/>
      <x:c r="I172" s="31"/>
      <x:c r="J172" s="32"/>
      <x:c r="K172" s="32"/>
      <x:c r="L172" s="32"/>
      <x:c r="M172" s="32"/>
      <x:c r="N172" s="32"/>
      <x:c r="O172" s="32"/>
      <x:c r="P172" s="32"/>
      <x:c r="Q172" s="31"/>
      <x:c r="R172" s="31"/>
      <x:c r="S172" s="31"/>
      <x:c r="T172" s="32"/>
      <x:c r="U172" s="32"/>
      <x:c r="V172" s="31"/>
      <x:c r="W172" s="31"/>
      <x:c r="X172" s="31"/>
      <x:c r="Y172" s="32"/>
      <x:c r="Z172" s="31"/>
      <x:c r="AA172" s="32"/>
      <x:c r="AB172" s="31"/>
      <x:c r="AC172" s="31"/>
      <x:c r="AD172" s="31"/>
      <x:c r="AE172" s="31"/>
      <x:c r="AF172" s="31"/>
    </x:row>
    <x:row r="173">
      <x:c r="A173" s="79"/>
      <x:c r="B173" s="31"/>
      <x:c r="C173" s="31"/>
      <x:c r="D173" s="31"/>
      <x:c r="E173" s="31"/>
      <x:c r="F173" s="31"/>
      <x:c r="G173" s="31"/>
      <x:c r="H173" s="31"/>
      <x:c r="I173" s="31"/>
      <x:c r="J173" s="32"/>
      <x:c r="K173" s="32"/>
      <x:c r="L173" s="32"/>
      <x:c r="M173" s="32"/>
      <x:c r="N173" s="32"/>
      <x:c r="O173" s="32"/>
      <x:c r="P173" s="32"/>
      <x:c r="Q173" s="31"/>
      <x:c r="R173" s="31"/>
      <x:c r="S173" s="31"/>
      <x:c r="T173" s="32"/>
      <x:c r="U173" s="32"/>
      <x:c r="V173" s="31"/>
      <x:c r="W173" s="31"/>
      <x:c r="X173" s="31"/>
      <x:c r="Y173" s="32"/>
      <x:c r="Z173" s="31"/>
      <x:c r="AA173" s="32"/>
      <x:c r="AB173" s="31"/>
      <x:c r="AC173" s="31"/>
      <x:c r="AD173" s="31"/>
      <x:c r="AE173" s="31"/>
      <x:c r="AF173" s="31"/>
    </x:row>
    <x:row r="174">
      <x:c r="A174" s="79"/>
      <x:c r="B174" s="31"/>
      <x:c r="C174" s="31"/>
      <x:c r="D174" s="31"/>
      <x:c r="E174" s="31"/>
      <x:c r="F174" s="31"/>
      <x:c r="G174" s="31"/>
      <x:c r="H174" s="31"/>
      <x:c r="I174" s="31"/>
      <x:c r="J174" s="32"/>
      <x:c r="K174" s="32"/>
      <x:c r="L174" s="32"/>
      <x:c r="M174" s="32"/>
      <x:c r="N174" s="32"/>
      <x:c r="O174" s="32"/>
      <x:c r="P174" s="32"/>
      <x:c r="Q174" s="31"/>
      <x:c r="R174" s="31"/>
      <x:c r="S174" s="31"/>
      <x:c r="T174" s="32"/>
      <x:c r="U174" s="32"/>
      <x:c r="V174" s="31"/>
      <x:c r="W174" s="31"/>
      <x:c r="X174" s="31"/>
      <x:c r="Y174" s="32"/>
      <x:c r="Z174" s="31"/>
      <x:c r="AA174" s="32"/>
      <x:c r="AB174" s="31"/>
      <x:c r="AC174" s="31"/>
      <x:c r="AD174" s="31"/>
      <x:c r="AE174" s="31"/>
      <x:c r="AF174" s="31"/>
    </x:row>
    <x:row r="175">
      <x:c r="A175" s="79"/>
      <x:c r="B175" s="31"/>
      <x:c r="C175" s="31"/>
      <x:c r="D175" s="31"/>
      <x:c r="E175" s="31"/>
      <x:c r="F175" s="31"/>
      <x:c r="G175" s="31"/>
      <x:c r="H175" s="31"/>
      <x:c r="I175" s="31"/>
      <x:c r="J175" s="32"/>
      <x:c r="K175" s="32"/>
      <x:c r="L175" s="32"/>
      <x:c r="M175" s="32"/>
      <x:c r="N175" s="32"/>
      <x:c r="O175" s="32"/>
      <x:c r="P175" s="32"/>
      <x:c r="Q175" s="31"/>
      <x:c r="R175" s="31"/>
      <x:c r="S175" s="31"/>
      <x:c r="T175" s="32"/>
      <x:c r="U175" s="32"/>
      <x:c r="V175" s="31"/>
      <x:c r="W175" s="31"/>
      <x:c r="X175" s="31"/>
      <x:c r="Y175" s="32"/>
      <x:c r="Z175" s="31"/>
      <x:c r="AA175" s="32"/>
      <x:c r="AB175" s="31"/>
      <x:c r="AC175" s="31"/>
      <x:c r="AD175" s="31"/>
      <x:c r="AE175" s="31"/>
      <x:c r="AF175" s="31"/>
    </x:row>
    <x:row r="176">
      <x:c r="A176" s="79"/>
      <x:c r="B176" s="31"/>
      <x:c r="C176" s="31"/>
      <x:c r="D176" s="31"/>
      <x:c r="E176" s="31"/>
      <x:c r="F176" s="31"/>
      <x:c r="G176" s="31"/>
      <x:c r="H176" s="31"/>
      <x:c r="I176" s="31"/>
      <x:c r="J176" s="32"/>
      <x:c r="K176" s="32"/>
      <x:c r="L176" s="32"/>
      <x:c r="M176" s="32"/>
      <x:c r="N176" s="32"/>
      <x:c r="O176" s="32"/>
      <x:c r="P176" s="32"/>
      <x:c r="Q176" s="31"/>
      <x:c r="R176" s="31"/>
      <x:c r="S176" s="31"/>
      <x:c r="T176" s="32"/>
      <x:c r="U176" s="32"/>
      <x:c r="V176" s="31"/>
      <x:c r="W176" s="31"/>
      <x:c r="X176" s="31"/>
      <x:c r="Y176" s="32"/>
      <x:c r="Z176" s="31"/>
      <x:c r="AA176" s="32"/>
      <x:c r="AB176" s="31"/>
      <x:c r="AC176" s="31"/>
      <x:c r="AD176" s="31"/>
      <x:c r="AE176" s="31"/>
      <x:c r="AF176" s="31"/>
    </x:row>
    <x:row r="177">
      <x:c r="A177" s="79"/>
      <x:c r="B177" s="31"/>
      <x:c r="C177" s="31"/>
      <x:c r="D177" s="31"/>
      <x:c r="E177" s="31"/>
      <x:c r="F177" s="31"/>
      <x:c r="G177" s="31"/>
      <x:c r="H177" s="31"/>
      <x:c r="I177" s="31"/>
      <x:c r="J177" s="32"/>
      <x:c r="K177" s="32"/>
      <x:c r="L177" s="32"/>
      <x:c r="M177" s="32"/>
      <x:c r="N177" s="32"/>
      <x:c r="O177" s="32"/>
      <x:c r="P177" s="32"/>
      <x:c r="Q177" s="31"/>
      <x:c r="R177" s="31"/>
      <x:c r="S177" s="31"/>
      <x:c r="T177" s="32"/>
      <x:c r="U177" s="32"/>
      <x:c r="V177" s="31"/>
      <x:c r="W177" s="31"/>
      <x:c r="X177" s="31"/>
      <x:c r="Y177" s="32"/>
      <x:c r="Z177" s="31"/>
      <x:c r="AA177" s="32"/>
      <x:c r="AB177" s="31"/>
      <x:c r="AC177" s="31"/>
      <x:c r="AD177" s="31"/>
      <x:c r="AE177" s="31"/>
      <x:c r="AF177" s="31"/>
    </x:row>
    <x:row r="178">
      <x:c r="A178" s="79"/>
      <x:c r="B178" s="31"/>
      <x:c r="C178" s="31"/>
      <x:c r="D178" s="31"/>
      <x:c r="E178" s="31"/>
      <x:c r="F178" s="31"/>
      <x:c r="G178" s="31"/>
      <x:c r="H178" s="31"/>
      <x:c r="I178" s="31"/>
      <x:c r="J178" s="32"/>
      <x:c r="K178" s="32"/>
      <x:c r="L178" s="32"/>
      <x:c r="M178" s="32"/>
      <x:c r="N178" s="32"/>
      <x:c r="O178" s="32"/>
      <x:c r="P178" s="32"/>
      <x:c r="Q178" s="31"/>
      <x:c r="R178" s="31"/>
      <x:c r="S178" s="31"/>
      <x:c r="T178" s="32"/>
      <x:c r="U178" s="32"/>
      <x:c r="V178" s="31"/>
      <x:c r="W178" s="31"/>
      <x:c r="X178" s="31"/>
      <x:c r="Y178" s="32"/>
      <x:c r="Z178" s="31"/>
      <x:c r="AA178" s="32"/>
      <x:c r="AB178" s="31"/>
      <x:c r="AC178" s="31"/>
      <x:c r="AD178" s="31"/>
      <x:c r="AE178" s="31"/>
      <x:c r="AF178" s="31"/>
    </x:row>
    <x:row r="179">
      <x:c r="A179" s="79"/>
      <x:c r="B179" s="31"/>
      <x:c r="C179" s="31"/>
      <x:c r="D179" s="31"/>
      <x:c r="E179" s="31"/>
      <x:c r="F179" s="31"/>
      <x:c r="G179" s="31"/>
      <x:c r="H179" s="31"/>
      <x:c r="I179" s="31"/>
      <x:c r="J179" s="32"/>
      <x:c r="K179" s="32"/>
      <x:c r="L179" s="32"/>
      <x:c r="M179" s="32"/>
      <x:c r="N179" s="32"/>
      <x:c r="O179" s="32"/>
      <x:c r="P179" s="32"/>
      <x:c r="Q179" s="31"/>
      <x:c r="R179" s="31"/>
      <x:c r="S179" s="31"/>
      <x:c r="T179" s="32"/>
      <x:c r="U179" s="32"/>
      <x:c r="V179" s="31"/>
      <x:c r="W179" s="31"/>
      <x:c r="X179" s="31"/>
      <x:c r="Y179" s="32"/>
      <x:c r="Z179" s="31"/>
      <x:c r="AA179" s="32"/>
      <x:c r="AB179" s="31"/>
      <x:c r="AC179" s="31"/>
      <x:c r="AD179" s="31"/>
      <x:c r="AE179" s="31"/>
      <x:c r="AF179" s="31"/>
    </x:row>
    <x:row r="180">
      <x:c r="A180" s="79"/>
      <x:c r="B180" s="31"/>
      <x:c r="C180" s="31"/>
      <x:c r="D180" s="31"/>
      <x:c r="E180" s="31"/>
      <x:c r="F180" s="31"/>
      <x:c r="G180" s="31"/>
      <x:c r="H180" s="31"/>
      <x:c r="I180" s="31"/>
      <x:c r="J180" s="32"/>
      <x:c r="K180" s="32"/>
      <x:c r="L180" s="32"/>
      <x:c r="M180" s="32"/>
      <x:c r="N180" s="32"/>
      <x:c r="O180" s="32"/>
      <x:c r="P180" s="32"/>
      <x:c r="Q180" s="31"/>
      <x:c r="R180" s="31"/>
      <x:c r="S180" s="31"/>
      <x:c r="T180" s="32"/>
      <x:c r="U180" s="32"/>
      <x:c r="V180" s="31"/>
      <x:c r="W180" s="31"/>
      <x:c r="X180" s="31"/>
      <x:c r="Y180" s="32"/>
      <x:c r="Z180" s="31"/>
      <x:c r="AA180" s="32"/>
      <x:c r="AB180" s="31"/>
      <x:c r="AC180" s="31"/>
      <x:c r="AD180" s="31"/>
      <x:c r="AE180" s="31"/>
      <x:c r="AF180" s="31"/>
    </x:row>
    <x:row r="181">
      <x:c r="A181" s="79"/>
      <x:c r="B181" s="31"/>
      <x:c r="C181" s="31"/>
      <x:c r="D181" s="31"/>
      <x:c r="E181" s="31"/>
      <x:c r="F181" s="31"/>
      <x:c r="G181" s="31"/>
      <x:c r="H181" s="31"/>
      <x:c r="I181" s="31"/>
      <x:c r="J181" s="32"/>
      <x:c r="K181" s="32"/>
      <x:c r="L181" s="32"/>
      <x:c r="M181" s="32"/>
      <x:c r="N181" s="32"/>
      <x:c r="O181" s="32"/>
      <x:c r="P181" s="32"/>
      <x:c r="Q181" s="31"/>
      <x:c r="R181" s="31"/>
      <x:c r="S181" s="31"/>
      <x:c r="T181" s="32"/>
      <x:c r="U181" s="32"/>
      <x:c r="V181" s="31"/>
      <x:c r="W181" s="31"/>
      <x:c r="X181" s="31"/>
      <x:c r="Y181" s="32"/>
      <x:c r="Z181" s="31"/>
      <x:c r="AA181" s="32"/>
      <x:c r="AB181" s="31"/>
      <x:c r="AC181" s="31"/>
      <x:c r="AD181" s="31"/>
      <x:c r="AE181" s="31"/>
      <x:c r="AF181" s="31"/>
    </x:row>
    <x:row r="182">
      <x:c r="A182" s="79"/>
      <x:c r="B182" s="31"/>
      <x:c r="C182" s="31"/>
      <x:c r="D182" s="31"/>
      <x:c r="E182" s="31"/>
      <x:c r="F182" s="31"/>
      <x:c r="G182" s="31"/>
      <x:c r="H182" s="31"/>
      <x:c r="I182" s="31"/>
      <x:c r="J182" s="32"/>
      <x:c r="K182" s="32"/>
      <x:c r="L182" s="32"/>
      <x:c r="M182" s="32"/>
      <x:c r="N182" s="32"/>
      <x:c r="O182" s="32"/>
      <x:c r="P182" s="32"/>
      <x:c r="Q182" s="31"/>
      <x:c r="R182" s="31"/>
      <x:c r="S182" s="31"/>
      <x:c r="T182" s="32"/>
      <x:c r="U182" s="32"/>
      <x:c r="V182" s="31"/>
      <x:c r="W182" s="31"/>
      <x:c r="X182" s="31"/>
      <x:c r="Y182" s="32"/>
      <x:c r="Z182" s="31"/>
      <x:c r="AA182" s="32"/>
      <x:c r="AB182" s="31"/>
      <x:c r="AC182" s="31"/>
      <x:c r="AD182" s="31"/>
      <x:c r="AE182" s="31"/>
      <x:c r="AF182" s="31"/>
    </x:row>
    <x:row r="183">
      <x:c r="A183" s="79"/>
      <x:c r="B183" s="31"/>
      <x:c r="C183" s="31"/>
      <x:c r="D183" s="31"/>
      <x:c r="E183" s="31"/>
      <x:c r="F183" s="31"/>
      <x:c r="G183" s="31"/>
      <x:c r="H183" s="31"/>
      <x:c r="I183" s="31"/>
      <x:c r="J183" s="32"/>
      <x:c r="K183" s="32"/>
      <x:c r="L183" s="32"/>
      <x:c r="M183" s="32"/>
      <x:c r="N183" s="32"/>
      <x:c r="O183" s="32"/>
      <x:c r="P183" s="32"/>
      <x:c r="Q183" s="31"/>
      <x:c r="R183" s="31"/>
      <x:c r="S183" s="31"/>
      <x:c r="T183" s="32"/>
      <x:c r="U183" s="32"/>
      <x:c r="V183" s="31"/>
      <x:c r="W183" s="31"/>
      <x:c r="X183" s="31"/>
      <x:c r="Y183" s="32"/>
      <x:c r="Z183" s="31"/>
      <x:c r="AA183" s="32"/>
      <x:c r="AB183" s="31"/>
      <x:c r="AC183" s="31"/>
      <x:c r="AD183" s="31"/>
      <x:c r="AE183" s="31"/>
      <x:c r="AF183" s="31"/>
    </x:row>
    <x:row r="184">
      <x:c r="A184" s="79"/>
      <x:c r="B184" s="31"/>
      <x:c r="C184" s="31"/>
      <x:c r="D184" s="31"/>
      <x:c r="E184" s="31"/>
      <x:c r="F184" s="31"/>
      <x:c r="G184" s="31"/>
      <x:c r="H184" s="31"/>
      <x:c r="I184" s="31"/>
      <x:c r="J184" s="32"/>
      <x:c r="K184" s="32"/>
      <x:c r="L184" s="32"/>
      <x:c r="M184" s="32"/>
      <x:c r="N184" s="32"/>
      <x:c r="O184" s="32"/>
      <x:c r="P184" s="32"/>
      <x:c r="Q184" s="31"/>
      <x:c r="R184" s="31"/>
      <x:c r="S184" s="31"/>
      <x:c r="T184" s="32"/>
      <x:c r="U184" s="32"/>
      <x:c r="V184" s="31"/>
      <x:c r="W184" s="31"/>
      <x:c r="X184" s="31"/>
      <x:c r="Y184" s="32"/>
      <x:c r="Z184" s="31"/>
      <x:c r="AA184" s="32"/>
      <x:c r="AB184" s="31"/>
      <x:c r="AC184" s="31"/>
      <x:c r="AD184" s="31"/>
      <x:c r="AE184" s="31"/>
      <x:c r="AF184" s="31"/>
    </x:row>
    <x:row r="185">
      <x:c r="A185" s="79"/>
      <x:c r="B185" s="31"/>
      <x:c r="C185" s="31"/>
      <x:c r="D185" s="31"/>
      <x:c r="E185" s="31"/>
      <x:c r="F185" s="31"/>
      <x:c r="G185" s="31"/>
      <x:c r="H185" s="31"/>
      <x:c r="I185" s="31"/>
      <x:c r="J185" s="32"/>
      <x:c r="K185" s="32"/>
      <x:c r="L185" s="32"/>
      <x:c r="M185" s="32"/>
      <x:c r="N185" s="32"/>
      <x:c r="O185" s="32"/>
      <x:c r="P185" s="32"/>
      <x:c r="Q185" s="31"/>
      <x:c r="R185" s="31"/>
      <x:c r="S185" s="31"/>
      <x:c r="T185" s="32"/>
      <x:c r="U185" s="32"/>
      <x:c r="V185" s="31"/>
      <x:c r="W185" s="31"/>
      <x:c r="X185" s="31"/>
      <x:c r="Y185" s="32"/>
      <x:c r="Z185" s="31"/>
      <x:c r="AA185" s="32"/>
      <x:c r="AB185" s="31"/>
      <x:c r="AC185" s="31"/>
      <x:c r="AD185" s="31"/>
      <x:c r="AE185" s="31"/>
      <x:c r="AF185" s="31"/>
    </x:row>
    <x:row r="186">
      <x:c r="A186" s="79"/>
      <x:c r="B186" s="31"/>
      <x:c r="C186" s="31"/>
      <x:c r="D186" s="31"/>
      <x:c r="E186" s="31"/>
      <x:c r="F186" s="31"/>
      <x:c r="G186" s="31"/>
      <x:c r="H186" s="31"/>
      <x:c r="I186" s="31"/>
      <x:c r="J186" s="32"/>
      <x:c r="K186" s="32"/>
      <x:c r="L186" s="32"/>
      <x:c r="M186" s="32"/>
      <x:c r="N186" s="32"/>
      <x:c r="O186" s="32"/>
      <x:c r="P186" s="32"/>
      <x:c r="Q186" s="31"/>
      <x:c r="R186" s="31"/>
      <x:c r="S186" s="31"/>
      <x:c r="T186" s="32"/>
      <x:c r="U186" s="32"/>
      <x:c r="V186" s="31"/>
      <x:c r="W186" s="31"/>
      <x:c r="X186" s="31"/>
      <x:c r="Y186" s="32"/>
      <x:c r="Z186" s="31"/>
      <x:c r="AA186" s="32"/>
      <x:c r="AB186" s="31"/>
      <x:c r="AC186" s="31"/>
      <x:c r="AD186" s="31"/>
      <x:c r="AE186" s="31"/>
      <x:c r="AF186" s="31"/>
    </x:row>
    <x:row r="187">
      <x:c r="A187" s="79"/>
      <x:c r="B187" s="31"/>
      <x:c r="C187" s="31"/>
      <x:c r="D187" s="31"/>
      <x:c r="E187" s="31"/>
      <x:c r="F187" s="31"/>
      <x:c r="G187" s="31"/>
      <x:c r="H187" s="31"/>
      <x:c r="I187" s="31"/>
      <x:c r="J187" s="32"/>
      <x:c r="K187" s="32"/>
      <x:c r="L187" s="32"/>
      <x:c r="M187" s="32"/>
      <x:c r="N187" s="32"/>
      <x:c r="O187" s="32"/>
      <x:c r="P187" s="32"/>
      <x:c r="Q187" s="31"/>
      <x:c r="R187" s="31"/>
      <x:c r="S187" s="31"/>
      <x:c r="T187" s="32"/>
      <x:c r="U187" s="32"/>
      <x:c r="V187" s="31"/>
      <x:c r="W187" s="31"/>
      <x:c r="X187" s="31"/>
      <x:c r="Y187" s="32"/>
      <x:c r="Z187" s="31"/>
      <x:c r="AA187" s="32"/>
      <x:c r="AB187" s="31"/>
      <x:c r="AC187" s="31"/>
      <x:c r="AD187" s="31"/>
      <x:c r="AE187" s="31"/>
      <x:c r="AF187" s="31"/>
    </x:row>
    <x:row r="188">
      <x:c r="A188" s="79"/>
      <x:c r="B188" s="31"/>
      <x:c r="C188" s="31"/>
      <x:c r="D188" s="31"/>
      <x:c r="E188" s="31"/>
      <x:c r="F188" s="31"/>
      <x:c r="G188" s="31"/>
      <x:c r="H188" s="31"/>
      <x:c r="I188" s="31"/>
      <x:c r="J188" s="32"/>
      <x:c r="K188" s="32"/>
      <x:c r="L188" s="32"/>
      <x:c r="M188" s="32"/>
      <x:c r="N188" s="32"/>
      <x:c r="O188" s="32"/>
      <x:c r="P188" s="32"/>
      <x:c r="Q188" s="31"/>
      <x:c r="R188" s="31"/>
      <x:c r="S188" s="31"/>
      <x:c r="T188" s="32"/>
      <x:c r="U188" s="32"/>
      <x:c r="V188" s="31"/>
      <x:c r="W188" s="31"/>
      <x:c r="X188" s="31"/>
      <x:c r="Y188" s="32"/>
      <x:c r="Z188" s="31"/>
      <x:c r="AA188" s="32"/>
      <x:c r="AB188" s="31"/>
      <x:c r="AC188" s="31"/>
      <x:c r="AD188" s="31"/>
      <x:c r="AE188" s="31"/>
      <x:c r="AF188" s="31"/>
    </x:row>
    <x:row r="189">
      <x:c r="A189" s="79"/>
      <x:c r="B189" s="31"/>
      <x:c r="C189" s="31"/>
      <x:c r="D189" s="31"/>
      <x:c r="E189" s="31"/>
      <x:c r="F189" s="31"/>
      <x:c r="G189" s="31"/>
      <x:c r="H189" s="31"/>
      <x:c r="I189" s="31"/>
      <x:c r="J189" s="32"/>
      <x:c r="K189" s="32"/>
      <x:c r="L189" s="32"/>
      <x:c r="M189" s="32"/>
      <x:c r="N189" s="32"/>
      <x:c r="O189" s="32"/>
      <x:c r="P189" s="32"/>
      <x:c r="Q189" s="31"/>
      <x:c r="R189" s="31"/>
      <x:c r="S189" s="31"/>
      <x:c r="T189" s="32"/>
      <x:c r="U189" s="32"/>
      <x:c r="V189" s="31"/>
      <x:c r="W189" s="31"/>
      <x:c r="X189" s="31"/>
      <x:c r="Y189" s="32"/>
      <x:c r="Z189" s="31"/>
      <x:c r="AA189" s="32"/>
      <x:c r="AB189" s="31"/>
      <x:c r="AC189" s="31"/>
      <x:c r="AD189" s="31"/>
      <x:c r="AE189" s="31"/>
      <x:c r="AF189" s="31"/>
    </x:row>
    <x:row r="190">
      <x:c r="A190" s="79"/>
      <x:c r="B190" s="31"/>
      <x:c r="C190" s="31"/>
      <x:c r="D190" s="31"/>
      <x:c r="E190" s="31"/>
      <x:c r="F190" s="31"/>
      <x:c r="G190" s="31"/>
      <x:c r="H190" s="31"/>
      <x:c r="I190" s="31"/>
      <x:c r="J190" s="32"/>
      <x:c r="K190" s="32"/>
      <x:c r="L190" s="32"/>
      <x:c r="M190" s="32"/>
      <x:c r="N190" s="32"/>
      <x:c r="O190" s="32"/>
      <x:c r="P190" s="32"/>
      <x:c r="Q190" s="31"/>
      <x:c r="R190" s="31"/>
      <x:c r="S190" s="31"/>
      <x:c r="T190" s="32"/>
      <x:c r="U190" s="32"/>
      <x:c r="V190" s="31"/>
      <x:c r="W190" s="31"/>
      <x:c r="X190" s="31"/>
      <x:c r="Y190" s="32"/>
      <x:c r="Z190" s="31"/>
      <x:c r="AA190" s="32"/>
      <x:c r="AB190" s="31"/>
      <x:c r="AC190" s="31"/>
      <x:c r="AD190" s="31"/>
      <x:c r="AE190" s="31"/>
      <x:c r="AF190" s="31"/>
    </x:row>
    <x:row r="191">
      <x:c r="A191" s="79"/>
      <x:c r="B191" s="31"/>
      <x:c r="C191" s="31"/>
      <x:c r="D191" s="31"/>
      <x:c r="E191" s="31"/>
      <x:c r="F191" s="31"/>
      <x:c r="G191" s="31"/>
      <x:c r="H191" s="31"/>
      <x:c r="I191" s="31"/>
      <x:c r="J191" s="32"/>
      <x:c r="K191" s="32"/>
      <x:c r="L191" s="32"/>
      <x:c r="M191" s="32"/>
      <x:c r="N191" s="32"/>
      <x:c r="O191" s="32"/>
      <x:c r="P191" s="32"/>
      <x:c r="Q191" s="31"/>
      <x:c r="R191" s="31"/>
      <x:c r="S191" s="31"/>
      <x:c r="T191" s="32"/>
      <x:c r="U191" s="32"/>
      <x:c r="V191" s="31"/>
      <x:c r="W191" s="31"/>
      <x:c r="X191" s="31"/>
      <x:c r="Y191" s="32"/>
      <x:c r="Z191" s="31"/>
      <x:c r="AA191" s="32"/>
      <x:c r="AB191" s="31"/>
      <x:c r="AC191" s="31"/>
      <x:c r="AD191" s="31"/>
      <x:c r="AE191" s="31"/>
      <x:c r="AF191" s="31"/>
    </x:row>
    <x:row r="192">
      <x:c r="A192" s="79"/>
      <x:c r="B192" s="31"/>
      <x:c r="C192" s="31"/>
      <x:c r="D192" s="31"/>
      <x:c r="E192" s="31"/>
      <x:c r="F192" s="31"/>
      <x:c r="G192" s="31"/>
      <x:c r="H192" s="31"/>
      <x:c r="I192" s="31"/>
      <x:c r="J192" s="32"/>
      <x:c r="K192" s="32"/>
      <x:c r="L192" s="32"/>
      <x:c r="M192" s="32"/>
      <x:c r="N192" s="32"/>
      <x:c r="O192" s="32"/>
      <x:c r="P192" s="32"/>
      <x:c r="Q192" s="31"/>
      <x:c r="R192" s="31"/>
      <x:c r="S192" s="31"/>
      <x:c r="T192" s="32"/>
      <x:c r="U192" s="32"/>
      <x:c r="V192" s="31"/>
      <x:c r="W192" s="31"/>
      <x:c r="X192" s="31"/>
      <x:c r="Y192" s="32"/>
      <x:c r="Z192" s="31"/>
      <x:c r="AA192" s="32"/>
      <x:c r="AB192" s="31"/>
      <x:c r="AC192" s="31"/>
      <x:c r="AD192" s="31"/>
      <x:c r="AE192" s="31"/>
      <x:c r="AF192" s="31"/>
    </x:row>
    <x:row r="193">
      <x:c r="A193" s="79"/>
      <x:c r="B193" s="31"/>
      <x:c r="C193" s="31"/>
      <x:c r="D193" s="31"/>
      <x:c r="E193" s="31"/>
      <x:c r="F193" s="31"/>
      <x:c r="G193" s="31"/>
      <x:c r="H193" s="31"/>
      <x:c r="I193" s="31"/>
      <x:c r="J193" s="32"/>
      <x:c r="K193" s="32"/>
      <x:c r="L193" s="32"/>
      <x:c r="M193" s="32"/>
      <x:c r="N193" s="32"/>
      <x:c r="O193" s="32"/>
      <x:c r="P193" s="32"/>
      <x:c r="Q193" s="31"/>
      <x:c r="R193" s="31"/>
      <x:c r="S193" s="31"/>
      <x:c r="T193" s="32"/>
      <x:c r="U193" s="32"/>
      <x:c r="V193" s="31"/>
      <x:c r="W193" s="31"/>
      <x:c r="X193" s="31"/>
      <x:c r="Y193" s="32"/>
      <x:c r="Z193" s="31"/>
      <x:c r="AA193" s="32"/>
      <x:c r="AB193" s="31"/>
      <x:c r="AC193" s="31"/>
      <x:c r="AD193" s="31"/>
      <x:c r="AE193" s="31"/>
      <x:c r="AF193" s="31"/>
    </x:row>
    <x:row r="194">
      <x:c r="A194" s="79"/>
      <x:c r="B194" s="31"/>
      <x:c r="C194" s="31"/>
      <x:c r="D194" s="31"/>
      <x:c r="E194" s="31"/>
      <x:c r="F194" s="31"/>
      <x:c r="G194" s="31"/>
      <x:c r="H194" s="31"/>
      <x:c r="I194" s="31"/>
      <x:c r="J194" s="32"/>
      <x:c r="K194" s="32"/>
      <x:c r="L194" s="32"/>
      <x:c r="M194" s="32"/>
      <x:c r="N194" s="32"/>
      <x:c r="O194" s="32"/>
      <x:c r="P194" s="32"/>
      <x:c r="Q194" s="31"/>
      <x:c r="R194" s="31"/>
      <x:c r="S194" s="31"/>
      <x:c r="T194" s="32"/>
      <x:c r="U194" s="32"/>
      <x:c r="V194" s="31"/>
      <x:c r="W194" s="31"/>
      <x:c r="X194" s="31"/>
      <x:c r="Y194" s="32"/>
      <x:c r="Z194" s="31"/>
      <x:c r="AA194" s="32"/>
      <x:c r="AB194" s="31"/>
      <x:c r="AC194" s="31"/>
      <x:c r="AD194" s="31"/>
      <x:c r="AE194" s="31"/>
      <x:c r="AF194" s="31"/>
    </x:row>
    <x:row r="195">
      <x:c r="A195" s="79"/>
      <x:c r="B195" s="31"/>
      <x:c r="C195" s="31"/>
      <x:c r="D195" s="31"/>
      <x:c r="E195" s="31"/>
      <x:c r="F195" s="31"/>
      <x:c r="G195" s="31"/>
      <x:c r="H195" s="31"/>
      <x:c r="I195" s="31"/>
      <x:c r="J195" s="32"/>
      <x:c r="K195" s="32"/>
      <x:c r="L195" s="32"/>
      <x:c r="M195" s="32"/>
      <x:c r="N195" s="32"/>
      <x:c r="O195" s="32"/>
      <x:c r="P195" s="32"/>
      <x:c r="Q195" s="31"/>
      <x:c r="R195" s="31"/>
      <x:c r="S195" s="31"/>
      <x:c r="T195" s="32"/>
      <x:c r="U195" s="32"/>
      <x:c r="V195" s="31"/>
      <x:c r="W195" s="31"/>
      <x:c r="X195" s="31"/>
      <x:c r="Y195" s="32"/>
      <x:c r="Z195" s="31"/>
      <x:c r="AA195" s="32"/>
      <x:c r="AB195" s="31"/>
      <x:c r="AC195" s="31"/>
      <x:c r="AD195" s="31"/>
      <x:c r="AE195" s="31"/>
      <x:c r="AF195" s="31"/>
    </x:row>
    <x:row r="196">
      <x:c r="A196" s="79"/>
      <x:c r="B196" s="31"/>
      <x:c r="C196" s="31"/>
      <x:c r="D196" s="31"/>
      <x:c r="E196" s="31"/>
      <x:c r="F196" s="31"/>
      <x:c r="G196" s="31"/>
      <x:c r="H196" s="31"/>
      <x:c r="I196" s="31"/>
      <x:c r="J196" s="32"/>
      <x:c r="K196" s="32"/>
      <x:c r="L196" s="32"/>
      <x:c r="M196" s="32"/>
      <x:c r="N196" s="32"/>
      <x:c r="O196" s="32"/>
      <x:c r="P196" s="32"/>
      <x:c r="Q196" s="31"/>
      <x:c r="R196" s="31"/>
      <x:c r="S196" s="31"/>
      <x:c r="T196" s="32"/>
      <x:c r="U196" s="32"/>
      <x:c r="V196" s="31"/>
      <x:c r="W196" s="31"/>
      <x:c r="X196" s="31"/>
      <x:c r="Y196" s="32"/>
      <x:c r="Z196" s="31"/>
      <x:c r="AA196" s="32"/>
      <x:c r="AB196" s="31"/>
      <x:c r="AC196" s="31"/>
      <x:c r="AD196" s="31"/>
      <x:c r="AE196" s="31"/>
      <x:c r="AF196" s="31"/>
    </x:row>
    <x:row r="197">
      <x:c r="A197" s="79"/>
      <x:c r="B197" s="31"/>
      <x:c r="C197" s="31"/>
      <x:c r="D197" s="31"/>
      <x:c r="E197" s="31"/>
      <x:c r="F197" s="31"/>
      <x:c r="G197" s="31"/>
      <x:c r="H197" s="31"/>
      <x:c r="I197" s="31"/>
      <x:c r="J197" s="32"/>
      <x:c r="K197" s="32"/>
      <x:c r="L197" s="32"/>
      <x:c r="M197" s="32"/>
      <x:c r="N197" s="32"/>
      <x:c r="O197" s="32"/>
      <x:c r="P197" s="32"/>
      <x:c r="Q197" s="31"/>
      <x:c r="R197" s="31"/>
      <x:c r="S197" s="31"/>
      <x:c r="T197" s="32"/>
      <x:c r="U197" s="32"/>
      <x:c r="V197" s="31"/>
      <x:c r="W197" s="31"/>
      <x:c r="X197" s="31"/>
      <x:c r="Y197" s="32"/>
      <x:c r="Z197" s="31"/>
      <x:c r="AA197" s="32"/>
      <x:c r="AB197" s="31"/>
      <x:c r="AC197" s="31"/>
      <x:c r="AD197" s="31"/>
      <x:c r="AE197" s="31"/>
      <x:c r="AF197" s="31"/>
    </x:row>
    <x:row r="198">
      <x:c r="A198" s="79"/>
      <x:c r="B198" s="31"/>
      <x:c r="C198" s="31"/>
      <x:c r="D198" s="31"/>
      <x:c r="E198" s="31"/>
      <x:c r="F198" s="31"/>
      <x:c r="G198" s="31"/>
      <x:c r="H198" s="31"/>
      <x:c r="I198" s="31"/>
      <x:c r="J198" s="32"/>
      <x:c r="K198" s="32"/>
      <x:c r="L198" s="32"/>
      <x:c r="M198" s="32"/>
      <x:c r="N198" s="32"/>
      <x:c r="O198" s="32"/>
      <x:c r="P198" s="32"/>
      <x:c r="Q198" s="31"/>
      <x:c r="R198" s="31"/>
      <x:c r="S198" s="31"/>
      <x:c r="T198" s="32"/>
      <x:c r="U198" s="32"/>
      <x:c r="V198" s="31"/>
      <x:c r="W198" s="31"/>
      <x:c r="X198" s="31"/>
      <x:c r="Y198" s="32"/>
      <x:c r="Z198" s="31"/>
      <x:c r="AA198" s="32"/>
      <x:c r="AB198" s="31"/>
      <x:c r="AC198" s="31"/>
      <x:c r="AD198" s="31"/>
      <x:c r="AE198" s="31"/>
      <x:c r="AF198" s="31"/>
    </x:row>
    <x:row r="199">
      <x:c r="A199" s="79"/>
      <x:c r="B199" s="31"/>
      <x:c r="C199" s="31"/>
      <x:c r="D199" s="31"/>
      <x:c r="E199" s="31"/>
      <x:c r="F199" s="31"/>
      <x:c r="G199" s="31"/>
      <x:c r="H199" s="31"/>
      <x:c r="I199" s="31"/>
      <x:c r="J199" s="32"/>
      <x:c r="K199" s="32"/>
      <x:c r="L199" s="32"/>
      <x:c r="M199" s="32"/>
      <x:c r="N199" s="32"/>
      <x:c r="O199" s="32"/>
      <x:c r="P199" s="32"/>
      <x:c r="Q199" s="31"/>
      <x:c r="R199" s="31"/>
      <x:c r="S199" s="31"/>
      <x:c r="T199" s="32"/>
      <x:c r="U199" s="32"/>
      <x:c r="V199" s="31"/>
      <x:c r="W199" s="31"/>
      <x:c r="X199" s="31"/>
      <x:c r="Y199" s="32"/>
      <x:c r="Z199" s="31"/>
      <x:c r="AA199" s="32"/>
      <x:c r="AB199" s="31"/>
      <x:c r="AC199" s="31"/>
      <x:c r="AD199" s="31"/>
      <x:c r="AE199" s="31"/>
      <x:c r="AF199" s="31"/>
    </x:row>
    <x:row r="200">
      <x:c r="A200" s="79"/>
      <x:c r="B200" s="31"/>
      <x:c r="C200" s="31"/>
      <x:c r="D200" s="31"/>
      <x:c r="E200" s="31"/>
      <x:c r="F200" s="31"/>
      <x:c r="G200" s="31"/>
      <x:c r="H200" s="31"/>
      <x:c r="I200" s="31"/>
      <x:c r="J200" s="32"/>
      <x:c r="K200" s="32"/>
      <x:c r="L200" s="32"/>
      <x:c r="M200" s="32"/>
      <x:c r="N200" s="32"/>
      <x:c r="O200" s="32"/>
      <x:c r="P200" s="32"/>
      <x:c r="Q200" s="31"/>
      <x:c r="R200" s="31"/>
      <x:c r="S200" s="31"/>
      <x:c r="T200" s="32"/>
      <x:c r="U200" s="32"/>
      <x:c r="V200" s="31"/>
      <x:c r="W200" s="31"/>
      <x:c r="X200" s="31"/>
      <x:c r="Y200" s="32"/>
      <x:c r="Z200" s="31"/>
      <x:c r="AA200" s="32"/>
      <x:c r="AB200" s="31"/>
      <x:c r="AC200" s="31"/>
      <x:c r="AD200" s="31"/>
      <x:c r="AE200" s="31"/>
      <x:c r="AF200" s="31"/>
    </x:row>
    <x:row r="201">
      <x:c r="A201" s="79"/>
      <x:c r="B201" s="31"/>
      <x:c r="C201" s="31"/>
      <x:c r="D201" s="31"/>
      <x:c r="E201" s="31"/>
      <x:c r="F201" s="31"/>
      <x:c r="G201" s="31"/>
      <x:c r="H201" s="31"/>
      <x:c r="I201" s="31"/>
      <x:c r="J201" s="32"/>
      <x:c r="K201" s="32"/>
      <x:c r="L201" s="32"/>
      <x:c r="M201" s="32"/>
      <x:c r="N201" s="32"/>
      <x:c r="O201" s="32"/>
      <x:c r="P201" s="32"/>
      <x:c r="Q201" s="31"/>
      <x:c r="R201" s="31"/>
      <x:c r="S201" s="31"/>
      <x:c r="T201" s="32"/>
      <x:c r="U201" s="32"/>
      <x:c r="V201" s="31"/>
      <x:c r="W201" s="31"/>
      <x:c r="X201" s="31"/>
      <x:c r="Y201" s="32"/>
      <x:c r="Z201" s="31"/>
      <x:c r="AA201" s="32"/>
      <x:c r="AB201" s="31"/>
      <x:c r="AC201" s="31"/>
      <x:c r="AD201" s="31"/>
      <x:c r="AE201" s="31"/>
      <x:c r="AF201" s="31"/>
    </x:row>
    <x:row r="202">
      <x:c r="A202" s="79"/>
      <x:c r="B202" s="31"/>
      <x:c r="C202" s="31"/>
      <x:c r="D202" s="31"/>
      <x:c r="E202" s="31"/>
      <x:c r="F202" s="31"/>
      <x:c r="G202" s="31"/>
      <x:c r="H202" s="31"/>
      <x:c r="I202" s="31"/>
      <x:c r="J202" s="32"/>
      <x:c r="K202" s="32"/>
      <x:c r="L202" s="32"/>
      <x:c r="M202" s="32"/>
      <x:c r="N202" s="32"/>
      <x:c r="O202" s="32"/>
      <x:c r="P202" s="32"/>
      <x:c r="Q202" s="31"/>
      <x:c r="R202" s="31"/>
      <x:c r="S202" s="31"/>
      <x:c r="T202" s="32"/>
      <x:c r="U202" s="32"/>
      <x:c r="V202" s="31"/>
      <x:c r="W202" s="31"/>
      <x:c r="X202" s="31"/>
      <x:c r="Y202" s="32"/>
      <x:c r="Z202" s="31"/>
      <x:c r="AA202" s="32"/>
      <x:c r="AB202" s="31"/>
      <x:c r="AC202" s="31"/>
      <x:c r="AD202" s="31"/>
      <x:c r="AE202" s="31"/>
      <x:c r="AF202" s="31"/>
    </x:row>
    <x:row r="203">
      <x:c r="A203" s="79"/>
      <x:c r="B203" s="31"/>
      <x:c r="C203" s="31"/>
      <x:c r="D203" s="31"/>
      <x:c r="E203" s="31"/>
      <x:c r="F203" s="31"/>
      <x:c r="G203" s="31"/>
      <x:c r="H203" s="31"/>
      <x:c r="I203" s="31"/>
      <x:c r="J203" s="32"/>
      <x:c r="K203" s="32"/>
      <x:c r="L203" s="32"/>
      <x:c r="M203" s="32"/>
      <x:c r="N203" s="32"/>
      <x:c r="O203" s="32"/>
      <x:c r="P203" s="32"/>
      <x:c r="Q203" s="31"/>
      <x:c r="R203" s="31"/>
      <x:c r="S203" s="31"/>
      <x:c r="T203" s="32"/>
      <x:c r="U203" s="32"/>
      <x:c r="V203" s="31"/>
      <x:c r="W203" s="31"/>
      <x:c r="X203" s="31"/>
      <x:c r="Y203" s="32"/>
      <x:c r="Z203" s="31"/>
      <x:c r="AA203" s="32"/>
      <x:c r="AB203" s="31"/>
      <x:c r="AC203" s="31"/>
      <x:c r="AD203" s="31"/>
      <x:c r="AE203" s="31"/>
      <x:c r="AF203" s="31"/>
    </x:row>
    <x:row r="204">
      <x:c r="A204" s="79"/>
      <x:c r="B204" s="31"/>
      <x:c r="C204" s="31"/>
      <x:c r="D204" s="31"/>
      <x:c r="E204" s="31"/>
      <x:c r="F204" s="31"/>
      <x:c r="G204" s="31"/>
      <x:c r="H204" s="31"/>
      <x:c r="I204" s="31"/>
      <x:c r="J204" s="32"/>
      <x:c r="K204" s="32"/>
      <x:c r="L204" s="32"/>
      <x:c r="M204" s="32"/>
      <x:c r="N204" s="32"/>
      <x:c r="O204" s="32"/>
      <x:c r="P204" s="32"/>
      <x:c r="Q204" s="31"/>
      <x:c r="R204" s="31"/>
      <x:c r="S204" s="31"/>
      <x:c r="T204" s="32"/>
      <x:c r="U204" s="32"/>
      <x:c r="V204" s="31"/>
      <x:c r="W204" s="31"/>
      <x:c r="X204" s="31"/>
      <x:c r="Y204" s="32"/>
      <x:c r="Z204" s="31"/>
      <x:c r="AA204" s="32"/>
      <x:c r="AB204" s="31"/>
      <x:c r="AC204" s="31"/>
      <x:c r="AD204" s="31"/>
      <x:c r="AE204" s="31"/>
      <x:c r="AF204" s="31"/>
    </x:row>
    <x:row r="205">
      <x:c r="A205" s="79"/>
      <x:c r="B205" s="31"/>
      <x:c r="C205" s="31"/>
      <x:c r="D205" s="31"/>
      <x:c r="E205" s="31"/>
      <x:c r="F205" s="31"/>
      <x:c r="G205" s="31"/>
      <x:c r="H205" s="31"/>
      <x:c r="I205" s="31"/>
      <x:c r="J205" s="32"/>
      <x:c r="K205" s="32"/>
      <x:c r="L205" s="32"/>
      <x:c r="M205" s="32"/>
      <x:c r="N205" s="32"/>
      <x:c r="O205" s="32"/>
      <x:c r="P205" s="32"/>
      <x:c r="Q205" s="31"/>
      <x:c r="R205" s="31"/>
      <x:c r="S205" s="31"/>
      <x:c r="T205" s="32"/>
      <x:c r="U205" s="32"/>
      <x:c r="V205" s="31"/>
      <x:c r="W205" s="31"/>
      <x:c r="X205" s="31"/>
      <x:c r="Y205" s="32"/>
      <x:c r="Z205" s="31"/>
      <x:c r="AA205" s="32"/>
      <x:c r="AB205" s="31"/>
      <x:c r="AC205" s="31"/>
      <x:c r="AD205" s="31"/>
      <x:c r="AE205" s="31"/>
      <x:c r="AF205" s="31"/>
    </x:row>
    <x:row r="206">
      <x:c r="A206" s="79"/>
      <x:c r="B206" s="31"/>
      <x:c r="C206" s="31"/>
      <x:c r="D206" s="31"/>
      <x:c r="E206" s="31"/>
      <x:c r="F206" s="31"/>
      <x:c r="G206" s="31"/>
      <x:c r="H206" s="31"/>
      <x:c r="I206" s="31"/>
      <x:c r="J206" s="32"/>
      <x:c r="K206" s="32"/>
      <x:c r="L206" s="32"/>
      <x:c r="M206" s="32"/>
      <x:c r="N206" s="32"/>
      <x:c r="O206" s="32"/>
      <x:c r="P206" s="32"/>
      <x:c r="Q206" s="31"/>
      <x:c r="R206" s="31"/>
      <x:c r="S206" s="31"/>
      <x:c r="T206" s="32"/>
      <x:c r="U206" s="32"/>
      <x:c r="V206" s="31"/>
      <x:c r="W206" s="31"/>
      <x:c r="X206" s="31"/>
      <x:c r="Y206" s="32"/>
      <x:c r="Z206" s="31"/>
      <x:c r="AA206" s="32"/>
      <x:c r="AB206" s="31"/>
      <x:c r="AC206" s="31"/>
      <x:c r="AD206" s="31"/>
      <x:c r="AE206" s="31"/>
      <x:c r="AF206" s="31"/>
    </x:row>
    <x:row r="207">
      <x:c r="A207" s="79"/>
      <x:c r="B207" s="31"/>
      <x:c r="C207" s="31"/>
      <x:c r="D207" s="31"/>
      <x:c r="E207" s="31"/>
      <x:c r="F207" s="31"/>
      <x:c r="G207" s="31"/>
      <x:c r="H207" s="31"/>
      <x:c r="I207" s="31"/>
      <x:c r="J207" s="32"/>
      <x:c r="K207" s="32"/>
      <x:c r="L207" s="32"/>
      <x:c r="M207" s="32"/>
      <x:c r="N207" s="32"/>
      <x:c r="O207" s="32"/>
      <x:c r="P207" s="32"/>
      <x:c r="Q207" s="31"/>
      <x:c r="R207" s="31"/>
      <x:c r="S207" s="31"/>
      <x:c r="T207" s="32"/>
      <x:c r="U207" s="32"/>
      <x:c r="V207" s="31"/>
      <x:c r="W207" s="31"/>
      <x:c r="X207" s="31"/>
      <x:c r="Y207" s="32"/>
      <x:c r="Z207" s="31"/>
      <x:c r="AA207" s="32"/>
      <x:c r="AB207" s="31"/>
      <x:c r="AC207" s="31"/>
      <x:c r="AD207" s="31"/>
      <x:c r="AE207" s="31"/>
      <x:c r="AF207" s="31"/>
    </x:row>
    <x:row r="208">
      <x:c r="A208" s="79"/>
      <x:c r="B208" s="31"/>
      <x:c r="C208" s="31"/>
      <x:c r="D208" s="31"/>
      <x:c r="E208" s="31"/>
      <x:c r="F208" s="31"/>
      <x:c r="G208" s="31"/>
      <x:c r="H208" s="31"/>
      <x:c r="I208" s="31"/>
      <x:c r="J208" s="32"/>
      <x:c r="K208" s="32"/>
      <x:c r="L208" s="32"/>
      <x:c r="M208" s="32"/>
      <x:c r="N208" s="32"/>
      <x:c r="O208" s="32"/>
      <x:c r="P208" s="32"/>
      <x:c r="Q208" s="31"/>
      <x:c r="R208" s="31"/>
      <x:c r="S208" s="31"/>
      <x:c r="T208" s="32"/>
      <x:c r="U208" s="32"/>
      <x:c r="V208" s="31"/>
      <x:c r="W208" s="31"/>
      <x:c r="X208" s="31"/>
      <x:c r="Y208" s="32"/>
      <x:c r="Z208" s="31"/>
      <x:c r="AA208" s="32"/>
      <x:c r="AB208" s="31"/>
      <x:c r="AC208" s="31"/>
      <x:c r="AD208" s="31"/>
      <x:c r="AE208" s="31"/>
      <x:c r="AF208" s="31"/>
    </x:row>
    <x:row r="209">
      <x:c r="A209" s="79"/>
      <x:c r="B209" s="31"/>
      <x:c r="C209" s="31"/>
      <x:c r="D209" s="31"/>
      <x:c r="E209" s="31"/>
      <x:c r="F209" s="31"/>
      <x:c r="G209" s="31"/>
      <x:c r="H209" s="31"/>
      <x:c r="I209" s="31"/>
      <x:c r="J209" s="32"/>
      <x:c r="K209" s="32"/>
      <x:c r="L209" s="32"/>
      <x:c r="M209" s="32"/>
      <x:c r="N209" s="32"/>
      <x:c r="O209" s="32"/>
      <x:c r="P209" s="32"/>
      <x:c r="Q209" s="31"/>
      <x:c r="R209" s="31"/>
      <x:c r="S209" s="31"/>
      <x:c r="T209" s="32"/>
      <x:c r="U209" s="32"/>
      <x:c r="V209" s="31"/>
      <x:c r="W209" s="31"/>
      <x:c r="X209" s="31"/>
      <x:c r="Y209" s="32"/>
      <x:c r="Z209" s="31"/>
      <x:c r="AA209" s="32"/>
      <x:c r="AB209" s="31"/>
      <x:c r="AC209" s="31"/>
      <x:c r="AD209" s="31"/>
      <x:c r="AE209" s="31"/>
      <x:c r="AF209" s="31"/>
    </x:row>
    <x:row r="210">
      <x:c r="A210" s="79"/>
      <x:c r="B210" s="31"/>
      <x:c r="C210" s="31"/>
      <x:c r="D210" s="31"/>
      <x:c r="E210" s="31"/>
      <x:c r="F210" s="31"/>
      <x:c r="G210" s="31"/>
      <x:c r="H210" s="31"/>
      <x:c r="I210" s="31"/>
      <x:c r="J210" s="32"/>
      <x:c r="K210" s="32"/>
      <x:c r="L210" s="32"/>
      <x:c r="M210" s="32"/>
      <x:c r="N210" s="32"/>
      <x:c r="O210" s="32"/>
      <x:c r="P210" s="32"/>
      <x:c r="Q210" s="31"/>
      <x:c r="R210" s="31"/>
      <x:c r="S210" s="31"/>
      <x:c r="T210" s="32"/>
      <x:c r="U210" s="32"/>
      <x:c r="V210" s="31"/>
      <x:c r="W210" s="31"/>
      <x:c r="X210" s="31"/>
      <x:c r="Y210" s="32"/>
      <x:c r="Z210" s="31"/>
      <x:c r="AA210" s="32"/>
      <x:c r="AB210" s="31"/>
      <x:c r="AC210" s="31"/>
      <x:c r="AD210" s="31"/>
      <x:c r="AE210" s="31"/>
      <x:c r="AF210" s="31"/>
    </x:row>
    <x:row r="211">
      <x:c r="A211" s="79"/>
      <x:c r="B211" s="31"/>
      <x:c r="C211" s="31"/>
      <x:c r="D211" s="31"/>
      <x:c r="E211" s="31"/>
      <x:c r="F211" s="31"/>
      <x:c r="G211" s="31"/>
      <x:c r="H211" s="31"/>
      <x:c r="I211" s="31"/>
      <x:c r="J211" s="32"/>
      <x:c r="K211" s="32"/>
      <x:c r="L211" s="32"/>
      <x:c r="M211" s="32"/>
      <x:c r="N211" s="32"/>
      <x:c r="O211" s="32"/>
      <x:c r="P211" s="32"/>
      <x:c r="Q211" s="31"/>
      <x:c r="R211" s="31"/>
      <x:c r="S211" s="31"/>
      <x:c r="T211" s="32"/>
      <x:c r="U211" s="32"/>
      <x:c r="V211" s="31"/>
      <x:c r="W211" s="31"/>
      <x:c r="X211" s="31"/>
      <x:c r="Y211" s="32"/>
      <x:c r="Z211" s="31"/>
      <x:c r="AA211" s="32"/>
      <x:c r="AB211" s="31"/>
      <x:c r="AC211" s="31"/>
      <x:c r="AD211" s="31"/>
      <x:c r="AE211" s="31"/>
      <x:c r="AF211" s="31"/>
    </x:row>
    <x:row r="212">
      <x:c r="A212" s="79"/>
      <x:c r="B212" s="31"/>
      <x:c r="C212" s="31"/>
      <x:c r="D212" s="31"/>
      <x:c r="E212" s="31"/>
      <x:c r="F212" s="31"/>
      <x:c r="G212" s="31"/>
      <x:c r="H212" s="31"/>
      <x:c r="I212" s="31"/>
      <x:c r="J212" s="32"/>
      <x:c r="K212" s="32"/>
      <x:c r="L212" s="32"/>
      <x:c r="M212" s="32"/>
      <x:c r="N212" s="32"/>
      <x:c r="O212" s="32"/>
      <x:c r="P212" s="32"/>
      <x:c r="Q212" s="31"/>
      <x:c r="R212" s="31"/>
      <x:c r="S212" s="31"/>
      <x:c r="T212" s="32"/>
      <x:c r="U212" s="32"/>
      <x:c r="V212" s="31"/>
      <x:c r="W212" s="31"/>
      <x:c r="X212" s="31"/>
      <x:c r="Y212" s="32"/>
      <x:c r="Z212" s="31"/>
      <x:c r="AA212" s="32"/>
      <x:c r="AB212" s="31"/>
      <x:c r="AC212" s="31"/>
      <x:c r="AD212" s="31"/>
      <x:c r="AE212" s="31"/>
      <x:c r="AF212" s="31"/>
    </x:row>
    <x:row r="213">
      <x:c r="A213" s="79"/>
      <x:c r="B213" s="31"/>
      <x:c r="C213" s="31"/>
      <x:c r="D213" s="31"/>
      <x:c r="E213" s="31"/>
      <x:c r="F213" s="31"/>
      <x:c r="G213" s="31"/>
      <x:c r="H213" s="31"/>
      <x:c r="I213" s="31"/>
      <x:c r="J213" s="32"/>
      <x:c r="K213" s="32"/>
      <x:c r="L213" s="32"/>
      <x:c r="M213" s="32"/>
      <x:c r="N213" s="32"/>
      <x:c r="O213" s="32"/>
      <x:c r="P213" s="32"/>
      <x:c r="Q213" s="31"/>
      <x:c r="R213" s="31"/>
      <x:c r="S213" s="31"/>
      <x:c r="T213" s="32"/>
      <x:c r="U213" s="32"/>
      <x:c r="V213" s="31"/>
      <x:c r="W213" s="31"/>
      <x:c r="X213" s="31"/>
      <x:c r="Y213" s="32"/>
      <x:c r="Z213" s="31"/>
      <x:c r="AA213" s="32"/>
      <x:c r="AB213" s="31"/>
      <x:c r="AC213" s="31"/>
      <x:c r="AD213" s="31"/>
      <x:c r="AE213" s="31"/>
      <x:c r="AF213" s="31"/>
    </x:row>
    <x:row r="214">
      <x:c r="A214" s="79"/>
      <x:c r="B214" s="31"/>
      <x:c r="C214" s="31"/>
      <x:c r="D214" s="31"/>
      <x:c r="E214" s="31"/>
      <x:c r="F214" s="31"/>
      <x:c r="G214" s="31"/>
      <x:c r="H214" s="31"/>
      <x:c r="I214" s="31"/>
      <x:c r="J214" s="32"/>
      <x:c r="K214" s="32"/>
      <x:c r="L214" s="32"/>
      <x:c r="M214" s="32"/>
      <x:c r="N214" s="32"/>
      <x:c r="O214" s="32"/>
      <x:c r="P214" s="32"/>
      <x:c r="Q214" s="31"/>
      <x:c r="R214" s="31"/>
      <x:c r="S214" s="31"/>
      <x:c r="T214" s="32"/>
      <x:c r="U214" s="32"/>
      <x:c r="V214" s="31"/>
      <x:c r="W214" s="31"/>
      <x:c r="X214" s="31"/>
      <x:c r="Y214" s="32"/>
      <x:c r="Z214" s="31"/>
      <x:c r="AA214" s="32"/>
      <x:c r="AB214" s="31"/>
      <x:c r="AC214" s="31"/>
      <x:c r="AD214" s="31"/>
      <x:c r="AE214" s="31"/>
      <x:c r="AF214" s="31"/>
    </x:row>
    <x:row r="215">
      <x:c r="A215" s="79"/>
      <x:c r="B215" s="31"/>
      <x:c r="C215" s="31"/>
      <x:c r="D215" s="31"/>
      <x:c r="E215" s="31"/>
      <x:c r="F215" s="31"/>
      <x:c r="G215" s="31"/>
      <x:c r="H215" s="31"/>
      <x:c r="I215" s="31"/>
      <x:c r="J215" s="32"/>
      <x:c r="K215" s="32"/>
      <x:c r="L215" s="32"/>
      <x:c r="M215" s="32"/>
      <x:c r="N215" s="32"/>
      <x:c r="O215" s="32"/>
      <x:c r="P215" s="32"/>
      <x:c r="Q215" s="31"/>
      <x:c r="R215" s="31"/>
      <x:c r="S215" s="31"/>
      <x:c r="T215" s="32"/>
      <x:c r="U215" s="32"/>
      <x:c r="V215" s="31"/>
      <x:c r="W215" s="31"/>
      <x:c r="X215" s="31"/>
      <x:c r="Y215" s="32"/>
      <x:c r="Z215" s="31"/>
      <x:c r="AA215" s="32"/>
      <x:c r="AB215" s="31"/>
      <x:c r="AC215" s="31"/>
      <x:c r="AD215" s="31"/>
      <x:c r="AE215" s="31"/>
      <x:c r="AF215" s="31"/>
    </x:row>
    <x:row r="216">
      <x:c r="A216" s="79"/>
      <x:c r="B216" s="31"/>
      <x:c r="C216" s="31"/>
      <x:c r="D216" s="31"/>
      <x:c r="E216" s="31"/>
      <x:c r="F216" s="31"/>
      <x:c r="G216" s="31"/>
      <x:c r="H216" s="31"/>
      <x:c r="I216" s="31"/>
      <x:c r="J216" s="32"/>
      <x:c r="K216" s="32"/>
      <x:c r="L216" s="32"/>
      <x:c r="M216" s="32"/>
      <x:c r="N216" s="32"/>
      <x:c r="O216" s="32"/>
      <x:c r="P216" s="32"/>
      <x:c r="Q216" s="31"/>
      <x:c r="R216" s="31"/>
      <x:c r="S216" s="31"/>
      <x:c r="T216" s="32"/>
      <x:c r="U216" s="32"/>
      <x:c r="V216" s="31"/>
      <x:c r="W216" s="31"/>
      <x:c r="X216" s="31"/>
      <x:c r="Y216" s="32"/>
      <x:c r="Z216" s="31"/>
      <x:c r="AA216" s="32"/>
      <x:c r="AB216" s="31"/>
      <x:c r="AC216" s="31"/>
      <x:c r="AD216" s="31"/>
      <x:c r="AE216" s="31"/>
      <x:c r="AF216" s="31"/>
    </x:row>
    <x:row r="217">
      <x:c r="A217" s="79"/>
      <x:c r="B217" s="31"/>
      <x:c r="C217" s="31"/>
      <x:c r="D217" s="31"/>
      <x:c r="E217" s="31"/>
      <x:c r="F217" s="31"/>
      <x:c r="G217" s="31"/>
      <x:c r="H217" s="31"/>
      <x:c r="I217" s="31"/>
      <x:c r="J217" s="32"/>
      <x:c r="K217" s="32"/>
      <x:c r="L217" s="32"/>
      <x:c r="M217" s="32"/>
      <x:c r="N217" s="32"/>
      <x:c r="O217" s="32"/>
      <x:c r="P217" s="32"/>
      <x:c r="Q217" s="31"/>
      <x:c r="R217" s="31"/>
      <x:c r="S217" s="31"/>
      <x:c r="T217" s="32"/>
      <x:c r="U217" s="32"/>
      <x:c r="V217" s="31"/>
      <x:c r="W217" s="31"/>
      <x:c r="X217" s="31"/>
      <x:c r="Y217" s="32"/>
      <x:c r="Z217" s="31"/>
      <x:c r="AA217" s="32"/>
      <x:c r="AB217" s="31"/>
      <x:c r="AC217" s="31"/>
      <x:c r="AD217" s="31"/>
      <x:c r="AE217" s="31"/>
      <x:c r="AF217" s="31"/>
    </x:row>
    <x:row r="218">
      <x:c r="A218" s="79"/>
      <x:c r="B218" s="31"/>
      <x:c r="C218" s="31"/>
      <x:c r="D218" s="31"/>
      <x:c r="E218" s="31"/>
      <x:c r="F218" s="31"/>
      <x:c r="G218" s="31"/>
      <x:c r="H218" s="31"/>
      <x:c r="I218" s="31"/>
      <x:c r="J218" s="32"/>
      <x:c r="K218" s="32"/>
      <x:c r="L218" s="32"/>
      <x:c r="M218" s="32"/>
      <x:c r="N218" s="32"/>
      <x:c r="O218" s="32"/>
      <x:c r="P218" s="32"/>
      <x:c r="Q218" s="31"/>
      <x:c r="R218" s="31"/>
      <x:c r="S218" s="31"/>
      <x:c r="T218" s="32"/>
      <x:c r="U218" s="32"/>
      <x:c r="V218" s="31"/>
      <x:c r="W218" s="31"/>
      <x:c r="X218" s="31"/>
      <x:c r="Y218" s="32"/>
      <x:c r="Z218" s="31"/>
      <x:c r="AA218" s="32"/>
      <x:c r="AB218" s="31"/>
      <x:c r="AC218" s="31"/>
      <x:c r="AD218" s="31"/>
      <x:c r="AE218" s="31"/>
      <x:c r="AF218" s="31"/>
    </x:row>
    <x:row r="219">
      <x:c r="A219" s="79"/>
      <x:c r="B219" s="31"/>
      <x:c r="C219" s="31"/>
      <x:c r="D219" s="31"/>
      <x:c r="E219" s="31"/>
      <x:c r="F219" s="31"/>
      <x:c r="G219" s="31"/>
      <x:c r="H219" s="31"/>
      <x:c r="I219" s="31"/>
      <x:c r="J219" s="32"/>
      <x:c r="K219" s="32"/>
      <x:c r="L219" s="32"/>
      <x:c r="M219" s="32"/>
      <x:c r="N219" s="32"/>
      <x:c r="O219" s="32"/>
      <x:c r="P219" s="32"/>
      <x:c r="Q219" s="31"/>
      <x:c r="R219" s="31"/>
      <x:c r="S219" s="31"/>
      <x:c r="T219" s="32"/>
      <x:c r="U219" s="32"/>
      <x:c r="V219" s="31"/>
      <x:c r="W219" s="31"/>
      <x:c r="X219" s="31"/>
      <x:c r="Y219" s="32"/>
      <x:c r="Z219" s="31"/>
      <x:c r="AA219" s="32"/>
      <x:c r="AB219" s="31"/>
      <x:c r="AC219" s="31"/>
      <x:c r="AD219" s="31"/>
      <x:c r="AE219" s="31"/>
      <x:c r="AF219" s="31"/>
    </x:row>
    <x:row r="220">
      <x:c r="A220" s="79"/>
      <x:c r="B220" s="31"/>
      <x:c r="C220" s="31"/>
      <x:c r="D220" s="31"/>
      <x:c r="E220" s="31"/>
      <x:c r="F220" s="31"/>
      <x:c r="G220" s="31"/>
      <x:c r="H220" s="31"/>
      <x:c r="I220" s="31"/>
      <x:c r="J220" s="32"/>
      <x:c r="K220" s="32"/>
      <x:c r="L220" s="32"/>
      <x:c r="M220" s="32"/>
      <x:c r="N220" s="32"/>
      <x:c r="O220" s="32"/>
      <x:c r="P220" s="32"/>
      <x:c r="Q220" s="31"/>
      <x:c r="R220" s="31"/>
      <x:c r="S220" s="31"/>
      <x:c r="T220" s="32"/>
      <x:c r="U220" s="32"/>
      <x:c r="V220" s="31"/>
      <x:c r="W220" s="31"/>
      <x:c r="X220" s="31"/>
      <x:c r="Y220" s="32"/>
      <x:c r="Z220" s="31"/>
      <x:c r="AA220" s="32"/>
      <x:c r="AB220" s="31"/>
      <x:c r="AC220" s="31"/>
      <x:c r="AD220" s="31"/>
      <x:c r="AE220" s="31"/>
      <x:c r="AF220" s="31"/>
    </x:row>
    <x:row r="221">
      <x:c r="A221" s="79"/>
      <x:c r="B221" s="31"/>
      <x:c r="C221" s="31"/>
      <x:c r="D221" s="31"/>
      <x:c r="E221" s="31"/>
      <x:c r="F221" s="31"/>
      <x:c r="G221" s="31"/>
      <x:c r="H221" s="31"/>
      <x:c r="I221" s="31"/>
      <x:c r="J221" s="32"/>
      <x:c r="K221" s="32"/>
      <x:c r="L221" s="32"/>
      <x:c r="M221" s="32"/>
      <x:c r="N221" s="32"/>
      <x:c r="O221" s="32"/>
      <x:c r="P221" s="32"/>
      <x:c r="Q221" s="31"/>
      <x:c r="R221" s="31"/>
      <x:c r="S221" s="31"/>
      <x:c r="T221" s="32"/>
      <x:c r="U221" s="32"/>
      <x:c r="V221" s="31"/>
      <x:c r="W221" s="31"/>
      <x:c r="X221" s="31"/>
      <x:c r="Y221" s="32"/>
      <x:c r="Z221" s="31"/>
      <x:c r="AA221" s="32"/>
      <x:c r="AB221" s="31"/>
      <x:c r="AC221" s="31"/>
      <x:c r="AD221" s="31"/>
      <x:c r="AE221" s="31"/>
      <x:c r="AF221" s="31"/>
    </x:row>
    <x:row r="222">
      <x:c r="A222" s="79"/>
      <x:c r="B222" s="31"/>
      <x:c r="C222" s="31"/>
      <x:c r="D222" s="31"/>
      <x:c r="E222" s="31"/>
      <x:c r="F222" s="31"/>
      <x:c r="G222" s="31"/>
      <x:c r="H222" s="31"/>
      <x:c r="I222" s="31"/>
      <x:c r="J222" s="32"/>
      <x:c r="K222" s="32"/>
      <x:c r="L222" s="32"/>
      <x:c r="M222" s="32"/>
      <x:c r="N222" s="32"/>
      <x:c r="O222" s="32"/>
      <x:c r="P222" s="32"/>
      <x:c r="Q222" s="31"/>
      <x:c r="R222" s="31"/>
      <x:c r="S222" s="31"/>
      <x:c r="T222" s="32"/>
      <x:c r="U222" s="32"/>
      <x:c r="V222" s="31"/>
      <x:c r="W222" s="31"/>
      <x:c r="X222" s="31"/>
      <x:c r="Y222" s="32"/>
      <x:c r="Z222" s="31"/>
      <x:c r="AA222" s="32"/>
      <x:c r="AB222" s="31"/>
      <x:c r="AC222" s="31"/>
      <x:c r="AD222" s="31"/>
      <x:c r="AE222" s="31"/>
      <x:c r="AF222" s="31"/>
    </x:row>
    <x:row r="223">
      <x:c r="A223" s="79"/>
      <x:c r="B223" s="31"/>
      <x:c r="C223" s="31"/>
      <x:c r="D223" s="31"/>
      <x:c r="E223" s="31"/>
      <x:c r="F223" s="31"/>
      <x:c r="G223" s="31"/>
      <x:c r="H223" s="31"/>
      <x:c r="I223" s="31"/>
      <x:c r="J223" s="32"/>
      <x:c r="K223" s="32"/>
      <x:c r="L223" s="32"/>
      <x:c r="M223" s="32"/>
      <x:c r="N223" s="32"/>
      <x:c r="O223" s="32"/>
      <x:c r="P223" s="32"/>
      <x:c r="Q223" s="31"/>
      <x:c r="R223" s="31"/>
      <x:c r="S223" s="31"/>
      <x:c r="T223" s="32"/>
      <x:c r="U223" s="32"/>
      <x:c r="V223" s="31"/>
      <x:c r="W223" s="31"/>
      <x:c r="X223" s="31"/>
      <x:c r="Y223" s="32"/>
      <x:c r="Z223" s="31"/>
      <x:c r="AA223" s="32"/>
      <x:c r="AB223" s="31"/>
      <x:c r="AC223" s="31"/>
      <x:c r="AD223" s="31"/>
      <x:c r="AE223" s="31"/>
      <x:c r="AF223" s="31"/>
    </x:row>
    <x:row r="224">
      <x:c r="A224" s="79"/>
      <x:c r="B224" s="31"/>
      <x:c r="C224" s="31"/>
      <x:c r="D224" s="31"/>
      <x:c r="E224" s="31"/>
      <x:c r="F224" s="31"/>
      <x:c r="G224" s="31"/>
      <x:c r="H224" s="31"/>
      <x:c r="I224" s="31"/>
      <x:c r="J224" s="32"/>
      <x:c r="K224" s="32"/>
      <x:c r="L224" s="32"/>
      <x:c r="M224" s="32"/>
      <x:c r="N224" s="32"/>
      <x:c r="O224" s="32"/>
      <x:c r="P224" s="32"/>
      <x:c r="Q224" s="31"/>
      <x:c r="R224" s="31"/>
      <x:c r="S224" s="31"/>
      <x:c r="T224" s="32"/>
      <x:c r="U224" s="32"/>
      <x:c r="V224" s="31"/>
      <x:c r="W224" s="31"/>
      <x:c r="X224" s="31"/>
      <x:c r="Y224" s="32"/>
      <x:c r="Z224" s="31"/>
      <x:c r="AA224" s="32"/>
      <x:c r="AB224" s="31"/>
      <x:c r="AC224" s="31"/>
      <x:c r="AD224" s="31"/>
      <x:c r="AE224" s="31"/>
      <x:c r="AF224" s="31"/>
    </x:row>
    <x:row r="225">
      <x:c r="A225" s="79"/>
      <x:c r="B225" s="31"/>
      <x:c r="C225" s="31"/>
      <x:c r="D225" s="31"/>
      <x:c r="E225" s="31"/>
      <x:c r="F225" s="31"/>
      <x:c r="G225" s="31"/>
      <x:c r="H225" s="31"/>
      <x:c r="I225" s="31"/>
      <x:c r="J225" s="32"/>
      <x:c r="K225" s="32"/>
      <x:c r="L225" s="32"/>
      <x:c r="M225" s="32"/>
      <x:c r="N225" s="32"/>
      <x:c r="O225" s="32"/>
      <x:c r="P225" s="32"/>
      <x:c r="Q225" s="31"/>
      <x:c r="R225" s="31"/>
      <x:c r="S225" s="31"/>
      <x:c r="T225" s="32"/>
      <x:c r="U225" s="32"/>
      <x:c r="V225" s="31"/>
      <x:c r="W225" s="31"/>
      <x:c r="X225" s="31"/>
      <x:c r="Y225" s="32"/>
      <x:c r="Z225" s="31"/>
      <x:c r="AA225" s="32"/>
      <x:c r="AB225" s="31"/>
      <x:c r="AC225" s="31"/>
      <x:c r="AD225" s="31"/>
      <x:c r="AE225" s="31"/>
      <x:c r="AF225" s="31"/>
    </x:row>
    <x:row r="226">
      <x:c r="A226" s="79"/>
      <x:c r="B226" s="31"/>
      <x:c r="C226" s="31"/>
      <x:c r="D226" s="31"/>
      <x:c r="E226" s="31"/>
      <x:c r="F226" s="31"/>
      <x:c r="G226" s="31"/>
      <x:c r="H226" s="31"/>
      <x:c r="I226" s="31"/>
      <x:c r="J226" s="32"/>
      <x:c r="K226" s="32"/>
      <x:c r="L226" s="32"/>
      <x:c r="M226" s="32"/>
      <x:c r="N226" s="32"/>
      <x:c r="O226" s="32"/>
      <x:c r="P226" s="32"/>
      <x:c r="Q226" s="31"/>
      <x:c r="R226" s="31"/>
      <x:c r="S226" s="31"/>
      <x:c r="T226" s="32"/>
      <x:c r="U226" s="32"/>
      <x:c r="V226" s="31"/>
      <x:c r="W226" s="31"/>
      <x:c r="X226" s="31"/>
      <x:c r="Y226" s="32"/>
      <x:c r="Z226" s="31"/>
      <x:c r="AA226" s="32"/>
      <x:c r="AB226" s="31"/>
      <x:c r="AC226" s="31"/>
      <x:c r="AD226" s="31"/>
      <x:c r="AE226" s="31"/>
      <x:c r="AF226" s="31"/>
    </x:row>
    <x:row r="227">
      <x:c r="A227" s="79"/>
      <x:c r="B227" s="31"/>
      <x:c r="C227" s="31"/>
      <x:c r="D227" s="31"/>
      <x:c r="E227" s="31"/>
      <x:c r="F227" s="31"/>
      <x:c r="G227" s="31"/>
      <x:c r="H227" s="31"/>
      <x:c r="I227" s="31"/>
      <x:c r="J227" s="32"/>
      <x:c r="K227" s="32"/>
      <x:c r="L227" s="32"/>
      <x:c r="M227" s="32"/>
      <x:c r="N227" s="32"/>
      <x:c r="O227" s="32"/>
      <x:c r="P227" s="32"/>
      <x:c r="Q227" s="31"/>
      <x:c r="R227" s="31"/>
      <x:c r="S227" s="31"/>
      <x:c r="T227" s="32"/>
      <x:c r="U227" s="32"/>
      <x:c r="V227" s="31"/>
      <x:c r="W227" s="31"/>
      <x:c r="X227" s="31"/>
      <x:c r="Y227" s="32"/>
      <x:c r="Z227" s="31"/>
      <x:c r="AA227" s="32"/>
      <x:c r="AB227" s="31"/>
      <x:c r="AC227" s="31"/>
      <x:c r="AD227" s="31"/>
      <x:c r="AE227" s="31"/>
      <x:c r="AF227" s="31"/>
    </x:row>
    <x:row r="228">
      <x:c r="A228" s="79"/>
      <x:c r="B228" s="31"/>
      <x:c r="C228" s="31"/>
      <x:c r="D228" s="31"/>
      <x:c r="E228" s="31"/>
      <x:c r="F228" s="31"/>
      <x:c r="G228" s="31"/>
      <x:c r="H228" s="31"/>
      <x:c r="I228" s="31"/>
      <x:c r="J228" s="32"/>
      <x:c r="K228" s="32"/>
      <x:c r="L228" s="32"/>
      <x:c r="M228" s="32"/>
      <x:c r="N228" s="32"/>
      <x:c r="O228" s="32"/>
      <x:c r="P228" s="32"/>
      <x:c r="Q228" s="31"/>
      <x:c r="R228" s="31"/>
      <x:c r="S228" s="31"/>
      <x:c r="T228" s="32"/>
      <x:c r="U228" s="32"/>
      <x:c r="V228" s="31"/>
      <x:c r="W228" s="31"/>
      <x:c r="X228" s="31"/>
      <x:c r="Y228" s="32"/>
      <x:c r="Z228" s="31"/>
      <x:c r="AA228" s="32"/>
      <x:c r="AB228" s="31"/>
      <x:c r="AC228" s="31"/>
      <x:c r="AD228" s="31"/>
      <x:c r="AE228" s="31"/>
      <x:c r="AF228" s="31"/>
    </x:row>
    <x:row r="229">
      <x:c r="A229" s="79"/>
      <x:c r="B229" s="31"/>
      <x:c r="C229" s="31"/>
      <x:c r="D229" s="31"/>
      <x:c r="E229" s="31"/>
      <x:c r="F229" s="31"/>
      <x:c r="G229" s="31"/>
      <x:c r="H229" s="31"/>
      <x:c r="I229" s="31"/>
      <x:c r="J229" s="32"/>
      <x:c r="K229" s="32"/>
      <x:c r="L229" s="32"/>
      <x:c r="M229" s="32"/>
      <x:c r="N229" s="32"/>
      <x:c r="O229" s="32"/>
      <x:c r="P229" s="32"/>
      <x:c r="Q229" s="31"/>
      <x:c r="R229" s="31"/>
      <x:c r="S229" s="31"/>
      <x:c r="T229" s="32"/>
      <x:c r="U229" s="32"/>
      <x:c r="V229" s="31"/>
      <x:c r="W229" s="31"/>
      <x:c r="X229" s="31"/>
      <x:c r="Y229" s="32"/>
      <x:c r="Z229" s="31"/>
      <x:c r="AA229" s="32"/>
      <x:c r="AB229" s="31"/>
      <x:c r="AC229" s="31"/>
      <x:c r="AD229" s="31"/>
      <x:c r="AE229" s="31"/>
      <x:c r="AF229" s="31"/>
    </x:row>
    <x:row r="230">
      <x:c r="A230" s="79"/>
      <x:c r="B230" s="31"/>
      <x:c r="C230" s="31"/>
      <x:c r="D230" s="31"/>
      <x:c r="E230" s="31"/>
      <x:c r="F230" s="31"/>
      <x:c r="G230" s="31"/>
      <x:c r="H230" s="31"/>
      <x:c r="I230" s="31"/>
      <x:c r="J230" s="32"/>
      <x:c r="K230" s="32"/>
      <x:c r="L230" s="32"/>
      <x:c r="M230" s="32"/>
      <x:c r="N230" s="32"/>
      <x:c r="O230" s="32"/>
      <x:c r="P230" s="32"/>
      <x:c r="Q230" s="31"/>
      <x:c r="R230" s="31"/>
      <x:c r="S230" s="31"/>
      <x:c r="T230" s="32"/>
      <x:c r="U230" s="32"/>
      <x:c r="V230" s="31"/>
      <x:c r="W230" s="31"/>
      <x:c r="X230" s="31"/>
      <x:c r="Y230" s="32"/>
      <x:c r="Z230" s="31"/>
      <x:c r="AA230" s="32"/>
      <x:c r="AB230" s="31"/>
      <x:c r="AC230" s="31"/>
      <x:c r="AD230" s="31"/>
      <x:c r="AE230" s="31"/>
      <x:c r="AF230" s="31"/>
    </x:row>
    <x:row r="231">
      <x:c r="A231" s="79"/>
      <x:c r="B231" s="31"/>
      <x:c r="C231" s="31"/>
      <x:c r="D231" s="31"/>
      <x:c r="E231" s="31"/>
      <x:c r="F231" s="31"/>
      <x:c r="G231" s="31"/>
      <x:c r="H231" s="31"/>
      <x:c r="I231" s="31"/>
      <x:c r="J231" s="32"/>
      <x:c r="K231" s="32"/>
      <x:c r="L231" s="32"/>
      <x:c r="M231" s="32"/>
      <x:c r="N231" s="32"/>
      <x:c r="O231" s="32"/>
      <x:c r="P231" s="32"/>
      <x:c r="Q231" s="31"/>
      <x:c r="R231" s="31"/>
      <x:c r="S231" s="31"/>
      <x:c r="T231" s="32"/>
      <x:c r="U231" s="32"/>
      <x:c r="V231" s="31"/>
      <x:c r="W231" s="31"/>
      <x:c r="X231" s="31"/>
      <x:c r="Y231" s="32"/>
      <x:c r="Z231" s="31"/>
      <x:c r="AA231" s="32"/>
      <x:c r="AB231" s="31"/>
      <x:c r="AC231" s="31"/>
      <x:c r="AD231" s="31"/>
      <x:c r="AE231" s="31"/>
      <x:c r="AF231" s="31"/>
    </x:row>
    <x:row r="232">
      <x:c r="A232" s="79"/>
      <x:c r="B232" s="31"/>
      <x:c r="C232" s="31"/>
      <x:c r="D232" s="31"/>
      <x:c r="E232" s="31"/>
      <x:c r="F232" s="31"/>
      <x:c r="G232" s="31"/>
      <x:c r="H232" s="31"/>
      <x:c r="I232" s="31"/>
      <x:c r="J232" s="32"/>
      <x:c r="K232" s="32"/>
      <x:c r="L232" s="32"/>
      <x:c r="M232" s="32"/>
      <x:c r="N232" s="32"/>
      <x:c r="O232" s="32"/>
      <x:c r="P232" s="32"/>
      <x:c r="Q232" s="31"/>
      <x:c r="R232" s="31"/>
      <x:c r="S232" s="31"/>
      <x:c r="T232" s="32"/>
      <x:c r="U232" s="32"/>
      <x:c r="V232" s="31"/>
      <x:c r="W232" s="31"/>
      <x:c r="X232" s="31"/>
      <x:c r="Y232" s="32"/>
      <x:c r="Z232" s="31"/>
      <x:c r="AA232" s="32"/>
      <x:c r="AB232" s="31"/>
      <x:c r="AC232" s="31"/>
      <x:c r="AD232" s="31"/>
      <x:c r="AE232" s="31"/>
      <x:c r="AF232" s="31"/>
    </x:row>
    <x:row r="233">
      <x:c r="A233" s="79"/>
      <x:c r="B233" s="31"/>
      <x:c r="C233" s="31"/>
      <x:c r="D233" s="31"/>
      <x:c r="E233" s="31"/>
      <x:c r="F233" s="31"/>
      <x:c r="G233" s="31"/>
      <x:c r="H233" s="31"/>
      <x:c r="I233" s="31"/>
      <x:c r="J233" s="32"/>
      <x:c r="K233" s="32"/>
      <x:c r="L233" s="32"/>
      <x:c r="M233" s="32"/>
      <x:c r="N233" s="32"/>
      <x:c r="O233" s="32"/>
      <x:c r="P233" s="32"/>
      <x:c r="Q233" s="31"/>
      <x:c r="R233" s="31"/>
      <x:c r="S233" s="31"/>
      <x:c r="T233" s="32"/>
      <x:c r="U233" s="32"/>
      <x:c r="V233" s="31"/>
      <x:c r="W233" s="31"/>
      <x:c r="X233" s="31"/>
      <x:c r="Y233" s="32"/>
      <x:c r="Z233" s="31"/>
      <x:c r="AA233" s="32"/>
      <x:c r="AB233" s="31"/>
      <x:c r="AC233" s="31"/>
      <x:c r="AD233" s="31"/>
      <x:c r="AE233" s="31"/>
      <x:c r="AF233" s="31"/>
    </x:row>
    <x:row r="234">
      <x:c r="A234" s="79"/>
      <x:c r="B234" s="31"/>
      <x:c r="C234" s="31"/>
      <x:c r="D234" s="31"/>
      <x:c r="E234" s="31"/>
      <x:c r="F234" s="31"/>
      <x:c r="G234" s="31"/>
      <x:c r="H234" s="31"/>
      <x:c r="I234" s="31"/>
      <x:c r="J234" s="32"/>
      <x:c r="K234" s="32"/>
      <x:c r="L234" s="32"/>
      <x:c r="M234" s="32"/>
      <x:c r="N234" s="32"/>
      <x:c r="O234" s="32"/>
      <x:c r="P234" s="32"/>
      <x:c r="Q234" s="31"/>
      <x:c r="R234" s="31"/>
      <x:c r="S234" s="31"/>
      <x:c r="T234" s="32"/>
      <x:c r="U234" s="32"/>
      <x:c r="V234" s="31"/>
      <x:c r="W234" s="31"/>
      <x:c r="X234" s="31"/>
      <x:c r="Y234" s="32"/>
      <x:c r="Z234" s="31"/>
      <x:c r="AA234" s="32"/>
      <x:c r="AB234" s="31"/>
      <x:c r="AC234" s="31"/>
      <x:c r="AD234" s="31"/>
      <x:c r="AE234" s="31"/>
      <x:c r="AF234" s="31"/>
    </x:row>
    <x:row r="235">
      <x:c r="A235" s="79"/>
      <x:c r="B235" s="31"/>
      <x:c r="C235" s="31"/>
      <x:c r="D235" s="31"/>
      <x:c r="E235" s="31"/>
      <x:c r="F235" s="31"/>
      <x:c r="G235" s="31"/>
      <x:c r="H235" s="31"/>
      <x:c r="I235" s="31"/>
      <x:c r="J235" s="32"/>
      <x:c r="K235" s="32"/>
      <x:c r="L235" s="32"/>
      <x:c r="M235" s="32"/>
      <x:c r="N235" s="32"/>
      <x:c r="O235" s="32"/>
      <x:c r="P235" s="32"/>
      <x:c r="Q235" s="31"/>
      <x:c r="R235" s="31"/>
      <x:c r="S235" s="31"/>
      <x:c r="T235" s="32"/>
      <x:c r="U235" s="32"/>
      <x:c r="V235" s="31"/>
      <x:c r="W235" s="31"/>
      <x:c r="X235" s="31"/>
      <x:c r="Y235" s="32"/>
      <x:c r="Z235" s="31"/>
      <x:c r="AA235" s="32"/>
      <x:c r="AB235" s="31"/>
      <x:c r="AC235" s="31"/>
      <x:c r="AD235" s="31"/>
      <x:c r="AE235" s="31"/>
      <x:c r="AF235" s="31"/>
    </x:row>
    <x:row r="236">
      <x:c r="A236" s="79"/>
      <x:c r="B236" s="31"/>
      <x:c r="C236" s="31"/>
      <x:c r="D236" s="31"/>
      <x:c r="E236" s="31"/>
      <x:c r="F236" s="31"/>
      <x:c r="G236" s="31"/>
      <x:c r="H236" s="31"/>
      <x:c r="I236" s="31"/>
      <x:c r="J236" s="32"/>
      <x:c r="K236" s="32"/>
      <x:c r="L236" s="32"/>
      <x:c r="M236" s="32"/>
      <x:c r="N236" s="32"/>
      <x:c r="O236" s="32"/>
      <x:c r="P236" s="32"/>
      <x:c r="Q236" s="31"/>
      <x:c r="R236" s="31"/>
      <x:c r="S236" s="31"/>
      <x:c r="T236" s="32"/>
      <x:c r="U236" s="32"/>
      <x:c r="V236" s="31"/>
      <x:c r="W236" s="31"/>
      <x:c r="X236" s="31"/>
      <x:c r="Y236" s="32"/>
      <x:c r="Z236" s="31"/>
      <x:c r="AA236" s="32"/>
      <x:c r="AB236" s="31"/>
      <x:c r="AC236" s="31"/>
      <x:c r="AD236" s="31"/>
      <x:c r="AE236" s="31"/>
      <x:c r="AF236" s="31"/>
    </x:row>
    <x:row r="237">
      <x:c r="A237" s="79"/>
      <x:c r="B237" s="31"/>
      <x:c r="C237" s="31"/>
      <x:c r="D237" s="31"/>
      <x:c r="E237" s="31"/>
      <x:c r="F237" s="31"/>
      <x:c r="G237" s="31"/>
      <x:c r="H237" s="31"/>
      <x:c r="I237" s="31"/>
      <x:c r="J237" s="32"/>
      <x:c r="K237" s="32"/>
      <x:c r="L237" s="32"/>
      <x:c r="M237" s="32"/>
      <x:c r="N237" s="32"/>
      <x:c r="O237" s="32"/>
      <x:c r="P237" s="32"/>
      <x:c r="Q237" s="31"/>
      <x:c r="R237" s="31"/>
      <x:c r="S237" s="31"/>
      <x:c r="T237" s="32"/>
      <x:c r="U237" s="32"/>
      <x:c r="V237" s="31"/>
      <x:c r="W237" s="31"/>
      <x:c r="X237" s="31"/>
      <x:c r="Y237" s="32"/>
      <x:c r="Z237" s="31"/>
      <x:c r="AA237" s="32"/>
      <x:c r="AB237" s="31"/>
      <x:c r="AC237" s="31"/>
      <x:c r="AD237" s="31"/>
      <x:c r="AE237" s="31"/>
      <x:c r="AF237" s="31"/>
    </x:row>
    <x:row r="238">
      <x:c r="A238" s="79"/>
      <x:c r="B238" s="31"/>
      <x:c r="C238" s="31"/>
      <x:c r="D238" s="31"/>
      <x:c r="E238" s="31"/>
      <x:c r="F238" s="31"/>
      <x:c r="G238" s="31"/>
      <x:c r="H238" s="31"/>
      <x:c r="I238" s="31"/>
      <x:c r="J238" s="32"/>
      <x:c r="K238" s="32"/>
      <x:c r="L238" s="32"/>
      <x:c r="M238" s="32"/>
      <x:c r="N238" s="32"/>
      <x:c r="O238" s="32"/>
      <x:c r="P238" s="32"/>
      <x:c r="Q238" s="31"/>
      <x:c r="R238" s="31"/>
      <x:c r="S238" s="31"/>
      <x:c r="T238" s="32"/>
      <x:c r="U238" s="32"/>
      <x:c r="V238" s="31"/>
      <x:c r="W238" s="31"/>
      <x:c r="X238" s="31"/>
      <x:c r="Y238" s="32"/>
      <x:c r="Z238" s="31"/>
      <x:c r="AA238" s="32"/>
      <x:c r="AB238" s="31"/>
      <x:c r="AC238" s="31"/>
      <x:c r="AD238" s="31"/>
      <x:c r="AE238" s="31"/>
      <x:c r="AF238" s="31"/>
    </x:row>
    <x:row r="239">
      <x:c r="A239" s="79"/>
      <x:c r="B239" s="31"/>
      <x:c r="C239" s="31"/>
      <x:c r="D239" s="31"/>
      <x:c r="E239" s="31"/>
      <x:c r="F239" s="31"/>
      <x:c r="G239" s="31"/>
      <x:c r="H239" s="31"/>
      <x:c r="I239" s="31"/>
      <x:c r="J239" s="32"/>
      <x:c r="K239" s="32"/>
      <x:c r="L239" s="32"/>
      <x:c r="M239" s="32"/>
      <x:c r="N239" s="32"/>
      <x:c r="O239" s="32"/>
      <x:c r="P239" s="32"/>
      <x:c r="Q239" s="31"/>
      <x:c r="R239" s="31"/>
      <x:c r="S239" s="31"/>
      <x:c r="T239" s="32"/>
      <x:c r="U239" s="32"/>
      <x:c r="V239" s="31"/>
      <x:c r="W239" s="31"/>
      <x:c r="X239" s="31"/>
      <x:c r="Y239" s="32"/>
      <x:c r="Z239" s="31"/>
      <x:c r="AA239" s="32"/>
      <x:c r="AB239" s="31"/>
      <x:c r="AC239" s="31"/>
      <x:c r="AD239" s="31"/>
      <x:c r="AE239" s="31"/>
      <x:c r="AF239" s="31"/>
    </x:row>
    <x:row r="240">
      <x:c r="A240" s="79"/>
      <x:c r="B240" s="31"/>
      <x:c r="C240" s="31"/>
      <x:c r="D240" s="31"/>
      <x:c r="E240" s="31"/>
      <x:c r="F240" s="31"/>
      <x:c r="G240" s="31"/>
      <x:c r="H240" s="31"/>
      <x:c r="I240" s="31"/>
      <x:c r="J240" s="32"/>
      <x:c r="K240" s="32"/>
      <x:c r="L240" s="32"/>
      <x:c r="M240" s="32"/>
      <x:c r="N240" s="32"/>
      <x:c r="O240" s="32"/>
      <x:c r="P240" s="32"/>
      <x:c r="Q240" s="31"/>
      <x:c r="R240" s="31"/>
      <x:c r="S240" s="31"/>
      <x:c r="T240" s="32"/>
      <x:c r="U240" s="32"/>
      <x:c r="V240" s="31"/>
      <x:c r="W240" s="31"/>
      <x:c r="X240" s="31"/>
      <x:c r="Y240" s="32"/>
      <x:c r="Z240" s="31"/>
      <x:c r="AA240" s="32"/>
      <x:c r="AB240" s="31"/>
      <x:c r="AC240" s="31"/>
      <x:c r="AD240" s="31"/>
      <x:c r="AE240" s="31"/>
      <x:c r="AF240" s="31"/>
    </x:row>
    <x:row r="241">
      <x:c r="A241" s="79"/>
      <x:c r="B241" s="31"/>
      <x:c r="C241" s="31"/>
      <x:c r="D241" s="31"/>
      <x:c r="E241" s="31"/>
      <x:c r="F241" s="31"/>
      <x:c r="G241" s="31"/>
      <x:c r="H241" s="31"/>
      <x:c r="I241" s="31"/>
      <x:c r="J241" s="32"/>
      <x:c r="K241" s="32"/>
      <x:c r="L241" s="32"/>
      <x:c r="M241" s="32"/>
      <x:c r="N241" s="32"/>
      <x:c r="O241" s="32"/>
      <x:c r="P241" s="32"/>
      <x:c r="Q241" s="31"/>
      <x:c r="R241" s="31"/>
      <x:c r="S241" s="31"/>
      <x:c r="T241" s="32"/>
      <x:c r="U241" s="32"/>
      <x:c r="V241" s="31"/>
      <x:c r="W241" s="31"/>
      <x:c r="X241" s="31"/>
      <x:c r="Y241" s="32"/>
      <x:c r="Z241" s="31"/>
      <x:c r="AA241" s="32"/>
      <x:c r="AB241" s="31"/>
      <x:c r="AC241" s="31"/>
      <x:c r="AD241" s="31"/>
      <x:c r="AE241" s="31"/>
      <x:c r="AF241" s="31"/>
    </x:row>
    <x:row r="242">
      <x:c r="A242" s="79"/>
      <x:c r="B242" s="31"/>
      <x:c r="C242" s="31"/>
      <x:c r="D242" s="31"/>
      <x:c r="E242" s="31"/>
      <x:c r="F242" s="31"/>
      <x:c r="G242" s="31"/>
      <x:c r="H242" s="31"/>
      <x:c r="I242" s="31"/>
      <x:c r="J242" s="32"/>
      <x:c r="K242" s="32"/>
      <x:c r="L242" s="32"/>
      <x:c r="M242" s="32"/>
      <x:c r="N242" s="32"/>
      <x:c r="O242" s="32"/>
      <x:c r="P242" s="32"/>
      <x:c r="Q242" s="31"/>
      <x:c r="R242" s="31"/>
      <x:c r="S242" s="31"/>
      <x:c r="T242" s="32"/>
      <x:c r="U242" s="32"/>
      <x:c r="V242" s="31"/>
      <x:c r="W242" s="31"/>
      <x:c r="X242" s="31"/>
      <x:c r="Y242" s="32"/>
      <x:c r="Z242" s="31"/>
      <x:c r="AA242" s="32"/>
      <x:c r="AB242" s="31"/>
      <x:c r="AC242" s="31"/>
      <x:c r="AD242" s="31"/>
      <x:c r="AE242" s="31"/>
      <x:c r="AF242" s="31"/>
    </x:row>
    <x:row r="243">
      <x:c r="A243" s="79"/>
      <x:c r="B243" s="31"/>
      <x:c r="C243" s="31"/>
      <x:c r="D243" s="31"/>
      <x:c r="E243" s="31"/>
      <x:c r="F243" s="31"/>
      <x:c r="G243" s="31"/>
      <x:c r="H243" s="31"/>
      <x:c r="I243" s="31"/>
      <x:c r="J243" s="32"/>
      <x:c r="K243" s="32"/>
      <x:c r="L243" s="32"/>
      <x:c r="M243" s="32"/>
      <x:c r="N243" s="32"/>
      <x:c r="O243" s="32"/>
      <x:c r="P243" s="32"/>
      <x:c r="Q243" s="31"/>
      <x:c r="R243" s="31"/>
      <x:c r="S243" s="31"/>
      <x:c r="T243" s="32"/>
      <x:c r="U243" s="32"/>
      <x:c r="V243" s="31"/>
      <x:c r="W243" s="31"/>
      <x:c r="X243" s="31"/>
      <x:c r="Y243" s="32"/>
      <x:c r="Z243" s="31"/>
      <x:c r="AA243" s="32"/>
      <x:c r="AB243" s="31"/>
      <x:c r="AC243" s="31"/>
      <x:c r="AD243" s="31"/>
      <x:c r="AE243" s="31"/>
      <x:c r="AF243" s="31"/>
    </x:row>
    <x:row r="244">
      <x:c r="A244" s="79"/>
      <x:c r="B244" s="31"/>
      <x:c r="C244" s="31"/>
      <x:c r="D244" s="31"/>
      <x:c r="E244" s="31"/>
      <x:c r="F244" s="31"/>
      <x:c r="G244" s="31"/>
      <x:c r="H244" s="31"/>
      <x:c r="I244" s="31"/>
      <x:c r="J244" s="32"/>
      <x:c r="K244" s="32"/>
      <x:c r="L244" s="32"/>
      <x:c r="M244" s="32"/>
      <x:c r="N244" s="32"/>
      <x:c r="O244" s="32"/>
      <x:c r="P244" s="32"/>
      <x:c r="Q244" s="31"/>
      <x:c r="R244" s="31"/>
      <x:c r="S244" s="31"/>
      <x:c r="T244" s="32"/>
      <x:c r="U244" s="32"/>
      <x:c r="V244" s="31"/>
      <x:c r="W244" s="31"/>
      <x:c r="X244" s="31"/>
      <x:c r="Y244" s="32"/>
      <x:c r="Z244" s="31"/>
      <x:c r="AA244" s="32"/>
      <x:c r="AB244" s="31"/>
      <x:c r="AC244" s="31"/>
      <x:c r="AD244" s="31"/>
      <x:c r="AE244" s="31"/>
      <x:c r="AF244" s="31"/>
    </x:row>
    <x:row r="245">
      <x:c r="A245" s="79"/>
      <x:c r="B245" s="31"/>
      <x:c r="C245" s="31"/>
      <x:c r="D245" s="31"/>
      <x:c r="E245" s="31"/>
      <x:c r="F245" s="31"/>
      <x:c r="G245" s="31"/>
      <x:c r="H245" s="31"/>
      <x:c r="I245" s="31"/>
      <x:c r="J245" s="32"/>
      <x:c r="K245" s="32"/>
      <x:c r="L245" s="32"/>
      <x:c r="M245" s="32"/>
      <x:c r="N245" s="32"/>
      <x:c r="O245" s="32"/>
      <x:c r="P245" s="32"/>
      <x:c r="Q245" s="31"/>
      <x:c r="R245" s="31"/>
      <x:c r="S245" s="31"/>
      <x:c r="T245" s="32"/>
      <x:c r="U245" s="32"/>
      <x:c r="V245" s="31"/>
      <x:c r="W245" s="31"/>
      <x:c r="X245" s="31"/>
      <x:c r="Y245" s="32"/>
      <x:c r="Z245" s="31"/>
      <x:c r="AA245" s="32"/>
      <x:c r="AB245" s="31"/>
      <x:c r="AC245" s="31"/>
      <x:c r="AD245" s="31"/>
      <x:c r="AE245" s="31"/>
      <x:c r="AF245" s="31"/>
    </x:row>
    <x:row r="246">
      <x:c r="A246" s="79"/>
      <x:c r="B246" s="31"/>
      <x:c r="C246" s="31"/>
      <x:c r="D246" s="31"/>
      <x:c r="E246" s="31"/>
      <x:c r="F246" s="31"/>
      <x:c r="G246" s="31"/>
      <x:c r="H246" s="31"/>
      <x:c r="I246" s="31"/>
      <x:c r="J246" s="32"/>
      <x:c r="K246" s="32"/>
      <x:c r="L246" s="32"/>
      <x:c r="M246" s="32"/>
      <x:c r="N246" s="32"/>
      <x:c r="O246" s="32"/>
      <x:c r="P246" s="32"/>
      <x:c r="Q246" s="31"/>
      <x:c r="R246" s="31"/>
      <x:c r="S246" s="31"/>
      <x:c r="T246" s="32"/>
      <x:c r="U246" s="32"/>
      <x:c r="V246" s="31"/>
      <x:c r="W246" s="31"/>
      <x:c r="X246" s="31"/>
      <x:c r="Y246" s="32"/>
      <x:c r="Z246" s="31"/>
      <x:c r="AA246" s="32"/>
      <x:c r="AB246" s="31"/>
      <x:c r="AC246" s="31"/>
      <x:c r="AD246" s="31"/>
      <x:c r="AE246" s="31"/>
      <x:c r="AF246" s="31"/>
    </x:row>
    <x:row r="247">
      <x:c r="A247" s="79"/>
      <x:c r="B247" s="31"/>
      <x:c r="C247" s="31"/>
      <x:c r="D247" s="31"/>
      <x:c r="E247" s="31"/>
      <x:c r="F247" s="31"/>
      <x:c r="G247" s="31"/>
      <x:c r="H247" s="31"/>
      <x:c r="I247" s="31"/>
      <x:c r="J247" s="32"/>
      <x:c r="K247" s="32"/>
      <x:c r="L247" s="32"/>
      <x:c r="M247" s="32"/>
      <x:c r="N247" s="32"/>
      <x:c r="O247" s="32"/>
      <x:c r="P247" s="32"/>
      <x:c r="Q247" s="31"/>
      <x:c r="R247" s="31"/>
      <x:c r="S247" s="31"/>
      <x:c r="T247" s="32"/>
      <x:c r="U247" s="32"/>
      <x:c r="V247" s="31"/>
      <x:c r="W247" s="31"/>
      <x:c r="X247" s="31"/>
      <x:c r="Y247" s="32"/>
      <x:c r="Z247" s="31"/>
      <x:c r="AA247" s="32"/>
      <x:c r="AB247" s="31"/>
      <x:c r="AC247" s="31"/>
      <x:c r="AD247" s="31"/>
      <x:c r="AE247" s="31"/>
      <x:c r="AF247" s="31"/>
    </x:row>
    <x:row r="248">
      <x:c r="A248" s="79"/>
      <x:c r="B248" s="31"/>
      <x:c r="C248" s="31"/>
      <x:c r="D248" s="31"/>
      <x:c r="E248" s="31"/>
      <x:c r="F248" s="31"/>
      <x:c r="G248" s="31"/>
      <x:c r="H248" s="31"/>
      <x:c r="I248" s="31"/>
      <x:c r="J248" s="32"/>
      <x:c r="K248" s="32"/>
      <x:c r="L248" s="32"/>
      <x:c r="M248" s="32"/>
      <x:c r="N248" s="32"/>
      <x:c r="O248" s="32"/>
      <x:c r="P248" s="32"/>
      <x:c r="Q248" s="31"/>
      <x:c r="R248" s="31"/>
      <x:c r="S248" s="31"/>
      <x:c r="T248" s="32"/>
      <x:c r="U248" s="32"/>
      <x:c r="V248" s="31"/>
      <x:c r="W248" s="31"/>
      <x:c r="X248" s="31"/>
      <x:c r="Y248" s="32"/>
      <x:c r="Z248" s="31"/>
      <x:c r="AA248" s="32"/>
      <x:c r="AB248" s="31"/>
      <x:c r="AC248" s="31"/>
      <x:c r="AD248" s="31"/>
      <x:c r="AE248" s="31"/>
      <x:c r="AF248" s="31"/>
    </x:row>
    <x:row r="249">
      <x:c r="A249" s="79"/>
      <x:c r="B249" s="31"/>
      <x:c r="C249" s="31"/>
      <x:c r="D249" s="31"/>
      <x:c r="E249" s="31"/>
      <x:c r="F249" s="31"/>
      <x:c r="G249" s="31"/>
      <x:c r="H249" s="31"/>
      <x:c r="I249" s="31"/>
      <x:c r="J249" s="32"/>
      <x:c r="K249" s="32"/>
      <x:c r="L249" s="32"/>
      <x:c r="M249" s="32"/>
      <x:c r="N249" s="32"/>
      <x:c r="O249" s="32"/>
      <x:c r="P249" s="32"/>
      <x:c r="Q249" s="31"/>
      <x:c r="R249" s="31"/>
      <x:c r="S249" s="31"/>
      <x:c r="T249" s="32"/>
      <x:c r="U249" s="32"/>
      <x:c r="V249" s="31"/>
      <x:c r="W249" s="31"/>
      <x:c r="X249" s="31"/>
      <x:c r="Y249" s="32"/>
      <x:c r="Z249" s="31"/>
      <x:c r="AA249" s="32"/>
      <x:c r="AB249" s="31"/>
      <x:c r="AC249" s="31"/>
      <x:c r="AD249" s="31"/>
      <x:c r="AE249" s="31"/>
      <x:c r="AF249" s="31"/>
    </x:row>
    <x:row r="250">
      <x:c r="A250" s="79"/>
      <x:c r="B250" s="31"/>
      <x:c r="C250" s="31"/>
      <x:c r="D250" s="31"/>
      <x:c r="E250" s="31"/>
      <x:c r="F250" s="31"/>
      <x:c r="G250" s="31"/>
      <x:c r="H250" s="31"/>
      <x:c r="I250" s="31"/>
      <x:c r="J250" s="32"/>
      <x:c r="K250" s="32"/>
      <x:c r="L250" s="32"/>
      <x:c r="M250" s="32"/>
      <x:c r="N250" s="32"/>
      <x:c r="O250" s="32"/>
      <x:c r="P250" s="32"/>
      <x:c r="Q250" s="31"/>
      <x:c r="R250" s="31"/>
      <x:c r="S250" s="31"/>
      <x:c r="T250" s="32"/>
      <x:c r="U250" s="32"/>
      <x:c r="V250" s="31"/>
      <x:c r="W250" s="31"/>
      <x:c r="X250" s="31"/>
      <x:c r="Y250" s="32"/>
      <x:c r="Z250" s="31"/>
      <x:c r="AA250" s="32"/>
      <x:c r="AB250" s="31"/>
      <x:c r="AC250" s="31"/>
      <x:c r="AD250" s="31"/>
      <x:c r="AE250" s="31"/>
      <x:c r="AF250" s="31"/>
    </x:row>
    <x:row r="251">
      <x:c r="A251" s="79"/>
      <x:c r="B251" s="31"/>
      <x:c r="C251" s="31"/>
      <x:c r="D251" s="31"/>
      <x:c r="E251" s="31"/>
      <x:c r="F251" s="31"/>
      <x:c r="G251" s="31"/>
      <x:c r="H251" s="31"/>
      <x:c r="I251" s="31"/>
      <x:c r="J251" s="32"/>
      <x:c r="K251" s="32"/>
      <x:c r="L251" s="32"/>
      <x:c r="M251" s="32"/>
      <x:c r="N251" s="32"/>
      <x:c r="O251" s="32"/>
      <x:c r="P251" s="32"/>
      <x:c r="Q251" s="31"/>
      <x:c r="R251" s="31"/>
      <x:c r="S251" s="31"/>
      <x:c r="T251" s="32"/>
      <x:c r="U251" s="32"/>
      <x:c r="V251" s="31"/>
      <x:c r="W251" s="31"/>
      <x:c r="X251" s="31"/>
      <x:c r="Y251" s="32"/>
      <x:c r="Z251" s="31"/>
      <x:c r="AA251" s="32"/>
      <x:c r="AB251" s="31"/>
      <x:c r="AC251" s="31"/>
      <x:c r="AD251" s="31"/>
      <x:c r="AE251" s="31"/>
      <x:c r="AF251" s="31"/>
    </x:row>
    <x:row r="252">
      <x:c r="A252" s="79"/>
      <x:c r="B252" s="31"/>
      <x:c r="C252" s="31"/>
      <x:c r="D252" s="31"/>
      <x:c r="E252" s="31"/>
      <x:c r="F252" s="31"/>
      <x:c r="G252" s="31"/>
      <x:c r="H252" s="31"/>
      <x:c r="I252" s="31"/>
      <x:c r="J252" s="32"/>
      <x:c r="K252" s="32"/>
      <x:c r="L252" s="32"/>
      <x:c r="M252" s="32"/>
      <x:c r="N252" s="32"/>
      <x:c r="O252" s="32"/>
      <x:c r="P252" s="32"/>
      <x:c r="Q252" s="31"/>
      <x:c r="R252" s="31"/>
      <x:c r="S252" s="31"/>
      <x:c r="T252" s="32"/>
      <x:c r="U252" s="32"/>
      <x:c r="V252" s="31"/>
      <x:c r="W252" s="31"/>
      <x:c r="X252" s="31"/>
      <x:c r="Y252" s="32"/>
      <x:c r="Z252" s="31"/>
      <x:c r="AA252" s="32"/>
      <x:c r="AB252" s="31"/>
      <x:c r="AC252" s="31"/>
      <x:c r="AD252" s="31"/>
      <x:c r="AE252" s="31"/>
      <x:c r="AF252" s="31"/>
    </x:row>
    <x:row r="253">
      <x:c r="A253" s="79"/>
      <x:c r="B253" s="31"/>
      <x:c r="C253" s="31"/>
      <x:c r="D253" s="31"/>
      <x:c r="E253" s="31"/>
      <x:c r="F253" s="31"/>
      <x:c r="G253" s="31"/>
      <x:c r="H253" s="31"/>
      <x:c r="I253" s="31"/>
      <x:c r="J253" s="32"/>
      <x:c r="K253" s="32"/>
      <x:c r="L253" s="32"/>
      <x:c r="M253" s="32"/>
      <x:c r="N253" s="32"/>
      <x:c r="O253" s="32"/>
      <x:c r="P253" s="32"/>
      <x:c r="Q253" s="31"/>
      <x:c r="R253" s="31"/>
      <x:c r="S253" s="31"/>
      <x:c r="T253" s="32"/>
      <x:c r="U253" s="32"/>
      <x:c r="V253" s="31"/>
      <x:c r="W253" s="31"/>
      <x:c r="X253" s="31"/>
      <x:c r="Y253" s="32"/>
      <x:c r="Z253" s="31"/>
      <x:c r="AA253" s="32"/>
      <x:c r="AB253" s="31"/>
      <x:c r="AC253" s="31"/>
      <x:c r="AD253" s="31"/>
      <x:c r="AE253" s="31"/>
      <x:c r="AF253" s="31"/>
    </x:row>
    <x:row r="254">
      <x:c r="A254" s="79"/>
      <x:c r="B254" s="31"/>
      <x:c r="C254" s="31"/>
      <x:c r="D254" s="31"/>
      <x:c r="E254" s="31"/>
      <x:c r="F254" s="31"/>
      <x:c r="G254" s="31"/>
      <x:c r="H254" s="31"/>
      <x:c r="I254" s="31"/>
      <x:c r="J254" s="32"/>
      <x:c r="K254" s="32"/>
      <x:c r="L254" s="32"/>
      <x:c r="M254" s="32"/>
      <x:c r="N254" s="32"/>
      <x:c r="O254" s="32"/>
      <x:c r="P254" s="32"/>
      <x:c r="Q254" s="31"/>
      <x:c r="R254" s="31"/>
      <x:c r="S254" s="31"/>
      <x:c r="T254" s="32"/>
      <x:c r="U254" s="32"/>
      <x:c r="V254" s="31"/>
      <x:c r="W254" s="31"/>
      <x:c r="X254" s="31"/>
      <x:c r="Y254" s="32"/>
      <x:c r="Z254" s="31"/>
      <x:c r="AA254" s="32"/>
      <x:c r="AB254" s="31"/>
      <x:c r="AC254" s="31"/>
      <x:c r="AD254" s="31"/>
      <x:c r="AE254" s="31"/>
      <x:c r="AF254" s="31"/>
    </x:row>
    <x:row r="255">
      <x:c r="A255" s="79"/>
      <x:c r="B255" s="31"/>
      <x:c r="C255" s="31"/>
      <x:c r="D255" s="31"/>
      <x:c r="E255" s="31"/>
      <x:c r="F255" s="31"/>
      <x:c r="G255" s="31"/>
      <x:c r="H255" s="31"/>
      <x:c r="I255" s="31"/>
      <x:c r="J255" s="32"/>
      <x:c r="K255" s="32"/>
      <x:c r="L255" s="32"/>
      <x:c r="M255" s="32"/>
      <x:c r="N255" s="32"/>
      <x:c r="O255" s="32"/>
      <x:c r="P255" s="32"/>
      <x:c r="Q255" s="31"/>
      <x:c r="R255" s="31"/>
      <x:c r="S255" s="31"/>
      <x:c r="T255" s="32"/>
      <x:c r="U255" s="32"/>
      <x:c r="V255" s="31"/>
      <x:c r="W255" s="31"/>
      <x:c r="X255" s="31"/>
      <x:c r="Y255" s="32"/>
      <x:c r="Z255" s="31"/>
      <x:c r="AA255" s="32"/>
      <x:c r="AB255" s="31"/>
      <x:c r="AC255" s="31"/>
      <x:c r="AD255" s="31"/>
      <x:c r="AE255" s="31"/>
      <x:c r="AF255" s="31"/>
    </x:row>
    <x:row r="256">
      <x:c r="A256" s="79"/>
      <x:c r="B256" s="31"/>
      <x:c r="C256" s="31"/>
      <x:c r="D256" s="31"/>
      <x:c r="E256" s="31"/>
      <x:c r="F256" s="31"/>
      <x:c r="G256" s="31"/>
      <x:c r="H256" s="31"/>
      <x:c r="I256" s="31"/>
      <x:c r="J256" s="32"/>
      <x:c r="K256" s="32"/>
      <x:c r="L256" s="32"/>
      <x:c r="M256" s="32"/>
      <x:c r="N256" s="32"/>
      <x:c r="O256" s="32"/>
      <x:c r="P256" s="32"/>
      <x:c r="Q256" s="31"/>
      <x:c r="R256" s="31"/>
      <x:c r="S256" s="31"/>
      <x:c r="T256" s="32"/>
      <x:c r="U256" s="32"/>
      <x:c r="V256" s="31"/>
      <x:c r="W256" s="31"/>
      <x:c r="X256" s="31"/>
      <x:c r="Y256" s="32"/>
      <x:c r="Z256" s="31"/>
      <x:c r="AA256" s="32"/>
      <x:c r="AB256" s="31"/>
      <x:c r="AC256" s="31"/>
      <x:c r="AD256" s="31"/>
      <x:c r="AE256" s="31"/>
      <x:c r="AF256" s="31"/>
    </x:row>
    <x:row r="257">
      <x:c r="A257" s="79"/>
      <x:c r="B257" s="31"/>
      <x:c r="C257" s="31"/>
      <x:c r="D257" s="31"/>
      <x:c r="E257" s="31"/>
      <x:c r="F257" s="31"/>
      <x:c r="G257" s="31"/>
      <x:c r="H257" s="31"/>
      <x:c r="I257" s="31"/>
      <x:c r="J257" s="32"/>
      <x:c r="K257" s="32"/>
      <x:c r="L257" s="32"/>
      <x:c r="M257" s="32"/>
      <x:c r="N257" s="32"/>
      <x:c r="O257" s="32"/>
      <x:c r="P257" s="32"/>
      <x:c r="Q257" s="31"/>
      <x:c r="R257" s="31"/>
      <x:c r="S257" s="31"/>
      <x:c r="T257" s="32"/>
      <x:c r="U257" s="32"/>
      <x:c r="V257" s="31"/>
      <x:c r="W257" s="31"/>
      <x:c r="X257" s="31"/>
      <x:c r="Y257" s="32"/>
      <x:c r="Z257" s="31"/>
      <x:c r="AA257" s="32"/>
      <x:c r="AB257" s="31"/>
      <x:c r="AC257" s="31"/>
      <x:c r="AD257" s="31"/>
      <x:c r="AE257" s="31"/>
      <x:c r="AF257" s="31"/>
    </x:row>
    <x:row r="258">
      <x:c r="A258" s="79"/>
      <x:c r="B258" s="31"/>
      <x:c r="C258" s="31"/>
      <x:c r="D258" s="31"/>
      <x:c r="E258" s="31"/>
      <x:c r="F258" s="31"/>
      <x:c r="G258" s="31"/>
      <x:c r="H258" s="31"/>
      <x:c r="I258" s="31"/>
      <x:c r="J258" s="32"/>
      <x:c r="K258" s="32"/>
      <x:c r="L258" s="32"/>
      <x:c r="M258" s="32"/>
      <x:c r="N258" s="32"/>
      <x:c r="O258" s="32"/>
      <x:c r="P258" s="32"/>
      <x:c r="Q258" s="31"/>
      <x:c r="R258" s="31"/>
      <x:c r="S258" s="31"/>
      <x:c r="T258" s="32"/>
      <x:c r="U258" s="32"/>
      <x:c r="V258" s="31"/>
      <x:c r="W258" s="31"/>
      <x:c r="X258" s="31"/>
      <x:c r="Y258" s="32"/>
      <x:c r="Z258" s="31"/>
      <x:c r="AA258" s="32"/>
      <x:c r="AB258" s="31"/>
      <x:c r="AC258" s="31"/>
      <x:c r="AD258" s="31"/>
      <x:c r="AE258" s="31"/>
      <x:c r="AF258" s="31"/>
    </x:row>
    <x:row r="259">
      <x:c r="A259" s="79"/>
      <x:c r="B259" s="31"/>
      <x:c r="C259" s="31"/>
      <x:c r="D259" s="31"/>
      <x:c r="E259" s="31"/>
      <x:c r="F259" s="31"/>
      <x:c r="G259" s="31"/>
      <x:c r="H259" s="31"/>
      <x:c r="I259" s="31"/>
      <x:c r="J259" s="32"/>
      <x:c r="K259" s="32"/>
      <x:c r="L259" s="32"/>
      <x:c r="M259" s="32"/>
      <x:c r="N259" s="32"/>
      <x:c r="O259" s="32"/>
      <x:c r="P259" s="32"/>
      <x:c r="Q259" s="31"/>
      <x:c r="R259" s="31"/>
      <x:c r="S259" s="31"/>
      <x:c r="T259" s="32"/>
      <x:c r="U259" s="32"/>
      <x:c r="V259" s="31"/>
      <x:c r="W259" s="31"/>
      <x:c r="X259" s="31"/>
      <x:c r="Y259" s="32"/>
      <x:c r="Z259" s="31"/>
      <x:c r="AA259" s="32"/>
      <x:c r="AB259" s="31"/>
      <x:c r="AC259" s="31"/>
      <x:c r="AD259" s="31"/>
      <x:c r="AE259" s="31"/>
      <x:c r="AF259" s="31"/>
    </x:row>
    <x:row r="260">
      <x:c r="A260" s="79"/>
      <x:c r="B260" s="31"/>
      <x:c r="C260" s="31"/>
      <x:c r="D260" s="31"/>
      <x:c r="E260" s="31"/>
      <x:c r="F260" s="31"/>
      <x:c r="G260" s="31"/>
      <x:c r="H260" s="31"/>
      <x:c r="I260" s="31"/>
      <x:c r="J260" s="32"/>
      <x:c r="K260" s="32"/>
      <x:c r="L260" s="32"/>
      <x:c r="M260" s="32"/>
      <x:c r="N260" s="32"/>
      <x:c r="O260" s="32"/>
      <x:c r="P260" s="32"/>
      <x:c r="Q260" s="31"/>
      <x:c r="R260" s="31"/>
      <x:c r="S260" s="31"/>
      <x:c r="T260" s="32"/>
      <x:c r="U260" s="32"/>
      <x:c r="V260" s="31"/>
      <x:c r="W260" s="31"/>
      <x:c r="X260" s="31"/>
      <x:c r="Y260" s="32"/>
      <x:c r="Z260" s="31"/>
      <x:c r="AA260" s="32"/>
      <x:c r="AB260" s="31"/>
      <x:c r="AC260" s="31"/>
      <x:c r="AD260" s="31"/>
      <x:c r="AE260" s="31"/>
      <x:c r="AF260" s="31"/>
    </x:row>
    <x:row r="261">
      <x:c r="A261" s="79"/>
      <x:c r="B261" s="31"/>
      <x:c r="C261" s="31"/>
      <x:c r="D261" s="31"/>
      <x:c r="E261" s="31"/>
      <x:c r="F261" s="31"/>
      <x:c r="G261" s="31"/>
      <x:c r="H261" s="31"/>
      <x:c r="I261" s="31"/>
      <x:c r="J261" s="32"/>
      <x:c r="K261" s="32"/>
      <x:c r="L261" s="32"/>
      <x:c r="M261" s="32"/>
      <x:c r="N261" s="32"/>
      <x:c r="O261" s="32"/>
      <x:c r="P261" s="32"/>
      <x:c r="Q261" s="31"/>
      <x:c r="R261" s="31"/>
      <x:c r="S261" s="31"/>
      <x:c r="T261" s="32"/>
      <x:c r="U261" s="32"/>
      <x:c r="V261" s="31"/>
      <x:c r="W261" s="31"/>
      <x:c r="X261" s="31"/>
      <x:c r="Y261" s="32"/>
      <x:c r="Z261" s="31"/>
      <x:c r="AA261" s="32"/>
      <x:c r="AB261" s="31"/>
      <x:c r="AC261" s="31"/>
      <x:c r="AD261" s="31"/>
      <x:c r="AE261" s="31"/>
      <x:c r="AF261" s="31"/>
    </x:row>
    <x:row r="262">
      <x:c r="A262" s="79"/>
      <x:c r="B262" s="31"/>
      <x:c r="C262" s="31"/>
      <x:c r="D262" s="31"/>
      <x:c r="E262" s="31"/>
      <x:c r="F262" s="31"/>
      <x:c r="G262" s="31"/>
      <x:c r="H262" s="31"/>
      <x:c r="I262" s="31"/>
      <x:c r="J262" s="32"/>
      <x:c r="K262" s="32"/>
      <x:c r="L262" s="32"/>
      <x:c r="M262" s="32"/>
      <x:c r="N262" s="32"/>
      <x:c r="O262" s="32"/>
      <x:c r="P262" s="32"/>
      <x:c r="Q262" s="31"/>
      <x:c r="R262" s="31"/>
      <x:c r="S262" s="31"/>
      <x:c r="T262" s="32"/>
      <x:c r="U262" s="32"/>
      <x:c r="V262" s="31"/>
      <x:c r="W262" s="31"/>
      <x:c r="X262" s="31"/>
      <x:c r="Y262" s="32"/>
      <x:c r="Z262" s="31"/>
      <x:c r="AA262" s="32"/>
      <x:c r="AB262" s="31"/>
      <x:c r="AC262" s="31"/>
      <x:c r="AD262" s="31"/>
      <x:c r="AE262" s="31"/>
      <x:c r="AF262" s="31"/>
    </x:row>
    <x:row r="263">
      <x:c r="A263" s="79"/>
      <x:c r="B263" s="31"/>
      <x:c r="C263" s="31"/>
      <x:c r="D263" s="31"/>
      <x:c r="E263" s="31"/>
      <x:c r="F263" s="31"/>
      <x:c r="G263" s="31"/>
      <x:c r="H263" s="31"/>
      <x:c r="I263" s="31"/>
      <x:c r="J263" s="32"/>
      <x:c r="K263" s="32"/>
      <x:c r="L263" s="32"/>
      <x:c r="M263" s="32"/>
      <x:c r="N263" s="32"/>
      <x:c r="O263" s="32"/>
      <x:c r="P263" s="32"/>
      <x:c r="Q263" s="31"/>
      <x:c r="R263" s="31"/>
      <x:c r="S263" s="31"/>
      <x:c r="T263" s="32"/>
      <x:c r="U263" s="32"/>
      <x:c r="V263" s="31"/>
      <x:c r="W263" s="31"/>
      <x:c r="X263" s="31"/>
      <x:c r="Y263" s="32"/>
      <x:c r="Z263" s="31"/>
      <x:c r="AA263" s="32"/>
      <x:c r="AB263" s="31"/>
      <x:c r="AC263" s="31"/>
      <x:c r="AD263" s="31"/>
      <x:c r="AE263" s="31"/>
      <x:c r="AF263" s="31"/>
    </x:row>
    <x:row r="264">
      <x:c r="A264" s="79"/>
      <x:c r="B264" s="31"/>
      <x:c r="C264" s="31"/>
      <x:c r="D264" s="31"/>
      <x:c r="E264" s="31"/>
      <x:c r="F264" s="31"/>
      <x:c r="G264" s="31"/>
      <x:c r="H264" s="31"/>
      <x:c r="I264" s="31"/>
      <x:c r="J264" s="32"/>
      <x:c r="K264" s="32"/>
      <x:c r="L264" s="32"/>
      <x:c r="M264" s="32"/>
      <x:c r="N264" s="32"/>
      <x:c r="O264" s="32"/>
      <x:c r="P264" s="32"/>
      <x:c r="Q264" s="31"/>
      <x:c r="R264" s="31"/>
      <x:c r="S264" s="31"/>
      <x:c r="T264" s="32"/>
      <x:c r="U264" s="32"/>
      <x:c r="V264" s="31"/>
      <x:c r="W264" s="31"/>
      <x:c r="X264" s="31"/>
      <x:c r="Y264" s="32"/>
      <x:c r="Z264" s="31"/>
      <x:c r="AA264" s="32"/>
      <x:c r="AB264" s="31"/>
      <x:c r="AC264" s="31"/>
      <x:c r="AD264" s="31"/>
      <x:c r="AE264" s="31"/>
      <x:c r="AF264" s="31"/>
    </x:row>
    <x:row r="265">
      <x:c r="A265" s="79"/>
      <x:c r="B265" s="31"/>
      <x:c r="C265" s="31"/>
      <x:c r="D265" s="31"/>
      <x:c r="E265" s="31"/>
      <x:c r="F265" s="31"/>
      <x:c r="G265" s="31"/>
      <x:c r="H265" s="31"/>
      <x:c r="I265" s="31"/>
      <x:c r="J265" s="32"/>
      <x:c r="K265" s="32"/>
      <x:c r="L265" s="32"/>
      <x:c r="M265" s="32"/>
      <x:c r="N265" s="32"/>
      <x:c r="O265" s="32"/>
      <x:c r="P265" s="32"/>
      <x:c r="Q265" s="31"/>
      <x:c r="R265" s="31"/>
      <x:c r="S265" s="31"/>
      <x:c r="T265" s="32"/>
      <x:c r="U265" s="32"/>
      <x:c r="V265" s="31"/>
      <x:c r="W265" s="31"/>
      <x:c r="X265" s="31"/>
      <x:c r="Y265" s="32"/>
      <x:c r="Z265" s="31"/>
      <x:c r="AA265" s="32"/>
      <x:c r="AB265" s="31"/>
      <x:c r="AC265" s="31"/>
      <x:c r="AD265" s="31"/>
      <x:c r="AE265" s="31"/>
      <x:c r="AF265" s="31"/>
    </x:row>
    <x:row r="266">
      <x:c r="A266" s="79"/>
      <x:c r="B266" s="31"/>
      <x:c r="C266" s="31"/>
      <x:c r="D266" s="31"/>
      <x:c r="E266" s="31"/>
      <x:c r="F266" s="31"/>
      <x:c r="G266" s="31"/>
      <x:c r="H266" s="31"/>
      <x:c r="I266" s="31"/>
      <x:c r="J266" s="32"/>
      <x:c r="K266" s="32"/>
      <x:c r="L266" s="32"/>
      <x:c r="M266" s="32"/>
      <x:c r="N266" s="32"/>
      <x:c r="O266" s="32"/>
      <x:c r="P266" s="32"/>
      <x:c r="Q266" s="31"/>
      <x:c r="R266" s="31"/>
      <x:c r="S266" s="31"/>
      <x:c r="T266" s="32"/>
      <x:c r="U266" s="32"/>
      <x:c r="V266" s="31"/>
      <x:c r="W266" s="31"/>
      <x:c r="X266" s="31"/>
      <x:c r="Y266" s="32"/>
      <x:c r="Z266" s="31"/>
      <x:c r="AA266" s="32"/>
      <x:c r="AB266" s="31"/>
      <x:c r="AC266" s="31"/>
      <x:c r="AD266" s="31"/>
      <x:c r="AE266" s="31"/>
      <x:c r="AF266" s="31"/>
    </x:row>
    <x:row r="267">
      <x:c r="A267" s="79"/>
      <x:c r="B267" s="31"/>
      <x:c r="C267" s="31"/>
      <x:c r="D267" s="31"/>
      <x:c r="E267" s="31"/>
      <x:c r="F267" s="31"/>
      <x:c r="G267" s="31"/>
      <x:c r="H267" s="31"/>
      <x:c r="I267" s="31"/>
      <x:c r="J267" s="32"/>
      <x:c r="K267" s="32"/>
      <x:c r="L267" s="32"/>
      <x:c r="M267" s="32"/>
      <x:c r="N267" s="32"/>
      <x:c r="O267" s="32"/>
      <x:c r="P267" s="32"/>
      <x:c r="Q267" s="31"/>
      <x:c r="R267" s="31"/>
      <x:c r="S267" s="31"/>
      <x:c r="T267" s="32"/>
      <x:c r="U267" s="32"/>
      <x:c r="V267" s="31"/>
      <x:c r="W267" s="31"/>
      <x:c r="X267" s="31"/>
      <x:c r="Y267" s="32"/>
      <x:c r="Z267" s="31"/>
      <x:c r="AA267" s="32"/>
      <x:c r="AB267" s="31"/>
      <x:c r="AC267" s="31"/>
      <x:c r="AD267" s="31"/>
      <x:c r="AE267" s="31"/>
      <x:c r="AF267" s="31"/>
    </x:row>
    <x:row r="268">
      <x:c r="A268" s="79"/>
      <x:c r="B268" s="31"/>
      <x:c r="C268" s="31"/>
      <x:c r="D268" s="31"/>
      <x:c r="E268" s="31"/>
      <x:c r="F268" s="31"/>
      <x:c r="G268" s="31"/>
      <x:c r="H268" s="31"/>
      <x:c r="I268" s="31"/>
      <x:c r="J268" s="32"/>
      <x:c r="K268" s="32"/>
      <x:c r="L268" s="32"/>
      <x:c r="M268" s="32"/>
      <x:c r="N268" s="32"/>
      <x:c r="O268" s="32"/>
      <x:c r="P268" s="32"/>
      <x:c r="Q268" s="31"/>
      <x:c r="R268" s="31"/>
      <x:c r="S268" s="31"/>
      <x:c r="T268" s="32"/>
      <x:c r="U268" s="32"/>
      <x:c r="V268" s="31"/>
      <x:c r="W268" s="31"/>
      <x:c r="X268" s="31"/>
      <x:c r="Y268" s="32"/>
      <x:c r="Z268" s="31"/>
      <x:c r="AA268" s="32"/>
      <x:c r="AB268" s="31"/>
      <x:c r="AC268" s="31"/>
      <x:c r="AD268" s="31"/>
      <x:c r="AE268" s="31"/>
      <x:c r="AF268" s="31"/>
    </x:row>
    <x:row r="269">
      <x:c r="A269" s="79"/>
      <x:c r="B269" s="31"/>
      <x:c r="C269" s="31"/>
      <x:c r="D269" s="31"/>
      <x:c r="E269" s="31"/>
      <x:c r="F269" s="31"/>
      <x:c r="G269" s="31"/>
      <x:c r="H269" s="31"/>
      <x:c r="I269" s="31"/>
      <x:c r="J269" s="32"/>
      <x:c r="K269" s="32"/>
      <x:c r="L269" s="32"/>
      <x:c r="M269" s="32"/>
      <x:c r="N269" s="32"/>
      <x:c r="O269" s="32"/>
      <x:c r="P269" s="32"/>
      <x:c r="Q269" s="31"/>
      <x:c r="R269" s="31"/>
      <x:c r="S269" s="31"/>
      <x:c r="T269" s="32"/>
      <x:c r="U269" s="32"/>
      <x:c r="V269" s="31"/>
      <x:c r="W269" s="31"/>
      <x:c r="X269" s="31"/>
      <x:c r="Y269" s="32"/>
      <x:c r="Z269" s="31"/>
      <x:c r="AA269" s="32"/>
      <x:c r="AB269" s="31"/>
      <x:c r="AC269" s="31"/>
      <x:c r="AD269" s="31"/>
      <x:c r="AE269" s="31"/>
      <x:c r="AF269" s="31"/>
    </x:row>
    <x:row r="270">
      <x:c r="A270" s="79"/>
      <x:c r="B270" s="31"/>
      <x:c r="C270" s="31"/>
      <x:c r="D270" s="31"/>
      <x:c r="E270" s="31"/>
      <x:c r="F270" s="31"/>
      <x:c r="G270" s="31"/>
      <x:c r="H270" s="31"/>
      <x:c r="I270" s="31"/>
      <x:c r="J270" s="32"/>
      <x:c r="K270" s="32"/>
      <x:c r="L270" s="32"/>
      <x:c r="M270" s="32"/>
      <x:c r="N270" s="32"/>
      <x:c r="O270" s="32"/>
      <x:c r="P270" s="32"/>
      <x:c r="Q270" s="31"/>
      <x:c r="R270" s="31"/>
      <x:c r="S270" s="31"/>
      <x:c r="T270" s="32"/>
      <x:c r="U270" s="32"/>
      <x:c r="V270" s="31"/>
      <x:c r="W270" s="31"/>
      <x:c r="X270" s="31"/>
      <x:c r="Y270" s="32"/>
      <x:c r="Z270" s="31"/>
      <x:c r="AA270" s="32"/>
      <x:c r="AB270" s="31"/>
      <x:c r="AC270" s="31"/>
      <x:c r="AD270" s="31"/>
      <x:c r="AE270" s="31"/>
      <x:c r="AF270" s="31"/>
    </x:row>
    <x:row r="271">
      <x:c r="A271" s="79"/>
      <x:c r="B271" s="31"/>
      <x:c r="C271" s="31"/>
      <x:c r="D271" s="31"/>
      <x:c r="E271" s="31"/>
      <x:c r="F271" s="31"/>
      <x:c r="G271" s="31"/>
      <x:c r="H271" s="31"/>
      <x:c r="I271" s="31"/>
      <x:c r="J271" s="32"/>
      <x:c r="K271" s="32"/>
      <x:c r="L271" s="32"/>
      <x:c r="M271" s="32"/>
      <x:c r="N271" s="32"/>
      <x:c r="O271" s="32"/>
      <x:c r="P271" s="32"/>
      <x:c r="Q271" s="31"/>
      <x:c r="R271" s="31"/>
      <x:c r="S271" s="31"/>
      <x:c r="T271" s="32"/>
      <x:c r="U271" s="32"/>
      <x:c r="V271" s="31"/>
      <x:c r="W271" s="31"/>
      <x:c r="X271" s="31"/>
      <x:c r="Y271" s="32"/>
      <x:c r="Z271" s="31"/>
      <x:c r="AA271" s="32"/>
      <x:c r="AB271" s="31"/>
      <x:c r="AC271" s="31"/>
      <x:c r="AD271" s="31"/>
      <x:c r="AE271" s="31"/>
      <x:c r="AF271" s="31"/>
    </x:row>
    <x:row r="272">
      <x:c r="A272" s="79"/>
      <x:c r="B272" s="31"/>
      <x:c r="C272" s="31"/>
      <x:c r="D272" s="31"/>
      <x:c r="E272" s="31"/>
      <x:c r="F272" s="31"/>
      <x:c r="G272" s="31"/>
      <x:c r="H272" s="31"/>
      <x:c r="I272" s="31"/>
      <x:c r="J272" s="32"/>
      <x:c r="K272" s="32"/>
      <x:c r="L272" s="32"/>
      <x:c r="M272" s="32"/>
      <x:c r="N272" s="32"/>
      <x:c r="O272" s="32"/>
      <x:c r="P272" s="32"/>
      <x:c r="Q272" s="31"/>
      <x:c r="R272" s="31"/>
      <x:c r="S272" s="31"/>
      <x:c r="T272" s="32"/>
      <x:c r="U272" s="32"/>
      <x:c r="V272" s="31"/>
      <x:c r="W272" s="31"/>
      <x:c r="X272" s="31"/>
      <x:c r="Y272" s="32"/>
      <x:c r="Z272" s="31"/>
      <x:c r="AA272" s="32"/>
      <x:c r="AB272" s="31"/>
      <x:c r="AC272" s="31"/>
      <x:c r="AD272" s="31"/>
      <x:c r="AE272" s="31"/>
      <x:c r="AF272" s="31"/>
    </x:row>
    <x:row r="273">
      <x:c r="A273" s="79"/>
      <x:c r="B273" s="31"/>
      <x:c r="C273" s="31"/>
      <x:c r="D273" s="31"/>
      <x:c r="E273" s="31"/>
      <x:c r="F273" s="31"/>
      <x:c r="G273" s="31"/>
      <x:c r="H273" s="31"/>
      <x:c r="I273" s="31"/>
      <x:c r="J273" s="32"/>
      <x:c r="K273" s="32"/>
      <x:c r="L273" s="32"/>
      <x:c r="M273" s="32"/>
      <x:c r="N273" s="32"/>
      <x:c r="O273" s="32"/>
      <x:c r="P273" s="32"/>
      <x:c r="Q273" s="31"/>
      <x:c r="R273" s="31"/>
      <x:c r="S273" s="31"/>
      <x:c r="T273" s="32"/>
      <x:c r="U273" s="32"/>
      <x:c r="V273" s="31"/>
      <x:c r="W273" s="31"/>
      <x:c r="X273" s="31"/>
      <x:c r="Y273" s="32"/>
      <x:c r="Z273" s="31"/>
      <x:c r="AA273" s="32"/>
      <x:c r="AB273" s="31"/>
      <x:c r="AC273" s="31"/>
      <x:c r="AD273" s="31"/>
      <x:c r="AE273" s="31"/>
      <x:c r="AF273" s="31"/>
    </x:row>
    <x:row r="274">
      <x:c r="A274" s="79"/>
      <x:c r="B274" s="31"/>
      <x:c r="C274" s="31"/>
      <x:c r="D274" s="31"/>
      <x:c r="E274" s="31"/>
      <x:c r="F274" s="31"/>
      <x:c r="G274" s="31"/>
      <x:c r="H274" s="31"/>
      <x:c r="I274" s="31"/>
      <x:c r="J274" s="32"/>
      <x:c r="K274" s="32"/>
      <x:c r="L274" s="32"/>
      <x:c r="M274" s="32"/>
      <x:c r="N274" s="32"/>
      <x:c r="O274" s="32"/>
      <x:c r="P274" s="32"/>
      <x:c r="Q274" s="31"/>
      <x:c r="R274" s="31"/>
      <x:c r="S274" s="31"/>
      <x:c r="T274" s="32"/>
      <x:c r="U274" s="32"/>
      <x:c r="V274" s="31"/>
      <x:c r="W274" s="31"/>
      <x:c r="X274" s="31"/>
      <x:c r="Y274" s="32"/>
      <x:c r="Z274" s="31"/>
      <x:c r="AA274" s="32"/>
      <x:c r="AB274" s="31"/>
      <x:c r="AC274" s="31"/>
      <x:c r="AD274" s="31"/>
      <x:c r="AE274" s="31"/>
      <x:c r="AF274" s="31"/>
    </x:row>
    <x:row r="275">
      <x:c r="A275" s="79"/>
      <x:c r="B275" s="31"/>
      <x:c r="C275" s="31"/>
      <x:c r="D275" s="31"/>
      <x:c r="E275" s="31"/>
      <x:c r="F275" s="31"/>
      <x:c r="G275" s="31"/>
      <x:c r="H275" s="31"/>
      <x:c r="I275" s="31"/>
      <x:c r="J275" s="32"/>
      <x:c r="K275" s="32"/>
      <x:c r="L275" s="32"/>
      <x:c r="M275" s="32"/>
      <x:c r="N275" s="32"/>
      <x:c r="O275" s="32"/>
      <x:c r="P275" s="32"/>
      <x:c r="Q275" s="31"/>
      <x:c r="R275" s="31"/>
      <x:c r="S275" s="31"/>
      <x:c r="T275" s="32"/>
      <x:c r="U275" s="32"/>
      <x:c r="V275" s="31"/>
      <x:c r="W275" s="31"/>
      <x:c r="X275" s="31"/>
      <x:c r="Y275" s="32"/>
      <x:c r="Z275" s="31"/>
      <x:c r="AA275" s="32"/>
      <x:c r="AB275" s="31"/>
      <x:c r="AC275" s="31"/>
      <x:c r="AD275" s="31"/>
      <x:c r="AE275" s="31"/>
      <x:c r="AF275" s="31"/>
    </x:row>
    <x:row r="276">
      <x:c r="A276" s="79"/>
      <x:c r="B276" s="31"/>
      <x:c r="C276" s="31"/>
      <x:c r="D276" s="31"/>
      <x:c r="E276" s="31"/>
      <x:c r="F276" s="31"/>
      <x:c r="G276" s="31"/>
      <x:c r="H276" s="31"/>
      <x:c r="I276" s="31"/>
      <x:c r="J276" s="32"/>
      <x:c r="K276" s="32"/>
      <x:c r="L276" s="32"/>
      <x:c r="M276" s="32"/>
      <x:c r="N276" s="32"/>
      <x:c r="O276" s="32"/>
      <x:c r="P276" s="32"/>
      <x:c r="Q276" s="31"/>
      <x:c r="R276" s="31"/>
      <x:c r="S276" s="31"/>
      <x:c r="T276" s="32"/>
      <x:c r="U276" s="32"/>
      <x:c r="V276" s="31"/>
      <x:c r="W276" s="31"/>
      <x:c r="X276" s="31"/>
      <x:c r="Y276" s="32"/>
      <x:c r="Z276" s="31"/>
      <x:c r="AA276" s="32"/>
      <x:c r="AB276" s="31"/>
      <x:c r="AC276" s="31"/>
      <x:c r="AD276" s="31"/>
      <x:c r="AE276" s="31"/>
      <x:c r="AF276" s="31"/>
    </x:row>
    <x:row r="277">
      <x:c r="A277" s="79"/>
      <x:c r="B277" s="31"/>
      <x:c r="C277" s="31"/>
      <x:c r="D277" s="31"/>
      <x:c r="E277" s="31"/>
      <x:c r="F277" s="31"/>
      <x:c r="G277" s="31"/>
      <x:c r="H277" s="31"/>
      <x:c r="I277" s="31"/>
      <x:c r="J277" s="32"/>
      <x:c r="K277" s="32"/>
      <x:c r="L277" s="32"/>
      <x:c r="M277" s="32"/>
      <x:c r="N277" s="32"/>
      <x:c r="O277" s="32"/>
      <x:c r="P277" s="32"/>
      <x:c r="Q277" s="31"/>
      <x:c r="R277" s="31"/>
      <x:c r="S277" s="31"/>
      <x:c r="T277" s="32"/>
      <x:c r="U277" s="32"/>
      <x:c r="V277" s="31"/>
      <x:c r="W277" s="31"/>
      <x:c r="X277" s="31"/>
      <x:c r="Y277" s="32"/>
      <x:c r="Z277" s="31"/>
      <x:c r="AA277" s="32"/>
      <x:c r="AB277" s="31"/>
      <x:c r="AC277" s="31"/>
      <x:c r="AD277" s="31"/>
      <x:c r="AE277" s="31"/>
      <x:c r="AF277" s="31"/>
    </x:row>
    <x:row r="278">
      <x:c r="A278" s="79"/>
      <x:c r="B278" s="31"/>
      <x:c r="C278" s="31"/>
      <x:c r="D278" s="31"/>
      <x:c r="E278" s="31"/>
      <x:c r="F278" s="31"/>
      <x:c r="G278" s="31"/>
      <x:c r="H278" s="31"/>
      <x:c r="I278" s="31"/>
      <x:c r="J278" s="32"/>
      <x:c r="K278" s="32"/>
      <x:c r="L278" s="32"/>
      <x:c r="M278" s="32"/>
      <x:c r="N278" s="32"/>
      <x:c r="O278" s="32"/>
      <x:c r="P278" s="32"/>
      <x:c r="Q278" s="31"/>
      <x:c r="R278" s="31"/>
      <x:c r="S278" s="31"/>
      <x:c r="T278" s="32"/>
      <x:c r="U278" s="32"/>
      <x:c r="V278" s="31"/>
      <x:c r="W278" s="31"/>
      <x:c r="X278" s="31"/>
      <x:c r="Y278" s="32"/>
      <x:c r="Z278" s="31"/>
      <x:c r="AA278" s="32"/>
      <x:c r="AB278" s="31"/>
      <x:c r="AC278" s="31"/>
      <x:c r="AD278" s="31"/>
      <x:c r="AE278" s="31"/>
      <x:c r="AF278" s="31"/>
    </x:row>
    <x:row r="279">
      <x:c r="A279" s="79"/>
      <x:c r="B279" s="31"/>
      <x:c r="C279" s="31"/>
      <x:c r="D279" s="31"/>
      <x:c r="E279" s="31"/>
      <x:c r="F279" s="31"/>
      <x:c r="G279" s="31"/>
      <x:c r="H279" s="31"/>
      <x:c r="I279" s="31"/>
      <x:c r="J279" s="32"/>
      <x:c r="K279" s="32"/>
      <x:c r="L279" s="32"/>
      <x:c r="M279" s="32"/>
      <x:c r="N279" s="32"/>
      <x:c r="O279" s="32"/>
      <x:c r="P279" s="32"/>
      <x:c r="Q279" s="31"/>
      <x:c r="R279" s="31"/>
      <x:c r="S279" s="31"/>
      <x:c r="T279" s="32"/>
      <x:c r="U279" s="32"/>
      <x:c r="V279" s="31"/>
      <x:c r="W279" s="31"/>
      <x:c r="X279" s="31"/>
      <x:c r="Y279" s="32"/>
      <x:c r="Z279" s="31"/>
      <x:c r="AA279" s="32"/>
      <x:c r="AB279" s="31"/>
      <x:c r="AC279" s="31"/>
      <x:c r="AD279" s="31"/>
      <x:c r="AE279" s="31"/>
      <x:c r="AF279" s="31"/>
    </x:row>
    <x:row r="280">
      <x:c r="A280" s="79"/>
      <x:c r="B280" s="31"/>
      <x:c r="C280" s="31"/>
      <x:c r="D280" s="31"/>
      <x:c r="E280" s="31"/>
      <x:c r="F280" s="31"/>
      <x:c r="G280" s="31"/>
      <x:c r="H280" s="31"/>
      <x:c r="I280" s="31"/>
      <x:c r="J280" s="32"/>
      <x:c r="K280" s="32"/>
      <x:c r="L280" s="32"/>
      <x:c r="M280" s="32"/>
      <x:c r="N280" s="32"/>
      <x:c r="O280" s="32"/>
      <x:c r="P280" s="32"/>
      <x:c r="Q280" s="31"/>
      <x:c r="R280" s="31"/>
      <x:c r="S280" s="31"/>
      <x:c r="T280" s="32"/>
      <x:c r="U280" s="32"/>
      <x:c r="V280" s="31"/>
      <x:c r="W280" s="31"/>
      <x:c r="X280" s="31"/>
      <x:c r="Y280" s="32"/>
      <x:c r="Z280" s="31"/>
      <x:c r="AA280" s="32"/>
      <x:c r="AB280" s="31"/>
      <x:c r="AC280" s="31"/>
      <x:c r="AD280" s="31"/>
      <x:c r="AE280" s="31"/>
      <x:c r="AF280" s="31"/>
    </x:row>
    <x:row r="281">
      <x:c r="A281" s="79"/>
      <x:c r="B281" s="31"/>
      <x:c r="C281" s="31"/>
      <x:c r="D281" s="31"/>
      <x:c r="E281" s="31"/>
      <x:c r="F281" s="31"/>
      <x:c r="G281" s="31"/>
      <x:c r="H281" s="31"/>
      <x:c r="I281" s="31"/>
      <x:c r="J281" s="32"/>
      <x:c r="K281" s="32"/>
      <x:c r="L281" s="32"/>
      <x:c r="M281" s="32"/>
      <x:c r="N281" s="32"/>
      <x:c r="O281" s="32"/>
      <x:c r="P281" s="32"/>
      <x:c r="Q281" s="31"/>
      <x:c r="R281" s="31"/>
      <x:c r="S281" s="31"/>
      <x:c r="T281" s="32"/>
      <x:c r="U281" s="32"/>
      <x:c r="V281" s="31"/>
      <x:c r="W281" s="31"/>
      <x:c r="X281" s="31"/>
      <x:c r="Y281" s="32"/>
      <x:c r="Z281" s="31"/>
      <x:c r="AA281" s="32"/>
      <x:c r="AB281" s="31"/>
      <x:c r="AC281" s="31"/>
      <x:c r="AD281" s="31"/>
      <x:c r="AE281" s="31"/>
      <x:c r="AF281" s="31"/>
    </x:row>
    <x:row r="282">
      <x:c r="A282" s="79"/>
      <x:c r="B282" s="31"/>
      <x:c r="C282" s="31"/>
      <x:c r="D282" s="31"/>
      <x:c r="E282" s="31"/>
      <x:c r="F282" s="31"/>
      <x:c r="G282" s="31"/>
      <x:c r="H282" s="31"/>
      <x:c r="I282" s="31"/>
      <x:c r="J282" s="32"/>
      <x:c r="K282" s="32"/>
      <x:c r="L282" s="32"/>
      <x:c r="M282" s="32"/>
      <x:c r="N282" s="32"/>
      <x:c r="O282" s="32"/>
      <x:c r="P282" s="32"/>
      <x:c r="Q282" s="31"/>
      <x:c r="R282" s="31"/>
      <x:c r="S282" s="31"/>
      <x:c r="T282" s="32"/>
      <x:c r="U282" s="32"/>
      <x:c r="V282" s="31"/>
      <x:c r="W282" s="31"/>
      <x:c r="X282" s="31"/>
      <x:c r="Y282" s="32"/>
      <x:c r="Z282" s="31"/>
      <x:c r="AA282" s="32"/>
      <x:c r="AB282" s="31"/>
      <x:c r="AC282" s="31"/>
      <x:c r="AD282" s="31"/>
      <x:c r="AE282" s="31"/>
      <x:c r="AF282" s="31"/>
    </x:row>
    <x:row r="283">
      <x:c r="A283" s="79"/>
      <x:c r="B283" s="31"/>
      <x:c r="C283" s="31"/>
      <x:c r="D283" s="31"/>
      <x:c r="E283" s="31"/>
      <x:c r="F283" s="31"/>
      <x:c r="G283" s="31"/>
      <x:c r="H283" s="31"/>
      <x:c r="I283" s="31"/>
      <x:c r="J283" s="32"/>
      <x:c r="K283" s="32"/>
      <x:c r="L283" s="32"/>
      <x:c r="M283" s="32"/>
      <x:c r="N283" s="32"/>
      <x:c r="O283" s="32"/>
      <x:c r="P283" s="32"/>
      <x:c r="Q283" s="31"/>
      <x:c r="R283" s="31"/>
      <x:c r="S283" s="31"/>
      <x:c r="T283" s="32"/>
      <x:c r="U283" s="32"/>
      <x:c r="V283" s="31"/>
      <x:c r="W283" s="31"/>
      <x:c r="X283" s="31"/>
      <x:c r="Y283" s="32"/>
      <x:c r="Z283" s="31"/>
      <x:c r="AA283" s="32"/>
      <x:c r="AB283" s="31"/>
      <x:c r="AC283" s="31"/>
      <x:c r="AD283" s="31"/>
      <x:c r="AE283" s="31"/>
      <x:c r="AF283" s="31"/>
    </x:row>
    <x:row r="284">
      <x:c r="A284" s="79"/>
      <x:c r="B284" s="31"/>
      <x:c r="C284" s="31"/>
      <x:c r="D284" s="31"/>
      <x:c r="E284" s="31"/>
      <x:c r="F284" s="31"/>
      <x:c r="G284" s="31"/>
      <x:c r="H284" s="31"/>
      <x:c r="I284" s="31"/>
      <x:c r="J284" s="32"/>
      <x:c r="K284" s="32"/>
      <x:c r="L284" s="32"/>
      <x:c r="M284" s="32"/>
      <x:c r="N284" s="32"/>
      <x:c r="O284" s="32"/>
      <x:c r="P284" s="32"/>
      <x:c r="Q284" s="31"/>
      <x:c r="R284" s="31"/>
      <x:c r="S284" s="31"/>
      <x:c r="T284" s="32"/>
      <x:c r="U284" s="32"/>
      <x:c r="V284" s="31"/>
      <x:c r="W284" s="31"/>
      <x:c r="X284" s="31"/>
      <x:c r="Y284" s="32"/>
      <x:c r="Z284" s="31"/>
      <x:c r="AA284" s="32"/>
      <x:c r="AB284" s="31"/>
      <x:c r="AC284" s="31"/>
      <x:c r="AD284" s="31"/>
      <x:c r="AE284" s="31"/>
      <x:c r="AF284" s="31"/>
    </x:row>
    <x:row r="285">
      <x:c r="A285" s="79"/>
      <x:c r="B285" s="31"/>
      <x:c r="C285" s="31"/>
      <x:c r="D285" s="31"/>
      <x:c r="E285" s="31"/>
      <x:c r="F285" s="31"/>
      <x:c r="G285" s="31"/>
      <x:c r="H285" s="31"/>
      <x:c r="I285" s="31"/>
      <x:c r="J285" s="32"/>
      <x:c r="K285" s="32"/>
      <x:c r="L285" s="32"/>
      <x:c r="M285" s="32"/>
      <x:c r="N285" s="32"/>
      <x:c r="O285" s="32"/>
      <x:c r="P285" s="32"/>
      <x:c r="Q285" s="31"/>
      <x:c r="R285" s="31"/>
      <x:c r="S285" s="31"/>
      <x:c r="T285" s="32"/>
      <x:c r="U285" s="32"/>
      <x:c r="V285" s="31"/>
      <x:c r="W285" s="31"/>
      <x:c r="X285" s="31"/>
      <x:c r="Y285" s="32"/>
      <x:c r="Z285" s="31"/>
      <x:c r="AA285" s="32"/>
      <x:c r="AB285" s="31"/>
      <x:c r="AC285" s="31"/>
      <x:c r="AD285" s="31"/>
      <x:c r="AE285" s="31"/>
      <x:c r="AF285" s="31"/>
    </x:row>
    <x:row r="286">
      <x:c r="A286" s="79"/>
      <x:c r="B286" s="31"/>
      <x:c r="C286" s="31"/>
      <x:c r="D286" s="31"/>
      <x:c r="E286" s="31"/>
      <x:c r="F286" s="31"/>
      <x:c r="G286" s="31"/>
      <x:c r="H286" s="31"/>
      <x:c r="I286" s="31"/>
      <x:c r="J286" s="32"/>
      <x:c r="K286" s="32"/>
      <x:c r="L286" s="32"/>
      <x:c r="M286" s="32"/>
      <x:c r="N286" s="32"/>
      <x:c r="O286" s="32"/>
      <x:c r="P286" s="32"/>
      <x:c r="Q286" s="31"/>
      <x:c r="R286" s="31"/>
      <x:c r="S286" s="31"/>
      <x:c r="T286" s="32"/>
      <x:c r="U286" s="32"/>
      <x:c r="V286" s="31"/>
      <x:c r="W286" s="31"/>
      <x:c r="X286" s="31"/>
      <x:c r="Y286" s="32"/>
      <x:c r="Z286" s="31"/>
      <x:c r="AA286" s="32"/>
      <x:c r="AB286" s="31"/>
      <x:c r="AC286" s="31"/>
      <x:c r="AD286" s="31"/>
      <x:c r="AE286" s="31"/>
      <x:c r="AF286" s="31"/>
    </x:row>
    <x:row r="287">
      <x:c r="A287" s="79"/>
      <x:c r="B287" s="31"/>
      <x:c r="C287" s="31"/>
      <x:c r="D287" s="31"/>
      <x:c r="E287" s="31"/>
      <x:c r="F287" s="31"/>
      <x:c r="G287" s="31"/>
      <x:c r="H287" s="31"/>
      <x:c r="I287" s="31"/>
      <x:c r="J287" s="32"/>
      <x:c r="K287" s="32"/>
      <x:c r="L287" s="32"/>
      <x:c r="M287" s="32"/>
      <x:c r="N287" s="32"/>
      <x:c r="O287" s="32"/>
      <x:c r="P287" s="32"/>
      <x:c r="Q287" s="31"/>
      <x:c r="R287" s="31"/>
      <x:c r="S287" s="31"/>
      <x:c r="T287" s="32"/>
      <x:c r="U287" s="32"/>
      <x:c r="V287" s="31"/>
      <x:c r="W287" s="31"/>
      <x:c r="X287" s="31"/>
      <x:c r="Y287" s="32"/>
      <x:c r="Z287" s="31"/>
      <x:c r="AA287" s="32"/>
      <x:c r="AB287" s="31"/>
      <x:c r="AC287" s="31"/>
      <x:c r="AD287" s="31"/>
      <x:c r="AE287" s="31"/>
      <x:c r="AF287" s="31"/>
    </x:row>
    <x:row r="288">
      <x:c r="A288" s="79"/>
      <x:c r="B288" s="31"/>
      <x:c r="C288" s="31"/>
      <x:c r="D288" s="31"/>
      <x:c r="E288" s="31"/>
      <x:c r="F288" s="31"/>
      <x:c r="G288" s="31"/>
      <x:c r="H288" s="31"/>
      <x:c r="I288" s="31"/>
      <x:c r="J288" s="32"/>
      <x:c r="K288" s="32"/>
      <x:c r="L288" s="32"/>
      <x:c r="M288" s="32"/>
      <x:c r="N288" s="32"/>
      <x:c r="O288" s="32"/>
      <x:c r="P288" s="32"/>
      <x:c r="Q288" s="31"/>
      <x:c r="R288" s="31"/>
      <x:c r="S288" s="31"/>
      <x:c r="T288" s="32"/>
      <x:c r="U288" s="32"/>
      <x:c r="V288" s="31"/>
      <x:c r="W288" s="31"/>
      <x:c r="X288" s="31"/>
      <x:c r="Y288" s="32"/>
      <x:c r="Z288" s="31"/>
      <x:c r="AA288" s="32"/>
      <x:c r="AB288" s="31"/>
      <x:c r="AC288" s="31"/>
      <x:c r="AD288" s="31"/>
      <x:c r="AE288" s="31"/>
      <x:c r="AF288" s="31"/>
    </x:row>
    <x:row r="289">
      <x:c r="A289" s="79"/>
      <x:c r="B289" s="31"/>
      <x:c r="C289" s="31"/>
      <x:c r="D289" s="31"/>
      <x:c r="E289" s="31"/>
      <x:c r="F289" s="31"/>
      <x:c r="G289" s="31"/>
      <x:c r="H289" s="31"/>
      <x:c r="I289" s="31"/>
      <x:c r="J289" s="32"/>
      <x:c r="K289" s="32"/>
      <x:c r="L289" s="32"/>
      <x:c r="M289" s="32"/>
      <x:c r="N289" s="32"/>
      <x:c r="O289" s="32"/>
      <x:c r="P289" s="32"/>
      <x:c r="Q289" s="31"/>
      <x:c r="R289" s="31"/>
      <x:c r="S289" s="31"/>
      <x:c r="T289" s="32"/>
      <x:c r="U289" s="32"/>
      <x:c r="V289" s="31"/>
      <x:c r="W289" s="31"/>
      <x:c r="X289" s="31"/>
      <x:c r="Y289" s="32"/>
      <x:c r="Z289" s="31"/>
      <x:c r="AA289" s="32"/>
      <x:c r="AB289" s="31"/>
      <x:c r="AC289" s="31"/>
      <x:c r="AD289" s="31"/>
      <x:c r="AE289" s="31"/>
      <x:c r="AF289" s="31"/>
    </x:row>
    <x:row r="290">
      <x:c r="A290" s="79"/>
      <x:c r="B290" s="31"/>
      <x:c r="C290" s="31"/>
      <x:c r="D290" s="31"/>
      <x:c r="E290" s="31"/>
      <x:c r="F290" s="31"/>
      <x:c r="G290" s="31"/>
      <x:c r="H290" s="31"/>
      <x:c r="I290" s="31"/>
      <x:c r="J290" s="32"/>
      <x:c r="K290" s="32"/>
      <x:c r="L290" s="32"/>
      <x:c r="M290" s="32"/>
      <x:c r="N290" s="32"/>
      <x:c r="O290" s="32"/>
      <x:c r="P290" s="32"/>
      <x:c r="Q290" s="31"/>
      <x:c r="R290" s="31"/>
      <x:c r="S290" s="31"/>
      <x:c r="T290" s="32"/>
      <x:c r="U290" s="32"/>
      <x:c r="V290" s="31"/>
      <x:c r="W290" s="31"/>
      <x:c r="X290" s="31"/>
      <x:c r="Y290" s="32"/>
      <x:c r="Z290" s="31"/>
      <x:c r="AA290" s="32"/>
      <x:c r="AB290" s="31"/>
      <x:c r="AC290" s="31"/>
      <x:c r="AD290" s="31"/>
      <x:c r="AE290" s="31"/>
      <x:c r="AF290" s="31"/>
    </x:row>
    <x:row r="291">
      <x:c r="A291" s="79"/>
      <x:c r="B291" s="31"/>
      <x:c r="C291" s="31"/>
      <x:c r="D291" s="31"/>
      <x:c r="E291" s="31"/>
      <x:c r="F291" s="31"/>
      <x:c r="G291" s="31"/>
      <x:c r="H291" s="31"/>
      <x:c r="I291" s="31"/>
      <x:c r="J291" s="32"/>
      <x:c r="K291" s="32"/>
      <x:c r="L291" s="32"/>
      <x:c r="M291" s="32"/>
      <x:c r="N291" s="32"/>
      <x:c r="O291" s="32"/>
      <x:c r="P291" s="32"/>
      <x:c r="Q291" s="31"/>
      <x:c r="R291" s="31"/>
      <x:c r="S291" s="31"/>
      <x:c r="T291" s="32"/>
      <x:c r="U291" s="32"/>
      <x:c r="V291" s="31"/>
      <x:c r="W291" s="31"/>
      <x:c r="X291" s="31"/>
      <x:c r="Y291" s="32"/>
      <x:c r="Z291" s="31"/>
      <x:c r="AA291" s="32"/>
      <x:c r="AB291" s="31"/>
      <x:c r="AC291" s="31"/>
      <x:c r="AD291" s="31"/>
      <x:c r="AE291" s="31"/>
      <x:c r="AF291" s="31"/>
    </x:row>
    <x:row r="292">
      <x:c r="A292" s="79"/>
      <x:c r="B292" s="31"/>
      <x:c r="C292" s="31"/>
      <x:c r="D292" s="31"/>
      <x:c r="E292" s="31"/>
      <x:c r="F292" s="31"/>
      <x:c r="G292" s="31"/>
      <x:c r="H292" s="31"/>
      <x:c r="I292" s="31"/>
      <x:c r="J292" s="32"/>
      <x:c r="K292" s="32"/>
      <x:c r="L292" s="32"/>
      <x:c r="M292" s="32"/>
      <x:c r="N292" s="32"/>
      <x:c r="O292" s="32"/>
      <x:c r="P292" s="32"/>
      <x:c r="Q292" s="31"/>
      <x:c r="R292" s="31"/>
      <x:c r="S292" s="31"/>
      <x:c r="T292" s="32"/>
      <x:c r="U292" s="32"/>
      <x:c r="V292" s="31"/>
      <x:c r="W292" s="31"/>
      <x:c r="X292" s="31"/>
      <x:c r="Y292" s="32"/>
      <x:c r="Z292" s="31"/>
      <x:c r="AA292" s="32"/>
      <x:c r="AB292" s="31"/>
      <x:c r="AC292" s="31"/>
      <x:c r="AD292" s="31"/>
      <x:c r="AE292" s="31"/>
      <x:c r="AF292" s="31"/>
    </x:row>
    <x:row r="293">
      <x:c r="A293" s="79"/>
      <x:c r="B293" s="31"/>
      <x:c r="C293" s="31"/>
      <x:c r="D293" s="31"/>
      <x:c r="E293" s="31"/>
      <x:c r="F293" s="31"/>
      <x:c r="G293" s="31"/>
      <x:c r="H293" s="31"/>
      <x:c r="I293" s="31"/>
      <x:c r="J293" s="32"/>
      <x:c r="K293" s="32"/>
      <x:c r="L293" s="32"/>
      <x:c r="M293" s="32"/>
      <x:c r="N293" s="32"/>
      <x:c r="O293" s="32"/>
      <x:c r="P293" s="32"/>
      <x:c r="Q293" s="31"/>
      <x:c r="R293" s="31"/>
      <x:c r="S293" s="31"/>
      <x:c r="T293" s="32"/>
      <x:c r="U293" s="32"/>
      <x:c r="V293" s="31"/>
      <x:c r="W293" s="31"/>
      <x:c r="X293" s="31"/>
      <x:c r="Y293" s="32"/>
      <x:c r="Z293" s="31"/>
      <x:c r="AA293" s="32"/>
      <x:c r="AB293" s="31"/>
      <x:c r="AC293" s="31"/>
      <x:c r="AD293" s="31"/>
      <x:c r="AE293" s="31"/>
      <x:c r="AF293" s="31"/>
    </x:row>
    <x:row r="294">
      <x:c r="A294" s="79"/>
      <x:c r="B294" s="31"/>
      <x:c r="C294" s="31"/>
      <x:c r="D294" s="31"/>
      <x:c r="E294" s="31"/>
      <x:c r="F294" s="31"/>
      <x:c r="G294" s="31"/>
      <x:c r="H294" s="31"/>
      <x:c r="I294" s="31"/>
      <x:c r="J294" s="32"/>
      <x:c r="K294" s="32"/>
      <x:c r="L294" s="32"/>
      <x:c r="M294" s="32"/>
      <x:c r="N294" s="32"/>
      <x:c r="O294" s="32"/>
      <x:c r="P294" s="32"/>
      <x:c r="Q294" s="31"/>
      <x:c r="R294" s="31"/>
      <x:c r="S294" s="31"/>
      <x:c r="T294" s="32"/>
      <x:c r="U294" s="32"/>
      <x:c r="V294" s="31"/>
      <x:c r="W294" s="31"/>
      <x:c r="X294" s="31"/>
      <x:c r="Y294" s="32"/>
      <x:c r="Z294" s="31"/>
      <x:c r="AA294" s="32"/>
      <x:c r="AB294" s="31"/>
      <x:c r="AC294" s="31"/>
      <x:c r="AD294" s="31"/>
      <x:c r="AE294" s="31"/>
      <x:c r="AF294" s="31"/>
    </x:row>
    <x:row r="295">
      <x:c r="A295" s="79"/>
      <x:c r="B295" s="31"/>
      <x:c r="C295" s="31"/>
      <x:c r="D295" s="31"/>
      <x:c r="E295" s="31"/>
      <x:c r="F295" s="31"/>
      <x:c r="G295" s="31"/>
      <x:c r="H295" s="31"/>
      <x:c r="I295" s="31"/>
      <x:c r="J295" s="32"/>
      <x:c r="K295" s="32"/>
      <x:c r="L295" s="32"/>
      <x:c r="M295" s="32"/>
      <x:c r="N295" s="32"/>
      <x:c r="O295" s="32"/>
      <x:c r="P295" s="32"/>
      <x:c r="Q295" s="31"/>
      <x:c r="R295" s="31"/>
      <x:c r="S295" s="31"/>
      <x:c r="T295" s="32"/>
      <x:c r="U295" s="32"/>
      <x:c r="V295" s="31"/>
      <x:c r="W295" s="31"/>
      <x:c r="X295" s="31"/>
      <x:c r="Y295" s="32"/>
      <x:c r="Z295" s="31"/>
      <x:c r="AA295" s="32"/>
      <x:c r="AB295" s="31"/>
      <x:c r="AC295" s="31"/>
      <x:c r="AD295" s="31"/>
      <x:c r="AE295" s="31"/>
      <x:c r="AF295" s="31"/>
    </x:row>
    <x:row r="296">
      <x:c r="A296" s="79"/>
      <x:c r="B296" s="31"/>
      <x:c r="C296" s="31"/>
      <x:c r="D296" s="31"/>
      <x:c r="E296" s="31"/>
      <x:c r="F296" s="31"/>
      <x:c r="G296" s="31"/>
      <x:c r="H296" s="31"/>
      <x:c r="I296" s="31"/>
      <x:c r="J296" s="32"/>
      <x:c r="K296" s="32"/>
      <x:c r="L296" s="32"/>
      <x:c r="M296" s="32"/>
      <x:c r="N296" s="32"/>
      <x:c r="O296" s="32"/>
      <x:c r="P296" s="32"/>
      <x:c r="Q296" s="31"/>
      <x:c r="R296" s="31"/>
      <x:c r="S296" s="31"/>
      <x:c r="T296" s="32"/>
      <x:c r="U296" s="32"/>
      <x:c r="V296" s="31"/>
      <x:c r="W296" s="31"/>
      <x:c r="X296" s="31"/>
      <x:c r="Y296" s="32"/>
      <x:c r="Z296" s="31"/>
      <x:c r="AA296" s="32"/>
      <x:c r="AB296" s="31"/>
      <x:c r="AC296" s="31"/>
      <x:c r="AD296" s="31"/>
      <x:c r="AE296" s="31"/>
      <x:c r="AF296" s="31"/>
    </x:row>
    <x:row r="297">
      <x:c r="A297" s="79"/>
      <x:c r="B297" s="31"/>
      <x:c r="C297" s="31"/>
      <x:c r="D297" s="31"/>
      <x:c r="E297" s="31"/>
      <x:c r="F297" s="31"/>
      <x:c r="G297" s="31"/>
      <x:c r="H297" s="31"/>
      <x:c r="I297" s="31"/>
      <x:c r="J297" s="32"/>
      <x:c r="K297" s="32"/>
      <x:c r="L297" s="32"/>
      <x:c r="M297" s="32"/>
      <x:c r="N297" s="32"/>
      <x:c r="O297" s="32"/>
      <x:c r="P297" s="32"/>
      <x:c r="Q297" s="31"/>
      <x:c r="R297" s="31"/>
      <x:c r="S297" s="31"/>
      <x:c r="T297" s="32"/>
      <x:c r="U297" s="32"/>
      <x:c r="V297" s="31"/>
      <x:c r="W297" s="31"/>
      <x:c r="X297" s="31"/>
      <x:c r="Y297" s="32"/>
      <x:c r="Z297" s="31"/>
      <x:c r="AA297" s="32"/>
      <x:c r="AB297" s="31"/>
      <x:c r="AC297" s="31"/>
      <x:c r="AD297" s="31"/>
      <x:c r="AE297" s="31"/>
      <x:c r="AF297" s="31"/>
    </x:row>
    <x:row r="298">
      <x:c r="A298" s="79"/>
      <x:c r="B298" s="31"/>
      <x:c r="C298" s="31"/>
      <x:c r="D298" s="31"/>
      <x:c r="E298" s="31"/>
      <x:c r="F298" s="31"/>
      <x:c r="G298" s="31"/>
      <x:c r="H298" s="31"/>
      <x:c r="I298" s="31"/>
      <x:c r="J298" s="32"/>
      <x:c r="K298" s="32"/>
      <x:c r="L298" s="32"/>
      <x:c r="M298" s="32"/>
      <x:c r="N298" s="32"/>
      <x:c r="O298" s="32"/>
      <x:c r="P298" s="32"/>
      <x:c r="Q298" s="31"/>
      <x:c r="R298" s="31"/>
      <x:c r="S298" s="31"/>
      <x:c r="T298" s="32"/>
      <x:c r="U298" s="32"/>
      <x:c r="V298" s="31"/>
      <x:c r="W298" s="31"/>
      <x:c r="X298" s="31"/>
      <x:c r="Y298" s="32"/>
      <x:c r="Z298" s="31"/>
      <x:c r="AA298" s="32"/>
      <x:c r="AB298" s="31"/>
      <x:c r="AC298" s="31"/>
      <x:c r="AD298" s="31"/>
      <x:c r="AE298" s="31"/>
      <x:c r="AF298" s="31"/>
    </x:row>
    <x:row r="299">
      <x:c r="A299" s="79"/>
      <x:c r="B299" s="31"/>
      <x:c r="C299" s="31"/>
      <x:c r="D299" s="31"/>
      <x:c r="E299" s="31"/>
      <x:c r="F299" s="31"/>
      <x:c r="G299" s="31"/>
      <x:c r="H299" s="31"/>
      <x:c r="I299" s="31"/>
      <x:c r="J299" s="32"/>
      <x:c r="K299" s="32"/>
      <x:c r="L299" s="32"/>
      <x:c r="M299" s="32"/>
      <x:c r="N299" s="32"/>
      <x:c r="O299" s="32"/>
      <x:c r="P299" s="32"/>
      <x:c r="Q299" s="31"/>
      <x:c r="R299" s="31"/>
      <x:c r="S299" s="31"/>
      <x:c r="T299" s="32"/>
      <x:c r="U299" s="32"/>
      <x:c r="V299" s="31"/>
      <x:c r="W299" s="31"/>
      <x:c r="X299" s="31"/>
      <x:c r="Y299" s="32"/>
      <x:c r="Z299" s="31"/>
      <x:c r="AA299" s="32"/>
      <x:c r="AB299" s="31"/>
      <x:c r="AC299" s="31"/>
      <x:c r="AD299" s="31"/>
      <x:c r="AE299" s="31"/>
      <x:c r="AF299" s="31"/>
    </x:row>
    <x:row r="300">
      <x:c r="A300" s="79"/>
      <x:c r="B300" s="31"/>
      <x:c r="C300" s="31"/>
      <x:c r="D300" s="31"/>
      <x:c r="E300" s="31"/>
      <x:c r="F300" s="31"/>
      <x:c r="G300" s="31"/>
      <x:c r="H300" s="31"/>
      <x:c r="I300" s="31"/>
      <x:c r="J300" s="32"/>
      <x:c r="K300" s="32"/>
      <x:c r="L300" s="32"/>
      <x:c r="M300" s="32"/>
      <x:c r="N300" s="32"/>
      <x:c r="O300" s="32"/>
      <x:c r="P300" s="32"/>
      <x:c r="Q300" s="31"/>
      <x:c r="R300" s="31"/>
      <x:c r="S300" s="31"/>
      <x:c r="T300" s="32"/>
      <x:c r="U300" s="32"/>
      <x:c r="V300" s="31"/>
      <x:c r="W300" s="31"/>
      <x:c r="X300" s="31"/>
      <x:c r="Y300" s="32"/>
      <x:c r="Z300" s="31"/>
      <x:c r="AA300" s="32"/>
      <x:c r="AB300" s="31"/>
      <x:c r="AC300" s="31"/>
      <x:c r="AD300" s="31"/>
      <x:c r="AE300" s="31"/>
      <x:c r="AF300" s="31"/>
    </x:row>
    <x:row r="301">
      <x:c r="A301" s="79"/>
      <x:c r="B301" s="31"/>
      <x:c r="C301" s="31"/>
      <x:c r="D301" s="31"/>
      <x:c r="E301" s="31"/>
      <x:c r="F301" s="31"/>
      <x:c r="G301" s="31"/>
      <x:c r="H301" s="31"/>
      <x:c r="I301" s="31"/>
      <x:c r="J301" s="32"/>
      <x:c r="K301" s="32"/>
      <x:c r="L301" s="32"/>
      <x:c r="M301" s="32"/>
      <x:c r="N301" s="32"/>
      <x:c r="O301" s="32"/>
      <x:c r="P301" s="32"/>
      <x:c r="Q301" s="31"/>
      <x:c r="R301" s="31"/>
      <x:c r="S301" s="31"/>
      <x:c r="T301" s="32"/>
      <x:c r="U301" s="32"/>
      <x:c r="V301" s="31"/>
      <x:c r="W301" s="31"/>
      <x:c r="X301" s="31"/>
      <x:c r="Y301" s="32"/>
      <x:c r="Z301" s="31"/>
      <x:c r="AA301" s="32"/>
      <x:c r="AB301" s="31"/>
      <x:c r="AC301" s="31"/>
      <x:c r="AD301" s="31"/>
      <x:c r="AE301" s="31"/>
      <x:c r="AF301" s="31"/>
    </x:row>
    <x:row r="302">
      <x:c r="A302" s="79"/>
      <x:c r="B302" s="31"/>
      <x:c r="C302" s="31"/>
      <x:c r="D302" s="31"/>
      <x:c r="E302" s="31"/>
      <x:c r="F302" s="31"/>
      <x:c r="G302" s="31"/>
      <x:c r="H302" s="31"/>
      <x:c r="I302" s="31"/>
      <x:c r="J302" s="32"/>
      <x:c r="K302" s="32"/>
      <x:c r="L302" s="32"/>
      <x:c r="M302" s="32"/>
      <x:c r="N302" s="32"/>
      <x:c r="O302" s="32"/>
      <x:c r="P302" s="32"/>
      <x:c r="Q302" s="31"/>
      <x:c r="R302" s="31"/>
      <x:c r="S302" s="31"/>
      <x:c r="T302" s="32"/>
      <x:c r="U302" s="32"/>
      <x:c r="V302" s="31"/>
      <x:c r="W302" s="31"/>
      <x:c r="X302" s="31"/>
      <x:c r="Y302" s="32"/>
      <x:c r="Z302" s="31"/>
      <x:c r="AA302" s="32"/>
      <x:c r="AB302" s="31"/>
      <x:c r="AC302" s="31"/>
      <x:c r="AD302" s="31"/>
      <x:c r="AE302" s="31"/>
      <x:c r="AF302" s="31"/>
    </x:row>
    <x:row r="303">
      <x:c r="A303" s="79"/>
      <x:c r="B303" s="31"/>
      <x:c r="C303" s="31"/>
      <x:c r="D303" s="31"/>
      <x:c r="E303" s="31"/>
      <x:c r="F303" s="31"/>
      <x:c r="G303" s="31"/>
      <x:c r="H303" s="31"/>
      <x:c r="I303" s="31"/>
      <x:c r="J303" s="32"/>
      <x:c r="K303" s="32"/>
      <x:c r="L303" s="32"/>
      <x:c r="M303" s="32"/>
      <x:c r="N303" s="32"/>
      <x:c r="O303" s="32"/>
      <x:c r="P303" s="32"/>
      <x:c r="Q303" s="31"/>
      <x:c r="R303" s="31"/>
      <x:c r="S303" s="31"/>
      <x:c r="T303" s="32"/>
      <x:c r="U303" s="32"/>
      <x:c r="V303" s="31"/>
      <x:c r="W303" s="31"/>
      <x:c r="X303" s="31"/>
      <x:c r="Y303" s="32"/>
      <x:c r="Z303" s="31"/>
      <x:c r="AA303" s="32"/>
      <x:c r="AB303" s="31"/>
      <x:c r="AC303" s="31"/>
      <x:c r="AD303" s="31"/>
      <x:c r="AE303" s="31"/>
      <x:c r="AF303" s="31"/>
    </x:row>
    <x:row r="304">
      <x:c r="A304" s="79"/>
      <x:c r="B304" s="31"/>
      <x:c r="C304" s="31"/>
      <x:c r="D304" s="31"/>
      <x:c r="E304" s="31"/>
      <x:c r="F304" s="31"/>
      <x:c r="G304" s="31"/>
      <x:c r="H304" s="31"/>
      <x:c r="I304" s="31"/>
      <x:c r="J304" s="32"/>
      <x:c r="K304" s="32"/>
      <x:c r="L304" s="32"/>
      <x:c r="M304" s="32"/>
      <x:c r="N304" s="32"/>
      <x:c r="O304" s="32"/>
      <x:c r="P304" s="32"/>
      <x:c r="Q304" s="31"/>
      <x:c r="R304" s="31"/>
      <x:c r="S304" s="31"/>
      <x:c r="T304" s="32"/>
      <x:c r="U304" s="32"/>
      <x:c r="V304" s="31"/>
      <x:c r="W304" s="31"/>
      <x:c r="X304" s="31"/>
      <x:c r="Y304" s="32"/>
      <x:c r="Z304" s="31"/>
      <x:c r="AA304" s="32"/>
      <x:c r="AB304" s="31"/>
      <x:c r="AC304" s="31"/>
      <x:c r="AD304" s="31"/>
      <x:c r="AE304" s="31"/>
      <x:c r="AF304" s="31"/>
    </x:row>
    <x:row r="305">
      <x:c r="A305" s="79"/>
      <x:c r="B305" s="31"/>
      <x:c r="C305" s="31"/>
      <x:c r="D305" s="31"/>
      <x:c r="E305" s="31"/>
      <x:c r="F305" s="31"/>
      <x:c r="G305" s="31"/>
      <x:c r="H305" s="31"/>
      <x:c r="I305" s="31"/>
      <x:c r="J305" s="32"/>
      <x:c r="K305" s="32"/>
      <x:c r="L305" s="32"/>
      <x:c r="M305" s="32"/>
      <x:c r="N305" s="32"/>
      <x:c r="O305" s="32"/>
      <x:c r="P305" s="32"/>
      <x:c r="Q305" s="31"/>
      <x:c r="R305" s="31"/>
      <x:c r="S305" s="31"/>
      <x:c r="T305" s="32"/>
      <x:c r="U305" s="32"/>
      <x:c r="V305" s="31"/>
      <x:c r="W305" s="31"/>
      <x:c r="X305" s="31"/>
      <x:c r="Y305" s="32"/>
      <x:c r="Z305" s="31"/>
      <x:c r="AA305" s="32"/>
      <x:c r="AB305" s="31"/>
      <x:c r="AC305" s="31"/>
      <x:c r="AD305" s="31"/>
      <x:c r="AE305" s="31"/>
      <x:c r="AF305" s="31"/>
    </x:row>
    <x:row r="306">
      <x:c r="A306" s="79"/>
      <x:c r="B306" s="31"/>
      <x:c r="C306" s="31"/>
      <x:c r="D306" s="31"/>
      <x:c r="E306" s="31"/>
      <x:c r="F306" s="31"/>
      <x:c r="G306" s="31"/>
      <x:c r="H306" s="31"/>
      <x:c r="I306" s="31"/>
      <x:c r="J306" s="32"/>
      <x:c r="K306" s="32"/>
      <x:c r="L306" s="32"/>
      <x:c r="M306" s="32"/>
      <x:c r="N306" s="32"/>
      <x:c r="O306" s="32"/>
      <x:c r="P306" s="32"/>
      <x:c r="Q306" s="31"/>
      <x:c r="R306" s="31"/>
      <x:c r="S306" s="31"/>
      <x:c r="T306" s="32"/>
      <x:c r="U306" s="32"/>
      <x:c r="V306" s="31"/>
      <x:c r="W306" s="31"/>
      <x:c r="X306" s="31"/>
      <x:c r="Y306" s="32"/>
      <x:c r="Z306" s="31"/>
      <x:c r="AA306" s="32"/>
      <x:c r="AB306" s="31"/>
      <x:c r="AC306" s="31"/>
      <x:c r="AD306" s="31"/>
      <x:c r="AE306" s="31"/>
      <x:c r="AF306" s="31"/>
    </x:row>
    <x:row r="307">
      <x:c r="A307" s="79"/>
      <x:c r="B307" s="31"/>
      <x:c r="C307" s="31"/>
      <x:c r="D307" s="31"/>
      <x:c r="E307" s="31"/>
      <x:c r="F307" s="31"/>
      <x:c r="G307" s="31"/>
      <x:c r="H307" s="31"/>
      <x:c r="I307" s="31"/>
      <x:c r="J307" s="32"/>
      <x:c r="K307" s="32"/>
      <x:c r="L307" s="32"/>
      <x:c r="M307" s="32"/>
      <x:c r="N307" s="32"/>
      <x:c r="O307" s="32"/>
      <x:c r="P307" s="32"/>
      <x:c r="Q307" s="31"/>
      <x:c r="R307" s="31"/>
      <x:c r="S307" s="31"/>
      <x:c r="T307" s="32"/>
      <x:c r="U307" s="32"/>
      <x:c r="V307" s="31"/>
      <x:c r="W307" s="31"/>
      <x:c r="X307" s="31"/>
      <x:c r="Y307" s="32"/>
      <x:c r="Z307" s="31"/>
      <x:c r="AA307" s="32"/>
      <x:c r="AB307" s="31"/>
      <x:c r="AC307" s="31"/>
      <x:c r="AD307" s="31"/>
      <x:c r="AE307" s="31"/>
      <x:c r="AF307" s="31"/>
    </x:row>
    <x:row r="308">
      <x:c r="A308" s="79"/>
      <x:c r="B308" s="31"/>
      <x:c r="C308" s="31"/>
      <x:c r="D308" s="31"/>
      <x:c r="E308" s="31"/>
      <x:c r="F308" s="31"/>
      <x:c r="G308" s="31"/>
      <x:c r="H308" s="31"/>
      <x:c r="I308" s="31"/>
      <x:c r="J308" s="32"/>
      <x:c r="K308" s="32"/>
      <x:c r="L308" s="32"/>
      <x:c r="M308" s="32"/>
      <x:c r="N308" s="32"/>
      <x:c r="O308" s="32"/>
      <x:c r="P308" s="32"/>
      <x:c r="Q308" s="31"/>
      <x:c r="R308" s="31"/>
      <x:c r="S308" s="31"/>
      <x:c r="T308" s="32"/>
      <x:c r="U308" s="32"/>
      <x:c r="V308" s="31"/>
      <x:c r="W308" s="31"/>
      <x:c r="X308" s="31"/>
      <x:c r="Y308" s="32"/>
      <x:c r="Z308" s="31"/>
      <x:c r="AA308" s="32"/>
      <x:c r="AB308" s="31"/>
      <x:c r="AC308" s="31"/>
      <x:c r="AD308" s="31"/>
      <x:c r="AE308" s="31"/>
      <x:c r="AF308" s="31"/>
    </x:row>
    <x:row r="309">
      <x:c r="A309" s="79"/>
      <x:c r="B309" s="31"/>
      <x:c r="C309" s="31"/>
      <x:c r="D309" s="31"/>
      <x:c r="E309" s="31"/>
      <x:c r="F309" s="31"/>
      <x:c r="G309" s="31"/>
      <x:c r="H309" s="31"/>
      <x:c r="I309" s="31"/>
      <x:c r="J309" s="32"/>
      <x:c r="K309" s="32"/>
      <x:c r="L309" s="32"/>
      <x:c r="M309" s="32"/>
      <x:c r="N309" s="32"/>
      <x:c r="O309" s="32"/>
      <x:c r="P309" s="32"/>
      <x:c r="Q309" s="31"/>
      <x:c r="R309" s="31"/>
      <x:c r="S309" s="31"/>
      <x:c r="T309" s="32"/>
      <x:c r="U309" s="32"/>
      <x:c r="V309" s="31"/>
      <x:c r="W309" s="31"/>
      <x:c r="X309" s="31"/>
      <x:c r="Y309" s="32"/>
      <x:c r="Z309" s="31"/>
      <x:c r="AA309" s="32"/>
      <x:c r="AB309" s="31"/>
      <x:c r="AC309" s="31"/>
      <x:c r="AD309" s="31"/>
      <x:c r="AE309" s="31"/>
      <x:c r="AF309" s="31"/>
    </x:row>
    <x:row r="310">
      <x:c r="A310" s="79"/>
      <x:c r="B310" s="31"/>
      <x:c r="C310" s="31"/>
      <x:c r="D310" s="31"/>
      <x:c r="E310" s="31"/>
      <x:c r="F310" s="31"/>
      <x:c r="G310" s="31"/>
      <x:c r="H310" s="31"/>
      <x:c r="I310" s="31"/>
      <x:c r="J310" s="32"/>
      <x:c r="K310" s="32"/>
      <x:c r="L310" s="32"/>
      <x:c r="M310" s="32"/>
      <x:c r="N310" s="32"/>
      <x:c r="O310" s="32"/>
      <x:c r="P310" s="32"/>
      <x:c r="Q310" s="31"/>
      <x:c r="R310" s="31"/>
      <x:c r="S310" s="31"/>
      <x:c r="T310" s="32"/>
      <x:c r="U310" s="32"/>
      <x:c r="V310" s="31"/>
      <x:c r="W310" s="31"/>
      <x:c r="X310" s="31"/>
      <x:c r="Y310" s="32"/>
      <x:c r="Z310" s="31"/>
      <x:c r="AA310" s="32"/>
      <x:c r="AB310" s="31"/>
      <x:c r="AC310" s="31"/>
      <x:c r="AD310" s="31"/>
      <x:c r="AE310" s="31"/>
      <x:c r="AF310" s="31"/>
    </x:row>
    <x:row r="311">
      <x:c r="A311" s="79"/>
      <x:c r="B311" s="31"/>
      <x:c r="C311" s="31"/>
      <x:c r="D311" s="31"/>
      <x:c r="E311" s="31"/>
      <x:c r="F311" s="31"/>
      <x:c r="G311" s="31"/>
      <x:c r="H311" s="31"/>
      <x:c r="I311" s="31"/>
      <x:c r="J311" s="32"/>
      <x:c r="K311" s="32"/>
      <x:c r="L311" s="32"/>
      <x:c r="M311" s="32"/>
      <x:c r="N311" s="32"/>
      <x:c r="O311" s="32"/>
      <x:c r="P311" s="32"/>
      <x:c r="Q311" s="31"/>
      <x:c r="R311" s="31"/>
      <x:c r="S311" s="31"/>
      <x:c r="T311" s="32"/>
      <x:c r="U311" s="32"/>
      <x:c r="V311" s="31"/>
      <x:c r="W311" s="31"/>
      <x:c r="X311" s="31"/>
      <x:c r="Y311" s="32"/>
      <x:c r="Z311" s="31"/>
      <x:c r="AA311" s="32"/>
      <x:c r="AB311" s="31"/>
      <x:c r="AC311" s="31"/>
      <x:c r="AD311" s="31"/>
      <x:c r="AE311" s="31"/>
      <x:c r="AF311" s="31"/>
    </x:row>
    <x:row r="312">
      <x:c r="A312" s="79"/>
      <x:c r="B312" s="31"/>
      <x:c r="C312" s="31"/>
      <x:c r="D312" s="31"/>
      <x:c r="E312" s="31"/>
      <x:c r="F312" s="31"/>
      <x:c r="G312" s="31"/>
      <x:c r="H312" s="31"/>
      <x:c r="I312" s="31"/>
      <x:c r="J312" s="32"/>
      <x:c r="K312" s="32"/>
      <x:c r="L312" s="32"/>
      <x:c r="M312" s="32"/>
      <x:c r="N312" s="32"/>
      <x:c r="O312" s="32"/>
      <x:c r="P312" s="32"/>
      <x:c r="Q312" s="31"/>
      <x:c r="R312" s="31"/>
      <x:c r="S312" s="31"/>
      <x:c r="T312" s="32"/>
      <x:c r="U312" s="32"/>
      <x:c r="V312" s="31"/>
      <x:c r="W312" s="31"/>
      <x:c r="X312" s="31"/>
      <x:c r="Y312" s="32"/>
      <x:c r="Z312" s="31"/>
      <x:c r="AA312" s="32"/>
      <x:c r="AB312" s="31"/>
      <x:c r="AC312" s="31"/>
      <x:c r="AD312" s="31"/>
      <x:c r="AE312" s="31"/>
      <x:c r="AF312" s="31"/>
    </x:row>
    <x:row r="313">
      <x:c r="A313" s="79"/>
      <x:c r="B313" s="31"/>
      <x:c r="C313" s="31"/>
      <x:c r="D313" s="31"/>
      <x:c r="E313" s="31"/>
      <x:c r="F313" s="31"/>
      <x:c r="G313" s="31"/>
      <x:c r="H313" s="31"/>
      <x:c r="I313" s="31"/>
      <x:c r="J313" s="32"/>
      <x:c r="K313" s="32"/>
      <x:c r="L313" s="32"/>
      <x:c r="M313" s="32"/>
      <x:c r="N313" s="32"/>
      <x:c r="O313" s="32"/>
      <x:c r="P313" s="32"/>
      <x:c r="Q313" s="31"/>
      <x:c r="R313" s="31"/>
      <x:c r="S313" s="31"/>
      <x:c r="T313" s="32"/>
      <x:c r="U313" s="32"/>
      <x:c r="V313" s="31"/>
      <x:c r="W313" s="31"/>
      <x:c r="X313" s="31"/>
      <x:c r="Y313" s="32"/>
      <x:c r="Z313" s="31"/>
      <x:c r="AA313" s="32"/>
      <x:c r="AB313" s="31"/>
      <x:c r="AC313" s="31"/>
      <x:c r="AD313" s="31"/>
      <x:c r="AE313" s="31"/>
      <x:c r="AF313" s="31"/>
    </x:row>
    <x:row r="314">
      <x:c r="A314" s="79"/>
      <x:c r="B314" s="31"/>
      <x:c r="C314" s="31"/>
      <x:c r="D314" s="31"/>
      <x:c r="E314" s="31"/>
      <x:c r="F314" s="31"/>
      <x:c r="G314" s="31"/>
      <x:c r="H314" s="31"/>
      <x:c r="I314" s="31"/>
      <x:c r="J314" s="32"/>
      <x:c r="K314" s="32"/>
      <x:c r="L314" s="32"/>
      <x:c r="M314" s="32"/>
      <x:c r="N314" s="32"/>
      <x:c r="O314" s="32"/>
      <x:c r="P314" s="32"/>
      <x:c r="Q314" s="31"/>
      <x:c r="R314" s="31"/>
      <x:c r="S314" s="31"/>
      <x:c r="T314" s="32"/>
      <x:c r="U314" s="32"/>
      <x:c r="V314" s="31"/>
      <x:c r="W314" s="31"/>
      <x:c r="X314" s="31"/>
      <x:c r="Y314" s="32"/>
      <x:c r="Z314" s="31"/>
      <x:c r="AA314" s="32"/>
      <x:c r="AB314" s="31"/>
      <x:c r="AC314" s="31"/>
      <x:c r="AD314" s="31"/>
      <x:c r="AE314" s="31"/>
      <x:c r="AF314" s="31"/>
    </x:row>
    <x:row r="315">
      <x:c r="A315" s="79"/>
      <x:c r="B315" s="31"/>
      <x:c r="C315" s="31"/>
      <x:c r="D315" s="31"/>
      <x:c r="E315" s="31"/>
      <x:c r="F315" s="31"/>
      <x:c r="G315" s="31"/>
      <x:c r="H315" s="31"/>
      <x:c r="I315" s="31"/>
      <x:c r="J315" s="32"/>
      <x:c r="K315" s="32"/>
      <x:c r="L315" s="32"/>
      <x:c r="M315" s="32"/>
      <x:c r="N315" s="32"/>
      <x:c r="O315" s="32"/>
      <x:c r="P315" s="32"/>
      <x:c r="Q315" s="31"/>
      <x:c r="R315" s="31"/>
      <x:c r="S315" s="31"/>
      <x:c r="T315" s="32"/>
      <x:c r="U315" s="32"/>
      <x:c r="V315" s="31"/>
      <x:c r="W315" s="31"/>
      <x:c r="X315" s="31"/>
      <x:c r="Y315" s="32"/>
      <x:c r="Z315" s="31"/>
      <x:c r="AA315" s="32"/>
      <x:c r="AB315" s="31"/>
      <x:c r="AC315" s="31"/>
      <x:c r="AD315" s="31"/>
      <x:c r="AE315" s="31"/>
      <x:c r="AF315" s="31"/>
    </x:row>
    <x:row r="316">
      <x:c r="A316" s="79"/>
      <x:c r="B316" s="31"/>
      <x:c r="C316" s="31"/>
      <x:c r="D316" s="31"/>
      <x:c r="E316" s="31"/>
      <x:c r="F316" s="31"/>
      <x:c r="G316" s="31"/>
      <x:c r="H316" s="31"/>
      <x:c r="I316" s="31"/>
      <x:c r="J316" s="32"/>
      <x:c r="K316" s="32"/>
      <x:c r="L316" s="32"/>
      <x:c r="M316" s="32"/>
      <x:c r="N316" s="32"/>
      <x:c r="O316" s="32"/>
      <x:c r="P316" s="32"/>
      <x:c r="Q316" s="31"/>
      <x:c r="R316" s="31"/>
      <x:c r="S316" s="31"/>
      <x:c r="T316" s="32"/>
      <x:c r="U316" s="32"/>
      <x:c r="V316" s="31"/>
      <x:c r="W316" s="31"/>
      <x:c r="X316" s="31"/>
      <x:c r="Y316" s="32"/>
      <x:c r="Z316" s="31"/>
      <x:c r="AA316" s="32"/>
      <x:c r="AB316" s="31"/>
      <x:c r="AC316" s="31"/>
      <x:c r="AD316" s="31"/>
      <x:c r="AE316" s="31"/>
      <x:c r="AF316" s="31"/>
    </x:row>
    <x:row r="317">
      <x:c r="A317" s="79"/>
      <x:c r="B317" s="31"/>
      <x:c r="C317" s="31"/>
      <x:c r="D317" s="31"/>
      <x:c r="E317" s="31"/>
      <x:c r="F317" s="31"/>
      <x:c r="G317" s="31"/>
      <x:c r="H317" s="31"/>
      <x:c r="I317" s="31"/>
      <x:c r="J317" s="32"/>
      <x:c r="K317" s="32"/>
      <x:c r="L317" s="32"/>
      <x:c r="M317" s="32"/>
      <x:c r="N317" s="32"/>
      <x:c r="O317" s="32"/>
      <x:c r="P317" s="32"/>
      <x:c r="Q317" s="31"/>
      <x:c r="R317" s="31"/>
      <x:c r="S317" s="31"/>
      <x:c r="T317" s="32"/>
      <x:c r="U317" s="32"/>
      <x:c r="V317" s="31"/>
      <x:c r="W317" s="31"/>
      <x:c r="X317" s="31"/>
      <x:c r="Y317" s="32"/>
      <x:c r="Z317" s="31"/>
      <x:c r="AA317" s="32"/>
      <x:c r="AB317" s="31"/>
      <x:c r="AC317" s="31"/>
      <x:c r="AD317" s="31"/>
      <x:c r="AE317" s="31"/>
      <x:c r="AF317" s="31"/>
    </x:row>
    <x:row r="318">
      <x:c r="A318" s="79"/>
      <x:c r="B318" s="31"/>
      <x:c r="C318" s="31"/>
      <x:c r="D318" s="31"/>
      <x:c r="E318" s="31"/>
      <x:c r="F318" s="31"/>
      <x:c r="G318" s="31"/>
      <x:c r="H318" s="31"/>
      <x:c r="I318" s="31"/>
      <x:c r="J318" s="32"/>
      <x:c r="K318" s="32"/>
      <x:c r="L318" s="32"/>
      <x:c r="M318" s="32"/>
      <x:c r="N318" s="32"/>
      <x:c r="O318" s="32"/>
      <x:c r="P318" s="32"/>
      <x:c r="Q318" s="31"/>
      <x:c r="R318" s="31"/>
      <x:c r="S318" s="31"/>
      <x:c r="T318" s="32"/>
      <x:c r="U318" s="32"/>
      <x:c r="V318" s="31"/>
      <x:c r="W318" s="31"/>
      <x:c r="X318" s="31"/>
      <x:c r="Y318" s="32"/>
      <x:c r="Z318" s="31"/>
      <x:c r="AA318" s="32"/>
      <x:c r="AB318" s="31"/>
      <x:c r="AC318" s="31"/>
      <x:c r="AD318" s="31"/>
      <x:c r="AE318" s="31"/>
      <x:c r="AF318" s="31"/>
    </x:row>
    <x:row r="319">
      <x:c r="A319" s="79"/>
      <x:c r="B319" s="31"/>
      <x:c r="C319" s="31"/>
      <x:c r="D319" s="31"/>
      <x:c r="E319" s="31"/>
      <x:c r="F319" s="31"/>
      <x:c r="G319" s="31"/>
      <x:c r="H319" s="31"/>
      <x:c r="I319" s="31"/>
      <x:c r="J319" s="32"/>
      <x:c r="K319" s="32"/>
      <x:c r="L319" s="32"/>
      <x:c r="M319" s="32"/>
      <x:c r="N319" s="32"/>
      <x:c r="O319" s="32"/>
      <x:c r="P319" s="32"/>
      <x:c r="Q319" s="31"/>
      <x:c r="R319" s="31"/>
      <x:c r="S319" s="31"/>
      <x:c r="T319" s="32"/>
      <x:c r="U319" s="32"/>
      <x:c r="V319" s="31"/>
      <x:c r="W319" s="31"/>
      <x:c r="X319" s="31"/>
      <x:c r="Y319" s="32"/>
      <x:c r="Z319" s="31"/>
      <x:c r="AA319" s="32"/>
      <x:c r="AB319" s="31"/>
      <x:c r="AC319" s="31"/>
      <x:c r="AD319" s="31"/>
      <x:c r="AE319" s="31"/>
      <x:c r="AF319" s="31"/>
    </x:row>
    <x:row r="320">
      <x:c r="A320" s="79"/>
      <x:c r="B320" s="31"/>
      <x:c r="C320" s="31"/>
      <x:c r="D320" s="31"/>
      <x:c r="E320" s="31"/>
      <x:c r="F320" s="31"/>
      <x:c r="G320" s="31"/>
      <x:c r="H320" s="31"/>
      <x:c r="I320" s="31"/>
      <x:c r="J320" s="32"/>
      <x:c r="K320" s="32"/>
      <x:c r="L320" s="32"/>
      <x:c r="M320" s="32"/>
      <x:c r="N320" s="32"/>
      <x:c r="O320" s="32"/>
      <x:c r="P320" s="32"/>
      <x:c r="Q320" s="31"/>
      <x:c r="R320" s="31"/>
      <x:c r="S320" s="31"/>
      <x:c r="T320" s="32"/>
      <x:c r="U320" s="32"/>
      <x:c r="V320" s="31"/>
      <x:c r="W320" s="31"/>
      <x:c r="X320" s="31"/>
      <x:c r="Y320" s="32"/>
      <x:c r="Z320" s="31"/>
      <x:c r="AA320" s="32"/>
      <x:c r="AB320" s="31"/>
      <x:c r="AC320" s="31"/>
      <x:c r="AD320" s="31"/>
      <x:c r="AE320" s="31"/>
      <x:c r="AF320" s="31"/>
    </x:row>
    <x:row r="321">
      <x:c r="A321" s="79"/>
      <x:c r="B321" s="31"/>
      <x:c r="C321" s="31"/>
      <x:c r="D321" s="31"/>
      <x:c r="E321" s="31"/>
      <x:c r="F321" s="31"/>
      <x:c r="G321" s="31"/>
      <x:c r="H321" s="31"/>
      <x:c r="I321" s="31"/>
      <x:c r="J321" s="32"/>
      <x:c r="K321" s="32"/>
      <x:c r="L321" s="32"/>
      <x:c r="M321" s="32"/>
      <x:c r="N321" s="32"/>
      <x:c r="O321" s="32"/>
      <x:c r="P321" s="32"/>
      <x:c r="Q321" s="31"/>
      <x:c r="R321" s="31"/>
      <x:c r="S321" s="31"/>
      <x:c r="T321" s="32"/>
      <x:c r="U321" s="32"/>
      <x:c r="V321" s="31"/>
      <x:c r="W321" s="31"/>
      <x:c r="X321" s="31"/>
      <x:c r="Y321" s="32"/>
      <x:c r="Z321" s="31"/>
      <x:c r="AA321" s="32"/>
      <x:c r="AB321" s="31"/>
      <x:c r="AC321" s="31"/>
      <x:c r="AD321" s="31"/>
      <x:c r="AE321" s="31"/>
      <x:c r="AF321" s="31"/>
    </x:row>
    <x:row r="322">
      <x:c r="A322" s="79"/>
      <x:c r="B322" s="31"/>
      <x:c r="C322" s="31"/>
      <x:c r="D322" s="31"/>
      <x:c r="E322" s="31"/>
      <x:c r="F322" s="31"/>
      <x:c r="G322" s="31"/>
      <x:c r="H322" s="31"/>
      <x:c r="I322" s="31"/>
      <x:c r="J322" s="32"/>
      <x:c r="K322" s="32"/>
      <x:c r="L322" s="32"/>
      <x:c r="M322" s="32"/>
      <x:c r="N322" s="32"/>
      <x:c r="O322" s="32"/>
      <x:c r="P322" s="32"/>
      <x:c r="Q322" s="31"/>
      <x:c r="R322" s="31"/>
      <x:c r="S322" s="31"/>
      <x:c r="T322" s="32"/>
      <x:c r="U322" s="32"/>
      <x:c r="V322" s="31"/>
      <x:c r="W322" s="31"/>
      <x:c r="X322" s="31"/>
      <x:c r="Y322" s="32"/>
      <x:c r="Z322" s="31"/>
      <x:c r="AA322" s="32"/>
      <x:c r="AB322" s="31"/>
      <x:c r="AC322" s="31"/>
      <x:c r="AD322" s="31"/>
      <x:c r="AE322" s="31"/>
      <x:c r="AF322" s="31"/>
    </x:row>
    <x:row r="323">
      <x:c r="A323" s="79"/>
      <x:c r="B323" s="31"/>
      <x:c r="C323" s="31"/>
      <x:c r="D323" s="31"/>
      <x:c r="E323" s="31"/>
      <x:c r="F323" s="31"/>
      <x:c r="G323" s="31"/>
      <x:c r="H323" s="31"/>
      <x:c r="I323" s="31"/>
      <x:c r="J323" s="32"/>
      <x:c r="K323" s="32"/>
      <x:c r="L323" s="32"/>
      <x:c r="M323" s="32"/>
      <x:c r="N323" s="32"/>
      <x:c r="O323" s="32"/>
      <x:c r="P323" s="32"/>
      <x:c r="Q323" s="31"/>
      <x:c r="R323" s="31"/>
      <x:c r="S323" s="31"/>
      <x:c r="T323" s="32"/>
      <x:c r="U323" s="32"/>
      <x:c r="V323" s="31"/>
      <x:c r="W323" s="31"/>
      <x:c r="X323" s="31"/>
      <x:c r="Y323" s="32"/>
      <x:c r="Z323" s="31"/>
      <x:c r="AA323" s="32"/>
      <x:c r="AB323" s="31"/>
      <x:c r="AC323" s="31"/>
      <x:c r="AD323" s="31"/>
      <x:c r="AE323" s="31"/>
      <x:c r="AF323" s="31"/>
    </x:row>
    <x:row r="324">
      <x:c r="A324" s="79"/>
      <x:c r="B324" s="31"/>
      <x:c r="C324" s="31"/>
      <x:c r="D324" s="31"/>
      <x:c r="E324" s="31"/>
      <x:c r="F324" s="31"/>
      <x:c r="G324" s="31"/>
      <x:c r="H324" s="31"/>
      <x:c r="I324" s="31"/>
      <x:c r="J324" s="32"/>
      <x:c r="K324" s="32"/>
      <x:c r="L324" s="32"/>
      <x:c r="M324" s="32"/>
      <x:c r="N324" s="32"/>
      <x:c r="O324" s="32"/>
      <x:c r="P324" s="32"/>
      <x:c r="Q324" s="31"/>
      <x:c r="R324" s="31"/>
      <x:c r="S324" s="31"/>
      <x:c r="T324" s="32"/>
      <x:c r="U324" s="32"/>
      <x:c r="V324" s="31"/>
      <x:c r="W324" s="31"/>
      <x:c r="X324" s="31"/>
      <x:c r="Y324" s="32"/>
      <x:c r="Z324" s="31"/>
      <x:c r="AA324" s="32"/>
      <x:c r="AB324" s="31"/>
      <x:c r="AC324" s="31"/>
      <x:c r="AD324" s="31"/>
      <x:c r="AE324" s="31"/>
      <x:c r="AF324" s="31"/>
    </x:row>
    <x:row r="325">
      <x:c r="A325" s="79"/>
      <x:c r="B325" s="31"/>
      <x:c r="C325" s="31"/>
      <x:c r="D325" s="31"/>
      <x:c r="E325" s="31"/>
      <x:c r="F325" s="31"/>
      <x:c r="G325" s="31"/>
      <x:c r="H325" s="31"/>
      <x:c r="I325" s="31"/>
      <x:c r="J325" s="32"/>
      <x:c r="K325" s="32"/>
      <x:c r="L325" s="32"/>
      <x:c r="M325" s="32"/>
      <x:c r="N325" s="32"/>
      <x:c r="O325" s="32"/>
      <x:c r="P325" s="32"/>
      <x:c r="Q325" s="31"/>
      <x:c r="R325" s="31"/>
      <x:c r="S325" s="31"/>
      <x:c r="T325" s="32"/>
      <x:c r="U325" s="32"/>
      <x:c r="V325" s="31"/>
      <x:c r="W325" s="31"/>
      <x:c r="X325" s="31"/>
      <x:c r="Y325" s="32"/>
      <x:c r="Z325" s="31"/>
      <x:c r="AA325" s="32"/>
      <x:c r="AB325" s="31"/>
      <x:c r="AC325" s="31"/>
      <x:c r="AD325" s="31"/>
      <x:c r="AE325" s="31"/>
      <x:c r="AF325" s="31"/>
    </x:row>
    <x:row r="326">
      <x:c r="A326" s="79"/>
      <x:c r="B326" s="31"/>
      <x:c r="C326" s="31"/>
      <x:c r="D326" s="31"/>
      <x:c r="E326" s="31"/>
      <x:c r="F326" s="31"/>
      <x:c r="G326" s="31"/>
      <x:c r="H326" s="31"/>
      <x:c r="I326" s="31"/>
      <x:c r="J326" s="32"/>
      <x:c r="K326" s="32"/>
      <x:c r="L326" s="32"/>
      <x:c r="M326" s="32"/>
      <x:c r="N326" s="32"/>
      <x:c r="O326" s="32"/>
      <x:c r="P326" s="32"/>
      <x:c r="Q326" s="31"/>
      <x:c r="R326" s="31"/>
      <x:c r="S326" s="31"/>
      <x:c r="T326" s="32"/>
      <x:c r="U326" s="32"/>
      <x:c r="V326" s="31"/>
      <x:c r="W326" s="31"/>
      <x:c r="X326" s="31"/>
      <x:c r="Y326" s="32"/>
      <x:c r="Z326" s="31"/>
      <x:c r="AA326" s="32"/>
      <x:c r="AB326" s="31"/>
      <x:c r="AC326" s="31"/>
      <x:c r="AD326" s="31"/>
      <x:c r="AE326" s="31"/>
      <x:c r="AF326" s="31"/>
    </x:row>
    <x:row r="327">
      <x:c r="A327" s="79"/>
      <x:c r="B327" s="31"/>
      <x:c r="C327" s="31"/>
      <x:c r="D327" s="31"/>
      <x:c r="E327" s="31"/>
      <x:c r="F327" s="31"/>
      <x:c r="G327" s="31"/>
      <x:c r="H327" s="31"/>
      <x:c r="I327" s="31"/>
      <x:c r="J327" s="32"/>
      <x:c r="K327" s="32"/>
      <x:c r="L327" s="32"/>
      <x:c r="M327" s="32"/>
      <x:c r="N327" s="32"/>
      <x:c r="O327" s="32"/>
      <x:c r="P327" s="32"/>
      <x:c r="Q327" s="31"/>
      <x:c r="R327" s="31"/>
      <x:c r="S327" s="31"/>
      <x:c r="T327" s="32"/>
      <x:c r="U327" s="32"/>
      <x:c r="V327" s="31"/>
      <x:c r="W327" s="31"/>
      <x:c r="X327" s="31"/>
      <x:c r="Y327" s="32"/>
      <x:c r="Z327" s="31"/>
      <x:c r="AA327" s="32"/>
      <x:c r="AB327" s="31"/>
      <x:c r="AC327" s="31"/>
      <x:c r="AD327" s="31"/>
      <x:c r="AE327" s="31"/>
      <x:c r="AF327" s="31"/>
    </x:row>
    <x:row r="328">
      <x:c r="A328" s="79"/>
      <x:c r="B328" s="31"/>
      <x:c r="C328" s="31"/>
      <x:c r="D328" s="31"/>
      <x:c r="E328" s="31"/>
      <x:c r="F328" s="31"/>
      <x:c r="G328" s="31"/>
      <x:c r="H328" s="31"/>
      <x:c r="I328" s="31"/>
      <x:c r="J328" s="32"/>
      <x:c r="K328" s="32"/>
      <x:c r="L328" s="32"/>
      <x:c r="M328" s="32"/>
      <x:c r="N328" s="32"/>
      <x:c r="O328" s="32"/>
      <x:c r="P328" s="32"/>
      <x:c r="Q328" s="31"/>
      <x:c r="R328" s="31"/>
      <x:c r="S328" s="31"/>
      <x:c r="T328" s="32"/>
      <x:c r="U328" s="32"/>
      <x:c r="V328" s="31"/>
      <x:c r="W328" s="31"/>
      <x:c r="X328" s="31"/>
      <x:c r="Y328" s="32"/>
      <x:c r="Z328" s="31"/>
      <x:c r="AA328" s="32"/>
      <x:c r="AB328" s="31"/>
      <x:c r="AC328" s="31"/>
      <x:c r="AD328" s="31"/>
      <x:c r="AE328" s="31"/>
      <x:c r="AF328" s="31"/>
    </x:row>
    <x:row r="329">
      <x:c r="A329" s="79"/>
      <x:c r="B329" s="31"/>
      <x:c r="C329" s="31"/>
      <x:c r="D329" s="31"/>
      <x:c r="E329" s="31"/>
      <x:c r="F329" s="31"/>
      <x:c r="G329" s="31"/>
      <x:c r="H329" s="31"/>
      <x:c r="I329" s="31"/>
      <x:c r="J329" s="32"/>
      <x:c r="K329" s="32"/>
      <x:c r="L329" s="32"/>
      <x:c r="M329" s="32"/>
      <x:c r="N329" s="32"/>
      <x:c r="O329" s="32"/>
      <x:c r="P329" s="32"/>
      <x:c r="Q329" s="31"/>
      <x:c r="R329" s="31"/>
      <x:c r="S329" s="31"/>
      <x:c r="T329" s="32"/>
      <x:c r="U329" s="32"/>
      <x:c r="V329" s="31"/>
      <x:c r="W329" s="31"/>
      <x:c r="X329" s="31"/>
      <x:c r="Y329" s="32"/>
      <x:c r="Z329" s="31"/>
      <x:c r="AA329" s="32"/>
      <x:c r="AB329" s="31"/>
      <x:c r="AC329" s="31"/>
      <x:c r="AD329" s="31"/>
      <x:c r="AE329" s="31"/>
      <x:c r="AF329" s="31"/>
    </x:row>
    <x:row r="330">
      <x:c r="A330" s="79"/>
      <x:c r="B330" s="31"/>
      <x:c r="C330" s="31"/>
      <x:c r="D330" s="31"/>
      <x:c r="E330" s="31"/>
      <x:c r="F330" s="31"/>
      <x:c r="G330" s="31"/>
      <x:c r="H330" s="31"/>
      <x:c r="I330" s="31"/>
      <x:c r="J330" s="32"/>
      <x:c r="K330" s="32"/>
      <x:c r="L330" s="32"/>
      <x:c r="M330" s="32"/>
      <x:c r="N330" s="32"/>
      <x:c r="O330" s="32"/>
      <x:c r="P330" s="32"/>
      <x:c r="Q330" s="31"/>
      <x:c r="R330" s="31"/>
      <x:c r="S330" s="31"/>
      <x:c r="T330" s="32"/>
      <x:c r="U330" s="32"/>
      <x:c r="V330" s="31"/>
      <x:c r="W330" s="31"/>
      <x:c r="X330" s="31"/>
      <x:c r="Y330" s="32"/>
      <x:c r="Z330" s="31"/>
      <x:c r="AA330" s="32"/>
      <x:c r="AB330" s="31"/>
      <x:c r="AC330" s="31"/>
      <x:c r="AD330" s="31"/>
      <x:c r="AE330" s="31"/>
      <x:c r="AF330" s="31"/>
    </x:row>
    <x:row r="331">
      <x:c r="A331" s="79"/>
      <x:c r="B331" s="31"/>
      <x:c r="C331" s="31"/>
      <x:c r="D331" s="31"/>
      <x:c r="E331" s="31"/>
      <x:c r="F331" s="31"/>
      <x:c r="G331" s="31"/>
      <x:c r="H331" s="31"/>
      <x:c r="I331" s="31"/>
      <x:c r="J331" s="32"/>
      <x:c r="K331" s="32"/>
      <x:c r="L331" s="32"/>
      <x:c r="M331" s="32"/>
      <x:c r="N331" s="32"/>
      <x:c r="O331" s="32"/>
      <x:c r="P331" s="32"/>
      <x:c r="Q331" s="31"/>
      <x:c r="R331" s="31"/>
      <x:c r="S331" s="31"/>
      <x:c r="T331" s="32"/>
      <x:c r="U331" s="32"/>
      <x:c r="V331" s="31"/>
      <x:c r="W331" s="31"/>
      <x:c r="X331" s="31"/>
      <x:c r="Y331" s="32"/>
      <x:c r="Z331" s="31"/>
      <x:c r="AA331" s="32"/>
      <x:c r="AB331" s="31"/>
      <x:c r="AC331" s="31"/>
      <x:c r="AD331" s="31"/>
      <x:c r="AE331" s="31"/>
      <x:c r="AF331" s="31"/>
    </x:row>
    <x:row r="332">
      <x:c r="A332" s="79"/>
      <x:c r="B332" s="31"/>
      <x:c r="C332" s="31"/>
      <x:c r="D332" s="31"/>
      <x:c r="E332" s="31"/>
      <x:c r="F332" s="31"/>
      <x:c r="G332" s="31"/>
      <x:c r="H332" s="31"/>
      <x:c r="I332" s="31"/>
      <x:c r="J332" s="32"/>
      <x:c r="K332" s="32"/>
      <x:c r="L332" s="32"/>
      <x:c r="M332" s="32"/>
      <x:c r="N332" s="32"/>
      <x:c r="O332" s="32"/>
      <x:c r="P332" s="32"/>
      <x:c r="Q332" s="31"/>
      <x:c r="R332" s="31"/>
      <x:c r="S332" s="31"/>
      <x:c r="T332" s="32"/>
      <x:c r="U332" s="32"/>
      <x:c r="V332" s="31"/>
      <x:c r="W332" s="31"/>
      <x:c r="X332" s="31"/>
      <x:c r="Y332" s="32"/>
      <x:c r="Z332" s="31"/>
      <x:c r="AA332" s="32"/>
      <x:c r="AB332" s="31"/>
      <x:c r="AC332" s="31"/>
      <x:c r="AD332" s="31"/>
      <x:c r="AE332" s="31"/>
      <x:c r="AF332" s="31"/>
    </x:row>
    <x:row r="333">
      <x:c r="A333" s="79"/>
      <x:c r="B333" s="31"/>
      <x:c r="C333" s="31"/>
      <x:c r="D333" s="31"/>
      <x:c r="E333" s="31"/>
      <x:c r="F333" s="31"/>
      <x:c r="G333" s="31"/>
      <x:c r="H333" s="31"/>
      <x:c r="I333" s="31"/>
      <x:c r="J333" s="32"/>
      <x:c r="K333" s="32"/>
      <x:c r="L333" s="32"/>
      <x:c r="M333" s="32"/>
      <x:c r="N333" s="32"/>
      <x:c r="O333" s="32"/>
      <x:c r="P333" s="32"/>
      <x:c r="Q333" s="31"/>
      <x:c r="R333" s="31"/>
      <x:c r="S333" s="31"/>
      <x:c r="T333" s="32"/>
      <x:c r="U333" s="32"/>
      <x:c r="V333" s="31"/>
      <x:c r="W333" s="31"/>
      <x:c r="X333" s="31"/>
      <x:c r="Y333" s="32"/>
      <x:c r="Z333" s="31"/>
      <x:c r="AA333" s="32"/>
      <x:c r="AB333" s="31"/>
      <x:c r="AC333" s="31"/>
      <x:c r="AD333" s="31"/>
      <x:c r="AE333" s="31"/>
      <x:c r="AF333" s="31"/>
    </x:row>
    <x:row r="334">
      <x:c r="A334" s="79"/>
      <x:c r="B334" s="31"/>
      <x:c r="C334" s="31"/>
      <x:c r="D334" s="31"/>
      <x:c r="E334" s="31"/>
      <x:c r="F334" s="31"/>
      <x:c r="G334" s="31"/>
      <x:c r="H334" s="31"/>
      <x:c r="I334" s="31"/>
      <x:c r="J334" s="32"/>
      <x:c r="K334" s="32"/>
      <x:c r="L334" s="32"/>
      <x:c r="M334" s="32"/>
      <x:c r="N334" s="32"/>
      <x:c r="O334" s="32"/>
      <x:c r="P334" s="32"/>
      <x:c r="Q334" s="31"/>
      <x:c r="R334" s="31"/>
      <x:c r="S334" s="31"/>
      <x:c r="T334" s="32"/>
      <x:c r="U334" s="32"/>
      <x:c r="V334" s="31"/>
      <x:c r="W334" s="31"/>
      <x:c r="X334" s="31"/>
      <x:c r="Y334" s="32"/>
      <x:c r="Z334" s="31"/>
      <x:c r="AA334" s="32"/>
      <x:c r="AB334" s="31"/>
      <x:c r="AC334" s="31"/>
      <x:c r="AD334" s="31"/>
      <x:c r="AE334" s="31"/>
      <x:c r="AF334" s="31"/>
    </x:row>
    <x:row r="335">
      <x:c r="A335" s="79"/>
      <x:c r="B335" s="31"/>
      <x:c r="C335" s="31"/>
      <x:c r="D335" s="31"/>
      <x:c r="E335" s="31"/>
      <x:c r="F335" s="31"/>
      <x:c r="G335" s="31"/>
      <x:c r="H335" s="31"/>
      <x:c r="I335" s="31"/>
      <x:c r="J335" s="32"/>
      <x:c r="K335" s="32"/>
      <x:c r="L335" s="32"/>
      <x:c r="M335" s="32"/>
      <x:c r="N335" s="32"/>
      <x:c r="O335" s="32"/>
      <x:c r="P335" s="32"/>
      <x:c r="Q335" s="31"/>
      <x:c r="R335" s="31"/>
      <x:c r="S335" s="31"/>
      <x:c r="T335" s="32"/>
      <x:c r="U335" s="32"/>
      <x:c r="V335" s="31"/>
      <x:c r="W335" s="31"/>
      <x:c r="X335" s="31"/>
      <x:c r="Y335" s="32"/>
      <x:c r="Z335" s="31"/>
      <x:c r="AA335" s="32"/>
      <x:c r="AB335" s="31"/>
      <x:c r="AC335" s="31"/>
      <x:c r="AD335" s="31"/>
      <x:c r="AE335" s="31"/>
      <x:c r="AF335" s="31"/>
    </x:row>
    <x:row r="336">
      <x:c r="A336" s="79"/>
      <x:c r="B336" s="31"/>
      <x:c r="C336" s="31"/>
      <x:c r="D336" s="31"/>
      <x:c r="E336" s="31"/>
      <x:c r="F336" s="31"/>
      <x:c r="G336" s="31"/>
      <x:c r="H336" s="31"/>
      <x:c r="I336" s="31"/>
      <x:c r="J336" s="32"/>
      <x:c r="K336" s="32"/>
      <x:c r="L336" s="32"/>
      <x:c r="M336" s="32"/>
      <x:c r="N336" s="32"/>
      <x:c r="O336" s="32"/>
      <x:c r="P336" s="32"/>
      <x:c r="Q336" s="31"/>
      <x:c r="R336" s="31"/>
      <x:c r="S336" s="31"/>
      <x:c r="T336" s="32"/>
      <x:c r="U336" s="32"/>
      <x:c r="V336" s="31"/>
      <x:c r="W336" s="31"/>
      <x:c r="X336" s="31"/>
      <x:c r="Y336" s="32"/>
      <x:c r="Z336" s="31"/>
      <x:c r="AA336" s="32"/>
      <x:c r="AB336" s="31"/>
      <x:c r="AC336" s="31"/>
      <x:c r="AD336" s="31"/>
      <x:c r="AE336" s="31"/>
      <x:c r="AF336" s="31"/>
    </x:row>
    <x:row r="337">
      <x:c r="A337" s="79"/>
      <x:c r="B337" s="31"/>
      <x:c r="C337" s="31"/>
      <x:c r="D337" s="31"/>
      <x:c r="E337" s="31"/>
      <x:c r="F337" s="31"/>
      <x:c r="G337" s="31"/>
      <x:c r="H337" s="31"/>
      <x:c r="I337" s="31"/>
      <x:c r="J337" s="32"/>
      <x:c r="K337" s="32"/>
      <x:c r="L337" s="32"/>
      <x:c r="M337" s="32"/>
      <x:c r="N337" s="32"/>
      <x:c r="O337" s="32"/>
      <x:c r="P337" s="32"/>
      <x:c r="Q337" s="31"/>
      <x:c r="R337" s="31"/>
      <x:c r="S337" s="31"/>
      <x:c r="T337" s="32"/>
      <x:c r="U337" s="32"/>
      <x:c r="V337" s="31"/>
      <x:c r="W337" s="31"/>
      <x:c r="X337" s="31"/>
      <x:c r="Y337" s="32"/>
      <x:c r="Z337" s="31"/>
      <x:c r="AA337" s="32"/>
      <x:c r="AB337" s="31"/>
      <x:c r="AC337" s="31"/>
      <x:c r="AD337" s="31"/>
      <x:c r="AE337" s="31"/>
      <x:c r="AF337" s="31"/>
    </x:row>
    <x:row r="338">
      <x:c r="A338" s="79"/>
      <x:c r="B338" s="31"/>
      <x:c r="C338" s="31"/>
      <x:c r="D338" s="31"/>
      <x:c r="E338" s="31"/>
      <x:c r="F338" s="31"/>
      <x:c r="G338" s="31"/>
      <x:c r="H338" s="31"/>
      <x:c r="I338" s="31"/>
      <x:c r="J338" s="32"/>
      <x:c r="K338" s="32"/>
      <x:c r="L338" s="32"/>
      <x:c r="M338" s="32"/>
      <x:c r="N338" s="32"/>
      <x:c r="O338" s="32"/>
      <x:c r="P338" s="32"/>
      <x:c r="Q338" s="31"/>
      <x:c r="R338" s="31"/>
      <x:c r="S338" s="31"/>
      <x:c r="T338" s="32"/>
      <x:c r="U338" s="32"/>
      <x:c r="V338" s="31"/>
      <x:c r="W338" s="31"/>
      <x:c r="X338" s="31"/>
      <x:c r="Y338" s="32"/>
      <x:c r="Z338" s="31"/>
      <x:c r="AA338" s="32"/>
      <x:c r="AB338" s="31"/>
      <x:c r="AC338" s="31"/>
      <x:c r="AD338" s="31"/>
      <x:c r="AE338" s="31"/>
      <x:c r="AF338" s="31"/>
    </x:row>
    <x:row r="339">
      <x:c r="A339" s="79"/>
      <x:c r="B339" s="31"/>
      <x:c r="C339" s="31"/>
      <x:c r="D339" s="31"/>
      <x:c r="E339" s="31"/>
      <x:c r="F339" s="31"/>
      <x:c r="G339" s="31"/>
      <x:c r="H339" s="31"/>
      <x:c r="I339" s="31"/>
      <x:c r="J339" s="32"/>
      <x:c r="K339" s="32"/>
      <x:c r="L339" s="32"/>
      <x:c r="M339" s="32"/>
      <x:c r="N339" s="32"/>
      <x:c r="O339" s="32"/>
      <x:c r="P339" s="32"/>
      <x:c r="Q339" s="31"/>
      <x:c r="R339" s="31"/>
      <x:c r="S339" s="31"/>
      <x:c r="T339" s="32"/>
      <x:c r="U339" s="32"/>
      <x:c r="V339" s="31"/>
      <x:c r="W339" s="31"/>
      <x:c r="X339" s="31"/>
      <x:c r="Y339" s="32"/>
      <x:c r="Z339" s="31"/>
      <x:c r="AA339" s="32"/>
      <x:c r="AB339" s="31"/>
      <x:c r="AC339" s="31"/>
      <x:c r="AD339" s="31"/>
      <x:c r="AE339" s="31"/>
      <x:c r="AF339" s="31"/>
    </x:row>
    <x:row r="340">
      <x:c r="A340" s="79"/>
      <x:c r="B340" s="31"/>
      <x:c r="C340" s="31"/>
      <x:c r="D340" s="31"/>
      <x:c r="E340" s="31"/>
      <x:c r="F340" s="31"/>
      <x:c r="G340" s="31"/>
      <x:c r="H340" s="31"/>
      <x:c r="I340" s="31"/>
      <x:c r="J340" s="32"/>
      <x:c r="K340" s="32"/>
      <x:c r="L340" s="32"/>
      <x:c r="M340" s="32"/>
      <x:c r="N340" s="32"/>
      <x:c r="O340" s="32"/>
      <x:c r="P340" s="32"/>
      <x:c r="Q340" s="31"/>
      <x:c r="R340" s="31"/>
      <x:c r="S340" s="31"/>
      <x:c r="T340" s="32"/>
      <x:c r="U340" s="32"/>
      <x:c r="V340" s="31"/>
      <x:c r="W340" s="31"/>
      <x:c r="X340" s="31"/>
      <x:c r="Y340" s="32"/>
      <x:c r="Z340" s="31"/>
      <x:c r="AA340" s="32"/>
      <x:c r="AB340" s="31"/>
      <x:c r="AC340" s="31"/>
      <x:c r="AD340" s="31"/>
      <x:c r="AE340" s="31"/>
      <x:c r="AF340" s="31"/>
    </x:row>
    <x:row r="341">
      <x:c r="A341" s="79"/>
      <x:c r="B341" s="31"/>
      <x:c r="C341" s="31"/>
      <x:c r="D341" s="31"/>
      <x:c r="E341" s="31"/>
      <x:c r="F341" s="31"/>
      <x:c r="G341" s="31"/>
      <x:c r="H341" s="31"/>
      <x:c r="I341" s="31"/>
      <x:c r="J341" s="32"/>
      <x:c r="K341" s="32"/>
      <x:c r="L341" s="32"/>
      <x:c r="M341" s="32"/>
      <x:c r="N341" s="32"/>
      <x:c r="O341" s="32"/>
      <x:c r="P341" s="32"/>
      <x:c r="Q341" s="31"/>
      <x:c r="R341" s="31"/>
      <x:c r="S341" s="31"/>
      <x:c r="T341" s="32"/>
      <x:c r="U341" s="32"/>
      <x:c r="V341" s="31"/>
      <x:c r="W341" s="31"/>
      <x:c r="X341" s="31"/>
      <x:c r="Y341" s="32"/>
      <x:c r="Z341" s="31"/>
      <x:c r="AA341" s="32"/>
      <x:c r="AB341" s="31"/>
      <x:c r="AC341" s="31"/>
      <x:c r="AD341" s="31"/>
      <x:c r="AE341" s="31"/>
      <x:c r="AF341" s="31"/>
    </x:row>
    <x:row r="342">
      <x:c r="A342" s="79"/>
      <x:c r="B342" s="31"/>
      <x:c r="C342" s="31"/>
      <x:c r="D342" s="31"/>
      <x:c r="E342" s="31"/>
      <x:c r="F342" s="31"/>
      <x:c r="G342" s="31"/>
      <x:c r="H342" s="31"/>
      <x:c r="I342" s="31"/>
      <x:c r="J342" s="32"/>
      <x:c r="K342" s="32"/>
      <x:c r="L342" s="32"/>
      <x:c r="M342" s="32"/>
      <x:c r="N342" s="32"/>
      <x:c r="O342" s="32"/>
      <x:c r="P342" s="32"/>
      <x:c r="Q342" s="31"/>
      <x:c r="R342" s="31"/>
      <x:c r="S342" s="31"/>
      <x:c r="T342" s="32"/>
      <x:c r="U342" s="32"/>
      <x:c r="V342" s="31"/>
      <x:c r="W342" s="31"/>
      <x:c r="X342" s="31"/>
      <x:c r="Y342" s="32"/>
      <x:c r="Z342" s="31"/>
      <x:c r="AA342" s="32"/>
      <x:c r="AB342" s="31"/>
      <x:c r="AC342" s="31"/>
      <x:c r="AD342" s="31"/>
      <x:c r="AE342" s="31"/>
      <x:c r="AF342" s="31"/>
    </x:row>
    <x:row r="343">
      <x:c r="A343" s="79"/>
      <x:c r="B343" s="31"/>
      <x:c r="C343" s="31"/>
      <x:c r="D343" s="31"/>
      <x:c r="E343" s="31"/>
      <x:c r="F343" s="31"/>
      <x:c r="G343" s="31"/>
      <x:c r="H343" s="31"/>
      <x:c r="I343" s="31"/>
      <x:c r="J343" s="32"/>
      <x:c r="K343" s="32"/>
      <x:c r="L343" s="32"/>
      <x:c r="M343" s="32"/>
      <x:c r="N343" s="32"/>
      <x:c r="O343" s="32"/>
      <x:c r="P343" s="32"/>
      <x:c r="Q343" s="31"/>
      <x:c r="R343" s="31"/>
      <x:c r="S343" s="31"/>
      <x:c r="T343" s="32"/>
      <x:c r="U343" s="32"/>
      <x:c r="V343" s="31"/>
      <x:c r="W343" s="31"/>
      <x:c r="X343" s="31"/>
      <x:c r="Y343" s="32"/>
      <x:c r="Z343" s="31"/>
      <x:c r="AA343" s="32"/>
      <x:c r="AB343" s="31"/>
      <x:c r="AC343" s="31"/>
      <x:c r="AD343" s="31"/>
      <x:c r="AE343" s="31"/>
      <x:c r="AF343" s="31"/>
    </x:row>
    <x:row r="344">
      <x:c r="A344" s="79"/>
      <x:c r="B344" s="31"/>
      <x:c r="C344" s="31"/>
      <x:c r="D344" s="31"/>
      <x:c r="E344" s="31"/>
      <x:c r="F344" s="31"/>
      <x:c r="G344" s="31"/>
      <x:c r="H344" s="31"/>
      <x:c r="I344" s="31"/>
      <x:c r="J344" s="32"/>
      <x:c r="K344" s="32"/>
      <x:c r="L344" s="32"/>
      <x:c r="M344" s="32"/>
      <x:c r="N344" s="32"/>
      <x:c r="O344" s="32"/>
      <x:c r="P344" s="32"/>
      <x:c r="Q344" s="31"/>
      <x:c r="R344" s="31"/>
      <x:c r="S344" s="31"/>
      <x:c r="T344" s="32"/>
      <x:c r="U344" s="32"/>
      <x:c r="V344" s="31"/>
      <x:c r="W344" s="31"/>
      <x:c r="X344" s="31"/>
      <x:c r="Y344" s="32"/>
      <x:c r="Z344" s="31"/>
      <x:c r="AA344" s="32"/>
      <x:c r="AB344" s="31"/>
      <x:c r="AC344" s="31"/>
      <x:c r="AD344" s="31"/>
      <x:c r="AE344" s="31"/>
      <x:c r="AF344" s="31"/>
    </x:row>
    <x:row r="345">
      <x:c r="A345" s="79"/>
      <x:c r="B345" s="31"/>
      <x:c r="C345" s="31"/>
      <x:c r="D345" s="31"/>
      <x:c r="E345" s="31"/>
      <x:c r="F345" s="31"/>
      <x:c r="G345" s="31"/>
      <x:c r="H345" s="31"/>
      <x:c r="I345" s="31"/>
      <x:c r="J345" s="32"/>
      <x:c r="K345" s="32"/>
      <x:c r="L345" s="32"/>
      <x:c r="M345" s="32"/>
      <x:c r="N345" s="32"/>
      <x:c r="O345" s="32"/>
      <x:c r="P345" s="32"/>
      <x:c r="Q345" s="31"/>
      <x:c r="R345" s="31"/>
      <x:c r="S345" s="31"/>
      <x:c r="T345" s="32"/>
      <x:c r="U345" s="32"/>
      <x:c r="V345" s="31"/>
      <x:c r="W345" s="31"/>
      <x:c r="X345" s="31"/>
      <x:c r="Y345" s="32"/>
      <x:c r="Z345" s="31"/>
      <x:c r="AA345" s="32"/>
      <x:c r="AB345" s="31"/>
      <x:c r="AC345" s="31"/>
      <x:c r="AD345" s="31"/>
      <x:c r="AE345" s="31"/>
      <x:c r="AF345" s="31"/>
    </x:row>
    <x:row r="346">
      <x:c r="A346" s="79"/>
      <x:c r="B346" s="31"/>
      <x:c r="C346" s="31"/>
      <x:c r="D346" s="31"/>
      <x:c r="E346" s="31"/>
      <x:c r="F346" s="31"/>
      <x:c r="G346" s="31"/>
      <x:c r="H346" s="31"/>
      <x:c r="I346" s="31"/>
      <x:c r="J346" s="32"/>
      <x:c r="K346" s="32"/>
      <x:c r="L346" s="32"/>
      <x:c r="M346" s="32"/>
      <x:c r="N346" s="32"/>
      <x:c r="O346" s="32"/>
      <x:c r="P346" s="32"/>
      <x:c r="Q346" s="31"/>
      <x:c r="R346" s="31"/>
      <x:c r="S346" s="31"/>
      <x:c r="T346" s="32"/>
      <x:c r="U346" s="32"/>
      <x:c r="V346" s="31"/>
      <x:c r="W346" s="31"/>
      <x:c r="X346" s="31"/>
      <x:c r="Y346" s="32"/>
      <x:c r="Z346" s="31"/>
      <x:c r="AA346" s="32"/>
      <x:c r="AB346" s="31"/>
      <x:c r="AC346" s="31"/>
      <x:c r="AD346" s="31"/>
      <x:c r="AE346" s="31"/>
      <x:c r="AF346" s="31"/>
    </x:row>
    <x:row r="347">
      <x:c r="A347" s="79"/>
      <x:c r="B347" s="31"/>
      <x:c r="C347" s="31"/>
      <x:c r="D347" s="31"/>
      <x:c r="E347" s="31"/>
      <x:c r="F347" s="31"/>
      <x:c r="G347" s="31"/>
      <x:c r="H347" s="31"/>
      <x:c r="I347" s="31"/>
      <x:c r="J347" s="32"/>
      <x:c r="K347" s="32"/>
      <x:c r="L347" s="32"/>
      <x:c r="M347" s="32"/>
      <x:c r="N347" s="32"/>
      <x:c r="O347" s="32"/>
      <x:c r="P347" s="32"/>
      <x:c r="Q347" s="31"/>
      <x:c r="R347" s="31"/>
      <x:c r="S347" s="31"/>
      <x:c r="T347" s="32"/>
      <x:c r="U347" s="32"/>
      <x:c r="V347" s="31"/>
      <x:c r="W347" s="31"/>
      <x:c r="X347" s="31"/>
      <x:c r="Y347" s="32"/>
      <x:c r="Z347" s="31"/>
      <x:c r="AA347" s="32"/>
      <x:c r="AB347" s="31"/>
      <x:c r="AC347" s="31"/>
      <x:c r="AD347" s="31"/>
      <x:c r="AE347" s="31"/>
      <x:c r="AF347" s="31"/>
    </x:row>
    <x:row r="348">
      <x:c r="A348" s="79"/>
      <x:c r="B348" s="31"/>
      <x:c r="C348" s="31"/>
      <x:c r="D348" s="31"/>
      <x:c r="E348" s="31"/>
      <x:c r="F348" s="31"/>
      <x:c r="G348" s="31"/>
      <x:c r="H348" s="31"/>
      <x:c r="I348" s="31"/>
      <x:c r="J348" s="32"/>
      <x:c r="K348" s="32"/>
      <x:c r="L348" s="32"/>
      <x:c r="M348" s="32"/>
      <x:c r="N348" s="32"/>
      <x:c r="O348" s="32"/>
      <x:c r="P348" s="32"/>
      <x:c r="Q348" s="31"/>
      <x:c r="R348" s="31"/>
      <x:c r="S348" s="31"/>
      <x:c r="T348" s="32"/>
      <x:c r="U348" s="32"/>
      <x:c r="V348" s="31"/>
      <x:c r="W348" s="31"/>
      <x:c r="X348" s="31"/>
      <x:c r="Y348" s="32"/>
      <x:c r="Z348" s="31"/>
      <x:c r="AA348" s="32"/>
      <x:c r="AB348" s="31"/>
      <x:c r="AC348" s="31"/>
      <x:c r="AD348" s="31"/>
      <x:c r="AE348" s="31"/>
      <x:c r="AF348" s="31"/>
    </x:row>
    <x:row r="349">
      <x:c r="A349" s="79"/>
      <x:c r="B349" s="31"/>
      <x:c r="C349" s="31"/>
      <x:c r="D349" s="31"/>
      <x:c r="E349" s="31"/>
      <x:c r="F349" s="31"/>
      <x:c r="G349" s="31"/>
      <x:c r="H349" s="31"/>
      <x:c r="I349" s="31"/>
      <x:c r="J349" s="32"/>
      <x:c r="K349" s="32"/>
      <x:c r="L349" s="32"/>
      <x:c r="M349" s="32"/>
      <x:c r="N349" s="32"/>
      <x:c r="O349" s="32"/>
      <x:c r="P349" s="32"/>
      <x:c r="Q349" s="31"/>
      <x:c r="R349" s="31"/>
      <x:c r="S349" s="31"/>
      <x:c r="T349" s="32"/>
      <x:c r="U349" s="32"/>
      <x:c r="V349" s="31"/>
      <x:c r="W349" s="31"/>
      <x:c r="X349" s="31"/>
      <x:c r="Y349" s="32"/>
      <x:c r="Z349" s="31"/>
      <x:c r="AA349" s="32"/>
      <x:c r="AB349" s="31"/>
      <x:c r="AC349" s="31"/>
      <x:c r="AD349" s="31"/>
      <x:c r="AE349" s="31"/>
      <x:c r="AF349" s="31"/>
    </x:row>
    <x:row r="350">
      <x:c r="A350" s="79"/>
      <x:c r="B350" s="31"/>
      <x:c r="C350" s="31"/>
      <x:c r="D350" s="31"/>
      <x:c r="E350" s="31"/>
      <x:c r="F350" s="31"/>
      <x:c r="G350" s="31"/>
      <x:c r="H350" s="31"/>
      <x:c r="I350" s="31"/>
      <x:c r="J350" s="32"/>
      <x:c r="K350" s="32"/>
      <x:c r="L350" s="32"/>
      <x:c r="M350" s="32"/>
      <x:c r="N350" s="32"/>
      <x:c r="O350" s="32"/>
      <x:c r="P350" s="32"/>
      <x:c r="Q350" s="31"/>
      <x:c r="R350" s="31"/>
      <x:c r="S350" s="31"/>
      <x:c r="T350" s="32"/>
      <x:c r="U350" s="32"/>
      <x:c r="V350" s="31"/>
      <x:c r="W350" s="31"/>
      <x:c r="X350" s="31"/>
      <x:c r="Y350" s="32"/>
      <x:c r="Z350" s="31"/>
      <x:c r="AA350" s="32"/>
      <x:c r="AB350" s="31"/>
      <x:c r="AC350" s="31"/>
      <x:c r="AD350" s="31"/>
      <x:c r="AE350" s="31"/>
      <x:c r="AF350" s="31"/>
    </x:row>
    <x:row r="351">
      <x:c r="A351" s="79"/>
      <x:c r="B351" s="31"/>
      <x:c r="C351" s="31"/>
      <x:c r="D351" s="31"/>
      <x:c r="E351" s="31"/>
      <x:c r="F351" s="31"/>
      <x:c r="G351" s="31"/>
      <x:c r="H351" s="31"/>
      <x:c r="I351" s="31"/>
      <x:c r="J351" s="32"/>
      <x:c r="K351" s="32"/>
      <x:c r="L351" s="32"/>
      <x:c r="M351" s="32"/>
      <x:c r="N351" s="32"/>
      <x:c r="O351" s="32"/>
      <x:c r="P351" s="32"/>
      <x:c r="Q351" s="31"/>
      <x:c r="R351" s="31"/>
      <x:c r="S351" s="31"/>
      <x:c r="T351" s="32"/>
      <x:c r="U351" s="32"/>
      <x:c r="V351" s="31"/>
      <x:c r="W351" s="31"/>
      <x:c r="X351" s="31"/>
      <x:c r="Y351" s="32"/>
      <x:c r="Z351" s="31"/>
      <x:c r="AA351" s="32"/>
      <x:c r="AB351" s="31"/>
      <x:c r="AC351" s="31"/>
      <x:c r="AD351" s="31"/>
      <x:c r="AE351" s="31"/>
      <x:c r="AF351" s="31"/>
    </x:row>
    <x:row r="352">
      <x:c r="A352" s="79"/>
      <x:c r="B352" s="31"/>
      <x:c r="C352" s="31"/>
      <x:c r="D352" s="31"/>
      <x:c r="E352" s="31"/>
      <x:c r="F352" s="31"/>
      <x:c r="G352" s="31"/>
      <x:c r="H352" s="31"/>
      <x:c r="I352" s="31"/>
      <x:c r="J352" s="32"/>
      <x:c r="K352" s="32"/>
      <x:c r="L352" s="32"/>
      <x:c r="M352" s="32"/>
      <x:c r="N352" s="32"/>
      <x:c r="O352" s="32"/>
      <x:c r="P352" s="32"/>
      <x:c r="Q352" s="31"/>
      <x:c r="R352" s="31"/>
      <x:c r="S352" s="31"/>
      <x:c r="T352" s="32"/>
      <x:c r="U352" s="32"/>
      <x:c r="V352" s="31"/>
      <x:c r="W352" s="31"/>
      <x:c r="X352" s="31"/>
      <x:c r="Y352" s="32"/>
      <x:c r="Z352" s="31"/>
      <x:c r="AA352" s="32"/>
      <x:c r="AB352" s="31"/>
      <x:c r="AC352" s="31"/>
      <x:c r="AD352" s="31"/>
      <x:c r="AE352" s="31"/>
      <x:c r="AF352" s="31"/>
    </x:row>
    <x:row r="353">
      <x:c r="A353" s="79"/>
      <x:c r="B353" s="31"/>
      <x:c r="C353" s="31"/>
      <x:c r="D353" s="31"/>
      <x:c r="E353" s="31"/>
      <x:c r="F353" s="31"/>
      <x:c r="G353" s="31"/>
      <x:c r="H353" s="31"/>
      <x:c r="I353" s="31"/>
      <x:c r="J353" s="32"/>
      <x:c r="K353" s="32"/>
      <x:c r="L353" s="32"/>
      <x:c r="M353" s="32"/>
      <x:c r="N353" s="32"/>
      <x:c r="O353" s="32"/>
      <x:c r="P353" s="32"/>
      <x:c r="Q353" s="31"/>
      <x:c r="R353" s="31"/>
      <x:c r="S353" s="31"/>
      <x:c r="T353" s="32"/>
      <x:c r="U353" s="32"/>
      <x:c r="V353" s="31"/>
      <x:c r="W353" s="31"/>
      <x:c r="X353" s="31"/>
      <x:c r="Y353" s="32"/>
      <x:c r="Z353" s="31"/>
      <x:c r="AA353" s="32"/>
      <x:c r="AB353" s="31"/>
      <x:c r="AC353" s="31"/>
      <x:c r="AD353" s="31"/>
      <x:c r="AE353" s="31"/>
      <x:c r="AF353" s="31"/>
    </x:row>
    <x:row r="354">
      <x:c r="A354" s="79"/>
      <x:c r="B354" s="31"/>
      <x:c r="C354" s="31"/>
      <x:c r="D354" s="31"/>
      <x:c r="E354" s="31"/>
      <x:c r="F354" s="31"/>
      <x:c r="G354" s="31"/>
      <x:c r="H354" s="31"/>
      <x:c r="I354" s="31"/>
      <x:c r="J354" s="32"/>
      <x:c r="K354" s="32"/>
      <x:c r="L354" s="32"/>
      <x:c r="M354" s="32"/>
      <x:c r="N354" s="32"/>
      <x:c r="O354" s="32"/>
      <x:c r="P354" s="32"/>
      <x:c r="Q354" s="31"/>
      <x:c r="R354" s="31"/>
      <x:c r="S354" s="31"/>
      <x:c r="T354" s="32"/>
      <x:c r="U354" s="32"/>
      <x:c r="V354" s="31"/>
      <x:c r="W354" s="31"/>
      <x:c r="X354" s="31"/>
      <x:c r="Y354" s="32"/>
      <x:c r="Z354" s="31"/>
      <x:c r="AA354" s="32"/>
      <x:c r="AB354" s="31"/>
      <x:c r="AC354" s="31"/>
      <x:c r="AD354" s="31"/>
      <x:c r="AE354" s="31"/>
      <x:c r="AF354" s="31"/>
    </x:row>
    <x:row r="355">
      <x:c r="A355" s="79"/>
      <x:c r="B355" s="31"/>
      <x:c r="C355" s="31"/>
      <x:c r="D355" s="31"/>
      <x:c r="E355" s="31"/>
      <x:c r="F355" s="31"/>
      <x:c r="G355" s="31"/>
      <x:c r="H355" s="31"/>
      <x:c r="I355" s="31"/>
      <x:c r="J355" s="32"/>
      <x:c r="K355" s="32"/>
      <x:c r="L355" s="32"/>
      <x:c r="M355" s="32"/>
      <x:c r="N355" s="32"/>
      <x:c r="O355" s="32"/>
      <x:c r="P355" s="32"/>
      <x:c r="Q355" s="31"/>
      <x:c r="R355" s="31"/>
      <x:c r="S355" s="31"/>
      <x:c r="T355" s="32"/>
      <x:c r="U355" s="32"/>
      <x:c r="V355" s="31"/>
      <x:c r="W355" s="31"/>
      <x:c r="X355" s="31"/>
      <x:c r="Y355" s="32"/>
      <x:c r="Z355" s="31"/>
      <x:c r="AA355" s="32"/>
      <x:c r="AB355" s="31"/>
      <x:c r="AC355" s="31"/>
      <x:c r="AD355" s="31"/>
      <x:c r="AE355" s="31"/>
      <x:c r="AF355" s="31"/>
    </x:row>
    <x:row r="356">
      <x:c r="A356" s="79"/>
      <x:c r="B356" s="31"/>
      <x:c r="C356" s="31"/>
      <x:c r="D356" s="31"/>
      <x:c r="E356" s="31"/>
      <x:c r="F356" s="31"/>
      <x:c r="G356" s="31"/>
      <x:c r="H356" s="31"/>
      <x:c r="I356" s="31"/>
      <x:c r="J356" s="32"/>
      <x:c r="K356" s="32"/>
      <x:c r="L356" s="32"/>
      <x:c r="M356" s="32"/>
      <x:c r="N356" s="32"/>
      <x:c r="O356" s="32"/>
      <x:c r="P356" s="32"/>
      <x:c r="Q356" s="31"/>
      <x:c r="R356" s="31"/>
      <x:c r="S356" s="31"/>
      <x:c r="T356" s="32"/>
      <x:c r="U356" s="32"/>
      <x:c r="V356" s="31"/>
      <x:c r="W356" s="31"/>
      <x:c r="X356" s="31"/>
      <x:c r="Y356" s="32"/>
      <x:c r="Z356" s="31"/>
      <x:c r="AA356" s="32"/>
      <x:c r="AB356" s="31"/>
      <x:c r="AC356" s="31"/>
      <x:c r="AD356" s="31"/>
      <x:c r="AE356" s="31"/>
      <x:c r="AF356" s="31"/>
    </x:row>
    <x:row r="357">
      <x:c r="A357" s="79"/>
      <x:c r="B357" s="31"/>
      <x:c r="C357" s="31"/>
      <x:c r="D357" s="31"/>
      <x:c r="E357" s="31"/>
      <x:c r="F357" s="31"/>
      <x:c r="G357" s="31"/>
      <x:c r="H357" s="31"/>
      <x:c r="I357" s="31"/>
      <x:c r="J357" s="32"/>
      <x:c r="K357" s="32"/>
      <x:c r="L357" s="32"/>
      <x:c r="M357" s="32"/>
      <x:c r="N357" s="32"/>
      <x:c r="O357" s="32"/>
      <x:c r="P357" s="32"/>
      <x:c r="Q357" s="31"/>
      <x:c r="R357" s="31"/>
      <x:c r="S357" s="31"/>
      <x:c r="T357" s="32"/>
      <x:c r="U357" s="32"/>
      <x:c r="V357" s="31"/>
      <x:c r="W357" s="31"/>
      <x:c r="X357" s="31"/>
      <x:c r="Y357" s="32"/>
      <x:c r="Z357" s="31"/>
      <x:c r="AA357" s="32"/>
      <x:c r="AB357" s="31"/>
      <x:c r="AC357" s="31"/>
      <x:c r="AD357" s="31"/>
      <x:c r="AE357" s="31"/>
      <x:c r="AF357" s="31"/>
    </x:row>
    <x:row r="358">
      <x:c r="A358" s="79"/>
      <x:c r="B358" s="31"/>
      <x:c r="C358" s="31"/>
      <x:c r="D358" s="31"/>
      <x:c r="E358" s="31"/>
      <x:c r="F358" s="31"/>
      <x:c r="G358" s="31"/>
      <x:c r="H358" s="31"/>
      <x:c r="I358" s="31"/>
      <x:c r="J358" s="32"/>
      <x:c r="K358" s="32"/>
      <x:c r="L358" s="32"/>
      <x:c r="M358" s="32"/>
      <x:c r="N358" s="32"/>
      <x:c r="O358" s="32"/>
      <x:c r="P358" s="32"/>
      <x:c r="Q358" s="31"/>
      <x:c r="R358" s="31"/>
      <x:c r="S358" s="31"/>
      <x:c r="T358" s="32"/>
      <x:c r="U358" s="32"/>
      <x:c r="V358" s="31"/>
      <x:c r="W358" s="31"/>
      <x:c r="X358" s="31"/>
      <x:c r="Y358" s="32"/>
      <x:c r="Z358" s="31"/>
      <x:c r="AA358" s="32"/>
      <x:c r="AB358" s="31"/>
      <x:c r="AC358" s="31"/>
      <x:c r="AD358" s="31"/>
      <x:c r="AE358" s="31"/>
      <x:c r="AF358" s="31"/>
    </x:row>
    <x:row r="359">
      <x:c r="A359" s="79"/>
      <x:c r="B359" s="31"/>
      <x:c r="C359" s="31"/>
      <x:c r="D359" s="31"/>
      <x:c r="E359" s="31"/>
      <x:c r="F359" s="31"/>
      <x:c r="G359" s="31"/>
      <x:c r="H359" s="31"/>
      <x:c r="I359" s="31"/>
      <x:c r="J359" s="32"/>
      <x:c r="K359" s="32"/>
      <x:c r="L359" s="32"/>
      <x:c r="M359" s="32"/>
      <x:c r="N359" s="32"/>
      <x:c r="O359" s="32"/>
      <x:c r="P359" s="32"/>
      <x:c r="Q359" s="31"/>
      <x:c r="R359" s="31"/>
      <x:c r="S359" s="31"/>
      <x:c r="T359" s="32"/>
      <x:c r="U359" s="32"/>
      <x:c r="V359" s="31"/>
      <x:c r="W359" s="31"/>
      <x:c r="X359" s="31"/>
      <x:c r="Y359" s="32"/>
      <x:c r="Z359" s="31"/>
      <x:c r="AA359" s="32"/>
      <x:c r="AB359" s="31"/>
      <x:c r="AC359" s="31"/>
      <x:c r="AD359" s="31"/>
      <x:c r="AE359" s="31"/>
      <x:c r="AF359" s="31"/>
    </x:row>
    <x:row r="360">
      <x:c r="A360" s="79"/>
      <x:c r="B360" s="31"/>
      <x:c r="C360" s="31"/>
      <x:c r="D360" s="31"/>
      <x:c r="E360" s="31"/>
      <x:c r="F360" s="31"/>
      <x:c r="G360" s="31"/>
      <x:c r="H360" s="31"/>
      <x:c r="I360" s="31"/>
      <x:c r="J360" s="32"/>
      <x:c r="K360" s="32"/>
      <x:c r="L360" s="32"/>
      <x:c r="M360" s="32"/>
      <x:c r="N360" s="32"/>
      <x:c r="O360" s="32"/>
      <x:c r="P360" s="32"/>
      <x:c r="Q360" s="31"/>
      <x:c r="R360" s="31"/>
      <x:c r="S360" s="31"/>
      <x:c r="T360" s="32"/>
      <x:c r="U360" s="32"/>
      <x:c r="V360" s="31"/>
      <x:c r="W360" s="31"/>
      <x:c r="X360" s="31"/>
      <x:c r="Y360" s="32"/>
      <x:c r="Z360" s="31"/>
      <x:c r="AA360" s="32"/>
      <x:c r="AB360" s="31"/>
      <x:c r="AC360" s="31"/>
      <x:c r="AD360" s="31"/>
      <x:c r="AE360" s="31"/>
      <x:c r="AF360" s="31"/>
    </x:row>
    <x:row r="361">
      <x:c r="A361" s="79"/>
      <x:c r="B361" s="31"/>
      <x:c r="C361" s="31"/>
      <x:c r="D361" s="31"/>
      <x:c r="E361" s="31"/>
      <x:c r="F361" s="31"/>
      <x:c r="G361" s="31"/>
      <x:c r="H361" s="31"/>
      <x:c r="I361" s="31"/>
      <x:c r="J361" s="32"/>
      <x:c r="K361" s="32"/>
      <x:c r="L361" s="32"/>
      <x:c r="M361" s="32"/>
      <x:c r="N361" s="32"/>
      <x:c r="O361" s="32"/>
      <x:c r="P361" s="32"/>
      <x:c r="Q361" s="31"/>
      <x:c r="R361" s="31"/>
      <x:c r="S361" s="31"/>
      <x:c r="T361" s="32"/>
      <x:c r="U361" s="32"/>
      <x:c r="V361" s="31"/>
      <x:c r="W361" s="31"/>
      <x:c r="X361" s="31"/>
      <x:c r="Y361" s="32"/>
      <x:c r="Z361" s="31"/>
      <x:c r="AA361" s="32"/>
      <x:c r="AB361" s="31"/>
      <x:c r="AC361" s="31"/>
      <x:c r="AD361" s="31"/>
      <x:c r="AE361" s="31"/>
      <x:c r="AF361" s="31"/>
    </x:row>
    <x:row r="362">
      <x:c r="A362" s="79"/>
      <x:c r="B362" s="31"/>
      <x:c r="C362" s="31"/>
      <x:c r="D362" s="31"/>
      <x:c r="E362" s="31"/>
      <x:c r="F362" s="31"/>
      <x:c r="G362" s="31"/>
      <x:c r="H362" s="31"/>
      <x:c r="I362" s="31"/>
      <x:c r="J362" s="32"/>
      <x:c r="K362" s="32"/>
      <x:c r="L362" s="32"/>
      <x:c r="M362" s="32"/>
      <x:c r="N362" s="32"/>
      <x:c r="O362" s="32"/>
      <x:c r="P362" s="32"/>
      <x:c r="Q362" s="31"/>
      <x:c r="R362" s="31"/>
      <x:c r="S362" s="31"/>
      <x:c r="T362" s="32"/>
      <x:c r="U362" s="32"/>
      <x:c r="V362" s="31"/>
      <x:c r="W362" s="31"/>
      <x:c r="X362" s="31"/>
      <x:c r="Y362" s="32"/>
      <x:c r="Z362" s="31"/>
      <x:c r="AA362" s="32"/>
      <x:c r="AB362" s="31"/>
      <x:c r="AC362" s="31"/>
      <x:c r="AD362" s="31"/>
      <x:c r="AE362" s="31"/>
      <x:c r="AF362" s="31"/>
    </x:row>
    <x:row r="363">
      <x:c r="A363" s="79"/>
      <x:c r="B363" s="31"/>
      <x:c r="C363" s="31"/>
      <x:c r="D363" s="31"/>
      <x:c r="E363" s="31"/>
      <x:c r="F363" s="31"/>
      <x:c r="G363" s="31"/>
      <x:c r="H363" s="31"/>
      <x:c r="I363" s="31"/>
      <x:c r="J363" s="32"/>
      <x:c r="K363" s="32"/>
      <x:c r="L363" s="32"/>
      <x:c r="M363" s="32"/>
      <x:c r="N363" s="32"/>
      <x:c r="O363" s="32"/>
      <x:c r="P363" s="32"/>
      <x:c r="Q363" s="31"/>
      <x:c r="R363" s="31"/>
      <x:c r="S363" s="31"/>
      <x:c r="T363" s="32"/>
      <x:c r="U363" s="32"/>
      <x:c r="V363" s="31"/>
      <x:c r="W363" s="31"/>
      <x:c r="X363" s="31"/>
      <x:c r="Y363" s="32"/>
      <x:c r="Z363" s="31"/>
      <x:c r="AA363" s="32"/>
      <x:c r="AB363" s="31"/>
      <x:c r="AC363" s="31"/>
      <x:c r="AD363" s="31"/>
      <x:c r="AE363" s="31"/>
      <x:c r="AF363" s="31"/>
    </x:row>
    <x:row r="364">
      <x:c r="A364" s="79"/>
      <x:c r="B364" s="31"/>
      <x:c r="C364" s="31"/>
      <x:c r="D364" s="31"/>
      <x:c r="E364" s="31"/>
      <x:c r="F364" s="31"/>
      <x:c r="G364" s="31"/>
      <x:c r="H364" s="31"/>
      <x:c r="I364" s="31"/>
      <x:c r="J364" s="32"/>
      <x:c r="K364" s="32"/>
      <x:c r="L364" s="32"/>
      <x:c r="M364" s="32"/>
      <x:c r="N364" s="32"/>
      <x:c r="O364" s="32"/>
      <x:c r="P364" s="32"/>
      <x:c r="Q364" s="31"/>
      <x:c r="R364" s="31"/>
      <x:c r="S364" s="31"/>
      <x:c r="T364" s="32"/>
      <x:c r="U364" s="32"/>
      <x:c r="V364" s="31"/>
      <x:c r="W364" s="31"/>
      <x:c r="X364" s="31"/>
      <x:c r="Y364" s="32"/>
      <x:c r="Z364" s="31"/>
      <x:c r="AA364" s="32"/>
      <x:c r="AB364" s="31"/>
      <x:c r="AC364" s="31"/>
      <x:c r="AD364" s="31"/>
      <x:c r="AE364" s="31"/>
      <x:c r="AF364" s="31"/>
    </x:row>
    <x:row r="365">
      <x:c r="A365" s="79"/>
      <x:c r="B365" s="31"/>
      <x:c r="C365" s="31"/>
      <x:c r="D365" s="31"/>
      <x:c r="E365" s="31"/>
      <x:c r="F365" s="31"/>
      <x:c r="G365" s="31"/>
      <x:c r="H365" s="31"/>
      <x:c r="I365" s="31"/>
      <x:c r="J365" s="32"/>
      <x:c r="K365" s="32"/>
      <x:c r="L365" s="32"/>
      <x:c r="M365" s="32"/>
      <x:c r="N365" s="32"/>
      <x:c r="O365" s="32"/>
      <x:c r="P365" s="32"/>
      <x:c r="Q365" s="31"/>
      <x:c r="R365" s="31"/>
      <x:c r="S365" s="31"/>
      <x:c r="T365" s="32"/>
      <x:c r="U365" s="32"/>
      <x:c r="V365" s="31"/>
      <x:c r="W365" s="31"/>
      <x:c r="X365" s="31"/>
      <x:c r="Y365" s="32"/>
      <x:c r="Z365" s="31"/>
      <x:c r="AA365" s="32"/>
      <x:c r="AB365" s="31"/>
      <x:c r="AC365" s="31"/>
      <x:c r="AD365" s="31"/>
      <x:c r="AE365" s="31"/>
      <x:c r="AF365" s="31"/>
    </x:row>
    <x:row r="366">
      <x:c r="A366" s="79"/>
      <x:c r="B366" s="31"/>
      <x:c r="C366" s="31"/>
      <x:c r="D366" s="31"/>
      <x:c r="E366" s="31"/>
      <x:c r="F366" s="31"/>
      <x:c r="G366" s="31"/>
      <x:c r="H366" s="31"/>
      <x:c r="I366" s="31"/>
      <x:c r="J366" s="32"/>
      <x:c r="K366" s="32"/>
      <x:c r="L366" s="32"/>
      <x:c r="M366" s="32"/>
      <x:c r="N366" s="32"/>
      <x:c r="O366" s="32"/>
      <x:c r="P366" s="32"/>
      <x:c r="Q366" s="31"/>
      <x:c r="R366" s="31"/>
      <x:c r="S366" s="31"/>
      <x:c r="T366" s="32"/>
      <x:c r="U366" s="32"/>
      <x:c r="V366" s="31"/>
      <x:c r="W366" s="31"/>
      <x:c r="X366" s="31"/>
      <x:c r="Y366" s="32"/>
      <x:c r="Z366" s="31"/>
      <x:c r="AA366" s="32"/>
      <x:c r="AB366" s="31"/>
      <x:c r="AC366" s="31"/>
      <x:c r="AD366" s="31"/>
      <x:c r="AE366" s="31"/>
      <x:c r="AF366" s="31"/>
    </x:row>
    <x:row r="367">
      <x:c r="A367" s="79"/>
      <x:c r="B367" s="31"/>
      <x:c r="C367" s="31"/>
      <x:c r="D367" s="31"/>
      <x:c r="E367" s="31"/>
      <x:c r="F367" s="31"/>
      <x:c r="G367" s="31"/>
      <x:c r="H367" s="31"/>
      <x:c r="I367" s="31"/>
      <x:c r="J367" s="32"/>
      <x:c r="K367" s="32"/>
      <x:c r="L367" s="32"/>
      <x:c r="M367" s="32"/>
      <x:c r="N367" s="32"/>
      <x:c r="O367" s="32"/>
      <x:c r="P367" s="32"/>
      <x:c r="Q367" s="31"/>
      <x:c r="R367" s="31"/>
      <x:c r="S367" s="31"/>
      <x:c r="T367" s="32"/>
      <x:c r="U367" s="32"/>
      <x:c r="V367" s="31"/>
      <x:c r="W367" s="31"/>
      <x:c r="X367" s="31"/>
      <x:c r="Y367" s="32"/>
      <x:c r="Z367" s="31"/>
      <x:c r="AA367" s="32"/>
      <x:c r="AB367" s="31"/>
      <x:c r="AC367" s="31"/>
      <x:c r="AD367" s="31"/>
      <x:c r="AE367" s="31"/>
      <x:c r="AF367" s="31"/>
    </x:row>
    <x:row r="368">
      <x:c r="A368" s="79"/>
      <x:c r="B368" s="31"/>
      <x:c r="C368" s="31"/>
      <x:c r="D368" s="31"/>
      <x:c r="E368" s="31"/>
      <x:c r="F368" s="31"/>
      <x:c r="G368" s="31"/>
      <x:c r="H368" s="31"/>
      <x:c r="I368" s="31"/>
      <x:c r="J368" s="32"/>
      <x:c r="K368" s="32"/>
      <x:c r="L368" s="32"/>
      <x:c r="M368" s="32"/>
      <x:c r="N368" s="32"/>
      <x:c r="O368" s="32"/>
      <x:c r="P368" s="32"/>
      <x:c r="Q368" s="31"/>
      <x:c r="R368" s="31"/>
      <x:c r="S368" s="31"/>
      <x:c r="T368" s="32"/>
      <x:c r="U368" s="32"/>
      <x:c r="V368" s="31"/>
      <x:c r="W368" s="31"/>
      <x:c r="X368" s="31"/>
      <x:c r="Y368" s="32"/>
      <x:c r="Z368" s="31"/>
      <x:c r="AA368" s="32"/>
      <x:c r="AB368" s="31"/>
      <x:c r="AC368" s="31"/>
      <x:c r="AD368" s="31"/>
      <x:c r="AE368" s="31"/>
      <x:c r="AF368" s="31"/>
    </x:row>
    <x:row r="369">
      <x:c r="A369" s="79"/>
      <x:c r="B369" s="31"/>
      <x:c r="C369" s="31"/>
      <x:c r="D369" s="31"/>
      <x:c r="E369" s="31"/>
      <x:c r="F369" s="31"/>
      <x:c r="G369" s="31"/>
      <x:c r="H369" s="31"/>
      <x:c r="I369" s="31"/>
      <x:c r="J369" s="32"/>
      <x:c r="K369" s="32"/>
      <x:c r="L369" s="32"/>
      <x:c r="M369" s="32"/>
      <x:c r="N369" s="32"/>
      <x:c r="O369" s="32"/>
      <x:c r="P369" s="32"/>
      <x:c r="Q369" s="31"/>
      <x:c r="R369" s="31"/>
      <x:c r="S369" s="31"/>
      <x:c r="T369" s="32"/>
      <x:c r="U369" s="32"/>
      <x:c r="V369" s="31"/>
      <x:c r="W369" s="31"/>
      <x:c r="X369" s="31"/>
      <x:c r="Y369" s="32"/>
      <x:c r="Z369" s="31"/>
      <x:c r="AA369" s="32"/>
      <x:c r="AB369" s="31"/>
      <x:c r="AC369" s="31"/>
      <x:c r="AD369" s="31"/>
      <x:c r="AE369" s="31"/>
      <x:c r="AF369" s="31"/>
    </x:row>
    <x:row r="370">
      <x:c r="A370" s="79"/>
      <x:c r="B370" s="31"/>
      <x:c r="C370" s="31"/>
      <x:c r="D370" s="31"/>
      <x:c r="E370" s="31"/>
      <x:c r="F370" s="31"/>
      <x:c r="G370" s="31"/>
      <x:c r="H370" s="31"/>
      <x:c r="I370" s="31"/>
      <x:c r="J370" s="32"/>
      <x:c r="K370" s="32"/>
      <x:c r="L370" s="32"/>
      <x:c r="M370" s="32"/>
      <x:c r="N370" s="32"/>
      <x:c r="O370" s="32"/>
      <x:c r="P370" s="32"/>
      <x:c r="Q370" s="31"/>
      <x:c r="R370" s="31"/>
      <x:c r="S370" s="31"/>
      <x:c r="T370" s="32"/>
      <x:c r="U370" s="32"/>
      <x:c r="V370" s="31"/>
      <x:c r="W370" s="31"/>
      <x:c r="X370" s="31"/>
      <x:c r="Y370" s="32"/>
      <x:c r="Z370" s="31"/>
      <x:c r="AA370" s="32"/>
      <x:c r="AB370" s="31"/>
      <x:c r="AC370" s="31"/>
      <x:c r="AD370" s="31"/>
      <x:c r="AE370" s="31"/>
      <x:c r="AF370" s="31"/>
    </x:row>
    <x:row r="371">
      <x:c r="A371" s="79"/>
      <x:c r="B371" s="31"/>
      <x:c r="C371" s="31"/>
      <x:c r="D371" s="31"/>
      <x:c r="E371" s="31"/>
      <x:c r="F371" s="31"/>
      <x:c r="G371" s="31"/>
      <x:c r="H371" s="31"/>
      <x:c r="I371" s="31"/>
      <x:c r="J371" s="32"/>
      <x:c r="K371" s="32"/>
      <x:c r="L371" s="32"/>
      <x:c r="M371" s="32"/>
      <x:c r="N371" s="32"/>
      <x:c r="O371" s="32"/>
      <x:c r="P371" s="32"/>
      <x:c r="Q371" s="31"/>
      <x:c r="R371" s="31"/>
      <x:c r="S371" s="31"/>
      <x:c r="T371" s="32"/>
      <x:c r="U371" s="32"/>
      <x:c r="V371" s="31"/>
      <x:c r="W371" s="31"/>
      <x:c r="X371" s="31"/>
      <x:c r="Y371" s="32"/>
      <x:c r="Z371" s="31"/>
      <x:c r="AA371" s="32"/>
      <x:c r="AB371" s="31"/>
      <x:c r="AC371" s="31"/>
      <x:c r="AD371" s="31"/>
      <x:c r="AE371" s="31"/>
      <x:c r="AF371" s="31"/>
    </x:row>
    <x:row r="372">
      <x:c r="A372" s="79"/>
      <x:c r="B372" s="31"/>
      <x:c r="C372" s="31"/>
      <x:c r="D372" s="31"/>
      <x:c r="E372" s="31"/>
      <x:c r="F372" s="31"/>
      <x:c r="G372" s="31"/>
      <x:c r="H372" s="31"/>
      <x:c r="I372" s="31"/>
      <x:c r="J372" s="32"/>
      <x:c r="K372" s="32"/>
      <x:c r="L372" s="32"/>
      <x:c r="M372" s="32"/>
      <x:c r="N372" s="32"/>
      <x:c r="O372" s="32"/>
      <x:c r="P372" s="32"/>
      <x:c r="Q372" s="31"/>
      <x:c r="R372" s="31"/>
      <x:c r="S372" s="31"/>
      <x:c r="T372" s="32"/>
      <x:c r="U372" s="32"/>
      <x:c r="V372" s="31"/>
      <x:c r="W372" s="31"/>
      <x:c r="X372" s="31"/>
      <x:c r="Y372" s="32"/>
      <x:c r="Z372" s="31"/>
      <x:c r="AA372" s="32"/>
      <x:c r="AB372" s="31"/>
      <x:c r="AC372" s="31"/>
      <x:c r="AD372" s="31"/>
      <x:c r="AE372" s="31"/>
      <x:c r="AF372" s="31"/>
    </x:row>
    <x:row r="373">
      <x:c r="A373" s="79"/>
      <x:c r="B373" s="31"/>
      <x:c r="C373" s="31"/>
      <x:c r="D373" s="31"/>
      <x:c r="E373" s="31"/>
      <x:c r="F373" s="31"/>
      <x:c r="G373" s="31"/>
      <x:c r="H373" s="31"/>
      <x:c r="I373" s="31"/>
      <x:c r="J373" s="32"/>
      <x:c r="K373" s="32"/>
      <x:c r="L373" s="32"/>
      <x:c r="M373" s="32"/>
      <x:c r="N373" s="32"/>
      <x:c r="O373" s="32"/>
      <x:c r="P373" s="32"/>
      <x:c r="Q373" s="31"/>
      <x:c r="R373" s="31"/>
      <x:c r="S373" s="31"/>
      <x:c r="T373" s="32"/>
      <x:c r="U373" s="32"/>
      <x:c r="V373" s="31"/>
      <x:c r="W373" s="31"/>
      <x:c r="X373" s="31"/>
      <x:c r="Y373" s="32"/>
      <x:c r="Z373" s="31"/>
      <x:c r="AA373" s="32"/>
      <x:c r="AB373" s="31"/>
      <x:c r="AC373" s="31"/>
      <x:c r="AD373" s="31"/>
      <x:c r="AE373" s="31"/>
      <x:c r="AF373" s="31"/>
    </x:row>
    <x:row r="374">
      <x:c r="A374" s="79"/>
      <x:c r="B374" s="31"/>
      <x:c r="C374" s="31"/>
      <x:c r="D374" s="31"/>
      <x:c r="E374" s="31"/>
      <x:c r="F374" s="31"/>
      <x:c r="G374" s="31"/>
      <x:c r="H374" s="31"/>
      <x:c r="I374" s="31"/>
      <x:c r="J374" s="32"/>
      <x:c r="K374" s="32"/>
      <x:c r="L374" s="32"/>
      <x:c r="M374" s="32"/>
      <x:c r="N374" s="32"/>
      <x:c r="O374" s="32"/>
      <x:c r="P374" s="32"/>
      <x:c r="Q374" s="31"/>
      <x:c r="R374" s="31"/>
      <x:c r="S374" s="31"/>
      <x:c r="T374" s="32"/>
      <x:c r="U374" s="32"/>
      <x:c r="V374" s="31"/>
      <x:c r="W374" s="31"/>
      <x:c r="X374" s="31"/>
      <x:c r="Y374" s="32"/>
      <x:c r="Z374" s="31"/>
      <x:c r="AA374" s="32"/>
      <x:c r="AB374" s="31"/>
      <x:c r="AC374" s="31"/>
      <x:c r="AD374" s="31"/>
      <x:c r="AE374" s="31"/>
      <x:c r="AF374" s="31"/>
    </x:row>
    <x:row r="375">
      <x:c r="A375" s="79"/>
      <x:c r="B375" s="31"/>
      <x:c r="C375" s="31"/>
      <x:c r="D375" s="31"/>
      <x:c r="E375" s="31"/>
      <x:c r="F375" s="31"/>
      <x:c r="G375" s="31"/>
      <x:c r="H375" s="31"/>
      <x:c r="I375" s="31"/>
      <x:c r="J375" s="32"/>
      <x:c r="K375" s="32"/>
      <x:c r="L375" s="32"/>
      <x:c r="M375" s="32"/>
      <x:c r="N375" s="32"/>
      <x:c r="O375" s="32"/>
      <x:c r="P375" s="32"/>
      <x:c r="Q375" s="31"/>
      <x:c r="R375" s="31"/>
      <x:c r="S375" s="31"/>
      <x:c r="T375" s="32"/>
      <x:c r="U375" s="32"/>
      <x:c r="V375" s="31"/>
      <x:c r="W375" s="31"/>
      <x:c r="X375" s="31"/>
      <x:c r="Y375" s="32"/>
      <x:c r="Z375" s="31"/>
      <x:c r="AA375" s="32"/>
      <x:c r="AB375" s="31"/>
      <x:c r="AC375" s="31"/>
      <x:c r="AD375" s="31"/>
      <x:c r="AE375" s="31"/>
      <x:c r="AF375" s="31"/>
    </x:row>
    <x:row r="376">
      <x:c r="A376" s="79"/>
      <x:c r="B376" s="31"/>
      <x:c r="C376" s="31"/>
      <x:c r="D376" s="31"/>
      <x:c r="E376" s="31"/>
      <x:c r="F376" s="31"/>
      <x:c r="G376" s="31"/>
      <x:c r="H376" s="31"/>
      <x:c r="I376" s="31"/>
      <x:c r="J376" s="32"/>
      <x:c r="K376" s="32"/>
      <x:c r="L376" s="32"/>
      <x:c r="M376" s="32"/>
      <x:c r="N376" s="32"/>
      <x:c r="O376" s="32"/>
      <x:c r="P376" s="32"/>
      <x:c r="Q376" s="31"/>
      <x:c r="R376" s="31"/>
      <x:c r="S376" s="31"/>
      <x:c r="T376" s="32"/>
      <x:c r="U376" s="32"/>
      <x:c r="V376" s="31"/>
      <x:c r="W376" s="31"/>
      <x:c r="X376" s="31"/>
      <x:c r="Y376" s="32"/>
      <x:c r="Z376" s="31"/>
      <x:c r="AA376" s="32"/>
      <x:c r="AB376" s="31"/>
      <x:c r="AC376" s="31"/>
      <x:c r="AD376" s="31"/>
      <x:c r="AE376" s="31"/>
      <x:c r="AF376" s="31"/>
    </x:row>
    <x:row r="377">
      <x:c r="A377" s="79"/>
      <x:c r="B377" s="31"/>
      <x:c r="C377" s="31"/>
      <x:c r="D377" s="31"/>
      <x:c r="E377" s="31"/>
      <x:c r="F377" s="31"/>
      <x:c r="G377" s="31"/>
      <x:c r="H377" s="31"/>
      <x:c r="I377" s="31"/>
      <x:c r="J377" s="32"/>
      <x:c r="K377" s="32"/>
      <x:c r="L377" s="32"/>
      <x:c r="M377" s="32"/>
      <x:c r="N377" s="32"/>
      <x:c r="O377" s="32"/>
      <x:c r="P377" s="32"/>
      <x:c r="Q377" s="31"/>
      <x:c r="R377" s="31"/>
      <x:c r="S377" s="31"/>
      <x:c r="T377" s="32"/>
      <x:c r="U377" s="32"/>
      <x:c r="V377" s="31"/>
      <x:c r="W377" s="31"/>
      <x:c r="X377" s="31"/>
      <x:c r="Y377" s="32"/>
      <x:c r="Z377" s="31"/>
      <x:c r="AA377" s="32"/>
      <x:c r="AB377" s="31"/>
      <x:c r="AC377" s="31"/>
      <x:c r="AD377" s="31"/>
      <x:c r="AE377" s="31"/>
      <x:c r="AF377" s="31"/>
    </x:row>
    <x:row r="378">
      <x:c r="A378" s="79"/>
      <x:c r="B378" s="31"/>
      <x:c r="C378" s="31"/>
      <x:c r="D378" s="31"/>
      <x:c r="E378" s="31"/>
      <x:c r="F378" s="31"/>
      <x:c r="G378" s="31"/>
      <x:c r="H378" s="31"/>
      <x:c r="I378" s="31"/>
      <x:c r="J378" s="32"/>
      <x:c r="K378" s="32"/>
      <x:c r="L378" s="32"/>
      <x:c r="M378" s="32"/>
      <x:c r="N378" s="32"/>
      <x:c r="O378" s="32"/>
      <x:c r="P378" s="32"/>
      <x:c r="Q378" s="31"/>
      <x:c r="R378" s="31"/>
      <x:c r="S378" s="31"/>
      <x:c r="T378" s="32"/>
      <x:c r="U378" s="32"/>
      <x:c r="V378" s="31"/>
      <x:c r="W378" s="31"/>
      <x:c r="X378" s="31"/>
      <x:c r="Y378" s="32"/>
      <x:c r="Z378" s="31"/>
      <x:c r="AA378" s="32"/>
      <x:c r="AB378" s="31"/>
      <x:c r="AC378" s="31"/>
      <x:c r="AD378" s="31"/>
      <x:c r="AE378" s="31"/>
      <x:c r="AF378" s="31"/>
    </x:row>
    <x:row r="379">
      <x:c r="A379" s="79"/>
      <x:c r="B379" s="31"/>
      <x:c r="C379" s="31"/>
      <x:c r="D379" s="31"/>
      <x:c r="E379" s="31"/>
      <x:c r="F379" s="31"/>
      <x:c r="G379" s="31"/>
      <x:c r="H379" s="31"/>
      <x:c r="I379" s="31"/>
      <x:c r="J379" s="32"/>
      <x:c r="K379" s="32"/>
      <x:c r="L379" s="32"/>
      <x:c r="M379" s="32"/>
      <x:c r="N379" s="32"/>
      <x:c r="O379" s="32"/>
      <x:c r="P379" s="32"/>
      <x:c r="Q379" s="31"/>
      <x:c r="R379" s="31"/>
      <x:c r="S379" s="31"/>
      <x:c r="T379" s="32"/>
      <x:c r="U379" s="32"/>
      <x:c r="V379" s="31"/>
      <x:c r="W379" s="31"/>
      <x:c r="X379" s="31"/>
      <x:c r="Y379" s="32"/>
      <x:c r="Z379" s="31"/>
      <x:c r="AA379" s="32"/>
      <x:c r="AB379" s="31"/>
      <x:c r="AC379" s="31"/>
      <x:c r="AD379" s="31"/>
      <x:c r="AE379" s="31"/>
      <x:c r="AF379" s="31"/>
    </x:row>
    <x:row r="380">
      <x:c r="A380" s="79"/>
      <x:c r="B380" s="31"/>
      <x:c r="C380" s="31"/>
      <x:c r="D380" s="31"/>
      <x:c r="E380" s="31"/>
      <x:c r="F380" s="31"/>
      <x:c r="G380" s="31"/>
      <x:c r="H380" s="31"/>
      <x:c r="I380" s="31"/>
      <x:c r="J380" s="32"/>
      <x:c r="K380" s="32"/>
      <x:c r="L380" s="32"/>
      <x:c r="M380" s="32"/>
      <x:c r="N380" s="32"/>
      <x:c r="O380" s="32"/>
      <x:c r="P380" s="32"/>
      <x:c r="Q380" s="31"/>
      <x:c r="R380" s="31"/>
      <x:c r="S380" s="31"/>
      <x:c r="T380" s="32"/>
      <x:c r="U380" s="32"/>
      <x:c r="V380" s="31"/>
      <x:c r="W380" s="31"/>
      <x:c r="X380" s="31"/>
      <x:c r="Y380" s="32"/>
      <x:c r="Z380" s="31"/>
      <x:c r="AA380" s="32"/>
      <x:c r="AB380" s="31"/>
      <x:c r="AC380" s="31"/>
      <x:c r="AD380" s="31"/>
      <x:c r="AE380" s="31"/>
      <x:c r="AF380" s="31"/>
    </x:row>
    <x:row r="381">
      <x:c r="A381" s="79"/>
      <x:c r="B381" s="31"/>
      <x:c r="C381" s="31"/>
      <x:c r="D381" s="31"/>
      <x:c r="E381" s="31"/>
      <x:c r="F381" s="31"/>
      <x:c r="G381" s="31"/>
      <x:c r="H381" s="31"/>
      <x:c r="I381" s="31"/>
      <x:c r="J381" s="32"/>
      <x:c r="K381" s="32"/>
      <x:c r="L381" s="32"/>
      <x:c r="M381" s="32"/>
      <x:c r="N381" s="32"/>
      <x:c r="O381" s="32"/>
      <x:c r="P381" s="32"/>
      <x:c r="Q381" s="31"/>
      <x:c r="R381" s="31"/>
      <x:c r="S381" s="31"/>
      <x:c r="T381" s="32"/>
      <x:c r="U381" s="32"/>
      <x:c r="V381" s="31"/>
      <x:c r="W381" s="31"/>
      <x:c r="X381" s="31"/>
      <x:c r="Y381" s="32"/>
      <x:c r="Z381" s="31"/>
      <x:c r="AA381" s="32"/>
      <x:c r="AB381" s="31"/>
      <x:c r="AC381" s="31"/>
      <x:c r="AD381" s="31"/>
      <x:c r="AE381" s="31"/>
      <x:c r="AF381" s="31"/>
    </x:row>
    <x:row r="382">
      <x:c r="A382" s="79"/>
      <x:c r="B382" s="31"/>
      <x:c r="C382" s="31"/>
      <x:c r="D382" s="31"/>
      <x:c r="E382" s="31"/>
      <x:c r="F382" s="31"/>
      <x:c r="G382" s="31"/>
      <x:c r="H382" s="31"/>
      <x:c r="I382" s="31"/>
      <x:c r="J382" s="32"/>
      <x:c r="K382" s="32"/>
      <x:c r="L382" s="32"/>
      <x:c r="M382" s="32"/>
      <x:c r="N382" s="32"/>
      <x:c r="O382" s="32"/>
      <x:c r="P382" s="32"/>
      <x:c r="Q382" s="31"/>
      <x:c r="R382" s="31"/>
      <x:c r="S382" s="31"/>
      <x:c r="T382" s="32"/>
      <x:c r="U382" s="32"/>
      <x:c r="V382" s="31"/>
      <x:c r="W382" s="31"/>
      <x:c r="X382" s="31"/>
      <x:c r="Y382" s="32"/>
      <x:c r="Z382" s="31"/>
      <x:c r="AA382" s="32"/>
      <x:c r="AB382" s="31"/>
      <x:c r="AC382" s="31"/>
      <x:c r="AD382" s="31"/>
      <x:c r="AE382" s="31"/>
      <x:c r="AF382" s="31"/>
    </x:row>
    <x:row r="383">
      <x:c r="A383" s="79"/>
      <x:c r="B383" s="31"/>
      <x:c r="C383" s="31"/>
      <x:c r="D383" s="31"/>
      <x:c r="E383" s="31"/>
      <x:c r="F383" s="31"/>
      <x:c r="G383" s="31"/>
      <x:c r="H383" s="31"/>
      <x:c r="I383" s="31"/>
      <x:c r="J383" s="32"/>
      <x:c r="K383" s="32"/>
      <x:c r="L383" s="32"/>
      <x:c r="M383" s="32"/>
      <x:c r="N383" s="32"/>
      <x:c r="O383" s="32"/>
      <x:c r="P383" s="32"/>
      <x:c r="Q383" s="31"/>
      <x:c r="R383" s="31"/>
      <x:c r="S383" s="31"/>
      <x:c r="T383" s="32"/>
      <x:c r="U383" s="32"/>
      <x:c r="V383" s="31"/>
      <x:c r="W383" s="31"/>
      <x:c r="X383" s="31"/>
      <x:c r="Y383" s="32"/>
      <x:c r="Z383" s="31"/>
      <x:c r="AA383" s="32"/>
      <x:c r="AB383" s="31"/>
      <x:c r="AC383" s="31"/>
      <x:c r="AD383" s="31"/>
      <x:c r="AE383" s="31"/>
      <x:c r="AF383" s="31"/>
    </x:row>
    <x:row r="384">
      <x:c r="A384" s="79"/>
      <x:c r="B384" s="31"/>
      <x:c r="C384" s="31"/>
      <x:c r="D384" s="31"/>
      <x:c r="E384" s="31"/>
      <x:c r="F384" s="31"/>
      <x:c r="G384" s="31"/>
      <x:c r="H384" s="31"/>
      <x:c r="I384" s="31"/>
      <x:c r="J384" s="32"/>
      <x:c r="K384" s="32"/>
      <x:c r="L384" s="32"/>
      <x:c r="M384" s="32"/>
      <x:c r="N384" s="32"/>
      <x:c r="O384" s="32"/>
      <x:c r="P384" s="32"/>
      <x:c r="Q384" s="31"/>
      <x:c r="R384" s="31"/>
      <x:c r="S384" s="31"/>
      <x:c r="T384" s="32"/>
      <x:c r="U384" s="32"/>
      <x:c r="V384" s="31"/>
      <x:c r="W384" s="31"/>
      <x:c r="X384" s="31"/>
      <x:c r="Y384" s="32"/>
      <x:c r="Z384" s="31"/>
      <x:c r="AA384" s="32"/>
      <x:c r="AB384" s="31"/>
      <x:c r="AC384" s="31"/>
      <x:c r="AD384" s="31"/>
      <x:c r="AE384" s="31"/>
      <x:c r="AF384" s="31"/>
    </x:row>
    <x:row r="385">
      <x:c r="A385" s="79"/>
      <x:c r="B385" s="31"/>
      <x:c r="C385" s="31"/>
      <x:c r="D385" s="31"/>
      <x:c r="E385" s="31"/>
      <x:c r="F385" s="31"/>
      <x:c r="G385" s="31"/>
      <x:c r="H385" s="31"/>
      <x:c r="I385" s="31"/>
      <x:c r="J385" s="32"/>
      <x:c r="K385" s="32"/>
      <x:c r="L385" s="32"/>
      <x:c r="M385" s="32"/>
      <x:c r="N385" s="32"/>
      <x:c r="O385" s="32"/>
      <x:c r="P385" s="32"/>
      <x:c r="Q385" s="31"/>
      <x:c r="R385" s="31"/>
      <x:c r="S385" s="31"/>
      <x:c r="T385" s="32"/>
      <x:c r="U385" s="32"/>
      <x:c r="V385" s="31"/>
      <x:c r="W385" s="31"/>
      <x:c r="X385" s="31"/>
      <x:c r="Y385" s="32"/>
      <x:c r="Z385" s="31"/>
      <x:c r="AA385" s="32"/>
      <x:c r="AB385" s="31"/>
      <x:c r="AC385" s="31"/>
      <x:c r="AD385" s="31"/>
      <x:c r="AE385" s="31"/>
      <x:c r="AF385" s="31"/>
    </x:row>
    <x:row r="386">
      <x:c r="A386" s="79"/>
      <x:c r="B386" s="31"/>
      <x:c r="C386" s="31"/>
      <x:c r="D386" s="31"/>
      <x:c r="E386" s="31"/>
      <x:c r="F386" s="31"/>
      <x:c r="G386" s="31"/>
      <x:c r="H386" s="31"/>
      <x:c r="I386" s="31"/>
      <x:c r="J386" s="32"/>
      <x:c r="K386" s="32"/>
      <x:c r="L386" s="32"/>
      <x:c r="M386" s="32"/>
      <x:c r="N386" s="32"/>
      <x:c r="O386" s="32"/>
      <x:c r="P386" s="32"/>
      <x:c r="Q386" s="31"/>
      <x:c r="R386" s="31"/>
      <x:c r="S386" s="31"/>
      <x:c r="T386" s="32"/>
      <x:c r="U386" s="32"/>
      <x:c r="V386" s="31"/>
      <x:c r="W386" s="31"/>
      <x:c r="X386" s="31"/>
      <x:c r="Y386" s="32"/>
      <x:c r="Z386" s="31"/>
      <x:c r="AA386" s="32"/>
      <x:c r="AB386" s="31"/>
      <x:c r="AC386" s="31"/>
      <x:c r="AD386" s="31"/>
      <x:c r="AE386" s="31"/>
      <x:c r="AF386" s="31"/>
    </x:row>
    <x:row r="387">
      <x:c r="A387" s="79"/>
      <x:c r="B387" s="31"/>
      <x:c r="C387" s="31"/>
      <x:c r="D387" s="31"/>
      <x:c r="E387" s="31"/>
      <x:c r="F387" s="31"/>
      <x:c r="G387" s="31"/>
      <x:c r="H387" s="31"/>
      <x:c r="I387" s="31"/>
      <x:c r="J387" s="32"/>
      <x:c r="K387" s="32"/>
      <x:c r="L387" s="32"/>
      <x:c r="M387" s="32"/>
      <x:c r="N387" s="32"/>
      <x:c r="O387" s="32"/>
      <x:c r="P387" s="32"/>
      <x:c r="Q387" s="31"/>
      <x:c r="R387" s="31"/>
      <x:c r="S387" s="31"/>
      <x:c r="T387" s="32"/>
      <x:c r="U387" s="32"/>
      <x:c r="V387" s="31"/>
      <x:c r="W387" s="31"/>
      <x:c r="X387" s="31"/>
      <x:c r="Y387" s="32"/>
      <x:c r="Z387" s="31"/>
      <x:c r="AA387" s="32"/>
      <x:c r="AB387" s="31"/>
      <x:c r="AC387" s="31"/>
      <x:c r="AD387" s="31"/>
      <x:c r="AE387" s="31"/>
      <x:c r="AF387" s="31"/>
    </x:row>
    <x:row r="388">
      <x:c r="A388" s="79"/>
      <x:c r="B388" s="31"/>
      <x:c r="C388" s="31"/>
      <x:c r="D388" s="31"/>
      <x:c r="E388" s="31"/>
      <x:c r="F388" s="31"/>
      <x:c r="G388" s="31"/>
      <x:c r="H388" s="31"/>
      <x:c r="I388" s="31"/>
      <x:c r="J388" s="32"/>
      <x:c r="K388" s="32"/>
      <x:c r="L388" s="32"/>
      <x:c r="M388" s="32"/>
      <x:c r="N388" s="32"/>
      <x:c r="O388" s="32"/>
      <x:c r="P388" s="32"/>
      <x:c r="Q388" s="31"/>
      <x:c r="R388" s="31"/>
      <x:c r="S388" s="31"/>
      <x:c r="T388" s="32"/>
      <x:c r="U388" s="32"/>
      <x:c r="V388" s="31"/>
      <x:c r="W388" s="31"/>
      <x:c r="X388" s="31"/>
      <x:c r="Y388" s="32"/>
      <x:c r="Z388" s="31"/>
      <x:c r="AA388" s="32"/>
      <x:c r="AB388" s="31"/>
      <x:c r="AC388" s="31"/>
      <x:c r="AD388" s="31"/>
      <x:c r="AE388" s="31"/>
      <x:c r="AF388" s="31"/>
    </x:row>
    <x:row r="389">
      <x:c r="A389" s="79"/>
      <x:c r="B389" s="31"/>
      <x:c r="C389" s="31"/>
      <x:c r="D389" s="31"/>
      <x:c r="E389" s="31"/>
      <x:c r="F389" s="31"/>
      <x:c r="G389" s="31"/>
      <x:c r="H389" s="31"/>
      <x:c r="I389" s="31"/>
      <x:c r="J389" s="32"/>
      <x:c r="K389" s="32"/>
      <x:c r="L389" s="32"/>
      <x:c r="M389" s="32"/>
      <x:c r="N389" s="32"/>
      <x:c r="O389" s="32"/>
      <x:c r="P389" s="32"/>
      <x:c r="Q389" s="31"/>
      <x:c r="R389" s="31"/>
      <x:c r="S389" s="31"/>
      <x:c r="T389" s="32"/>
      <x:c r="U389" s="32"/>
      <x:c r="V389" s="31"/>
      <x:c r="W389" s="31"/>
      <x:c r="X389" s="31"/>
      <x:c r="Y389" s="32"/>
      <x:c r="Z389" s="31"/>
      <x:c r="AA389" s="32"/>
      <x:c r="AB389" s="31"/>
      <x:c r="AC389" s="31"/>
      <x:c r="AD389" s="31"/>
      <x:c r="AE389" s="31"/>
      <x:c r="AF389" s="31"/>
    </x:row>
    <x:row r="390">
      <x:c r="A390" s="79"/>
      <x:c r="B390" s="31"/>
      <x:c r="C390" s="31"/>
      <x:c r="D390" s="31"/>
      <x:c r="E390" s="31"/>
      <x:c r="F390" s="31"/>
      <x:c r="G390" s="31"/>
      <x:c r="H390" s="31"/>
      <x:c r="I390" s="31"/>
      <x:c r="J390" s="32"/>
      <x:c r="K390" s="32"/>
      <x:c r="L390" s="32"/>
      <x:c r="M390" s="32"/>
      <x:c r="N390" s="32"/>
      <x:c r="O390" s="32"/>
      <x:c r="P390" s="32"/>
      <x:c r="Q390" s="31"/>
      <x:c r="R390" s="31"/>
      <x:c r="S390" s="31"/>
      <x:c r="T390" s="32"/>
      <x:c r="U390" s="32"/>
      <x:c r="V390" s="31"/>
      <x:c r="W390" s="31"/>
      <x:c r="X390" s="31"/>
      <x:c r="Y390" s="32"/>
      <x:c r="Z390" s="31"/>
      <x:c r="AA390" s="32"/>
      <x:c r="AB390" s="31"/>
      <x:c r="AC390" s="31"/>
      <x:c r="AD390" s="31"/>
      <x:c r="AE390" s="31"/>
      <x:c r="AF390" s="31"/>
    </x:row>
    <x:row r="391">
      <x:c r="A391" s="79"/>
      <x:c r="B391" s="31"/>
      <x:c r="C391" s="31"/>
      <x:c r="D391" s="31"/>
      <x:c r="E391" s="31"/>
      <x:c r="F391" s="31"/>
      <x:c r="G391" s="31"/>
      <x:c r="H391" s="31"/>
      <x:c r="I391" s="31"/>
      <x:c r="J391" s="32"/>
      <x:c r="K391" s="32"/>
      <x:c r="L391" s="32"/>
      <x:c r="M391" s="32"/>
      <x:c r="N391" s="32"/>
      <x:c r="O391" s="32"/>
      <x:c r="P391" s="32"/>
      <x:c r="Q391" s="31"/>
      <x:c r="R391" s="31"/>
      <x:c r="S391" s="31"/>
      <x:c r="T391" s="32"/>
      <x:c r="U391" s="32"/>
      <x:c r="V391" s="31"/>
      <x:c r="W391" s="31"/>
      <x:c r="X391" s="31"/>
      <x:c r="Y391" s="32"/>
      <x:c r="Z391" s="31"/>
      <x:c r="AA391" s="32"/>
      <x:c r="AB391" s="31"/>
      <x:c r="AC391" s="31"/>
      <x:c r="AD391" s="31"/>
      <x:c r="AE391" s="31"/>
      <x:c r="AF391" s="31"/>
    </x:row>
    <x:row r="392">
      <x:c r="A392" s="79"/>
      <x:c r="B392" s="31"/>
      <x:c r="C392" s="31"/>
      <x:c r="D392" s="31"/>
      <x:c r="E392" s="31"/>
      <x:c r="F392" s="31"/>
      <x:c r="G392" s="31"/>
      <x:c r="H392" s="31"/>
      <x:c r="I392" s="31"/>
      <x:c r="J392" s="32"/>
      <x:c r="K392" s="32"/>
      <x:c r="L392" s="32"/>
      <x:c r="M392" s="32"/>
      <x:c r="N392" s="32"/>
      <x:c r="O392" s="32"/>
      <x:c r="P392" s="32"/>
      <x:c r="Q392" s="31"/>
      <x:c r="R392" s="31"/>
      <x:c r="S392" s="31"/>
      <x:c r="T392" s="32"/>
      <x:c r="U392" s="32"/>
      <x:c r="V392" s="31"/>
      <x:c r="W392" s="31"/>
      <x:c r="X392" s="31"/>
      <x:c r="Y392" s="32"/>
      <x:c r="Z392" s="31"/>
      <x:c r="AA392" s="32"/>
      <x:c r="AB392" s="31"/>
      <x:c r="AC392" s="31"/>
      <x:c r="AD392" s="31"/>
      <x:c r="AE392" s="31"/>
      <x:c r="AF392" s="31"/>
    </x:row>
    <x:row r="393">
      <x:c r="A393" s="79"/>
      <x:c r="B393" s="31"/>
      <x:c r="C393" s="31"/>
      <x:c r="D393" s="31"/>
      <x:c r="E393" s="31"/>
      <x:c r="F393" s="31"/>
      <x:c r="G393" s="31"/>
      <x:c r="H393" s="31"/>
      <x:c r="I393" s="31"/>
      <x:c r="J393" s="32"/>
      <x:c r="K393" s="32"/>
      <x:c r="L393" s="32"/>
      <x:c r="M393" s="32"/>
      <x:c r="N393" s="32"/>
      <x:c r="O393" s="32"/>
      <x:c r="P393" s="32"/>
      <x:c r="Q393" s="31"/>
      <x:c r="R393" s="31"/>
      <x:c r="S393" s="31"/>
      <x:c r="T393" s="32"/>
      <x:c r="U393" s="32"/>
      <x:c r="V393" s="31"/>
      <x:c r="W393" s="31"/>
      <x:c r="X393" s="31"/>
      <x:c r="Y393" s="32"/>
      <x:c r="Z393" s="31"/>
      <x:c r="AA393" s="32"/>
      <x:c r="AB393" s="31"/>
      <x:c r="AC393" s="31"/>
      <x:c r="AD393" s="31"/>
      <x:c r="AE393" s="31"/>
      <x:c r="AF393" s="31"/>
    </x:row>
    <x:row r="394">
      <x:c r="A394" s="79"/>
      <x:c r="B394" s="31"/>
      <x:c r="C394" s="31"/>
      <x:c r="D394" s="31"/>
      <x:c r="E394" s="31"/>
      <x:c r="F394" s="31"/>
      <x:c r="G394" s="31"/>
      <x:c r="H394" s="31"/>
      <x:c r="I394" s="31"/>
      <x:c r="J394" s="32"/>
      <x:c r="K394" s="32"/>
      <x:c r="L394" s="32"/>
      <x:c r="M394" s="32"/>
      <x:c r="N394" s="32"/>
      <x:c r="O394" s="32"/>
      <x:c r="P394" s="32"/>
      <x:c r="Q394" s="31"/>
      <x:c r="R394" s="31"/>
      <x:c r="S394" s="31"/>
      <x:c r="T394" s="32"/>
      <x:c r="U394" s="32"/>
      <x:c r="V394" s="31"/>
      <x:c r="W394" s="31"/>
      <x:c r="X394" s="31"/>
      <x:c r="Y394" s="32"/>
      <x:c r="Z394" s="31"/>
      <x:c r="AA394" s="32"/>
      <x:c r="AB394" s="31"/>
      <x:c r="AC394" s="31"/>
      <x:c r="AD394" s="31"/>
      <x:c r="AE394" s="31"/>
      <x:c r="AF394" s="31"/>
    </x:row>
    <x:row r="395">
      <x:c r="A395" s="79"/>
      <x:c r="B395" s="31"/>
      <x:c r="C395" s="31"/>
      <x:c r="D395" s="31"/>
      <x:c r="E395" s="31"/>
      <x:c r="F395" s="31"/>
      <x:c r="G395" s="31"/>
      <x:c r="H395" s="31"/>
      <x:c r="I395" s="31"/>
      <x:c r="J395" s="32"/>
      <x:c r="K395" s="32"/>
      <x:c r="L395" s="32"/>
      <x:c r="M395" s="32"/>
      <x:c r="N395" s="32"/>
      <x:c r="O395" s="32"/>
      <x:c r="P395" s="32"/>
      <x:c r="Q395" s="31"/>
      <x:c r="R395" s="31"/>
      <x:c r="S395" s="31"/>
      <x:c r="T395" s="32"/>
      <x:c r="U395" s="32"/>
      <x:c r="V395" s="31"/>
      <x:c r="W395" s="31"/>
      <x:c r="X395" s="31"/>
      <x:c r="Y395" s="32"/>
      <x:c r="Z395" s="31"/>
      <x:c r="AA395" s="32"/>
      <x:c r="AB395" s="31"/>
      <x:c r="AC395" s="31"/>
      <x:c r="AD395" s="31"/>
      <x:c r="AE395" s="31"/>
      <x:c r="AF395" s="31"/>
    </x:row>
    <x:row r="396">
      <x:c r="A396" s="79"/>
      <x:c r="B396" s="31"/>
      <x:c r="C396" s="31"/>
      <x:c r="D396" s="31"/>
      <x:c r="E396" s="31"/>
      <x:c r="F396" s="31"/>
      <x:c r="G396" s="31"/>
      <x:c r="H396" s="31"/>
      <x:c r="I396" s="31"/>
      <x:c r="J396" s="32"/>
      <x:c r="K396" s="32"/>
      <x:c r="L396" s="32"/>
      <x:c r="M396" s="32"/>
      <x:c r="N396" s="32"/>
      <x:c r="O396" s="32"/>
      <x:c r="P396" s="32"/>
      <x:c r="Q396" s="31"/>
      <x:c r="R396" s="31"/>
      <x:c r="S396" s="31"/>
      <x:c r="T396" s="32"/>
      <x:c r="U396" s="32"/>
      <x:c r="V396" s="31"/>
      <x:c r="W396" s="31"/>
      <x:c r="X396" s="31"/>
      <x:c r="Y396" s="32"/>
      <x:c r="Z396" s="31"/>
      <x:c r="AA396" s="32"/>
      <x:c r="AB396" s="31"/>
      <x:c r="AC396" s="31"/>
      <x:c r="AD396" s="31"/>
      <x:c r="AE396" s="31"/>
      <x:c r="AF396" s="31"/>
    </x:row>
    <x:row r="397">
      <x:c r="A397" s="79"/>
      <x:c r="B397" s="31"/>
      <x:c r="C397" s="31"/>
      <x:c r="D397" s="31"/>
      <x:c r="E397" s="31"/>
      <x:c r="F397" s="31"/>
      <x:c r="G397" s="31"/>
      <x:c r="H397" s="31"/>
      <x:c r="I397" s="31"/>
      <x:c r="J397" s="32"/>
      <x:c r="K397" s="32"/>
      <x:c r="L397" s="32"/>
      <x:c r="M397" s="32"/>
      <x:c r="N397" s="32"/>
      <x:c r="O397" s="32"/>
      <x:c r="P397" s="32"/>
      <x:c r="Q397" s="31"/>
      <x:c r="R397" s="31"/>
      <x:c r="S397" s="31"/>
      <x:c r="T397" s="32"/>
      <x:c r="U397" s="32"/>
      <x:c r="V397" s="31"/>
      <x:c r="W397" s="31"/>
      <x:c r="X397" s="31"/>
      <x:c r="Y397" s="32"/>
      <x:c r="Z397" s="31"/>
      <x:c r="AA397" s="32"/>
      <x:c r="AB397" s="31"/>
      <x:c r="AC397" s="31"/>
      <x:c r="AD397" s="31"/>
      <x:c r="AE397" s="31"/>
      <x:c r="AF397" s="31"/>
    </x:row>
    <x:row r="398">
      <x:c r="A398" s="79"/>
      <x:c r="B398" s="31"/>
      <x:c r="C398" s="31"/>
      <x:c r="D398" s="31"/>
      <x:c r="E398" s="31"/>
      <x:c r="F398" s="31"/>
      <x:c r="G398" s="31"/>
      <x:c r="H398" s="31"/>
      <x:c r="I398" s="31"/>
      <x:c r="J398" s="32"/>
      <x:c r="K398" s="32"/>
      <x:c r="L398" s="32"/>
      <x:c r="M398" s="32"/>
      <x:c r="N398" s="32"/>
      <x:c r="O398" s="32"/>
      <x:c r="P398" s="32"/>
      <x:c r="Q398" s="31"/>
      <x:c r="R398" s="31"/>
      <x:c r="S398" s="31"/>
      <x:c r="T398" s="32"/>
      <x:c r="U398" s="32"/>
      <x:c r="V398" s="31"/>
      <x:c r="W398" s="31"/>
      <x:c r="X398" s="31"/>
      <x:c r="Y398" s="32"/>
      <x:c r="Z398" s="31"/>
      <x:c r="AA398" s="32"/>
      <x:c r="AB398" s="31"/>
      <x:c r="AC398" s="31"/>
      <x:c r="AD398" s="31"/>
      <x:c r="AE398" s="31"/>
      <x:c r="AF398" s="31"/>
    </x:row>
    <x:row r="399">
      <x:c r="A399" s="79"/>
      <x:c r="B399" s="31"/>
      <x:c r="C399" s="31"/>
      <x:c r="D399" s="31"/>
      <x:c r="E399" s="31"/>
      <x:c r="F399" s="31"/>
      <x:c r="G399" s="31"/>
      <x:c r="H399" s="31"/>
      <x:c r="I399" s="31"/>
      <x:c r="J399" s="32"/>
      <x:c r="K399" s="32"/>
      <x:c r="L399" s="32"/>
      <x:c r="M399" s="32"/>
      <x:c r="N399" s="32"/>
      <x:c r="O399" s="32"/>
      <x:c r="P399" s="32"/>
      <x:c r="Q399" s="31"/>
      <x:c r="R399" s="31"/>
      <x:c r="S399" s="31"/>
      <x:c r="T399" s="32"/>
      <x:c r="U399" s="32"/>
      <x:c r="V399" s="31"/>
      <x:c r="W399" s="31"/>
      <x:c r="X399" s="31"/>
      <x:c r="Y399" s="32"/>
      <x:c r="Z399" s="31"/>
      <x:c r="AA399" s="32"/>
      <x:c r="AB399" s="31"/>
      <x:c r="AC399" s="31"/>
      <x:c r="AD399" s="31"/>
      <x:c r="AE399" s="31"/>
      <x:c r="AF399" s="31"/>
    </x:row>
    <x:row r="400">
      <x:c r="A400" s="79"/>
      <x:c r="B400" s="31"/>
      <x:c r="C400" s="31"/>
      <x:c r="D400" s="31"/>
      <x:c r="E400" s="31"/>
      <x:c r="F400" s="31"/>
      <x:c r="G400" s="31"/>
      <x:c r="H400" s="31"/>
      <x:c r="I400" s="31"/>
      <x:c r="J400" s="32"/>
      <x:c r="K400" s="32"/>
      <x:c r="L400" s="32"/>
      <x:c r="M400" s="32"/>
      <x:c r="N400" s="32"/>
      <x:c r="O400" s="32"/>
      <x:c r="P400" s="32"/>
      <x:c r="Q400" s="31"/>
      <x:c r="R400" s="31"/>
      <x:c r="S400" s="31"/>
      <x:c r="T400" s="32"/>
      <x:c r="U400" s="32"/>
      <x:c r="V400" s="31"/>
      <x:c r="W400" s="31"/>
      <x:c r="X400" s="31"/>
      <x:c r="Y400" s="32"/>
      <x:c r="Z400" s="31"/>
      <x:c r="AA400" s="32"/>
      <x:c r="AB400" s="31"/>
      <x:c r="AC400" s="31"/>
      <x:c r="AD400" s="31"/>
      <x:c r="AE400" s="31"/>
      <x:c r="AF400" s="31"/>
    </x:row>
    <x:row r="401">
      <x:c r="A401" s="79"/>
      <x:c r="B401" s="31"/>
      <x:c r="C401" s="31"/>
      <x:c r="D401" s="31"/>
      <x:c r="E401" s="31"/>
      <x:c r="F401" s="31"/>
      <x:c r="G401" s="31"/>
      <x:c r="H401" s="31"/>
      <x:c r="I401" s="31"/>
      <x:c r="J401" s="32"/>
      <x:c r="K401" s="32"/>
      <x:c r="L401" s="32"/>
      <x:c r="M401" s="32"/>
      <x:c r="N401" s="32"/>
      <x:c r="O401" s="32"/>
      <x:c r="P401" s="32"/>
      <x:c r="Q401" s="31"/>
      <x:c r="R401" s="31"/>
      <x:c r="S401" s="31"/>
      <x:c r="T401" s="32"/>
      <x:c r="U401" s="32"/>
      <x:c r="V401" s="31"/>
      <x:c r="W401" s="31"/>
      <x:c r="X401" s="31"/>
      <x:c r="Y401" s="32"/>
      <x:c r="Z401" s="31"/>
      <x:c r="AA401" s="32"/>
      <x:c r="AB401" s="31"/>
      <x:c r="AC401" s="31"/>
      <x:c r="AD401" s="31"/>
      <x:c r="AE401" s="31"/>
      <x:c r="AF401" s="31"/>
    </x:row>
    <x:row r="402">
      <x:c r="A402" s="79"/>
      <x:c r="B402" s="31"/>
      <x:c r="C402" s="31"/>
      <x:c r="D402" s="31"/>
      <x:c r="E402" s="31"/>
      <x:c r="F402" s="31"/>
      <x:c r="G402" s="31"/>
      <x:c r="H402" s="31"/>
      <x:c r="I402" s="31"/>
      <x:c r="J402" s="32"/>
      <x:c r="K402" s="32"/>
      <x:c r="L402" s="32"/>
      <x:c r="M402" s="32"/>
      <x:c r="N402" s="32"/>
      <x:c r="O402" s="32"/>
      <x:c r="P402" s="32"/>
      <x:c r="Q402" s="31"/>
      <x:c r="R402" s="31"/>
      <x:c r="S402" s="31"/>
      <x:c r="T402" s="32"/>
      <x:c r="U402" s="32"/>
      <x:c r="V402" s="31"/>
      <x:c r="W402" s="31"/>
      <x:c r="X402" s="31"/>
      <x:c r="Y402" s="32"/>
      <x:c r="Z402" s="31"/>
      <x:c r="AA402" s="32"/>
      <x:c r="AB402" s="31"/>
      <x:c r="AC402" s="31"/>
      <x:c r="AD402" s="31"/>
      <x:c r="AE402" s="31"/>
      <x:c r="AF402" s="31"/>
    </x:row>
    <x:row r="403">
      <x:c r="A403" s="79"/>
      <x:c r="B403" s="31"/>
      <x:c r="C403" s="31"/>
      <x:c r="D403" s="31"/>
      <x:c r="E403" s="31"/>
      <x:c r="F403" s="31"/>
      <x:c r="G403" s="31"/>
      <x:c r="H403" s="31"/>
      <x:c r="I403" s="31"/>
      <x:c r="J403" s="32"/>
      <x:c r="K403" s="32"/>
      <x:c r="L403" s="32"/>
      <x:c r="M403" s="32"/>
      <x:c r="N403" s="32"/>
      <x:c r="O403" s="32"/>
      <x:c r="P403" s="32"/>
      <x:c r="Q403" s="31"/>
      <x:c r="R403" s="31"/>
      <x:c r="S403" s="31"/>
      <x:c r="T403" s="32"/>
      <x:c r="U403" s="32"/>
      <x:c r="V403" s="31"/>
      <x:c r="W403" s="31"/>
      <x:c r="X403" s="31"/>
      <x:c r="Y403" s="32"/>
      <x:c r="Z403" s="31"/>
      <x:c r="AA403" s="32"/>
      <x:c r="AB403" s="31"/>
      <x:c r="AC403" s="31"/>
      <x:c r="AD403" s="31"/>
      <x:c r="AE403" s="31"/>
      <x:c r="AF403" s="31"/>
    </x:row>
    <x:row r="404">
      <x:c r="A404" s="79"/>
      <x:c r="B404" s="31"/>
      <x:c r="C404" s="31"/>
      <x:c r="D404" s="31"/>
      <x:c r="E404" s="31"/>
      <x:c r="F404" s="31"/>
      <x:c r="G404" s="31"/>
      <x:c r="H404" s="31"/>
      <x:c r="I404" s="31"/>
      <x:c r="J404" s="32"/>
      <x:c r="K404" s="32"/>
      <x:c r="L404" s="32"/>
      <x:c r="M404" s="32"/>
      <x:c r="N404" s="32"/>
      <x:c r="O404" s="32"/>
      <x:c r="P404" s="32"/>
      <x:c r="Q404" s="31"/>
      <x:c r="R404" s="31"/>
      <x:c r="S404" s="31"/>
      <x:c r="T404" s="32"/>
      <x:c r="U404" s="32"/>
      <x:c r="V404" s="31"/>
      <x:c r="W404" s="31"/>
      <x:c r="X404" s="31"/>
      <x:c r="Y404" s="32"/>
      <x:c r="Z404" s="31"/>
      <x:c r="AA404" s="32"/>
      <x:c r="AB404" s="31"/>
      <x:c r="AC404" s="31"/>
      <x:c r="AD404" s="31"/>
      <x:c r="AE404" s="31"/>
      <x:c r="AF404" s="31"/>
    </x:row>
    <x:row r="405">
      <x:c r="A405" s="79"/>
      <x:c r="B405" s="31"/>
      <x:c r="C405" s="31"/>
      <x:c r="D405" s="31"/>
      <x:c r="E405" s="31"/>
      <x:c r="F405" s="31"/>
      <x:c r="G405" s="31"/>
      <x:c r="H405" s="31"/>
      <x:c r="I405" s="31"/>
      <x:c r="J405" s="32"/>
      <x:c r="K405" s="32"/>
      <x:c r="L405" s="32"/>
      <x:c r="M405" s="32"/>
      <x:c r="N405" s="32"/>
      <x:c r="O405" s="32"/>
      <x:c r="P405" s="32"/>
      <x:c r="Q405" s="31"/>
      <x:c r="R405" s="31"/>
      <x:c r="S405" s="31"/>
      <x:c r="T405" s="32"/>
      <x:c r="U405" s="32"/>
      <x:c r="V405" s="31"/>
      <x:c r="W405" s="31"/>
      <x:c r="X405" s="31"/>
      <x:c r="Y405" s="32"/>
      <x:c r="Z405" s="31"/>
      <x:c r="AA405" s="32"/>
      <x:c r="AB405" s="31"/>
      <x:c r="AC405" s="31"/>
      <x:c r="AD405" s="31"/>
      <x:c r="AE405" s="31"/>
      <x:c r="AF405" s="31"/>
    </x:row>
    <x:row r="406">
      <x:c r="A406" s="79"/>
      <x:c r="B406" s="31"/>
      <x:c r="C406" s="31"/>
      <x:c r="D406" s="31"/>
      <x:c r="E406" s="31"/>
      <x:c r="F406" s="31"/>
      <x:c r="G406" s="31"/>
      <x:c r="H406" s="31"/>
      <x:c r="I406" s="31"/>
      <x:c r="J406" s="32"/>
      <x:c r="K406" s="32"/>
      <x:c r="L406" s="32"/>
      <x:c r="M406" s="32"/>
      <x:c r="N406" s="32"/>
      <x:c r="O406" s="32"/>
      <x:c r="P406" s="32"/>
      <x:c r="Q406" s="31"/>
      <x:c r="R406" s="31"/>
      <x:c r="S406" s="31"/>
      <x:c r="T406" s="32"/>
      <x:c r="U406" s="32"/>
      <x:c r="V406" s="31"/>
      <x:c r="W406" s="31"/>
      <x:c r="X406" s="31"/>
      <x:c r="Y406" s="32"/>
      <x:c r="Z406" s="31"/>
      <x:c r="AA406" s="32"/>
      <x:c r="AB406" s="31"/>
      <x:c r="AC406" s="31"/>
      <x:c r="AD406" s="31"/>
      <x:c r="AE406" s="31"/>
      <x:c r="AF406" s="31"/>
    </x:row>
    <x:row r="407">
      <x:c r="A407" s="79"/>
      <x:c r="B407" s="31"/>
      <x:c r="C407" s="31"/>
      <x:c r="D407" s="31"/>
      <x:c r="E407" s="31"/>
      <x:c r="F407" s="31"/>
      <x:c r="G407" s="31"/>
      <x:c r="H407" s="31"/>
      <x:c r="I407" s="31"/>
      <x:c r="J407" s="32"/>
      <x:c r="K407" s="32"/>
      <x:c r="L407" s="32"/>
      <x:c r="M407" s="32"/>
      <x:c r="N407" s="32"/>
      <x:c r="O407" s="32"/>
      <x:c r="P407" s="32"/>
      <x:c r="Q407" s="31"/>
      <x:c r="R407" s="31"/>
      <x:c r="S407" s="31"/>
      <x:c r="T407" s="32"/>
      <x:c r="U407" s="32"/>
      <x:c r="V407" s="31"/>
      <x:c r="W407" s="31"/>
      <x:c r="X407" s="31"/>
      <x:c r="Y407" s="32"/>
      <x:c r="Z407" s="31"/>
      <x:c r="AA407" s="32"/>
      <x:c r="AB407" s="31"/>
      <x:c r="AC407" s="31"/>
      <x:c r="AD407" s="31"/>
      <x:c r="AE407" s="31"/>
      <x:c r="AF407" s="31"/>
    </x:row>
    <x:row r="408">
      <x:c r="A408" s="79"/>
      <x:c r="B408" s="31"/>
      <x:c r="C408" s="31"/>
      <x:c r="D408" s="31"/>
      <x:c r="E408" s="31"/>
      <x:c r="F408" s="31"/>
      <x:c r="G408" s="31"/>
      <x:c r="H408" s="31"/>
      <x:c r="I408" s="31"/>
      <x:c r="J408" s="32"/>
      <x:c r="K408" s="32"/>
      <x:c r="L408" s="32"/>
      <x:c r="M408" s="32"/>
      <x:c r="N408" s="32"/>
      <x:c r="O408" s="32"/>
      <x:c r="P408" s="32"/>
      <x:c r="Q408" s="31"/>
      <x:c r="R408" s="31"/>
      <x:c r="S408" s="31"/>
      <x:c r="T408" s="32"/>
      <x:c r="U408" s="32"/>
      <x:c r="V408" s="31"/>
      <x:c r="W408" s="31"/>
      <x:c r="X408" s="31"/>
      <x:c r="Y408" s="32"/>
      <x:c r="Z408" s="31"/>
      <x:c r="AA408" s="32"/>
      <x:c r="AB408" s="31"/>
      <x:c r="AC408" s="31"/>
      <x:c r="AD408" s="31"/>
      <x:c r="AE408" s="31"/>
      <x:c r="AF408" s="31"/>
    </x:row>
    <x:row r="409">
      <x:c r="A409" s="79"/>
      <x:c r="B409" s="31"/>
      <x:c r="C409" s="31"/>
      <x:c r="D409" s="31"/>
      <x:c r="E409" s="31"/>
      <x:c r="F409" s="31"/>
      <x:c r="G409" s="31"/>
      <x:c r="H409" s="31"/>
      <x:c r="I409" s="31"/>
      <x:c r="J409" s="32"/>
      <x:c r="K409" s="32"/>
      <x:c r="L409" s="32"/>
      <x:c r="M409" s="32"/>
      <x:c r="N409" s="32"/>
      <x:c r="O409" s="32"/>
      <x:c r="P409" s="32"/>
      <x:c r="Q409" s="31"/>
      <x:c r="R409" s="31"/>
      <x:c r="S409" s="31"/>
      <x:c r="T409" s="32"/>
      <x:c r="U409" s="32"/>
      <x:c r="V409" s="31"/>
      <x:c r="W409" s="31"/>
      <x:c r="X409" s="31"/>
      <x:c r="Y409" s="32"/>
      <x:c r="Z409" s="31"/>
      <x:c r="AA409" s="32"/>
      <x:c r="AB409" s="31"/>
      <x:c r="AC409" s="31"/>
      <x:c r="AD409" s="31"/>
      <x:c r="AE409" s="31"/>
      <x:c r="AF409" s="31"/>
    </x:row>
    <x:row r="410">
      <x:c r="A410" s="79"/>
      <x:c r="B410" s="31"/>
      <x:c r="C410" s="31"/>
      <x:c r="D410" s="31"/>
      <x:c r="E410" s="31"/>
      <x:c r="F410" s="31"/>
      <x:c r="G410" s="31"/>
      <x:c r="H410" s="31"/>
      <x:c r="I410" s="31"/>
      <x:c r="J410" s="32"/>
      <x:c r="K410" s="32"/>
      <x:c r="L410" s="32"/>
      <x:c r="M410" s="32"/>
      <x:c r="N410" s="32"/>
      <x:c r="O410" s="32"/>
      <x:c r="P410" s="32"/>
      <x:c r="Q410" s="31"/>
      <x:c r="R410" s="31"/>
      <x:c r="S410" s="31"/>
      <x:c r="T410" s="32"/>
      <x:c r="U410" s="32"/>
      <x:c r="V410" s="31"/>
      <x:c r="W410" s="31"/>
      <x:c r="X410" s="31"/>
      <x:c r="Y410" s="32"/>
      <x:c r="Z410" s="31"/>
      <x:c r="AA410" s="32"/>
      <x:c r="AB410" s="31"/>
      <x:c r="AC410" s="31"/>
      <x:c r="AD410" s="31"/>
      <x:c r="AE410" s="31"/>
      <x:c r="AF410" s="31"/>
    </x:row>
    <x:row r="411">
      <x:c r="A411" s="79"/>
      <x:c r="B411" s="31"/>
      <x:c r="C411" s="31"/>
      <x:c r="D411" s="31"/>
      <x:c r="E411" s="31"/>
      <x:c r="F411" s="31"/>
      <x:c r="G411" s="31"/>
      <x:c r="H411" s="31"/>
      <x:c r="I411" s="31"/>
      <x:c r="J411" s="32"/>
      <x:c r="K411" s="32"/>
      <x:c r="L411" s="32"/>
      <x:c r="M411" s="32"/>
      <x:c r="N411" s="32"/>
      <x:c r="O411" s="32"/>
      <x:c r="P411" s="32"/>
      <x:c r="Q411" s="31"/>
      <x:c r="R411" s="31"/>
      <x:c r="S411" s="31"/>
      <x:c r="T411" s="32"/>
      <x:c r="U411" s="32"/>
      <x:c r="V411" s="31"/>
      <x:c r="W411" s="31"/>
      <x:c r="X411" s="31"/>
      <x:c r="Y411" s="32"/>
      <x:c r="Z411" s="31"/>
      <x:c r="AA411" s="32"/>
      <x:c r="AB411" s="31"/>
      <x:c r="AC411" s="31"/>
      <x:c r="AD411" s="31"/>
      <x:c r="AE411" s="31"/>
      <x:c r="AF411" s="31"/>
    </x:row>
    <x:row r="412">
      <x:c r="A412" s="79"/>
      <x:c r="B412" s="31"/>
      <x:c r="C412" s="31"/>
      <x:c r="D412" s="31"/>
      <x:c r="E412" s="31"/>
      <x:c r="F412" s="31"/>
      <x:c r="G412" s="31"/>
      <x:c r="H412" s="31"/>
      <x:c r="I412" s="31"/>
      <x:c r="J412" s="32"/>
      <x:c r="K412" s="32"/>
      <x:c r="L412" s="32"/>
      <x:c r="M412" s="32"/>
      <x:c r="N412" s="32"/>
      <x:c r="O412" s="32"/>
      <x:c r="P412" s="32"/>
      <x:c r="Q412" s="31"/>
      <x:c r="R412" s="31"/>
      <x:c r="S412" s="31"/>
      <x:c r="T412" s="32"/>
      <x:c r="U412" s="32"/>
      <x:c r="V412" s="31"/>
      <x:c r="W412" s="31"/>
      <x:c r="X412" s="31"/>
      <x:c r="Y412" s="32"/>
      <x:c r="Z412" s="31"/>
      <x:c r="AA412" s="32"/>
      <x:c r="AB412" s="31"/>
      <x:c r="AC412" s="31"/>
      <x:c r="AD412" s="31"/>
      <x:c r="AE412" s="31"/>
      <x:c r="AF412" s="31"/>
    </x:row>
    <x:row r="413">
      <x:c r="A413" s="79"/>
      <x:c r="B413" s="31"/>
      <x:c r="C413" s="31"/>
      <x:c r="D413" s="31"/>
      <x:c r="E413" s="31"/>
      <x:c r="F413" s="31"/>
      <x:c r="G413" s="31"/>
      <x:c r="H413" s="31"/>
      <x:c r="I413" s="31"/>
      <x:c r="J413" s="32"/>
      <x:c r="K413" s="32"/>
      <x:c r="L413" s="32"/>
      <x:c r="M413" s="32"/>
      <x:c r="N413" s="32"/>
      <x:c r="O413" s="32"/>
      <x:c r="P413" s="32"/>
      <x:c r="Q413" s="31"/>
      <x:c r="R413" s="31"/>
      <x:c r="S413" s="31"/>
      <x:c r="T413" s="32"/>
      <x:c r="U413" s="32"/>
      <x:c r="V413" s="31"/>
      <x:c r="W413" s="31"/>
      <x:c r="X413" s="31"/>
      <x:c r="Y413" s="32"/>
      <x:c r="Z413" s="31"/>
      <x:c r="AA413" s="32"/>
      <x:c r="AB413" s="31"/>
      <x:c r="AC413" s="31"/>
      <x:c r="AD413" s="31"/>
      <x:c r="AE413" s="31"/>
      <x:c r="AF413" s="31"/>
    </x:row>
    <x:row r="414">
      <x:c r="A414" s="79"/>
      <x:c r="B414" s="31"/>
      <x:c r="C414" s="31"/>
      <x:c r="D414" s="31"/>
      <x:c r="E414" s="31"/>
      <x:c r="F414" s="31"/>
      <x:c r="G414" s="31"/>
      <x:c r="H414" s="31"/>
      <x:c r="I414" s="31"/>
      <x:c r="J414" s="32"/>
      <x:c r="K414" s="32"/>
      <x:c r="L414" s="32"/>
      <x:c r="M414" s="32"/>
      <x:c r="N414" s="32"/>
      <x:c r="O414" s="32"/>
      <x:c r="P414" s="32"/>
      <x:c r="Q414" s="31"/>
      <x:c r="R414" s="31"/>
      <x:c r="S414" s="31"/>
      <x:c r="T414" s="32"/>
      <x:c r="U414" s="32"/>
      <x:c r="V414" s="31"/>
      <x:c r="W414" s="31"/>
      <x:c r="X414" s="31"/>
      <x:c r="Y414" s="32"/>
      <x:c r="Z414" s="31"/>
      <x:c r="AA414" s="32"/>
      <x:c r="AB414" s="31"/>
      <x:c r="AC414" s="31"/>
      <x:c r="AD414" s="31"/>
      <x:c r="AE414" s="31"/>
      <x:c r="AF414" s="31"/>
    </x:row>
    <x:row r="415">
      <x:c r="A415" s="79"/>
      <x:c r="B415" s="31"/>
      <x:c r="C415" s="31"/>
      <x:c r="D415" s="31"/>
      <x:c r="E415" s="31"/>
      <x:c r="F415" s="31"/>
      <x:c r="G415" s="31"/>
      <x:c r="H415" s="31"/>
      <x:c r="I415" s="31"/>
      <x:c r="J415" s="32"/>
      <x:c r="K415" s="32"/>
      <x:c r="L415" s="32"/>
      <x:c r="M415" s="32"/>
      <x:c r="N415" s="32"/>
      <x:c r="O415" s="32"/>
      <x:c r="P415" s="32"/>
      <x:c r="Q415" s="31"/>
      <x:c r="R415" s="31"/>
      <x:c r="S415" s="31"/>
      <x:c r="T415" s="32"/>
      <x:c r="U415" s="32"/>
      <x:c r="V415" s="31"/>
      <x:c r="W415" s="31"/>
      <x:c r="X415" s="31"/>
      <x:c r="Y415" s="32"/>
      <x:c r="Z415" s="31"/>
      <x:c r="AA415" s="32"/>
      <x:c r="AB415" s="31"/>
      <x:c r="AC415" s="31"/>
      <x:c r="AD415" s="31"/>
      <x:c r="AE415" s="31"/>
      <x:c r="AF415" s="31"/>
    </x:row>
    <x:row r="416">
      <x:c r="A416" s="79"/>
      <x:c r="B416" s="31"/>
      <x:c r="C416" s="31"/>
      <x:c r="D416" s="31"/>
      <x:c r="E416" s="31"/>
      <x:c r="F416" s="31"/>
      <x:c r="G416" s="31"/>
      <x:c r="H416" s="31"/>
      <x:c r="I416" s="31"/>
      <x:c r="J416" s="32"/>
      <x:c r="K416" s="32"/>
      <x:c r="L416" s="32"/>
      <x:c r="M416" s="32"/>
      <x:c r="N416" s="32"/>
      <x:c r="O416" s="32"/>
      <x:c r="P416" s="32"/>
      <x:c r="Q416" s="31"/>
      <x:c r="R416" s="31"/>
      <x:c r="S416" s="31"/>
      <x:c r="T416" s="32"/>
      <x:c r="U416" s="32"/>
      <x:c r="V416" s="31"/>
      <x:c r="W416" s="31"/>
      <x:c r="X416" s="31"/>
      <x:c r="Y416" s="32"/>
      <x:c r="Z416" s="31"/>
      <x:c r="AA416" s="32"/>
      <x:c r="AB416" s="31"/>
      <x:c r="AC416" s="31"/>
      <x:c r="AD416" s="31"/>
      <x:c r="AE416" s="31"/>
      <x:c r="AF416" s="31"/>
    </x:row>
    <x:row r="417">
      <x:c r="A417" s="79"/>
      <x:c r="B417" s="31"/>
      <x:c r="C417" s="31"/>
      <x:c r="D417" s="31"/>
      <x:c r="E417" s="31"/>
      <x:c r="F417" s="31"/>
      <x:c r="G417" s="31"/>
      <x:c r="H417" s="31"/>
      <x:c r="I417" s="31"/>
      <x:c r="J417" s="32"/>
      <x:c r="K417" s="32"/>
      <x:c r="L417" s="32"/>
      <x:c r="M417" s="32"/>
      <x:c r="N417" s="32"/>
      <x:c r="O417" s="32"/>
      <x:c r="P417" s="32"/>
      <x:c r="Q417" s="31"/>
      <x:c r="R417" s="31"/>
      <x:c r="S417" s="31"/>
      <x:c r="T417" s="32"/>
      <x:c r="U417" s="32"/>
      <x:c r="V417" s="31"/>
      <x:c r="W417" s="31"/>
      <x:c r="X417" s="31"/>
      <x:c r="Y417" s="32"/>
      <x:c r="Z417" s="31"/>
      <x:c r="AA417" s="32"/>
      <x:c r="AB417" s="31"/>
      <x:c r="AC417" s="31"/>
      <x:c r="AD417" s="31"/>
      <x:c r="AE417" s="31"/>
      <x:c r="AF417" s="31"/>
    </x:row>
    <x:row r="418">
      <x:c r="A418" s="79"/>
      <x:c r="B418" s="31"/>
      <x:c r="C418" s="31"/>
      <x:c r="D418" s="31"/>
      <x:c r="E418" s="31"/>
      <x:c r="F418" s="31"/>
      <x:c r="G418" s="31"/>
      <x:c r="H418" s="31"/>
      <x:c r="I418" s="31"/>
      <x:c r="J418" s="32"/>
      <x:c r="K418" s="32"/>
      <x:c r="L418" s="32"/>
      <x:c r="M418" s="32"/>
      <x:c r="N418" s="32"/>
      <x:c r="O418" s="32"/>
      <x:c r="P418" s="32"/>
      <x:c r="Q418" s="31"/>
      <x:c r="R418" s="31"/>
      <x:c r="S418" s="31"/>
      <x:c r="T418" s="32"/>
      <x:c r="U418" s="32"/>
      <x:c r="V418" s="31"/>
      <x:c r="W418" s="31"/>
      <x:c r="X418" s="31"/>
      <x:c r="Y418" s="32"/>
      <x:c r="Z418" s="31"/>
      <x:c r="AA418" s="32"/>
      <x:c r="AB418" s="31"/>
      <x:c r="AC418" s="31"/>
      <x:c r="AD418" s="31"/>
      <x:c r="AE418" s="31"/>
      <x:c r="AF418" s="31"/>
    </x:row>
    <x:row r="419">
      <x:c r="A419" s="79"/>
      <x:c r="B419" s="31"/>
      <x:c r="C419" s="31"/>
      <x:c r="D419" s="31"/>
      <x:c r="E419" s="31"/>
      <x:c r="F419" s="31"/>
      <x:c r="G419" s="31"/>
      <x:c r="H419" s="31"/>
      <x:c r="I419" s="31"/>
      <x:c r="J419" s="32"/>
      <x:c r="K419" s="32"/>
      <x:c r="L419" s="32"/>
      <x:c r="M419" s="32"/>
      <x:c r="N419" s="32"/>
      <x:c r="O419" s="32"/>
      <x:c r="P419" s="32"/>
      <x:c r="Q419" s="31"/>
      <x:c r="R419" s="31"/>
      <x:c r="S419" s="31"/>
      <x:c r="T419" s="32"/>
      <x:c r="U419" s="32"/>
      <x:c r="V419" s="31"/>
      <x:c r="W419" s="31"/>
      <x:c r="X419" s="31"/>
      <x:c r="Y419" s="32"/>
      <x:c r="Z419" s="31"/>
      <x:c r="AA419" s="32"/>
      <x:c r="AB419" s="31"/>
      <x:c r="AC419" s="31"/>
      <x:c r="AD419" s="31"/>
      <x:c r="AE419" s="31"/>
      <x:c r="AF419" s="31"/>
    </x:row>
    <x:row r="420">
      <x:c r="A420" s="79"/>
      <x:c r="B420" s="31"/>
      <x:c r="C420" s="31"/>
      <x:c r="D420" s="31"/>
      <x:c r="E420" s="31"/>
      <x:c r="F420" s="31"/>
      <x:c r="G420" s="31"/>
      <x:c r="H420" s="31"/>
      <x:c r="I420" s="31"/>
      <x:c r="J420" s="32"/>
      <x:c r="K420" s="32"/>
      <x:c r="L420" s="32"/>
      <x:c r="M420" s="32"/>
      <x:c r="N420" s="32"/>
      <x:c r="O420" s="32"/>
      <x:c r="P420" s="32"/>
      <x:c r="Q420" s="31"/>
      <x:c r="R420" s="31"/>
      <x:c r="S420" s="31"/>
      <x:c r="T420" s="32"/>
      <x:c r="U420" s="32"/>
      <x:c r="V420" s="31"/>
      <x:c r="W420" s="31"/>
      <x:c r="X420" s="31"/>
      <x:c r="Y420" s="32"/>
      <x:c r="Z420" s="31"/>
      <x:c r="AA420" s="32"/>
      <x:c r="AB420" s="31"/>
      <x:c r="AC420" s="31"/>
      <x:c r="AD420" s="31"/>
      <x:c r="AE420" s="31"/>
      <x:c r="AF420" s="31"/>
    </x:row>
    <x:row r="421">
      <x:c r="A421" s="79"/>
      <x:c r="B421" s="31"/>
      <x:c r="C421" s="31"/>
      <x:c r="D421" s="31"/>
      <x:c r="E421" s="31"/>
      <x:c r="F421" s="31"/>
      <x:c r="G421" s="31"/>
      <x:c r="H421" s="31"/>
      <x:c r="I421" s="31"/>
      <x:c r="J421" s="32"/>
      <x:c r="K421" s="32"/>
      <x:c r="L421" s="32"/>
      <x:c r="M421" s="32"/>
      <x:c r="N421" s="32"/>
      <x:c r="O421" s="32"/>
      <x:c r="P421" s="32"/>
      <x:c r="Q421" s="31"/>
      <x:c r="R421" s="31"/>
      <x:c r="S421" s="31"/>
      <x:c r="T421" s="32"/>
      <x:c r="U421" s="32"/>
      <x:c r="V421" s="31"/>
      <x:c r="W421" s="31"/>
      <x:c r="X421" s="31"/>
      <x:c r="Y421" s="32"/>
      <x:c r="Z421" s="31"/>
      <x:c r="AA421" s="32"/>
      <x:c r="AB421" s="31"/>
      <x:c r="AC421" s="31"/>
      <x:c r="AD421" s="31"/>
      <x:c r="AE421" s="31"/>
      <x:c r="AF421" s="31"/>
    </x:row>
    <x:row r="422">
      <x:c r="A422" s="79"/>
      <x:c r="B422" s="31"/>
      <x:c r="C422" s="31"/>
      <x:c r="D422" s="31"/>
      <x:c r="E422" s="31"/>
      <x:c r="F422" s="31"/>
      <x:c r="G422" s="31"/>
      <x:c r="H422" s="31"/>
      <x:c r="I422" s="31"/>
      <x:c r="J422" s="32"/>
      <x:c r="K422" s="32"/>
      <x:c r="L422" s="32"/>
      <x:c r="M422" s="32"/>
      <x:c r="N422" s="32"/>
      <x:c r="O422" s="32"/>
      <x:c r="P422" s="32"/>
      <x:c r="Q422" s="31"/>
      <x:c r="R422" s="31"/>
      <x:c r="S422" s="31"/>
      <x:c r="T422" s="32"/>
      <x:c r="U422" s="32"/>
      <x:c r="V422" s="31"/>
      <x:c r="W422" s="31"/>
      <x:c r="X422" s="31"/>
      <x:c r="Y422" s="32"/>
      <x:c r="Z422" s="31"/>
      <x:c r="AA422" s="32"/>
      <x:c r="AB422" s="31"/>
      <x:c r="AC422" s="31"/>
      <x:c r="AD422" s="31"/>
      <x:c r="AE422" s="31"/>
      <x:c r="AF422" s="31"/>
    </x:row>
    <x:row r="423">
      <x:c r="A423" s="79"/>
      <x:c r="B423" s="31"/>
      <x:c r="C423" s="31"/>
      <x:c r="D423" s="31"/>
      <x:c r="E423" s="31"/>
      <x:c r="F423" s="31"/>
      <x:c r="G423" s="31"/>
      <x:c r="H423" s="31"/>
      <x:c r="I423" s="31"/>
      <x:c r="J423" s="32"/>
      <x:c r="K423" s="32"/>
      <x:c r="L423" s="32"/>
      <x:c r="M423" s="32"/>
      <x:c r="N423" s="32"/>
      <x:c r="O423" s="32"/>
      <x:c r="P423" s="32"/>
      <x:c r="Q423" s="31"/>
      <x:c r="R423" s="31"/>
      <x:c r="S423" s="31"/>
      <x:c r="T423" s="32"/>
      <x:c r="U423" s="32"/>
      <x:c r="V423" s="31"/>
      <x:c r="W423" s="31"/>
      <x:c r="X423" s="31"/>
      <x:c r="Y423" s="32"/>
      <x:c r="Z423" s="31"/>
      <x:c r="AA423" s="32"/>
      <x:c r="AB423" s="31"/>
      <x:c r="AC423" s="31"/>
      <x:c r="AD423" s="31"/>
      <x:c r="AE423" s="31"/>
      <x:c r="AF423" s="31"/>
    </x:row>
    <x:row r="424">
      <x:c r="A424" s="79"/>
      <x:c r="B424" s="31"/>
      <x:c r="C424" s="31"/>
      <x:c r="D424" s="31"/>
      <x:c r="E424" s="31"/>
      <x:c r="F424" s="31"/>
      <x:c r="G424" s="31"/>
      <x:c r="H424" s="31"/>
      <x:c r="I424" s="31"/>
      <x:c r="J424" s="32"/>
      <x:c r="K424" s="32"/>
      <x:c r="L424" s="32"/>
      <x:c r="M424" s="32"/>
      <x:c r="N424" s="32"/>
      <x:c r="O424" s="32"/>
      <x:c r="P424" s="32"/>
      <x:c r="Q424" s="31"/>
      <x:c r="R424" s="31"/>
      <x:c r="S424" s="31"/>
      <x:c r="T424" s="32"/>
      <x:c r="U424" s="32"/>
      <x:c r="V424" s="31"/>
      <x:c r="W424" s="31"/>
      <x:c r="X424" s="31"/>
      <x:c r="Y424" s="32"/>
      <x:c r="Z424" s="31"/>
      <x:c r="AA424" s="32"/>
      <x:c r="AB424" s="31"/>
      <x:c r="AC424" s="31"/>
      <x:c r="AD424" s="31"/>
      <x:c r="AE424" s="31"/>
      <x:c r="AF424" s="31"/>
    </x:row>
    <x:row r="425">
      <x:c r="A425" s="79"/>
      <x:c r="B425" s="31"/>
      <x:c r="C425" s="31"/>
      <x:c r="D425" s="31"/>
      <x:c r="E425" s="31"/>
      <x:c r="F425" s="31"/>
      <x:c r="G425" s="31"/>
      <x:c r="H425" s="31"/>
      <x:c r="I425" s="31"/>
      <x:c r="J425" s="32"/>
      <x:c r="K425" s="32"/>
      <x:c r="L425" s="32"/>
      <x:c r="M425" s="32"/>
      <x:c r="N425" s="32"/>
      <x:c r="O425" s="32"/>
      <x:c r="P425" s="32"/>
      <x:c r="Q425" s="31"/>
      <x:c r="R425" s="31"/>
      <x:c r="S425" s="31"/>
      <x:c r="T425" s="32"/>
      <x:c r="U425" s="32"/>
      <x:c r="V425" s="31"/>
      <x:c r="W425" s="31"/>
      <x:c r="X425" s="31"/>
      <x:c r="Y425" s="32"/>
      <x:c r="Z425" s="31"/>
      <x:c r="AA425" s="32"/>
      <x:c r="AB425" s="31"/>
      <x:c r="AC425" s="31"/>
      <x:c r="AD425" s="31"/>
      <x:c r="AE425" s="31"/>
      <x:c r="AF425" s="31"/>
    </x:row>
    <x:row r="426">
      <x:c r="A426" s="79"/>
      <x:c r="B426" s="31"/>
      <x:c r="C426" s="31"/>
      <x:c r="D426" s="31"/>
      <x:c r="E426" s="31"/>
      <x:c r="F426" s="31"/>
      <x:c r="G426" s="31"/>
      <x:c r="H426" s="31"/>
      <x:c r="I426" s="31"/>
      <x:c r="J426" s="32"/>
      <x:c r="K426" s="32"/>
      <x:c r="L426" s="32"/>
      <x:c r="M426" s="32"/>
      <x:c r="N426" s="32"/>
      <x:c r="O426" s="32"/>
      <x:c r="P426" s="32"/>
      <x:c r="Q426" s="31"/>
      <x:c r="R426" s="31"/>
      <x:c r="S426" s="31"/>
      <x:c r="T426" s="32"/>
      <x:c r="U426" s="32"/>
      <x:c r="V426" s="31"/>
      <x:c r="W426" s="31"/>
      <x:c r="X426" s="31"/>
      <x:c r="Y426" s="32"/>
      <x:c r="Z426" s="31"/>
      <x:c r="AA426" s="32"/>
      <x:c r="AB426" s="31"/>
      <x:c r="AC426" s="31"/>
      <x:c r="AD426" s="31"/>
      <x:c r="AE426" s="31"/>
      <x:c r="AF426" s="31"/>
    </x:row>
    <x:row r="427">
      <x:c r="A427" s="79"/>
      <x:c r="B427" s="31"/>
      <x:c r="C427" s="31"/>
      <x:c r="D427" s="31"/>
      <x:c r="E427" s="31"/>
      <x:c r="F427" s="31"/>
      <x:c r="G427" s="31"/>
      <x:c r="H427" s="31"/>
      <x:c r="I427" s="31"/>
      <x:c r="J427" s="32"/>
      <x:c r="K427" s="32"/>
      <x:c r="L427" s="32"/>
      <x:c r="M427" s="32"/>
      <x:c r="N427" s="32"/>
      <x:c r="O427" s="32"/>
      <x:c r="P427" s="32"/>
      <x:c r="Q427" s="31"/>
      <x:c r="R427" s="31"/>
      <x:c r="S427" s="31"/>
      <x:c r="T427" s="32"/>
      <x:c r="U427" s="32"/>
      <x:c r="V427" s="31"/>
      <x:c r="W427" s="31"/>
      <x:c r="X427" s="31"/>
      <x:c r="Y427" s="32"/>
      <x:c r="Z427" s="31"/>
      <x:c r="AA427" s="32"/>
      <x:c r="AB427" s="31"/>
      <x:c r="AC427" s="31"/>
      <x:c r="AD427" s="31"/>
      <x:c r="AE427" s="31"/>
      <x:c r="AF427" s="31"/>
    </x:row>
    <x:row r="428">
      <x:c r="A428" s="79"/>
      <x:c r="B428" s="31"/>
      <x:c r="C428" s="31"/>
      <x:c r="D428" s="31"/>
      <x:c r="E428" s="31"/>
      <x:c r="F428" s="31"/>
      <x:c r="G428" s="31"/>
      <x:c r="H428" s="31"/>
      <x:c r="I428" s="31"/>
      <x:c r="J428" s="32"/>
      <x:c r="K428" s="32"/>
      <x:c r="L428" s="32"/>
      <x:c r="M428" s="32"/>
      <x:c r="N428" s="32"/>
      <x:c r="O428" s="32"/>
      <x:c r="P428" s="32"/>
      <x:c r="Q428" s="31"/>
      <x:c r="R428" s="31"/>
      <x:c r="S428" s="31"/>
      <x:c r="T428" s="32"/>
      <x:c r="U428" s="32"/>
      <x:c r="V428" s="31"/>
      <x:c r="W428" s="31"/>
      <x:c r="X428" s="31"/>
      <x:c r="Y428" s="32"/>
      <x:c r="Z428" s="31"/>
      <x:c r="AA428" s="32"/>
      <x:c r="AB428" s="31"/>
      <x:c r="AC428" s="31"/>
      <x:c r="AD428" s="31"/>
      <x:c r="AE428" s="31"/>
      <x:c r="AF428" s="31"/>
    </x:row>
    <x:row r="429">
      <x:c r="A429" s="79"/>
      <x:c r="B429" s="31"/>
      <x:c r="C429" s="31"/>
      <x:c r="D429" s="31"/>
      <x:c r="E429" s="31"/>
      <x:c r="F429" s="31"/>
      <x:c r="G429" s="31"/>
      <x:c r="H429" s="31"/>
      <x:c r="I429" s="31"/>
      <x:c r="J429" s="32"/>
      <x:c r="K429" s="32"/>
      <x:c r="L429" s="32"/>
      <x:c r="M429" s="32"/>
      <x:c r="N429" s="32"/>
      <x:c r="O429" s="32"/>
      <x:c r="P429" s="32"/>
      <x:c r="Q429" s="31"/>
      <x:c r="R429" s="31"/>
      <x:c r="S429" s="31"/>
      <x:c r="T429" s="32"/>
      <x:c r="U429" s="32"/>
      <x:c r="V429" s="31"/>
      <x:c r="W429" s="31"/>
      <x:c r="X429" s="31"/>
      <x:c r="Y429" s="32"/>
      <x:c r="Z429" s="31"/>
      <x:c r="AA429" s="32"/>
      <x:c r="AB429" s="31"/>
      <x:c r="AC429" s="31"/>
      <x:c r="AD429" s="31"/>
      <x:c r="AE429" s="31"/>
      <x:c r="AF429" s="31"/>
    </x:row>
    <x:row r="430">
      <x:c r="A430" s="79"/>
      <x:c r="B430" s="31"/>
      <x:c r="C430" s="31"/>
      <x:c r="D430" s="31"/>
      <x:c r="E430" s="31"/>
      <x:c r="F430" s="31"/>
      <x:c r="G430" s="31"/>
      <x:c r="H430" s="31"/>
      <x:c r="I430" s="31"/>
      <x:c r="J430" s="32"/>
      <x:c r="K430" s="32"/>
      <x:c r="L430" s="32"/>
      <x:c r="M430" s="32"/>
      <x:c r="N430" s="32"/>
      <x:c r="O430" s="32"/>
      <x:c r="P430" s="32"/>
      <x:c r="Q430" s="31"/>
      <x:c r="R430" s="31"/>
      <x:c r="S430" s="31"/>
      <x:c r="T430" s="32"/>
      <x:c r="U430" s="32"/>
      <x:c r="V430" s="31"/>
      <x:c r="W430" s="31"/>
      <x:c r="X430" s="31"/>
      <x:c r="Y430" s="32"/>
      <x:c r="Z430" s="31"/>
      <x:c r="AA430" s="32"/>
      <x:c r="AB430" s="31"/>
      <x:c r="AC430" s="31"/>
      <x:c r="AD430" s="31"/>
      <x:c r="AE430" s="31"/>
      <x:c r="AF430" s="31"/>
    </x:row>
    <x:row r="431">
      <x:c r="A431" s="79"/>
      <x:c r="B431" s="31"/>
      <x:c r="C431" s="31"/>
      <x:c r="D431" s="31"/>
      <x:c r="E431" s="31"/>
      <x:c r="F431" s="31"/>
      <x:c r="G431" s="31"/>
      <x:c r="H431" s="31"/>
      <x:c r="I431" s="31"/>
      <x:c r="J431" s="32"/>
      <x:c r="K431" s="32"/>
      <x:c r="L431" s="32"/>
      <x:c r="M431" s="32"/>
      <x:c r="N431" s="32"/>
      <x:c r="O431" s="32"/>
      <x:c r="P431" s="32"/>
      <x:c r="Q431" s="31"/>
      <x:c r="R431" s="31"/>
      <x:c r="S431" s="31"/>
      <x:c r="T431" s="32"/>
      <x:c r="U431" s="32"/>
      <x:c r="V431" s="31"/>
      <x:c r="W431" s="31"/>
      <x:c r="X431" s="31"/>
      <x:c r="Y431" s="32"/>
      <x:c r="Z431" s="31"/>
      <x:c r="AA431" s="32"/>
      <x:c r="AB431" s="31"/>
      <x:c r="AC431" s="31"/>
      <x:c r="AD431" s="31"/>
      <x:c r="AE431" s="31"/>
      <x:c r="AF431" s="31"/>
    </x:row>
    <x:row r="432">
      <x:c r="A432" s="79"/>
      <x:c r="B432" s="31"/>
      <x:c r="C432" s="31"/>
      <x:c r="D432" s="31"/>
      <x:c r="E432" s="31"/>
      <x:c r="F432" s="31"/>
      <x:c r="G432" s="31"/>
      <x:c r="H432" s="31"/>
      <x:c r="I432" s="31"/>
      <x:c r="J432" s="32"/>
      <x:c r="K432" s="32"/>
      <x:c r="L432" s="32"/>
      <x:c r="M432" s="32"/>
      <x:c r="N432" s="32"/>
      <x:c r="O432" s="32"/>
      <x:c r="P432" s="32"/>
      <x:c r="Q432" s="31"/>
      <x:c r="R432" s="31"/>
      <x:c r="S432" s="31"/>
      <x:c r="T432" s="32"/>
      <x:c r="U432" s="32"/>
      <x:c r="V432" s="31"/>
      <x:c r="W432" s="31"/>
      <x:c r="X432" s="31"/>
      <x:c r="Y432" s="32"/>
      <x:c r="Z432" s="31"/>
      <x:c r="AA432" s="32"/>
      <x:c r="AB432" s="31"/>
      <x:c r="AC432" s="31"/>
      <x:c r="AD432" s="31"/>
      <x:c r="AE432" s="31"/>
      <x:c r="AF432" s="31"/>
    </x:row>
    <x:row r="433">
      <x:c r="A433" s="79"/>
      <x:c r="B433" s="31"/>
      <x:c r="C433" s="31"/>
      <x:c r="D433" s="31"/>
      <x:c r="E433" s="31"/>
      <x:c r="F433" s="31"/>
      <x:c r="G433" s="31"/>
      <x:c r="H433" s="31"/>
      <x:c r="I433" s="31"/>
      <x:c r="J433" s="32"/>
      <x:c r="K433" s="32"/>
      <x:c r="L433" s="32"/>
      <x:c r="M433" s="32"/>
      <x:c r="N433" s="32"/>
      <x:c r="O433" s="32"/>
      <x:c r="P433" s="32"/>
      <x:c r="Q433" s="31"/>
      <x:c r="R433" s="31"/>
      <x:c r="S433" s="31"/>
      <x:c r="T433" s="32"/>
      <x:c r="U433" s="32"/>
      <x:c r="V433" s="31"/>
      <x:c r="W433" s="31"/>
      <x:c r="X433" s="31"/>
      <x:c r="Y433" s="32"/>
      <x:c r="Z433" s="31"/>
      <x:c r="AA433" s="32"/>
      <x:c r="AB433" s="31"/>
      <x:c r="AC433" s="31"/>
      <x:c r="AD433" s="31"/>
      <x:c r="AE433" s="31"/>
      <x:c r="AF433" s="31"/>
    </x:row>
    <x:row r="434">
      <x:c r="A434" s="79"/>
      <x:c r="B434" s="31"/>
      <x:c r="C434" s="31"/>
      <x:c r="D434" s="31"/>
      <x:c r="E434" s="31"/>
      <x:c r="F434" s="31"/>
      <x:c r="G434" s="31"/>
      <x:c r="H434" s="31"/>
      <x:c r="I434" s="31"/>
      <x:c r="J434" s="32"/>
      <x:c r="K434" s="32"/>
      <x:c r="L434" s="32"/>
      <x:c r="M434" s="32"/>
      <x:c r="N434" s="32"/>
      <x:c r="O434" s="32"/>
      <x:c r="P434" s="32"/>
      <x:c r="Q434" s="31"/>
      <x:c r="R434" s="31"/>
      <x:c r="S434" s="31"/>
      <x:c r="T434" s="32"/>
      <x:c r="U434" s="32"/>
      <x:c r="V434" s="31"/>
      <x:c r="W434" s="31"/>
      <x:c r="X434" s="31"/>
      <x:c r="Y434" s="32"/>
      <x:c r="Z434" s="31"/>
      <x:c r="AA434" s="32"/>
      <x:c r="AB434" s="31"/>
      <x:c r="AC434" s="31"/>
      <x:c r="AD434" s="31"/>
      <x:c r="AE434" s="31"/>
      <x:c r="AF434" s="31"/>
    </x:row>
    <x:row r="435">
      <x:c r="A435" s="79"/>
      <x:c r="B435" s="31"/>
      <x:c r="C435" s="31"/>
      <x:c r="D435" s="31"/>
      <x:c r="E435" s="31"/>
      <x:c r="F435" s="31"/>
      <x:c r="G435" s="31"/>
      <x:c r="H435" s="31"/>
      <x:c r="I435" s="31"/>
      <x:c r="J435" s="32"/>
      <x:c r="K435" s="32"/>
      <x:c r="L435" s="32"/>
      <x:c r="M435" s="32"/>
      <x:c r="N435" s="32"/>
      <x:c r="O435" s="32"/>
      <x:c r="P435" s="32"/>
      <x:c r="Q435" s="31"/>
      <x:c r="R435" s="31"/>
      <x:c r="S435" s="31"/>
      <x:c r="T435" s="32"/>
      <x:c r="U435" s="32"/>
      <x:c r="V435" s="31"/>
      <x:c r="W435" s="31"/>
      <x:c r="X435" s="31"/>
      <x:c r="Y435" s="32"/>
      <x:c r="Z435" s="31"/>
      <x:c r="AA435" s="32"/>
      <x:c r="AB435" s="31"/>
      <x:c r="AC435" s="31"/>
      <x:c r="AD435" s="31"/>
      <x:c r="AE435" s="31"/>
      <x:c r="AF435" s="31"/>
    </x:row>
    <x:row r="436">
      <x:c r="A436" s="79"/>
      <x:c r="B436" s="31"/>
      <x:c r="C436" s="31"/>
      <x:c r="D436" s="31"/>
      <x:c r="E436" s="31"/>
      <x:c r="F436" s="31"/>
      <x:c r="G436" s="31"/>
      <x:c r="H436" s="31"/>
      <x:c r="I436" s="31"/>
      <x:c r="J436" s="32"/>
      <x:c r="K436" s="32"/>
      <x:c r="L436" s="32"/>
      <x:c r="M436" s="32"/>
      <x:c r="N436" s="32"/>
      <x:c r="O436" s="32"/>
      <x:c r="P436" s="32"/>
      <x:c r="Q436" s="31"/>
      <x:c r="R436" s="31"/>
      <x:c r="S436" s="31"/>
      <x:c r="T436" s="32"/>
      <x:c r="U436" s="32"/>
      <x:c r="V436" s="31"/>
      <x:c r="W436" s="31"/>
      <x:c r="X436" s="31"/>
      <x:c r="Y436" s="32"/>
      <x:c r="Z436" s="31"/>
      <x:c r="AA436" s="32"/>
      <x:c r="AB436" s="31"/>
      <x:c r="AC436" s="31"/>
      <x:c r="AD436" s="31"/>
      <x:c r="AE436" s="31"/>
      <x:c r="AF436" s="31"/>
    </x:row>
    <x:row r="437">
      <x:c r="A437" s="79"/>
      <x:c r="B437" s="31"/>
      <x:c r="C437" s="31"/>
      <x:c r="D437" s="31"/>
      <x:c r="E437" s="31"/>
      <x:c r="F437" s="31"/>
      <x:c r="G437" s="31"/>
      <x:c r="H437" s="31"/>
      <x:c r="I437" s="31"/>
      <x:c r="J437" s="32"/>
      <x:c r="K437" s="32"/>
      <x:c r="L437" s="32"/>
      <x:c r="M437" s="32"/>
      <x:c r="N437" s="32"/>
      <x:c r="O437" s="32"/>
      <x:c r="P437" s="32"/>
      <x:c r="Q437" s="31"/>
      <x:c r="R437" s="31"/>
      <x:c r="S437" s="31"/>
      <x:c r="T437" s="32"/>
      <x:c r="U437" s="32"/>
      <x:c r="V437" s="31"/>
      <x:c r="W437" s="31"/>
      <x:c r="X437" s="31"/>
      <x:c r="Y437" s="32"/>
      <x:c r="Z437" s="31"/>
      <x:c r="AA437" s="32"/>
      <x:c r="AB437" s="31"/>
      <x:c r="AC437" s="31"/>
      <x:c r="AD437" s="31"/>
      <x:c r="AE437" s="31"/>
      <x:c r="AF437" s="31"/>
    </x:row>
    <x:row r="438">
      <x:c r="A438" s="79"/>
      <x:c r="B438" s="31"/>
      <x:c r="C438" s="31"/>
      <x:c r="D438" s="31"/>
      <x:c r="E438" s="31"/>
      <x:c r="F438" s="31"/>
      <x:c r="G438" s="31"/>
      <x:c r="H438" s="31"/>
      <x:c r="I438" s="31"/>
      <x:c r="J438" s="32"/>
      <x:c r="K438" s="32"/>
      <x:c r="L438" s="32"/>
      <x:c r="M438" s="32"/>
      <x:c r="N438" s="32"/>
      <x:c r="O438" s="32"/>
      <x:c r="P438" s="32"/>
      <x:c r="Q438" s="31"/>
      <x:c r="R438" s="31"/>
      <x:c r="S438" s="31"/>
      <x:c r="T438" s="32"/>
      <x:c r="U438" s="32"/>
      <x:c r="V438" s="31"/>
      <x:c r="W438" s="31"/>
      <x:c r="X438" s="31"/>
      <x:c r="Y438" s="32"/>
      <x:c r="Z438" s="31"/>
      <x:c r="AA438" s="32"/>
      <x:c r="AB438" s="31"/>
      <x:c r="AC438" s="31"/>
      <x:c r="AD438" s="31"/>
      <x:c r="AE438" s="31"/>
      <x:c r="AF438" s="31"/>
    </x:row>
    <x:row r="439">
      <x:c r="A439" s="79"/>
      <x:c r="B439" s="31"/>
      <x:c r="C439" s="31"/>
      <x:c r="D439" s="31"/>
      <x:c r="E439" s="31"/>
      <x:c r="F439" s="31"/>
      <x:c r="G439" s="31"/>
      <x:c r="H439" s="31"/>
      <x:c r="I439" s="31"/>
      <x:c r="J439" s="32"/>
      <x:c r="K439" s="32"/>
      <x:c r="L439" s="32"/>
      <x:c r="M439" s="32"/>
      <x:c r="N439" s="32"/>
      <x:c r="O439" s="32"/>
      <x:c r="P439" s="32"/>
      <x:c r="Q439" s="31"/>
      <x:c r="R439" s="31"/>
      <x:c r="S439" s="31"/>
      <x:c r="T439" s="32"/>
      <x:c r="U439" s="32"/>
      <x:c r="V439" s="31"/>
      <x:c r="W439" s="31"/>
      <x:c r="X439" s="31"/>
      <x:c r="Y439" s="32"/>
      <x:c r="Z439" s="31"/>
      <x:c r="AA439" s="32"/>
      <x:c r="AB439" s="31"/>
      <x:c r="AC439" s="31"/>
      <x:c r="AD439" s="31"/>
      <x:c r="AE439" s="31"/>
      <x:c r="AF439" s="31"/>
    </x:row>
    <x:row r="440">
      <x:c r="A440" s="79"/>
      <x:c r="B440" s="31"/>
      <x:c r="C440" s="31"/>
      <x:c r="D440" s="31"/>
      <x:c r="E440" s="31"/>
      <x:c r="F440" s="31"/>
      <x:c r="G440" s="31"/>
      <x:c r="H440" s="31"/>
      <x:c r="I440" s="31"/>
      <x:c r="J440" s="32"/>
      <x:c r="K440" s="32"/>
      <x:c r="L440" s="32"/>
      <x:c r="M440" s="32"/>
      <x:c r="N440" s="32"/>
      <x:c r="O440" s="32"/>
      <x:c r="P440" s="32"/>
      <x:c r="Q440" s="31"/>
      <x:c r="R440" s="31"/>
      <x:c r="S440" s="31"/>
      <x:c r="T440" s="32"/>
      <x:c r="U440" s="32"/>
      <x:c r="V440" s="31"/>
      <x:c r="W440" s="31"/>
      <x:c r="X440" s="31"/>
      <x:c r="Y440" s="32"/>
      <x:c r="Z440" s="31"/>
      <x:c r="AA440" s="32"/>
      <x:c r="AB440" s="31"/>
      <x:c r="AC440" s="31"/>
      <x:c r="AD440" s="31"/>
      <x:c r="AE440" s="31"/>
      <x:c r="AF440" s="31"/>
    </x:row>
    <x:row r="441">
      <x:c r="A441" s="79"/>
      <x:c r="B441" s="31"/>
      <x:c r="C441" s="31"/>
      <x:c r="D441" s="31"/>
      <x:c r="E441" s="31"/>
      <x:c r="F441" s="31"/>
      <x:c r="G441" s="31"/>
      <x:c r="H441" s="31"/>
      <x:c r="I441" s="31"/>
      <x:c r="J441" s="32"/>
      <x:c r="K441" s="32"/>
      <x:c r="L441" s="32"/>
      <x:c r="M441" s="32"/>
      <x:c r="N441" s="32"/>
      <x:c r="O441" s="32"/>
      <x:c r="P441" s="32"/>
      <x:c r="Q441" s="31"/>
      <x:c r="R441" s="31"/>
      <x:c r="S441" s="31"/>
      <x:c r="T441" s="32"/>
      <x:c r="U441" s="32"/>
      <x:c r="V441" s="31"/>
      <x:c r="W441" s="31"/>
      <x:c r="X441" s="31"/>
      <x:c r="Y441" s="32"/>
      <x:c r="Z441" s="31"/>
      <x:c r="AA441" s="32"/>
      <x:c r="AB441" s="31"/>
      <x:c r="AC441" s="31"/>
      <x:c r="AD441" s="31"/>
      <x:c r="AE441" s="31"/>
      <x:c r="AF441" s="31"/>
    </x:row>
    <x:row r="442">
      <x:c r="A442" s="79"/>
      <x:c r="B442" s="31"/>
      <x:c r="C442" s="31"/>
      <x:c r="D442" s="31"/>
      <x:c r="E442" s="31"/>
      <x:c r="F442" s="31"/>
      <x:c r="G442" s="31"/>
      <x:c r="H442" s="31"/>
      <x:c r="I442" s="31"/>
      <x:c r="J442" s="32"/>
      <x:c r="K442" s="32"/>
      <x:c r="L442" s="32"/>
      <x:c r="M442" s="32"/>
      <x:c r="N442" s="32"/>
      <x:c r="O442" s="32"/>
      <x:c r="P442" s="32"/>
      <x:c r="Q442" s="31"/>
      <x:c r="R442" s="31"/>
      <x:c r="S442" s="31"/>
      <x:c r="T442" s="32"/>
      <x:c r="U442" s="32"/>
      <x:c r="V442" s="31"/>
      <x:c r="W442" s="31"/>
      <x:c r="X442" s="31"/>
      <x:c r="Y442" s="32"/>
      <x:c r="Z442" s="31"/>
      <x:c r="AA442" s="32"/>
      <x:c r="AB442" s="31"/>
      <x:c r="AC442" s="31"/>
      <x:c r="AD442" s="31"/>
      <x:c r="AE442" s="31"/>
      <x:c r="AF442" s="31"/>
    </x:row>
    <x:row r="443">
      <x:c r="A443" s="79"/>
      <x:c r="B443" s="31"/>
      <x:c r="C443" s="31"/>
      <x:c r="D443" s="31"/>
      <x:c r="E443" s="31"/>
      <x:c r="F443" s="31"/>
      <x:c r="G443" s="31"/>
      <x:c r="H443" s="31"/>
      <x:c r="I443" s="31"/>
      <x:c r="J443" s="32"/>
      <x:c r="K443" s="32"/>
      <x:c r="L443" s="32"/>
      <x:c r="M443" s="32"/>
      <x:c r="N443" s="32"/>
      <x:c r="O443" s="32"/>
      <x:c r="P443" s="32"/>
      <x:c r="Q443" s="31"/>
      <x:c r="R443" s="31"/>
      <x:c r="S443" s="31"/>
      <x:c r="T443" s="32"/>
      <x:c r="U443" s="32"/>
      <x:c r="V443" s="31"/>
      <x:c r="W443" s="31"/>
      <x:c r="X443" s="31"/>
      <x:c r="Y443" s="32"/>
      <x:c r="Z443" s="31"/>
      <x:c r="AA443" s="32"/>
      <x:c r="AB443" s="31"/>
      <x:c r="AC443" s="31"/>
      <x:c r="AD443" s="31"/>
      <x:c r="AE443" s="31"/>
      <x:c r="AF443" s="31"/>
    </x:row>
    <x:row r="444">
      <x:c r="A444" s="79"/>
      <x:c r="B444" s="31"/>
      <x:c r="C444" s="31"/>
      <x:c r="D444" s="31"/>
      <x:c r="E444" s="31"/>
      <x:c r="F444" s="31"/>
      <x:c r="G444" s="31"/>
      <x:c r="H444" s="31"/>
      <x:c r="I444" s="31"/>
      <x:c r="J444" s="32"/>
      <x:c r="K444" s="32"/>
      <x:c r="L444" s="32"/>
      <x:c r="M444" s="32"/>
      <x:c r="N444" s="32"/>
      <x:c r="O444" s="32"/>
      <x:c r="P444" s="32"/>
      <x:c r="Q444" s="31"/>
      <x:c r="R444" s="31"/>
      <x:c r="S444" s="31"/>
      <x:c r="T444" s="32"/>
      <x:c r="U444" s="32"/>
      <x:c r="V444" s="31"/>
      <x:c r="W444" s="31"/>
      <x:c r="X444" s="31"/>
      <x:c r="Y444" s="32"/>
      <x:c r="Z444" s="31"/>
      <x:c r="AA444" s="32"/>
      <x:c r="AB444" s="31"/>
      <x:c r="AC444" s="31"/>
      <x:c r="AD444" s="31"/>
      <x:c r="AE444" s="31"/>
      <x:c r="AF444" s="31"/>
    </x:row>
    <x:row r="445">
      <x:c r="A445" s="79"/>
      <x:c r="B445" s="31"/>
      <x:c r="C445" s="31"/>
      <x:c r="D445" s="31"/>
      <x:c r="E445" s="31"/>
      <x:c r="F445" s="31"/>
      <x:c r="G445" s="31"/>
      <x:c r="H445" s="31"/>
      <x:c r="I445" s="31"/>
      <x:c r="J445" s="32"/>
      <x:c r="K445" s="32"/>
      <x:c r="L445" s="32"/>
      <x:c r="M445" s="32"/>
      <x:c r="N445" s="32"/>
      <x:c r="O445" s="32"/>
      <x:c r="P445" s="32"/>
      <x:c r="Q445" s="31"/>
      <x:c r="R445" s="31"/>
      <x:c r="S445" s="31"/>
      <x:c r="T445" s="32"/>
      <x:c r="U445" s="32"/>
      <x:c r="V445" s="31"/>
      <x:c r="W445" s="31"/>
      <x:c r="X445" s="31"/>
      <x:c r="Y445" s="32"/>
      <x:c r="Z445" s="31"/>
      <x:c r="AA445" s="32"/>
      <x:c r="AB445" s="31"/>
      <x:c r="AC445" s="31"/>
      <x:c r="AD445" s="31"/>
      <x:c r="AE445" s="31"/>
      <x:c r="AF445" s="31"/>
    </x:row>
    <x:row r="446">
      <x:c r="A446" s="79"/>
      <x:c r="B446" s="31"/>
      <x:c r="C446" s="31"/>
      <x:c r="D446" s="31"/>
      <x:c r="E446" s="31"/>
      <x:c r="F446" s="31"/>
      <x:c r="G446" s="31"/>
      <x:c r="H446" s="31"/>
      <x:c r="I446" s="31"/>
      <x:c r="J446" s="32"/>
      <x:c r="K446" s="32"/>
      <x:c r="L446" s="32"/>
      <x:c r="M446" s="32"/>
      <x:c r="N446" s="32"/>
      <x:c r="O446" s="32"/>
      <x:c r="P446" s="32"/>
      <x:c r="Q446" s="31"/>
      <x:c r="R446" s="31"/>
      <x:c r="S446" s="31"/>
      <x:c r="T446" s="32"/>
      <x:c r="U446" s="32"/>
      <x:c r="V446" s="31"/>
      <x:c r="W446" s="31"/>
      <x:c r="X446" s="31"/>
      <x:c r="Y446" s="32"/>
      <x:c r="Z446" s="31"/>
      <x:c r="AA446" s="32"/>
      <x:c r="AB446" s="31"/>
      <x:c r="AC446" s="31"/>
      <x:c r="AD446" s="31"/>
      <x:c r="AE446" s="31"/>
      <x:c r="AF446" s="31"/>
    </x:row>
    <x:row r="447">
      <x:c r="A447" s="79"/>
      <x:c r="B447" s="31"/>
      <x:c r="C447" s="31"/>
      <x:c r="D447" s="31"/>
      <x:c r="E447" s="31"/>
      <x:c r="F447" s="31"/>
      <x:c r="G447" s="31"/>
      <x:c r="H447" s="31"/>
      <x:c r="I447" s="31"/>
      <x:c r="J447" s="32"/>
      <x:c r="K447" s="32"/>
      <x:c r="L447" s="32"/>
      <x:c r="M447" s="32"/>
      <x:c r="N447" s="32"/>
      <x:c r="O447" s="32"/>
      <x:c r="P447" s="32"/>
      <x:c r="Q447" s="31"/>
      <x:c r="R447" s="31"/>
      <x:c r="S447" s="31"/>
      <x:c r="T447" s="32"/>
      <x:c r="U447" s="32"/>
      <x:c r="V447" s="31"/>
      <x:c r="W447" s="31"/>
      <x:c r="X447" s="31"/>
      <x:c r="Y447" s="32"/>
      <x:c r="Z447" s="31"/>
      <x:c r="AA447" s="32"/>
      <x:c r="AB447" s="31"/>
      <x:c r="AC447" s="31"/>
      <x:c r="AD447" s="31"/>
      <x:c r="AE447" s="31"/>
      <x:c r="AF447" s="31"/>
    </x:row>
    <x:row r="448">
      <x:c r="A448" s="79"/>
      <x:c r="B448" s="31"/>
      <x:c r="C448" s="31"/>
      <x:c r="D448" s="31"/>
      <x:c r="E448" s="31"/>
      <x:c r="F448" s="31"/>
      <x:c r="G448" s="31"/>
      <x:c r="H448" s="31"/>
      <x:c r="I448" s="31"/>
      <x:c r="J448" s="32"/>
      <x:c r="K448" s="32"/>
      <x:c r="L448" s="32"/>
      <x:c r="M448" s="32"/>
      <x:c r="N448" s="32"/>
      <x:c r="O448" s="32"/>
      <x:c r="P448" s="32"/>
      <x:c r="Q448" s="31"/>
      <x:c r="R448" s="31"/>
      <x:c r="S448" s="31"/>
      <x:c r="T448" s="32"/>
      <x:c r="U448" s="32"/>
      <x:c r="V448" s="31"/>
      <x:c r="W448" s="31"/>
      <x:c r="X448" s="31"/>
      <x:c r="Y448" s="32"/>
      <x:c r="Z448" s="31"/>
      <x:c r="AA448" s="32"/>
      <x:c r="AB448" s="31"/>
      <x:c r="AC448" s="31"/>
      <x:c r="AD448" s="31"/>
      <x:c r="AE448" s="31"/>
      <x:c r="AF448" s="31"/>
    </x:row>
    <x:row r="449">
      <x:c r="A449" s="79"/>
      <x:c r="B449" s="31"/>
      <x:c r="C449" s="31"/>
      <x:c r="D449" s="31"/>
      <x:c r="E449" s="31"/>
      <x:c r="F449" s="31"/>
      <x:c r="G449" s="31"/>
      <x:c r="H449" s="31"/>
      <x:c r="I449" s="31"/>
      <x:c r="J449" s="32"/>
      <x:c r="K449" s="32"/>
      <x:c r="L449" s="32"/>
      <x:c r="M449" s="32"/>
      <x:c r="N449" s="32"/>
      <x:c r="O449" s="32"/>
      <x:c r="P449" s="32"/>
      <x:c r="Q449" s="31"/>
      <x:c r="R449" s="31"/>
      <x:c r="S449" s="31"/>
      <x:c r="T449" s="32"/>
      <x:c r="U449" s="32"/>
      <x:c r="V449" s="31"/>
      <x:c r="W449" s="31"/>
      <x:c r="X449" s="31"/>
      <x:c r="Y449" s="32"/>
      <x:c r="Z449" s="31"/>
      <x:c r="AA449" s="32"/>
      <x:c r="AB449" s="31"/>
      <x:c r="AC449" s="31"/>
      <x:c r="AD449" s="31"/>
      <x:c r="AE449" s="31"/>
      <x:c r="AF449" s="31"/>
    </x:row>
    <x:row r="450">
      <x:c r="A450" s="79"/>
      <x:c r="B450" s="31"/>
      <x:c r="C450" s="31"/>
      <x:c r="D450" s="31"/>
      <x:c r="E450" s="31"/>
      <x:c r="F450" s="31"/>
      <x:c r="G450" s="31"/>
      <x:c r="H450" s="31"/>
      <x:c r="I450" s="31"/>
      <x:c r="J450" s="32"/>
      <x:c r="K450" s="32"/>
      <x:c r="L450" s="32"/>
      <x:c r="M450" s="32"/>
      <x:c r="N450" s="32"/>
      <x:c r="O450" s="32"/>
      <x:c r="P450" s="32"/>
      <x:c r="Q450" s="31"/>
      <x:c r="R450" s="31"/>
      <x:c r="S450" s="31"/>
      <x:c r="T450" s="32"/>
      <x:c r="U450" s="32"/>
      <x:c r="V450" s="31"/>
      <x:c r="W450" s="31"/>
      <x:c r="X450" s="31"/>
      <x:c r="Y450" s="32"/>
      <x:c r="Z450" s="31"/>
      <x:c r="AA450" s="32"/>
      <x:c r="AB450" s="31"/>
      <x:c r="AC450" s="31"/>
      <x:c r="AD450" s="31"/>
      <x:c r="AE450" s="31"/>
      <x:c r="AF450" s="31"/>
    </x:row>
    <x:row r="451">
      <x:c r="A451" s="79"/>
      <x:c r="B451" s="31"/>
      <x:c r="C451" s="31"/>
      <x:c r="D451" s="31"/>
      <x:c r="E451" s="31"/>
      <x:c r="F451" s="31"/>
      <x:c r="G451" s="31"/>
      <x:c r="H451" s="31"/>
      <x:c r="I451" s="31"/>
      <x:c r="J451" s="32"/>
      <x:c r="K451" s="32"/>
      <x:c r="L451" s="32"/>
      <x:c r="M451" s="32"/>
      <x:c r="N451" s="32"/>
      <x:c r="O451" s="32"/>
      <x:c r="P451" s="32"/>
      <x:c r="Q451" s="31"/>
      <x:c r="R451" s="31"/>
      <x:c r="S451" s="31"/>
      <x:c r="T451" s="32"/>
      <x:c r="U451" s="32"/>
      <x:c r="V451" s="31"/>
      <x:c r="W451" s="31"/>
      <x:c r="X451" s="31"/>
      <x:c r="Y451" s="32"/>
      <x:c r="Z451" s="31"/>
      <x:c r="AA451" s="32"/>
      <x:c r="AB451" s="31"/>
      <x:c r="AC451" s="31"/>
      <x:c r="AD451" s="31"/>
      <x:c r="AE451" s="31"/>
      <x:c r="AF451" s="31"/>
    </x:row>
    <x:row r="452">
      <x:c r="A452" s="79"/>
      <x:c r="B452" s="31"/>
      <x:c r="C452" s="31"/>
      <x:c r="D452" s="31"/>
      <x:c r="E452" s="31"/>
      <x:c r="F452" s="31"/>
      <x:c r="G452" s="31"/>
      <x:c r="H452" s="31"/>
      <x:c r="I452" s="31"/>
      <x:c r="J452" s="32"/>
      <x:c r="K452" s="32"/>
      <x:c r="L452" s="32"/>
      <x:c r="M452" s="32"/>
      <x:c r="N452" s="32"/>
      <x:c r="O452" s="32"/>
      <x:c r="P452" s="32"/>
      <x:c r="Q452" s="31"/>
      <x:c r="R452" s="31"/>
      <x:c r="S452" s="31"/>
      <x:c r="T452" s="32"/>
      <x:c r="U452" s="32"/>
      <x:c r="V452" s="31"/>
      <x:c r="W452" s="31"/>
      <x:c r="X452" s="31"/>
      <x:c r="Y452" s="32"/>
      <x:c r="Z452" s="31"/>
      <x:c r="AA452" s="32"/>
      <x:c r="AB452" s="31"/>
      <x:c r="AC452" s="31"/>
      <x:c r="AD452" s="31"/>
      <x:c r="AE452" s="31"/>
      <x:c r="AF452" s="31"/>
    </x:row>
    <x:row r="453">
      <x:c r="A453" s="79"/>
      <x:c r="B453" s="31"/>
      <x:c r="C453" s="31"/>
      <x:c r="D453" s="31"/>
      <x:c r="E453" s="31"/>
      <x:c r="F453" s="31"/>
      <x:c r="G453" s="31"/>
      <x:c r="H453" s="31"/>
      <x:c r="I453" s="31"/>
      <x:c r="J453" s="32"/>
      <x:c r="K453" s="32"/>
      <x:c r="L453" s="32"/>
      <x:c r="M453" s="32"/>
      <x:c r="N453" s="32"/>
      <x:c r="O453" s="32"/>
      <x:c r="P453" s="32"/>
      <x:c r="Q453" s="31"/>
      <x:c r="R453" s="31"/>
      <x:c r="S453" s="31"/>
      <x:c r="T453" s="32"/>
      <x:c r="U453" s="32"/>
      <x:c r="V453" s="31"/>
      <x:c r="W453" s="31"/>
      <x:c r="X453" s="31"/>
      <x:c r="Y453" s="32"/>
      <x:c r="Z453" s="31"/>
      <x:c r="AA453" s="32"/>
      <x:c r="AB453" s="31"/>
      <x:c r="AC453" s="31"/>
      <x:c r="AD453" s="31"/>
      <x:c r="AE453" s="31"/>
      <x:c r="AF453" s="31"/>
    </x:row>
    <x:row r="454">
      <x:c r="A454" s="79"/>
      <x:c r="B454" s="31"/>
      <x:c r="C454" s="31"/>
      <x:c r="D454" s="31"/>
      <x:c r="E454" s="31"/>
      <x:c r="F454" s="31"/>
      <x:c r="G454" s="31"/>
      <x:c r="H454" s="31"/>
      <x:c r="I454" s="31"/>
      <x:c r="J454" s="32"/>
      <x:c r="K454" s="32"/>
      <x:c r="L454" s="32"/>
      <x:c r="M454" s="32"/>
      <x:c r="N454" s="32"/>
      <x:c r="O454" s="32"/>
      <x:c r="P454" s="32"/>
      <x:c r="Q454" s="31"/>
      <x:c r="R454" s="31"/>
      <x:c r="S454" s="31"/>
      <x:c r="T454" s="32"/>
      <x:c r="U454" s="32"/>
      <x:c r="V454" s="31"/>
      <x:c r="W454" s="31"/>
      <x:c r="X454" s="31"/>
      <x:c r="Y454" s="32"/>
      <x:c r="Z454" s="31"/>
      <x:c r="AA454" s="32"/>
      <x:c r="AB454" s="31"/>
      <x:c r="AC454" s="31"/>
      <x:c r="AD454" s="31"/>
      <x:c r="AE454" s="31"/>
      <x:c r="AF454" s="31"/>
    </x:row>
    <x:row r="455">
      <x:c r="A455" s="79"/>
      <x:c r="B455" s="31"/>
      <x:c r="C455" s="31"/>
      <x:c r="D455" s="31"/>
      <x:c r="E455" s="31"/>
      <x:c r="F455" s="31"/>
      <x:c r="G455" s="31"/>
      <x:c r="H455" s="31"/>
      <x:c r="I455" s="31"/>
      <x:c r="J455" s="32"/>
      <x:c r="K455" s="32"/>
      <x:c r="L455" s="32"/>
      <x:c r="M455" s="32"/>
      <x:c r="N455" s="32"/>
      <x:c r="O455" s="32"/>
      <x:c r="P455" s="32"/>
      <x:c r="Q455" s="31"/>
      <x:c r="R455" s="31"/>
      <x:c r="S455" s="31"/>
      <x:c r="T455" s="32"/>
      <x:c r="U455" s="32"/>
      <x:c r="V455" s="31"/>
      <x:c r="W455" s="31"/>
      <x:c r="X455" s="31"/>
      <x:c r="Y455" s="32"/>
      <x:c r="Z455" s="31"/>
      <x:c r="AA455" s="32"/>
      <x:c r="AB455" s="31"/>
      <x:c r="AC455" s="31"/>
      <x:c r="AD455" s="31"/>
      <x:c r="AE455" s="31"/>
      <x:c r="AF455" s="31"/>
    </x:row>
    <x:row r="456">
      <x:c r="A456" s="79"/>
      <x:c r="B456" s="31"/>
      <x:c r="C456" s="31"/>
      <x:c r="D456" s="31"/>
      <x:c r="E456" s="31"/>
      <x:c r="F456" s="31"/>
      <x:c r="G456" s="31"/>
      <x:c r="H456" s="31"/>
      <x:c r="I456" s="31"/>
      <x:c r="J456" s="32"/>
      <x:c r="K456" s="32"/>
      <x:c r="L456" s="32"/>
      <x:c r="M456" s="32"/>
      <x:c r="N456" s="32"/>
      <x:c r="O456" s="32"/>
      <x:c r="P456" s="32"/>
      <x:c r="Q456" s="31"/>
      <x:c r="R456" s="31"/>
      <x:c r="S456" s="31"/>
      <x:c r="T456" s="32"/>
      <x:c r="U456" s="32"/>
      <x:c r="V456" s="31"/>
      <x:c r="W456" s="31"/>
      <x:c r="X456" s="31"/>
      <x:c r="Y456" s="32"/>
      <x:c r="Z456" s="31"/>
      <x:c r="AA456" s="32"/>
      <x:c r="AB456" s="31"/>
      <x:c r="AC456" s="31"/>
      <x:c r="AD456" s="31"/>
      <x:c r="AE456" s="31"/>
      <x:c r="AF456" s="31"/>
    </x:row>
    <x:row r="457">
      <x:c r="A457" s="79"/>
      <x:c r="B457" s="31"/>
      <x:c r="C457" s="31"/>
      <x:c r="D457" s="31"/>
      <x:c r="E457" s="31"/>
      <x:c r="F457" s="31"/>
      <x:c r="G457" s="31"/>
      <x:c r="H457" s="31"/>
      <x:c r="I457" s="31"/>
      <x:c r="J457" s="32"/>
      <x:c r="K457" s="32"/>
      <x:c r="L457" s="32"/>
      <x:c r="M457" s="32"/>
      <x:c r="N457" s="32"/>
      <x:c r="O457" s="32"/>
      <x:c r="P457" s="32"/>
      <x:c r="Q457" s="31"/>
      <x:c r="R457" s="31"/>
      <x:c r="S457" s="31"/>
      <x:c r="T457" s="32"/>
      <x:c r="U457" s="32"/>
      <x:c r="V457" s="31"/>
      <x:c r="W457" s="31"/>
      <x:c r="X457" s="31"/>
      <x:c r="Y457" s="32"/>
      <x:c r="Z457" s="31"/>
      <x:c r="AA457" s="32"/>
      <x:c r="AB457" s="31"/>
      <x:c r="AC457" s="31"/>
      <x:c r="AD457" s="31"/>
      <x:c r="AE457" s="31"/>
      <x:c r="AF457" s="31"/>
    </x:row>
    <x:row r="458">
      <x:c r="A458" s="79"/>
      <x:c r="B458" s="31"/>
      <x:c r="C458" s="31"/>
      <x:c r="D458" s="31"/>
      <x:c r="E458" s="31"/>
      <x:c r="F458" s="31"/>
      <x:c r="G458" s="31"/>
      <x:c r="H458" s="31"/>
      <x:c r="I458" s="31"/>
      <x:c r="J458" s="32"/>
      <x:c r="K458" s="32"/>
      <x:c r="L458" s="32"/>
      <x:c r="M458" s="32"/>
      <x:c r="N458" s="32"/>
      <x:c r="O458" s="32"/>
      <x:c r="P458" s="32"/>
      <x:c r="Q458" s="31"/>
      <x:c r="R458" s="31"/>
      <x:c r="S458" s="31"/>
      <x:c r="T458" s="32"/>
      <x:c r="U458" s="32"/>
      <x:c r="V458" s="31"/>
      <x:c r="W458" s="31"/>
      <x:c r="X458" s="31"/>
      <x:c r="Y458" s="32"/>
      <x:c r="Z458" s="31"/>
      <x:c r="AA458" s="32"/>
      <x:c r="AB458" s="31"/>
      <x:c r="AC458" s="31"/>
      <x:c r="AD458" s="31"/>
      <x:c r="AE458" s="31"/>
      <x:c r="AF458" s="31"/>
    </x:row>
    <x:row r="459">
      <x:c r="A459" s="79"/>
      <x:c r="B459" s="31"/>
      <x:c r="C459" s="31"/>
      <x:c r="D459" s="31"/>
      <x:c r="E459" s="31"/>
      <x:c r="F459" s="31"/>
      <x:c r="G459" s="31"/>
      <x:c r="H459" s="31"/>
      <x:c r="I459" s="31"/>
      <x:c r="J459" s="32"/>
      <x:c r="K459" s="32"/>
      <x:c r="L459" s="32"/>
      <x:c r="M459" s="32"/>
      <x:c r="N459" s="32"/>
      <x:c r="O459" s="32"/>
      <x:c r="P459" s="32"/>
      <x:c r="Q459" s="31"/>
      <x:c r="R459" s="31"/>
      <x:c r="S459" s="31"/>
      <x:c r="T459" s="32"/>
      <x:c r="U459" s="32"/>
      <x:c r="V459" s="31"/>
      <x:c r="W459" s="31"/>
      <x:c r="X459" s="31"/>
      <x:c r="Y459" s="32"/>
      <x:c r="Z459" s="31"/>
      <x:c r="AA459" s="32"/>
      <x:c r="AB459" s="31"/>
      <x:c r="AC459" s="31"/>
      <x:c r="AD459" s="31"/>
      <x:c r="AE459" s="31"/>
      <x:c r="AF459" s="31"/>
    </x:row>
    <x:row r="460">
      <x:c r="A460" s="79"/>
      <x:c r="B460" s="31"/>
      <x:c r="C460" s="31"/>
      <x:c r="D460" s="31"/>
      <x:c r="E460" s="31"/>
      <x:c r="F460" s="31"/>
      <x:c r="G460" s="31"/>
      <x:c r="H460" s="31"/>
      <x:c r="I460" s="31"/>
      <x:c r="J460" s="32"/>
      <x:c r="K460" s="32"/>
      <x:c r="L460" s="32"/>
      <x:c r="M460" s="32"/>
      <x:c r="N460" s="32"/>
      <x:c r="O460" s="32"/>
      <x:c r="P460" s="32"/>
      <x:c r="Q460" s="31"/>
      <x:c r="R460" s="31"/>
      <x:c r="S460" s="31"/>
      <x:c r="T460" s="32"/>
      <x:c r="U460" s="32"/>
      <x:c r="V460" s="31"/>
      <x:c r="W460" s="31"/>
      <x:c r="X460" s="31"/>
      <x:c r="Y460" s="32"/>
      <x:c r="Z460" s="31"/>
      <x:c r="AA460" s="32"/>
      <x:c r="AB460" s="31"/>
      <x:c r="AC460" s="31"/>
      <x:c r="AD460" s="31"/>
      <x:c r="AE460" s="31"/>
      <x:c r="AF460" s="31"/>
    </x:row>
    <x:row r="461">
      <x:c r="A461" s="79"/>
      <x:c r="B461" s="31"/>
      <x:c r="C461" s="31"/>
      <x:c r="D461" s="31"/>
      <x:c r="E461" s="31"/>
      <x:c r="F461" s="31"/>
      <x:c r="G461" s="31"/>
      <x:c r="H461" s="31"/>
      <x:c r="I461" s="31"/>
      <x:c r="J461" s="32"/>
      <x:c r="K461" s="32"/>
      <x:c r="L461" s="32"/>
      <x:c r="M461" s="32"/>
      <x:c r="N461" s="32"/>
      <x:c r="O461" s="32"/>
      <x:c r="P461" s="32"/>
      <x:c r="Q461" s="31"/>
      <x:c r="R461" s="31"/>
      <x:c r="S461" s="31"/>
      <x:c r="T461" s="32"/>
      <x:c r="U461" s="32"/>
      <x:c r="V461" s="31"/>
      <x:c r="W461" s="31"/>
      <x:c r="X461" s="31"/>
      <x:c r="Y461" s="32"/>
      <x:c r="Z461" s="31"/>
      <x:c r="AA461" s="32"/>
      <x:c r="AB461" s="31"/>
      <x:c r="AC461" s="31"/>
      <x:c r="AD461" s="31"/>
      <x:c r="AE461" s="31"/>
      <x:c r="AF461" s="31"/>
    </x:row>
    <x:row r="462">
      <x:c r="A462" s="79"/>
      <x:c r="B462" s="31"/>
      <x:c r="C462" s="31"/>
      <x:c r="D462" s="31"/>
      <x:c r="E462" s="31"/>
      <x:c r="F462" s="31"/>
      <x:c r="G462" s="31"/>
      <x:c r="H462" s="31"/>
      <x:c r="I462" s="31"/>
      <x:c r="J462" s="32"/>
      <x:c r="K462" s="32"/>
      <x:c r="L462" s="32"/>
      <x:c r="M462" s="32"/>
      <x:c r="N462" s="32"/>
      <x:c r="O462" s="32"/>
      <x:c r="P462" s="32"/>
      <x:c r="Q462" s="31"/>
      <x:c r="R462" s="31"/>
      <x:c r="S462" s="31"/>
      <x:c r="T462" s="32"/>
      <x:c r="U462" s="32"/>
      <x:c r="V462" s="31"/>
      <x:c r="W462" s="31"/>
      <x:c r="X462" s="31"/>
      <x:c r="Y462" s="32"/>
      <x:c r="Z462" s="31"/>
      <x:c r="AA462" s="32"/>
      <x:c r="AB462" s="31"/>
      <x:c r="AC462" s="31"/>
      <x:c r="AD462" s="31"/>
      <x:c r="AE462" s="31"/>
      <x:c r="AF462" s="31"/>
    </x:row>
    <x:row r="463">
      <x:c r="A463" s="79"/>
      <x:c r="B463" s="31"/>
      <x:c r="C463" s="31"/>
      <x:c r="D463" s="31"/>
      <x:c r="E463" s="31"/>
      <x:c r="F463" s="31"/>
      <x:c r="G463" s="31"/>
      <x:c r="H463" s="31"/>
      <x:c r="I463" s="31"/>
      <x:c r="J463" s="32"/>
      <x:c r="K463" s="32"/>
      <x:c r="L463" s="32"/>
      <x:c r="M463" s="32"/>
      <x:c r="N463" s="32"/>
      <x:c r="O463" s="32"/>
      <x:c r="P463" s="32"/>
      <x:c r="Q463" s="31"/>
      <x:c r="R463" s="31"/>
      <x:c r="S463" s="31"/>
      <x:c r="T463" s="32"/>
      <x:c r="U463" s="32"/>
      <x:c r="V463" s="31"/>
      <x:c r="W463" s="31"/>
      <x:c r="X463" s="31"/>
      <x:c r="Y463" s="32"/>
      <x:c r="Z463" s="31"/>
      <x:c r="AA463" s="32"/>
      <x:c r="AB463" s="31"/>
      <x:c r="AC463" s="31"/>
      <x:c r="AD463" s="31"/>
      <x:c r="AE463" s="31"/>
      <x:c r="AF463" s="31"/>
    </x:row>
    <x:row r="464">
      <x:c r="A464" s="79"/>
      <x:c r="B464" s="31"/>
      <x:c r="C464" s="31"/>
      <x:c r="D464" s="31"/>
      <x:c r="E464" s="31"/>
      <x:c r="F464" s="31"/>
      <x:c r="G464" s="31"/>
      <x:c r="H464" s="31"/>
      <x:c r="I464" s="31"/>
      <x:c r="J464" s="32"/>
      <x:c r="K464" s="32"/>
      <x:c r="L464" s="32"/>
      <x:c r="M464" s="32"/>
      <x:c r="N464" s="32"/>
      <x:c r="O464" s="32"/>
      <x:c r="P464" s="32"/>
      <x:c r="Q464" s="31"/>
      <x:c r="R464" s="31"/>
      <x:c r="S464" s="31"/>
      <x:c r="T464" s="32"/>
      <x:c r="U464" s="32"/>
      <x:c r="V464" s="31"/>
      <x:c r="W464" s="31"/>
      <x:c r="X464" s="31"/>
      <x:c r="Y464" s="32"/>
      <x:c r="Z464" s="31"/>
      <x:c r="AA464" s="32"/>
      <x:c r="AB464" s="31"/>
      <x:c r="AC464" s="31"/>
      <x:c r="AD464" s="31"/>
      <x:c r="AE464" s="31"/>
      <x:c r="AF464" s="31"/>
    </x:row>
    <x:row r="465">
      <x:c r="A465" s="79"/>
      <x:c r="B465" s="31"/>
      <x:c r="C465" s="31"/>
      <x:c r="D465" s="31"/>
      <x:c r="E465" s="31"/>
      <x:c r="F465" s="31"/>
      <x:c r="G465" s="31"/>
      <x:c r="H465" s="31"/>
      <x:c r="I465" s="31"/>
      <x:c r="J465" s="32"/>
      <x:c r="K465" s="32"/>
      <x:c r="L465" s="32"/>
      <x:c r="M465" s="32"/>
      <x:c r="N465" s="32"/>
      <x:c r="O465" s="32"/>
      <x:c r="P465" s="32"/>
      <x:c r="Q465" s="31"/>
      <x:c r="R465" s="31"/>
      <x:c r="S465" s="31"/>
      <x:c r="T465" s="32"/>
      <x:c r="U465" s="32"/>
      <x:c r="V465" s="31"/>
      <x:c r="W465" s="31"/>
      <x:c r="X465" s="31"/>
      <x:c r="Y465" s="32"/>
      <x:c r="Z465" s="31"/>
      <x:c r="AA465" s="32"/>
      <x:c r="AB465" s="31"/>
      <x:c r="AC465" s="31"/>
      <x:c r="AD465" s="31"/>
      <x:c r="AE465" s="31"/>
      <x:c r="AF465" s="31"/>
    </x:row>
    <x:row r="466">
      <x:c r="A466" s="79"/>
      <x:c r="B466" s="31"/>
      <x:c r="C466" s="31"/>
      <x:c r="D466" s="31"/>
      <x:c r="E466" s="31"/>
      <x:c r="F466" s="31"/>
      <x:c r="G466" s="31"/>
      <x:c r="H466" s="31"/>
      <x:c r="I466" s="31"/>
      <x:c r="J466" s="32"/>
      <x:c r="K466" s="32"/>
      <x:c r="L466" s="32"/>
      <x:c r="M466" s="32"/>
      <x:c r="N466" s="32"/>
      <x:c r="O466" s="32"/>
      <x:c r="P466" s="32"/>
      <x:c r="Q466" s="31"/>
      <x:c r="R466" s="31"/>
      <x:c r="S466" s="31"/>
      <x:c r="T466" s="32"/>
      <x:c r="U466" s="32"/>
      <x:c r="V466" s="31"/>
      <x:c r="W466" s="31"/>
      <x:c r="X466" s="31"/>
      <x:c r="Y466" s="32"/>
      <x:c r="Z466" s="31"/>
      <x:c r="AA466" s="32"/>
      <x:c r="AB466" s="31"/>
      <x:c r="AC466" s="31"/>
      <x:c r="AD466" s="31"/>
      <x:c r="AE466" s="31"/>
      <x:c r="AF466" s="31"/>
    </x:row>
    <x:row r="467">
      <x:c r="A467" s="79"/>
      <x:c r="B467" s="31"/>
      <x:c r="C467" s="31"/>
      <x:c r="D467" s="31"/>
      <x:c r="E467" s="31"/>
      <x:c r="F467" s="31"/>
      <x:c r="G467" s="31"/>
      <x:c r="H467" s="31"/>
      <x:c r="I467" s="31"/>
      <x:c r="J467" s="32"/>
      <x:c r="K467" s="32"/>
      <x:c r="L467" s="32"/>
      <x:c r="M467" s="32"/>
      <x:c r="N467" s="32"/>
      <x:c r="O467" s="32"/>
      <x:c r="P467" s="32"/>
      <x:c r="Q467" s="31"/>
      <x:c r="R467" s="31"/>
      <x:c r="S467" s="31"/>
      <x:c r="T467" s="32"/>
      <x:c r="U467" s="32"/>
      <x:c r="V467" s="31"/>
      <x:c r="W467" s="31"/>
      <x:c r="X467" s="31"/>
      <x:c r="Y467" s="32"/>
      <x:c r="Z467" s="31"/>
      <x:c r="AA467" s="32"/>
      <x:c r="AB467" s="31"/>
      <x:c r="AC467" s="31"/>
      <x:c r="AD467" s="31"/>
      <x:c r="AE467" s="31"/>
      <x:c r="AF467" s="31"/>
    </x:row>
    <x:row r="468">
      <x:c r="A468" s="79"/>
      <x:c r="B468" s="31"/>
      <x:c r="C468" s="31"/>
      <x:c r="D468" s="31"/>
      <x:c r="E468" s="31"/>
      <x:c r="F468" s="31"/>
      <x:c r="G468" s="31"/>
      <x:c r="H468" s="31"/>
      <x:c r="I468" s="31"/>
      <x:c r="J468" s="32"/>
      <x:c r="K468" s="32"/>
      <x:c r="L468" s="32"/>
      <x:c r="M468" s="32"/>
      <x:c r="N468" s="32"/>
      <x:c r="O468" s="32"/>
      <x:c r="P468" s="32"/>
      <x:c r="Q468" s="31"/>
      <x:c r="R468" s="31"/>
      <x:c r="S468" s="31"/>
      <x:c r="T468" s="32"/>
      <x:c r="U468" s="32"/>
      <x:c r="V468" s="31"/>
      <x:c r="W468" s="31"/>
      <x:c r="X468" s="31"/>
      <x:c r="Y468" s="32"/>
      <x:c r="Z468" s="31"/>
      <x:c r="AA468" s="32"/>
      <x:c r="AB468" s="31"/>
      <x:c r="AC468" s="31"/>
      <x:c r="AD468" s="31"/>
      <x:c r="AE468" s="31"/>
      <x:c r="AF468" s="31"/>
    </x:row>
    <x:row r="469">
      <x:c r="A469" s="79"/>
      <x:c r="B469" s="31"/>
      <x:c r="C469" s="31"/>
      <x:c r="D469" s="31"/>
      <x:c r="E469" s="31"/>
      <x:c r="F469" s="31"/>
      <x:c r="G469" s="31"/>
      <x:c r="H469" s="31"/>
      <x:c r="I469" s="31"/>
      <x:c r="J469" s="32"/>
      <x:c r="K469" s="32"/>
      <x:c r="L469" s="32"/>
      <x:c r="M469" s="32"/>
      <x:c r="N469" s="32"/>
      <x:c r="O469" s="32"/>
      <x:c r="P469" s="32"/>
      <x:c r="Q469" s="31"/>
      <x:c r="R469" s="31"/>
      <x:c r="S469" s="31"/>
      <x:c r="T469" s="32"/>
      <x:c r="U469" s="32"/>
      <x:c r="V469" s="31"/>
      <x:c r="W469" s="31"/>
      <x:c r="X469" s="31"/>
      <x:c r="Y469" s="32"/>
      <x:c r="Z469" s="31"/>
      <x:c r="AA469" s="32"/>
      <x:c r="AB469" s="31"/>
      <x:c r="AC469" s="31"/>
      <x:c r="AD469" s="31"/>
      <x:c r="AE469" s="31"/>
      <x:c r="AF469" s="31"/>
    </x:row>
    <x:row r="470">
      <x:c r="A470" s="79"/>
      <x:c r="B470" s="31"/>
      <x:c r="C470" s="31"/>
      <x:c r="D470" s="31"/>
      <x:c r="E470" s="31"/>
      <x:c r="F470" s="31"/>
      <x:c r="G470" s="31"/>
      <x:c r="H470" s="31"/>
      <x:c r="I470" s="31"/>
      <x:c r="J470" s="32"/>
      <x:c r="K470" s="32"/>
      <x:c r="L470" s="32"/>
      <x:c r="M470" s="32"/>
      <x:c r="N470" s="32"/>
      <x:c r="O470" s="32"/>
      <x:c r="P470" s="32"/>
      <x:c r="Q470" s="31"/>
      <x:c r="R470" s="31"/>
      <x:c r="S470" s="31"/>
      <x:c r="T470" s="32"/>
      <x:c r="U470" s="32"/>
      <x:c r="V470" s="31"/>
      <x:c r="W470" s="31"/>
      <x:c r="X470" s="31"/>
      <x:c r="Y470" s="32"/>
      <x:c r="Z470" s="31"/>
      <x:c r="AA470" s="32"/>
      <x:c r="AB470" s="31"/>
      <x:c r="AC470" s="31"/>
      <x:c r="AD470" s="31"/>
      <x:c r="AE470" s="31"/>
      <x:c r="AF470" s="31"/>
    </x:row>
    <x:row r="471">
      <x:c r="A471" s="79"/>
      <x:c r="B471" s="31"/>
      <x:c r="C471" s="31"/>
      <x:c r="D471" s="31"/>
      <x:c r="E471" s="31"/>
      <x:c r="F471" s="31"/>
      <x:c r="G471" s="31"/>
      <x:c r="H471" s="31"/>
      <x:c r="I471" s="31"/>
      <x:c r="J471" s="32"/>
      <x:c r="K471" s="32"/>
      <x:c r="L471" s="32"/>
      <x:c r="M471" s="32"/>
      <x:c r="N471" s="32"/>
      <x:c r="O471" s="32"/>
      <x:c r="P471" s="32"/>
      <x:c r="Q471" s="31"/>
      <x:c r="R471" s="31"/>
      <x:c r="S471" s="31"/>
      <x:c r="T471" s="32"/>
      <x:c r="U471" s="32"/>
      <x:c r="V471" s="31"/>
      <x:c r="W471" s="31"/>
      <x:c r="X471" s="31"/>
      <x:c r="Y471" s="32"/>
      <x:c r="Z471" s="31"/>
      <x:c r="AA471" s="32"/>
      <x:c r="AB471" s="31"/>
      <x:c r="AC471" s="31"/>
      <x:c r="AD471" s="31"/>
      <x:c r="AE471" s="31"/>
      <x:c r="AF471" s="31"/>
    </x:row>
    <x:row r="472">
      <x:c r="A472" s="79"/>
      <x:c r="B472" s="31"/>
      <x:c r="C472" s="31"/>
      <x:c r="D472" s="31"/>
      <x:c r="E472" s="31"/>
      <x:c r="F472" s="31"/>
      <x:c r="G472" s="31"/>
      <x:c r="H472" s="31"/>
      <x:c r="I472" s="31"/>
      <x:c r="J472" s="32"/>
      <x:c r="K472" s="32"/>
      <x:c r="L472" s="32"/>
      <x:c r="M472" s="32"/>
      <x:c r="N472" s="32"/>
      <x:c r="O472" s="32"/>
      <x:c r="P472" s="32"/>
      <x:c r="Q472" s="31"/>
      <x:c r="R472" s="31"/>
      <x:c r="S472" s="31"/>
      <x:c r="T472" s="32"/>
      <x:c r="U472" s="32"/>
      <x:c r="V472" s="31"/>
      <x:c r="W472" s="31"/>
      <x:c r="X472" s="31"/>
      <x:c r="Y472" s="32"/>
      <x:c r="Z472" s="31"/>
      <x:c r="AA472" s="32"/>
      <x:c r="AB472" s="31"/>
      <x:c r="AC472" s="31"/>
      <x:c r="AD472" s="31"/>
      <x:c r="AE472" s="31"/>
      <x:c r="AF472" s="31"/>
    </x:row>
    <x:row r="473">
      <x:c r="A473" s="79"/>
      <x:c r="B473" s="31"/>
      <x:c r="C473" s="31"/>
      <x:c r="D473" s="31"/>
      <x:c r="E473" s="31"/>
      <x:c r="F473" s="31"/>
      <x:c r="G473" s="31"/>
      <x:c r="H473" s="31"/>
      <x:c r="I473" s="31"/>
      <x:c r="J473" s="32"/>
      <x:c r="K473" s="32"/>
      <x:c r="L473" s="32"/>
      <x:c r="M473" s="32"/>
      <x:c r="N473" s="32"/>
      <x:c r="O473" s="32"/>
      <x:c r="P473" s="32"/>
      <x:c r="Q473" s="31"/>
      <x:c r="R473" s="31"/>
      <x:c r="S473" s="31"/>
      <x:c r="T473" s="32"/>
      <x:c r="U473" s="32"/>
      <x:c r="V473" s="31"/>
      <x:c r="W473" s="31"/>
      <x:c r="X473" s="31"/>
      <x:c r="Y473" s="32"/>
      <x:c r="Z473" s="31"/>
      <x:c r="AA473" s="32"/>
      <x:c r="AB473" s="31"/>
      <x:c r="AC473" s="31"/>
      <x:c r="AD473" s="31"/>
      <x:c r="AE473" s="31"/>
      <x:c r="AF473" s="31"/>
    </x:row>
    <x:row r="474">
      <x:c r="A474" s="79"/>
      <x:c r="B474" s="31"/>
      <x:c r="C474" s="31"/>
      <x:c r="D474" s="31"/>
      <x:c r="E474" s="31"/>
      <x:c r="F474" s="31"/>
      <x:c r="G474" s="31"/>
      <x:c r="H474" s="31"/>
      <x:c r="I474" s="31"/>
      <x:c r="J474" s="32"/>
      <x:c r="K474" s="32"/>
      <x:c r="L474" s="32"/>
      <x:c r="M474" s="32"/>
      <x:c r="N474" s="32"/>
      <x:c r="O474" s="32"/>
      <x:c r="P474" s="32"/>
      <x:c r="Q474" s="31"/>
      <x:c r="R474" s="31"/>
      <x:c r="S474" s="31"/>
      <x:c r="T474" s="32"/>
      <x:c r="U474" s="32"/>
      <x:c r="V474" s="31"/>
      <x:c r="W474" s="31"/>
      <x:c r="X474" s="31"/>
      <x:c r="Y474" s="32"/>
      <x:c r="Z474" s="31"/>
      <x:c r="AA474" s="32"/>
      <x:c r="AB474" s="31"/>
      <x:c r="AC474" s="31"/>
      <x:c r="AD474" s="31"/>
      <x:c r="AE474" s="31"/>
      <x:c r="AF474" s="31"/>
    </x:row>
    <x:row r="475">
      <x:c r="A475" s="79"/>
      <x:c r="B475" s="31"/>
      <x:c r="C475" s="31"/>
      <x:c r="D475" s="31"/>
      <x:c r="E475" s="31"/>
      <x:c r="F475" s="31"/>
      <x:c r="G475" s="31"/>
      <x:c r="H475" s="31"/>
      <x:c r="I475" s="31"/>
      <x:c r="J475" s="32"/>
      <x:c r="K475" s="32"/>
      <x:c r="L475" s="32"/>
      <x:c r="M475" s="32"/>
      <x:c r="N475" s="32"/>
      <x:c r="O475" s="32"/>
      <x:c r="P475" s="32"/>
      <x:c r="Q475" s="31"/>
      <x:c r="R475" s="31"/>
      <x:c r="S475" s="31"/>
      <x:c r="T475" s="32"/>
      <x:c r="U475" s="32"/>
      <x:c r="V475" s="31"/>
      <x:c r="W475" s="31"/>
      <x:c r="X475" s="31"/>
      <x:c r="Y475" s="32"/>
      <x:c r="Z475" s="31"/>
      <x:c r="AA475" s="32"/>
      <x:c r="AB475" s="31"/>
      <x:c r="AC475" s="31"/>
      <x:c r="AD475" s="31"/>
      <x:c r="AE475" s="31"/>
      <x:c r="AF475" s="31"/>
    </x:row>
    <x:row r="476">
      <x:c r="A476" s="79"/>
      <x:c r="B476" s="31"/>
      <x:c r="C476" s="31"/>
      <x:c r="D476" s="31"/>
      <x:c r="E476" s="31"/>
      <x:c r="F476" s="31"/>
      <x:c r="G476" s="31"/>
      <x:c r="H476" s="31"/>
      <x:c r="I476" s="31"/>
      <x:c r="J476" s="32"/>
      <x:c r="K476" s="32"/>
      <x:c r="L476" s="32"/>
      <x:c r="M476" s="32"/>
      <x:c r="N476" s="32"/>
      <x:c r="O476" s="32"/>
      <x:c r="P476" s="32"/>
      <x:c r="Q476" s="31"/>
      <x:c r="R476" s="31"/>
      <x:c r="S476" s="31"/>
      <x:c r="T476" s="32"/>
      <x:c r="U476" s="32"/>
      <x:c r="V476" s="31"/>
      <x:c r="W476" s="31"/>
      <x:c r="X476" s="31"/>
      <x:c r="Y476" s="32"/>
      <x:c r="Z476" s="31"/>
      <x:c r="AA476" s="32"/>
      <x:c r="AB476" s="31"/>
      <x:c r="AC476" s="31"/>
      <x:c r="AD476" s="31"/>
      <x:c r="AE476" s="31"/>
      <x:c r="AF476" s="31"/>
    </x:row>
    <x:row r="477">
      <x:c r="A477" s="79"/>
      <x:c r="B477" s="31"/>
      <x:c r="C477" s="31"/>
      <x:c r="D477" s="31"/>
      <x:c r="E477" s="31"/>
      <x:c r="F477" s="31"/>
      <x:c r="G477" s="31"/>
      <x:c r="H477" s="31"/>
      <x:c r="I477" s="31"/>
      <x:c r="J477" s="32"/>
      <x:c r="K477" s="32"/>
      <x:c r="L477" s="32"/>
      <x:c r="M477" s="32"/>
      <x:c r="N477" s="32"/>
      <x:c r="O477" s="32"/>
      <x:c r="P477" s="32"/>
      <x:c r="Q477" s="31"/>
      <x:c r="R477" s="31"/>
      <x:c r="S477" s="31"/>
      <x:c r="T477" s="32"/>
      <x:c r="U477" s="32"/>
      <x:c r="V477" s="31"/>
      <x:c r="W477" s="31"/>
      <x:c r="X477" s="31"/>
      <x:c r="Y477" s="32"/>
      <x:c r="Z477" s="31"/>
      <x:c r="AA477" s="32"/>
      <x:c r="AB477" s="31"/>
      <x:c r="AC477" s="31"/>
      <x:c r="AD477" s="31"/>
      <x:c r="AE477" s="31"/>
      <x:c r="AF477" s="31"/>
    </x:row>
    <x:row r="478">
      <x:c r="A478" s="79"/>
      <x:c r="B478" s="31"/>
      <x:c r="C478" s="31"/>
      <x:c r="D478" s="31"/>
      <x:c r="E478" s="31"/>
      <x:c r="F478" s="31"/>
      <x:c r="G478" s="31"/>
      <x:c r="H478" s="31"/>
      <x:c r="I478" s="31"/>
      <x:c r="J478" s="32"/>
      <x:c r="K478" s="32"/>
      <x:c r="L478" s="32"/>
      <x:c r="M478" s="32"/>
      <x:c r="N478" s="32"/>
      <x:c r="O478" s="32"/>
      <x:c r="P478" s="32"/>
      <x:c r="Q478" s="31"/>
      <x:c r="R478" s="31"/>
      <x:c r="S478" s="31"/>
      <x:c r="T478" s="32"/>
      <x:c r="U478" s="32"/>
      <x:c r="V478" s="31"/>
      <x:c r="W478" s="31"/>
      <x:c r="X478" s="31"/>
      <x:c r="Y478" s="32"/>
      <x:c r="Z478" s="31"/>
      <x:c r="AA478" s="32"/>
      <x:c r="AB478" s="31"/>
      <x:c r="AC478" s="31"/>
      <x:c r="AD478" s="31"/>
      <x:c r="AE478" s="31"/>
      <x:c r="AF478" s="31"/>
    </x:row>
    <x:row r="479">
      <x:c r="A479" s="79"/>
      <x:c r="B479" s="31"/>
      <x:c r="C479" s="31"/>
      <x:c r="D479" s="31"/>
      <x:c r="E479" s="31"/>
      <x:c r="F479" s="31"/>
      <x:c r="G479" s="31"/>
      <x:c r="H479" s="31"/>
      <x:c r="I479" s="31"/>
      <x:c r="J479" s="32"/>
      <x:c r="K479" s="32"/>
      <x:c r="L479" s="32"/>
      <x:c r="M479" s="32"/>
      <x:c r="N479" s="32"/>
      <x:c r="O479" s="32"/>
      <x:c r="P479" s="32"/>
      <x:c r="Q479" s="31"/>
      <x:c r="R479" s="31"/>
      <x:c r="S479" s="31"/>
      <x:c r="T479" s="32"/>
      <x:c r="U479" s="32"/>
      <x:c r="V479" s="31"/>
      <x:c r="W479" s="31"/>
      <x:c r="X479" s="31"/>
      <x:c r="Y479" s="32"/>
      <x:c r="Z479" s="31"/>
      <x:c r="AA479" s="32"/>
      <x:c r="AB479" s="31"/>
      <x:c r="AC479" s="31"/>
      <x:c r="AD479" s="31"/>
      <x:c r="AE479" s="31"/>
      <x:c r="AF479" s="31"/>
    </x:row>
    <x:row r="480">
      <x:c r="A480" s="79"/>
      <x:c r="B480" s="31"/>
      <x:c r="C480" s="31"/>
      <x:c r="D480" s="31"/>
      <x:c r="E480" s="31"/>
      <x:c r="F480" s="31"/>
      <x:c r="G480" s="31"/>
      <x:c r="H480" s="31"/>
      <x:c r="I480" s="31"/>
      <x:c r="J480" s="32"/>
      <x:c r="K480" s="32"/>
      <x:c r="L480" s="32"/>
      <x:c r="M480" s="32"/>
      <x:c r="N480" s="32"/>
      <x:c r="O480" s="32"/>
      <x:c r="P480" s="32"/>
      <x:c r="Q480" s="31"/>
      <x:c r="R480" s="31"/>
      <x:c r="S480" s="31"/>
      <x:c r="T480" s="32"/>
      <x:c r="U480" s="32"/>
      <x:c r="V480" s="31"/>
      <x:c r="W480" s="31"/>
      <x:c r="X480" s="31"/>
      <x:c r="Y480" s="32"/>
      <x:c r="Z480" s="31"/>
      <x:c r="AA480" s="32"/>
      <x:c r="AB480" s="31"/>
      <x:c r="AC480" s="31"/>
      <x:c r="AD480" s="31"/>
      <x:c r="AE480" s="31"/>
      <x:c r="AF480" s="31"/>
    </x:row>
    <x:row r="481">
      <x:c r="A481" s="79"/>
      <x:c r="B481" s="31"/>
      <x:c r="C481" s="31"/>
      <x:c r="D481" s="31"/>
      <x:c r="E481" s="31"/>
      <x:c r="F481" s="31"/>
      <x:c r="G481" s="31"/>
      <x:c r="H481" s="31"/>
      <x:c r="I481" s="31"/>
      <x:c r="J481" s="32"/>
      <x:c r="K481" s="32"/>
      <x:c r="L481" s="32"/>
      <x:c r="M481" s="32"/>
      <x:c r="N481" s="32"/>
      <x:c r="O481" s="32"/>
      <x:c r="P481" s="32"/>
      <x:c r="Q481" s="31"/>
      <x:c r="R481" s="31"/>
      <x:c r="S481" s="31"/>
      <x:c r="T481" s="32"/>
      <x:c r="U481" s="32"/>
      <x:c r="V481" s="31"/>
      <x:c r="W481" s="31"/>
      <x:c r="X481" s="31"/>
      <x:c r="Y481" s="32"/>
      <x:c r="Z481" s="31"/>
      <x:c r="AA481" s="32"/>
      <x:c r="AB481" s="31"/>
      <x:c r="AC481" s="31"/>
      <x:c r="AD481" s="31"/>
      <x:c r="AE481" s="31"/>
      <x:c r="AF481" s="31"/>
    </x:row>
    <x:row r="482">
      <x:c r="A482" s="79"/>
      <x:c r="B482" s="31"/>
      <x:c r="C482" s="31"/>
      <x:c r="D482" s="31"/>
      <x:c r="E482" s="31"/>
      <x:c r="F482" s="31"/>
      <x:c r="G482" s="31"/>
      <x:c r="H482" s="31"/>
      <x:c r="I482" s="31"/>
      <x:c r="J482" s="32"/>
      <x:c r="K482" s="32"/>
      <x:c r="L482" s="32"/>
      <x:c r="M482" s="32"/>
      <x:c r="N482" s="32"/>
      <x:c r="O482" s="32"/>
      <x:c r="P482" s="32"/>
      <x:c r="Q482" s="31"/>
      <x:c r="R482" s="31"/>
      <x:c r="S482" s="31"/>
      <x:c r="T482" s="32"/>
      <x:c r="U482" s="32"/>
      <x:c r="V482" s="31"/>
      <x:c r="W482" s="31"/>
      <x:c r="X482" s="31"/>
      <x:c r="Y482" s="32"/>
      <x:c r="Z482" s="31"/>
      <x:c r="AA482" s="32"/>
      <x:c r="AB482" s="31"/>
      <x:c r="AC482" s="31"/>
      <x:c r="AD482" s="31"/>
      <x:c r="AE482" s="31"/>
      <x:c r="AF482" s="31"/>
    </x:row>
    <x:row r="483">
      <x:c r="A483" s="79"/>
      <x:c r="B483" s="31"/>
      <x:c r="C483" s="31"/>
      <x:c r="D483" s="31"/>
      <x:c r="E483" s="31"/>
      <x:c r="F483" s="31"/>
      <x:c r="G483" s="31"/>
      <x:c r="H483" s="31"/>
      <x:c r="I483" s="31"/>
      <x:c r="J483" s="32"/>
      <x:c r="K483" s="32"/>
      <x:c r="L483" s="32"/>
      <x:c r="M483" s="32"/>
      <x:c r="N483" s="32"/>
      <x:c r="O483" s="32"/>
      <x:c r="P483" s="32"/>
      <x:c r="Q483" s="31"/>
      <x:c r="R483" s="31"/>
      <x:c r="S483" s="31"/>
      <x:c r="T483" s="32"/>
      <x:c r="U483" s="32"/>
      <x:c r="V483" s="31"/>
      <x:c r="W483" s="31"/>
      <x:c r="X483" s="31"/>
      <x:c r="Y483" s="32"/>
      <x:c r="Z483" s="31"/>
      <x:c r="AA483" s="32"/>
      <x:c r="AB483" s="31"/>
      <x:c r="AC483" s="31"/>
      <x:c r="AD483" s="31"/>
      <x:c r="AE483" s="31"/>
      <x:c r="AF483" s="31"/>
    </x:row>
    <x:row r="484">
      <x:c r="A484" s="79"/>
      <x:c r="B484" s="31"/>
      <x:c r="C484" s="31"/>
      <x:c r="D484" s="31"/>
      <x:c r="E484" s="31"/>
      <x:c r="F484" s="31"/>
      <x:c r="G484" s="31"/>
      <x:c r="H484" s="31"/>
      <x:c r="I484" s="31"/>
      <x:c r="J484" s="32"/>
      <x:c r="K484" s="32"/>
      <x:c r="L484" s="32"/>
      <x:c r="M484" s="32"/>
      <x:c r="N484" s="32"/>
      <x:c r="O484" s="32"/>
      <x:c r="P484" s="32"/>
      <x:c r="Q484" s="31"/>
      <x:c r="R484" s="31"/>
      <x:c r="S484" s="31"/>
      <x:c r="T484" s="32"/>
      <x:c r="U484" s="32"/>
      <x:c r="V484" s="31"/>
      <x:c r="W484" s="31"/>
      <x:c r="X484" s="31"/>
      <x:c r="Y484" s="32"/>
      <x:c r="Z484" s="31"/>
      <x:c r="AA484" s="32"/>
      <x:c r="AB484" s="31"/>
      <x:c r="AC484" s="31"/>
      <x:c r="AD484" s="31"/>
      <x:c r="AE484" s="31"/>
      <x:c r="AF484" s="31"/>
    </x:row>
    <x:row r="485">
      <x:c r="A485" s="79"/>
      <x:c r="B485" s="31"/>
      <x:c r="C485" s="31"/>
      <x:c r="D485" s="31"/>
      <x:c r="E485" s="31"/>
      <x:c r="F485" s="31"/>
      <x:c r="G485" s="31"/>
      <x:c r="H485" s="31"/>
      <x:c r="I485" s="31"/>
      <x:c r="J485" s="32"/>
      <x:c r="K485" s="32"/>
      <x:c r="L485" s="32"/>
      <x:c r="M485" s="32"/>
      <x:c r="N485" s="32"/>
      <x:c r="O485" s="32"/>
      <x:c r="P485" s="32"/>
      <x:c r="Q485" s="31"/>
      <x:c r="R485" s="31"/>
      <x:c r="S485" s="31"/>
      <x:c r="T485" s="32"/>
      <x:c r="U485" s="32"/>
      <x:c r="V485" s="31"/>
      <x:c r="W485" s="31"/>
      <x:c r="X485" s="31"/>
      <x:c r="Y485" s="32"/>
      <x:c r="Z485" s="31"/>
      <x:c r="AA485" s="32"/>
      <x:c r="AB485" s="31"/>
      <x:c r="AC485" s="31"/>
      <x:c r="AD485" s="31"/>
      <x:c r="AE485" s="31"/>
      <x:c r="AF485" s="31"/>
    </x:row>
    <x:row r="486">
      <x:c r="A486" s="79"/>
      <x:c r="B486" s="31"/>
      <x:c r="C486" s="31"/>
      <x:c r="D486" s="31"/>
      <x:c r="E486" s="31"/>
      <x:c r="F486" s="31"/>
      <x:c r="G486" s="31"/>
      <x:c r="H486" s="31"/>
      <x:c r="I486" s="31"/>
      <x:c r="J486" s="32"/>
      <x:c r="K486" s="32"/>
      <x:c r="L486" s="32"/>
      <x:c r="M486" s="32"/>
      <x:c r="N486" s="32"/>
      <x:c r="O486" s="32"/>
      <x:c r="P486" s="32"/>
      <x:c r="Q486" s="31"/>
      <x:c r="R486" s="31"/>
      <x:c r="S486" s="31"/>
      <x:c r="T486" s="32"/>
      <x:c r="U486" s="32"/>
      <x:c r="V486" s="31"/>
      <x:c r="W486" s="31"/>
      <x:c r="X486" s="31"/>
      <x:c r="Y486" s="32"/>
      <x:c r="Z486" s="31"/>
      <x:c r="AA486" s="32"/>
      <x:c r="AB486" s="31"/>
      <x:c r="AC486" s="31"/>
      <x:c r="AD486" s="31"/>
      <x:c r="AE486" s="31"/>
      <x:c r="AF486" s="31"/>
    </x:row>
    <x:row r="487">
      <x:c r="A487" s="79"/>
      <x:c r="B487" s="31"/>
      <x:c r="C487" s="31"/>
      <x:c r="D487" s="31"/>
      <x:c r="E487" s="31"/>
      <x:c r="F487" s="31"/>
      <x:c r="G487" s="31"/>
      <x:c r="H487" s="31"/>
      <x:c r="I487" s="31"/>
      <x:c r="J487" s="32"/>
      <x:c r="K487" s="32"/>
      <x:c r="L487" s="32"/>
      <x:c r="M487" s="32"/>
      <x:c r="N487" s="32"/>
      <x:c r="O487" s="32"/>
      <x:c r="P487" s="32"/>
      <x:c r="Q487" s="31"/>
      <x:c r="R487" s="31"/>
      <x:c r="S487" s="31"/>
      <x:c r="T487" s="32"/>
      <x:c r="U487" s="32"/>
      <x:c r="V487" s="31"/>
      <x:c r="W487" s="31"/>
      <x:c r="X487" s="31"/>
      <x:c r="Y487" s="32"/>
      <x:c r="Z487" s="31"/>
      <x:c r="AA487" s="32"/>
      <x:c r="AB487" s="31"/>
      <x:c r="AC487" s="31"/>
      <x:c r="AD487" s="31"/>
      <x:c r="AE487" s="31"/>
      <x:c r="AF487" s="31"/>
    </x:row>
    <x:row r="488">
      <x:c r="A488" s="79"/>
      <x:c r="B488" s="31"/>
      <x:c r="C488" s="31"/>
      <x:c r="D488" s="31"/>
      <x:c r="E488" s="31"/>
      <x:c r="F488" s="31"/>
      <x:c r="G488" s="31"/>
      <x:c r="H488" s="31"/>
      <x:c r="I488" s="31"/>
      <x:c r="J488" s="32"/>
      <x:c r="K488" s="32"/>
      <x:c r="L488" s="32"/>
      <x:c r="M488" s="32"/>
      <x:c r="N488" s="32"/>
      <x:c r="O488" s="32"/>
      <x:c r="P488" s="32"/>
      <x:c r="Q488" s="31"/>
      <x:c r="R488" s="31"/>
      <x:c r="S488" s="31"/>
      <x:c r="T488" s="32"/>
      <x:c r="U488" s="32"/>
      <x:c r="V488" s="31"/>
      <x:c r="W488" s="31"/>
      <x:c r="X488" s="31"/>
      <x:c r="Y488" s="32"/>
      <x:c r="Z488" s="31"/>
      <x:c r="AA488" s="32"/>
      <x:c r="AB488" s="31"/>
      <x:c r="AC488" s="31"/>
      <x:c r="AD488" s="31"/>
      <x:c r="AE488" s="31"/>
      <x:c r="AF488" s="31"/>
    </x:row>
    <x:row r="489">
      <x:c r="A489" s="79"/>
      <x:c r="B489" s="31"/>
      <x:c r="C489" s="31"/>
      <x:c r="D489" s="31"/>
      <x:c r="E489" s="31"/>
      <x:c r="F489" s="31"/>
      <x:c r="G489" s="31"/>
      <x:c r="H489" s="31"/>
      <x:c r="I489" s="31"/>
      <x:c r="J489" s="32"/>
      <x:c r="K489" s="32"/>
      <x:c r="L489" s="32"/>
      <x:c r="M489" s="32"/>
      <x:c r="N489" s="32"/>
      <x:c r="O489" s="32"/>
      <x:c r="P489" s="32"/>
      <x:c r="Q489" s="31"/>
      <x:c r="R489" s="31"/>
      <x:c r="S489" s="31"/>
      <x:c r="T489" s="32"/>
      <x:c r="U489" s="32"/>
      <x:c r="V489" s="31"/>
      <x:c r="W489" s="31"/>
      <x:c r="X489" s="31"/>
      <x:c r="Y489" s="32"/>
      <x:c r="Z489" s="31"/>
      <x:c r="AA489" s="32"/>
      <x:c r="AB489" s="31"/>
      <x:c r="AC489" s="31"/>
      <x:c r="AD489" s="31"/>
      <x:c r="AE489" s="31"/>
      <x:c r="AF489" s="31"/>
    </x:row>
    <x:row r="490">
      <x:c r="A490" s="79"/>
      <x:c r="B490" s="31"/>
      <x:c r="C490" s="31"/>
      <x:c r="D490" s="31"/>
      <x:c r="E490" s="31"/>
      <x:c r="F490" s="31"/>
      <x:c r="G490" s="31"/>
      <x:c r="H490" s="31"/>
      <x:c r="I490" s="31"/>
      <x:c r="J490" s="32"/>
      <x:c r="K490" s="32"/>
      <x:c r="L490" s="32"/>
      <x:c r="M490" s="32"/>
      <x:c r="N490" s="32"/>
      <x:c r="O490" s="32"/>
      <x:c r="P490" s="32"/>
      <x:c r="Q490" s="31"/>
      <x:c r="R490" s="31"/>
      <x:c r="S490" s="31"/>
      <x:c r="T490" s="32"/>
      <x:c r="U490" s="32"/>
      <x:c r="V490" s="31"/>
      <x:c r="W490" s="31"/>
      <x:c r="X490" s="31"/>
      <x:c r="Y490" s="32"/>
      <x:c r="Z490" s="31"/>
      <x:c r="AA490" s="32"/>
      <x:c r="AB490" s="31"/>
      <x:c r="AC490" s="31"/>
      <x:c r="AD490" s="31"/>
      <x:c r="AE490" s="31"/>
      <x:c r="AF490" s="31"/>
    </x:row>
    <x:row r="491">
      <x:c r="A491" s="79"/>
      <x:c r="B491" s="31"/>
      <x:c r="C491" s="31"/>
      <x:c r="D491" s="31"/>
      <x:c r="E491" s="31"/>
      <x:c r="F491" s="31"/>
      <x:c r="G491" s="31"/>
      <x:c r="H491" s="31"/>
      <x:c r="I491" s="31"/>
      <x:c r="J491" s="32"/>
      <x:c r="K491" s="32"/>
      <x:c r="L491" s="32"/>
      <x:c r="M491" s="32"/>
      <x:c r="N491" s="32"/>
      <x:c r="O491" s="32"/>
      <x:c r="P491" s="32"/>
      <x:c r="Q491" s="31"/>
      <x:c r="R491" s="31"/>
      <x:c r="S491" s="31"/>
      <x:c r="T491" s="32"/>
      <x:c r="U491" s="32"/>
      <x:c r="V491" s="31"/>
      <x:c r="W491" s="31"/>
      <x:c r="X491" s="31"/>
      <x:c r="Y491" s="32"/>
      <x:c r="Z491" s="31"/>
      <x:c r="AA491" s="32"/>
      <x:c r="AB491" s="31"/>
      <x:c r="AC491" s="31"/>
      <x:c r="AD491" s="31"/>
      <x:c r="AE491" s="31"/>
      <x:c r="AF491" s="31"/>
    </x:row>
    <x:row r="492">
      <x:c r="A492" s="79"/>
      <x:c r="B492" s="31"/>
      <x:c r="C492" s="31"/>
      <x:c r="D492" s="31"/>
      <x:c r="E492" s="31"/>
      <x:c r="F492" s="31"/>
      <x:c r="G492" s="31"/>
      <x:c r="H492" s="31"/>
      <x:c r="I492" s="31"/>
      <x:c r="J492" s="32"/>
      <x:c r="K492" s="32"/>
      <x:c r="L492" s="32"/>
      <x:c r="M492" s="32"/>
      <x:c r="N492" s="32"/>
      <x:c r="O492" s="32"/>
      <x:c r="P492" s="32"/>
      <x:c r="Q492" s="31"/>
      <x:c r="R492" s="31"/>
      <x:c r="S492" s="31"/>
      <x:c r="T492" s="32"/>
      <x:c r="U492" s="32"/>
      <x:c r="V492" s="31"/>
      <x:c r="W492" s="31"/>
      <x:c r="X492" s="31"/>
      <x:c r="Y492" s="32"/>
      <x:c r="Z492" s="31"/>
      <x:c r="AA492" s="32"/>
      <x:c r="AB492" s="31"/>
      <x:c r="AC492" s="31"/>
      <x:c r="AD492" s="31"/>
      <x:c r="AE492" s="31"/>
      <x:c r="AF492" s="31"/>
    </x:row>
    <x:row r="493">
      <x:c r="A493" s="79"/>
      <x:c r="B493" s="31"/>
      <x:c r="C493" s="31"/>
      <x:c r="D493" s="31"/>
      <x:c r="E493" s="31"/>
      <x:c r="F493" s="31"/>
      <x:c r="G493" s="31"/>
      <x:c r="H493" s="31"/>
      <x:c r="I493" s="31"/>
      <x:c r="J493" s="32"/>
      <x:c r="K493" s="32"/>
      <x:c r="L493" s="32"/>
      <x:c r="M493" s="32"/>
      <x:c r="N493" s="32"/>
      <x:c r="O493" s="32"/>
      <x:c r="P493" s="32"/>
      <x:c r="Q493" s="31"/>
      <x:c r="R493" s="31"/>
      <x:c r="S493" s="31"/>
      <x:c r="T493" s="32"/>
      <x:c r="U493" s="32"/>
      <x:c r="V493" s="31"/>
      <x:c r="W493" s="31"/>
      <x:c r="X493" s="31"/>
      <x:c r="Y493" s="32"/>
      <x:c r="Z493" s="31"/>
      <x:c r="AA493" s="32"/>
      <x:c r="AB493" s="31"/>
      <x:c r="AC493" s="31"/>
      <x:c r="AD493" s="31"/>
      <x:c r="AE493" s="31"/>
      <x:c r="AF493" s="31"/>
    </x:row>
    <x:row r="494">
      <x:c r="A494" s="79"/>
      <x:c r="B494" s="31"/>
      <x:c r="C494" s="31"/>
      <x:c r="D494" s="31"/>
      <x:c r="E494" s="31"/>
      <x:c r="F494" s="31"/>
      <x:c r="G494" s="31"/>
      <x:c r="H494" s="31"/>
      <x:c r="I494" s="31"/>
      <x:c r="J494" s="32"/>
      <x:c r="K494" s="32"/>
      <x:c r="L494" s="32"/>
      <x:c r="M494" s="32"/>
      <x:c r="N494" s="32"/>
      <x:c r="O494" s="32"/>
      <x:c r="P494" s="32"/>
      <x:c r="Q494" s="31"/>
      <x:c r="R494" s="31"/>
      <x:c r="S494" s="31"/>
      <x:c r="T494" s="32"/>
      <x:c r="U494" s="32"/>
      <x:c r="V494" s="31"/>
      <x:c r="W494" s="31"/>
      <x:c r="X494" s="31"/>
      <x:c r="Y494" s="32"/>
      <x:c r="Z494" s="31"/>
      <x:c r="AA494" s="32"/>
      <x:c r="AB494" s="31"/>
      <x:c r="AC494" s="31"/>
      <x:c r="AD494" s="31"/>
      <x:c r="AE494" s="31"/>
      <x:c r="AF494" s="31"/>
    </x:row>
    <x:row r="495">
      <x:c r="A495" s="79"/>
      <x:c r="B495" s="31"/>
      <x:c r="C495" s="31"/>
      <x:c r="D495" s="31"/>
      <x:c r="E495" s="31"/>
      <x:c r="F495" s="31"/>
      <x:c r="G495" s="31"/>
      <x:c r="H495" s="31"/>
      <x:c r="I495" s="31"/>
      <x:c r="J495" s="32"/>
      <x:c r="K495" s="32"/>
      <x:c r="L495" s="32"/>
      <x:c r="M495" s="32"/>
      <x:c r="N495" s="32"/>
      <x:c r="O495" s="32"/>
      <x:c r="P495" s="32"/>
      <x:c r="Q495" s="31"/>
      <x:c r="R495" s="31"/>
      <x:c r="S495" s="31"/>
      <x:c r="T495" s="32"/>
      <x:c r="U495" s="32"/>
      <x:c r="V495" s="31"/>
      <x:c r="W495" s="31"/>
      <x:c r="X495" s="31"/>
      <x:c r="Y495" s="32"/>
      <x:c r="Z495" s="31"/>
      <x:c r="AA495" s="32"/>
      <x:c r="AB495" s="31"/>
      <x:c r="AC495" s="31"/>
      <x:c r="AD495" s="31"/>
      <x:c r="AE495" s="31"/>
      <x:c r="AF495" s="31"/>
    </x:row>
    <x:row r="496">
      <x:c r="A496" s="79"/>
      <x:c r="B496" s="31"/>
      <x:c r="C496" s="31"/>
      <x:c r="D496" s="31"/>
      <x:c r="E496" s="31"/>
      <x:c r="F496" s="31"/>
      <x:c r="G496" s="31"/>
      <x:c r="H496" s="31"/>
      <x:c r="I496" s="31"/>
      <x:c r="J496" s="32"/>
      <x:c r="K496" s="32"/>
      <x:c r="L496" s="32"/>
      <x:c r="M496" s="32"/>
      <x:c r="N496" s="32"/>
      <x:c r="O496" s="32"/>
      <x:c r="P496" s="32"/>
      <x:c r="Q496" s="31"/>
      <x:c r="R496" s="31"/>
      <x:c r="S496" s="31"/>
      <x:c r="T496" s="32"/>
      <x:c r="U496" s="32"/>
      <x:c r="V496" s="31"/>
      <x:c r="W496" s="31"/>
      <x:c r="X496" s="31"/>
      <x:c r="Y496" s="32"/>
      <x:c r="Z496" s="31"/>
      <x:c r="AA496" s="32"/>
      <x:c r="AB496" s="31"/>
      <x:c r="AC496" s="31"/>
      <x:c r="AD496" s="31"/>
      <x:c r="AE496" s="31"/>
      <x:c r="AF496" s="31"/>
    </x:row>
    <x:row r="497">
      <x:c r="A497" s="79"/>
      <x:c r="B497" s="31"/>
      <x:c r="C497" s="31"/>
      <x:c r="D497" s="31"/>
      <x:c r="E497" s="31"/>
      <x:c r="F497" s="31"/>
      <x:c r="G497" s="31"/>
      <x:c r="H497" s="31"/>
      <x:c r="I497" s="31"/>
      <x:c r="J497" s="32"/>
      <x:c r="K497" s="32"/>
      <x:c r="L497" s="32"/>
      <x:c r="M497" s="32"/>
      <x:c r="N497" s="32"/>
      <x:c r="O497" s="32"/>
      <x:c r="P497" s="32"/>
      <x:c r="Q497" s="31"/>
      <x:c r="R497" s="31"/>
      <x:c r="S497" s="31"/>
      <x:c r="T497" s="32"/>
      <x:c r="U497" s="32"/>
      <x:c r="V497" s="31"/>
      <x:c r="W497" s="31"/>
      <x:c r="X497" s="31"/>
      <x:c r="Y497" s="32"/>
      <x:c r="Z497" s="31"/>
      <x:c r="AA497" s="32"/>
      <x:c r="AB497" s="31"/>
      <x:c r="AC497" s="31"/>
      <x:c r="AD497" s="31"/>
      <x:c r="AE497" s="31"/>
      <x:c r="AF497" s="31"/>
    </x:row>
    <x:row r="498">
      <x:c r="A498" s="79"/>
      <x:c r="B498" s="31"/>
      <x:c r="C498" s="31"/>
      <x:c r="D498" s="31"/>
      <x:c r="E498" s="31"/>
      <x:c r="F498" s="31"/>
      <x:c r="G498" s="31"/>
      <x:c r="H498" s="31"/>
      <x:c r="I498" s="31"/>
      <x:c r="J498" s="32"/>
      <x:c r="K498" s="32"/>
      <x:c r="L498" s="32"/>
      <x:c r="M498" s="32"/>
      <x:c r="N498" s="32"/>
      <x:c r="O498" s="32"/>
      <x:c r="P498" s="32"/>
      <x:c r="Q498" s="31"/>
      <x:c r="R498" s="31"/>
      <x:c r="S498" s="31"/>
      <x:c r="T498" s="32"/>
      <x:c r="U498" s="32"/>
      <x:c r="V498" s="31"/>
      <x:c r="W498" s="31"/>
      <x:c r="X498" s="31"/>
      <x:c r="Y498" s="32"/>
      <x:c r="Z498" s="31"/>
      <x:c r="AA498" s="32"/>
      <x:c r="AB498" s="31"/>
      <x:c r="AC498" s="31"/>
      <x:c r="AD498" s="31"/>
      <x:c r="AE498" s="31"/>
      <x:c r="AF498" s="31"/>
    </x:row>
    <x:row r="499">
      <x:c r="A499" s="79"/>
      <x:c r="B499" s="31"/>
      <x:c r="C499" s="31"/>
      <x:c r="D499" s="31"/>
      <x:c r="E499" s="31"/>
      <x:c r="F499" s="31"/>
      <x:c r="G499" s="31"/>
      <x:c r="H499" s="31"/>
      <x:c r="I499" s="31"/>
      <x:c r="J499" s="32"/>
      <x:c r="K499" s="32"/>
      <x:c r="L499" s="32"/>
      <x:c r="M499" s="32"/>
      <x:c r="N499" s="32"/>
      <x:c r="O499" s="32"/>
      <x:c r="P499" s="32"/>
      <x:c r="Q499" s="31"/>
      <x:c r="R499" s="31"/>
      <x:c r="S499" s="31"/>
      <x:c r="T499" s="32"/>
      <x:c r="U499" s="32"/>
      <x:c r="V499" s="31"/>
      <x:c r="W499" s="31"/>
      <x:c r="X499" s="31"/>
      <x:c r="Y499" s="32"/>
      <x:c r="Z499" s="31"/>
      <x:c r="AA499" s="32"/>
      <x:c r="AB499" s="31"/>
      <x:c r="AC499" s="31"/>
      <x:c r="AD499" s="31"/>
      <x:c r="AE499" s="31"/>
      <x:c r="AF499" s="31"/>
    </x:row>
    <x:row r="500">
      <x:c r="A500" s="79"/>
      <x:c r="B500" s="31"/>
      <x:c r="C500" s="31"/>
      <x:c r="D500" s="31"/>
      <x:c r="E500" s="31"/>
      <x:c r="F500" s="31"/>
      <x:c r="G500" s="31"/>
      <x:c r="H500" s="31"/>
      <x:c r="I500" s="31"/>
      <x:c r="J500" s="32"/>
      <x:c r="K500" s="32"/>
      <x:c r="L500" s="32"/>
      <x:c r="M500" s="32"/>
      <x:c r="N500" s="32"/>
      <x:c r="O500" s="32"/>
      <x:c r="P500" s="32"/>
      <x:c r="Q500" s="31"/>
      <x:c r="R500" s="31"/>
      <x:c r="S500" s="31"/>
      <x:c r="T500" s="32"/>
      <x:c r="U500" s="32"/>
      <x:c r="V500" s="31"/>
      <x:c r="W500" s="31"/>
      <x:c r="X500" s="31"/>
      <x:c r="Y500" s="32"/>
      <x:c r="Z500" s="31"/>
      <x:c r="AA500" s="32"/>
      <x:c r="AB500" s="31"/>
      <x:c r="AC500" s="31"/>
      <x:c r="AD500" s="31"/>
      <x:c r="AE500" s="31"/>
      <x:c r="AF500" s="31"/>
    </x:row>
  </x:sheetData>
  <x:dataValidations count="2">
    <x:dataValidation type="list" sqref="H2:H500">
      <x:formula1>"BET,PAPER,REJECTED"</x:formula1>
    </x:dataValidation>
    <x:dataValidation type="list" sqref="I2:I500">
      <x:formula1>"Win,Loss,Push,Pending"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0" hidden="0" customWidth="1"/>
    <x:col min="5" max="5" width="10" hidden="0" customWidth="1"/>
    <x:col min="6" max="6" width="9" hidden="0" customWidth="1"/>
    <x:col min="7" max="7" width="15" hidden="0" customWidth="1"/>
    <x:col min="8" max="8" width="15" hidden="0" customWidth="1"/>
    <x:col min="9" max="9" width="12" hidden="0" customWidth="1"/>
    <x:col min="10" max="10" width="15" hidden="0" customWidth="1"/>
    <x:col min="11" max="11" width="15" hidden="0" customWidth="1"/>
    <x:col min="12" max="12" width="12" hidden="0" customWidth="1"/>
    <x:col min="13" max="13" width="17" hidden="0" customWidth="1"/>
    <x:col min="14" max="14" width="17" hidden="0" customWidth="1"/>
    <x:col min="15" max="15" width="15" hidden="0" customWidth="1"/>
    <x:col min="16" max="16" width="15" hidden="0" customWidth="1"/>
    <x:col min="17" max="17" width="12" hidden="0" customWidth="1"/>
    <x:col min="18" max="18" width="30" hidden="0" customWidth="1"/>
    <x:col min="19" max="19" width="32" hidden="0" customWidth="1"/>
  </x:cols>
  <x:sheetData>
    <x:row r="1">
      <x:c r="A1" s="78" t="str">
        <x:v>Date</x:v>
      </x:c>
      <x:c r="B1" s="78" t="str">
        <x:v>Candidate ID</x:v>
      </x:c>
      <x:c r="C1" s="78" t="str">
        <x:v>Game</x:v>
      </x:c>
      <x:c r="D1" s="78" t="str">
        <x:v>Odds</x:v>
      </x:c>
      <x:c r="E1" s="78" t="str">
        <x:v>Decision</x:v>
      </x:c>
      <x:c r="F1" s="78" t="str">
        <x:v>Result</x:v>
      </x:c>
      <x:c r="G1" s="78" t="str">
        <x:v>Starter A 1st-Inning K%</x:v>
      </x:c>
      <x:c r="H1" s="78" t="str">
        <x:v>Starter A 1st-Inning BB%</x:v>
      </x:c>
      <x:c r="I1" s="78" t="str">
        <x:v>Starter A HR/9</x:v>
      </x:c>
      <x:c r="J1" s="78" t="str">
        <x:v>Starter B 1st-Inning K%</x:v>
      </x:c>
      <x:c r="K1" s="78" t="str">
        <x:v>Starter B 1st-Inning BB%</x:v>
      </x:c>
      <x:c r="L1" s="78" t="str">
        <x:v>Starter B HR/9</x:v>
      </x:c>
      <x:c r="M1" s="78" t="str">
        <x:v>Top-3 Offense A xwOBA</x:v>
      </x:c>
      <x:c r="N1" s="78" t="str">
        <x:v>Top-3 Offense B xwOBA</x:v>
      </x:c>
      <x:c r="O1" s="78" t="str">
        <x:v>Park/Weather Score</x:v>
      </x:c>
      <x:c r="P1" s="78" t="str">
        <x:v>First-TTO Edge Score</x:v>
      </x:c>
      <x:c r="Q1" s="78" t="str">
        <x:v>Price Edge Est.</x:v>
      </x:c>
      <x:c r="R1" s="78" t="str">
        <x:v>Loss Detail</x:v>
      </x:c>
      <x:c r="S1" s="78" t="str">
        <x:v>Notes</x:v>
      </x:c>
    </x:row>
    <x:row r="2">
      <x:c r="A2" s="79"/>
      <x:c r="B2" s="31"/>
      <x:c r="C2" s="31"/>
      <x:c r="D2" s="31"/>
      <x:c r="E2" s="31"/>
      <x:c r="F2" s="31"/>
      <x:c r="G2" s="32"/>
      <x:c r="H2" s="32"/>
      <x:c r="I2" s="31"/>
      <x:c r="J2" s="32"/>
      <x:c r="K2" s="32"/>
      <x:c r="L2" s="31"/>
      <x:c r="M2" s="32"/>
      <x:c r="N2" s="32"/>
      <x:c r="O2" s="31"/>
      <x:c r="P2" s="31"/>
      <x:c r="Q2" s="32"/>
      <x:c r="R2" s="31"/>
      <x:c r="S2" s="31"/>
    </x:row>
    <x:row r="3">
      <x:c r="A3" s="79"/>
      <x:c r="B3" s="31"/>
      <x:c r="C3" s="31"/>
      <x:c r="D3" s="31"/>
      <x:c r="E3" s="31"/>
      <x:c r="F3" s="31"/>
      <x:c r="G3" s="32"/>
      <x:c r="H3" s="32"/>
      <x:c r="I3" s="31"/>
      <x:c r="J3" s="32"/>
      <x:c r="K3" s="32"/>
      <x:c r="L3" s="31"/>
      <x:c r="M3" s="32"/>
      <x:c r="N3" s="32"/>
      <x:c r="O3" s="31"/>
      <x:c r="P3" s="31"/>
      <x:c r="Q3" s="32"/>
      <x:c r="R3" s="31"/>
      <x:c r="S3" s="31"/>
    </x:row>
    <x:row r="4">
      <x:c r="A4" s="79"/>
      <x:c r="B4" s="31"/>
      <x:c r="C4" s="31"/>
      <x:c r="D4" s="31"/>
      <x:c r="E4" s="31"/>
      <x:c r="F4" s="31"/>
      <x:c r="G4" s="32"/>
      <x:c r="H4" s="32"/>
      <x:c r="I4" s="31"/>
      <x:c r="J4" s="32"/>
      <x:c r="K4" s="32"/>
      <x:c r="L4" s="31"/>
      <x:c r="M4" s="32"/>
      <x:c r="N4" s="32"/>
      <x:c r="O4" s="31"/>
      <x:c r="P4" s="31"/>
      <x:c r="Q4" s="32"/>
      <x:c r="R4" s="31"/>
      <x:c r="S4" s="31"/>
    </x:row>
    <x:row r="5">
      <x:c r="A5" s="79"/>
      <x:c r="B5" s="31"/>
      <x:c r="C5" s="31"/>
      <x:c r="D5" s="31"/>
      <x:c r="E5" s="31"/>
      <x:c r="F5" s="31"/>
      <x:c r="G5" s="32"/>
      <x:c r="H5" s="32"/>
      <x:c r="I5" s="31"/>
      <x:c r="J5" s="32"/>
      <x:c r="K5" s="32"/>
      <x:c r="L5" s="31"/>
      <x:c r="M5" s="32"/>
      <x:c r="N5" s="32"/>
      <x:c r="O5" s="31"/>
      <x:c r="P5" s="31"/>
      <x:c r="Q5" s="32"/>
      <x:c r="R5" s="31"/>
      <x:c r="S5" s="31"/>
    </x:row>
    <x:row r="6">
      <x:c r="A6" s="79"/>
      <x:c r="B6" s="31"/>
      <x:c r="C6" s="31"/>
      <x:c r="D6" s="31"/>
      <x:c r="E6" s="31"/>
      <x:c r="F6" s="31"/>
      <x:c r="G6" s="32"/>
      <x:c r="H6" s="32"/>
      <x:c r="I6" s="31"/>
      <x:c r="J6" s="32"/>
      <x:c r="K6" s="32"/>
      <x:c r="L6" s="31"/>
      <x:c r="M6" s="32"/>
      <x:c r="N6" s="32"/>
      <x:c r="O6" s="31"/>
      <x:c r="P6" s="31"/>
      <x:c r="Q6" s="32"/>
      <x:c r="R6" s="31"/>
      <x:c r="S6" s="31"/>
    </x:row>
    <x:row r="7">
      <x:c r="A7" s="79"/>
      <x:c r="B7" s="31"/>
      <x:c r="C7" s="31"/>
      <x:c r="D7" s="31"/>
      <x:c r="E7" s="31"/>
      <x:c r="F7" s="31"/>
      <x:c r="G7" s="32"/>
      <x:c r="H7" s="32"/>
      <x:c r="I7" s="31"/>
      <x:c r="J7" s="32"/>
      <x:c r="K7" s="32"/>
      <x:c r="L7" s="31"/>
      <x:c r="M7" s="32"/>
      <x:c r="N7" s="32"/>
      <x:c r="O7" s="31"/>
      <x:c r="P7" s="31"/>
      <x:c r="Q7" s="32"/>
      <x:c r="R7" s="31"/>
      <x:c r="S7" s="31"/>
    </x:row>
    <x:row r="8">
      <x:c r="A8" s="79"/>
      <x:c r="B8" s="31"/>
      <x:c r="C8" s="31"/>
      <x:c r="D8" s="31"/>
      <x:c r="E8" s="31"/>
      <x:c r="F8" s="31"/>
      <x:c r="G8" s="32"/>
      <x:c r="H8" s="32"/>
      <x:c r="I8" s="31"/>
      <x:c r="J8" s="32"/>
      <x:c r="K8" s="32"/>
      <x:c r="L8" s="31"/>
      <x:c r="M8" s="32"/>
      <x:c r="N8" s="32"/>
      <x:c r="O8" s="31"/>
      <x:c r="P8" s="31"/>
      <x:c r="Q8" s="32"/>
      <x:c r="R8" s="31"/>
      <x:c r="S8" s="31"/>
    </x:row>
    <x:row r="9">
      <x:c r="A9" s="79"/>
      <x:c r="B9" s="31"/>
      <x:c r="C9" s="31"/>
      <x:c r="D9" s="31"/>
      <x:c r="E9" s="31"/>
      <x:c r="F9" s="31"/>
      <x:c r="G9" s="32"/>
      <x:c r="H9" s="32"/>
      <x:c r="I9" s="31"/>
      <x:c r="J9" s="32"/>
      <x:c r="K9" s="32"/>
      <x:c r="L9" s="31"/>
      <x:c r="M9" s="32"/>
      <x:c r="N9" s="32"/>
      <x:c r="O9" s="31"/>
      <x:c r="P9" s="31"/>
      <x:c r="Q9" s="32"/>
      <x:c r="R9" s="31"/>
      <x:c r="S9" s="31"/>
    </x:row>
    <x:row r="10">
      <x:c r="A10" s="79"/>
      <x:c r="B10" s="31"/>
      <x:c r="C10" s="31"/>
      <x:c r="D10" s="31"/>
      <x:c r="E10" s="31"/>
      <x:c r="F10" s="31"/>
      <x:c r="G10" s="32"/>
      <x:c r="H10" s="32"/>
      <x:c r="I10" s="31"/>
      <x:c r="J10" s="32"/>
      <x:c r="K10" s="32"/>
      <x:c r="L10" s="31"/>
      <x:c r="M10" s="32"/>
      <x:c r="N10" s="32"/>
      <x:c r="O10" s="31"/>
      <x:c r="P10" s="31"/>
      <x:c r="Q10" s="32"/>
      <x:c r="R10" s="31"/>
      <x:c r="S10" s="31"/>
    </x:row>
    <x:row r="11">
      <x:c r="A11" s="79"/>
      <x:c r="B11" s="31"/>
      <x:c r="C11" s="31"/>
      <x:c r="D11" s="31"/>
      <x:c r="E11" s="31"/>
      <x:c r="F11" s="31"/>
      <x:c r="G11" s="32"/>
      <x:c r="H11" s="32"/>
      <x:c r="I11" s="31"/>
      <x:c r="J11" s="32"/>
      <x:c r="K11" s="32"/>
      <x:c r="L11" s="31"/>
      <x:c r="M11" s="32"/>
      <x:c r="N11" s="32"/>
      <x:c r="O11" s="31"/>
      <x:c r="P11" s="31"/>
      <x:c r="Q11" s="32"/>
      <x:c r="R11" s="31"/>
      <x:c r="S11" s="31"/>
    </x:row>
    <x:row r="12">
      <x:c r="A12" s="79"/>
      <x:c r="B12" s="31"/>
      <x:c r="C12" s="31"/>
      <x:c r="D12" s="31"/>
      <x:c r="E12" s="31"/>
      <x:c r="F12" s="31"/>
      <x:c r="G12" s="32"/>
      <x:c r="H12" s="32"/>
      <x:c r="I12" s="31"/>
      <x:c r="J12" s="32"/>
      <x:c r="K12" s="32"/>
      <x:c r="L12" s="31"/>
      <x:c r="M12" s="32"/>
      <x:c r="N12" s="32"/>
      <x:c r="O12" s="31"/>
      <x:c r="P12" s="31"/>
      <x:c r="Q12" s="32"/>
      <x:c r="R12" s="31"/>
      <x:c r="S12" s="31"/>
    </x:row>
    <x:row r="13">
      <x:c r="A13" s="79"/>
      <x:c r="B13" s="31"/>
      <x:c r="C13" s="31"/>
      <x:c r="D13" s="31"/>
      <x:c r="E13" s="31"/>
      <x:c r="F13" s="31"/>
      <x:c r="G13" s="32"/>
      <x:c r="H13" s="32"/>
      <x:c r="I13" s="31"/>
      <x:c r="J13" s="32"/>
      <x:c r="K13" s="32"/>
      <x:c r="L13" s="31"/>
      <x:c r="M13" s="32"/>
      <x:c r="N13" s="32"/>
      <x:c r="O13" s="31"/>
      <x:c r="P13" s="31"/>
      <x:c r="Q13" s="32"/>
      <x:c r="R13" s="31"/>
      <x:c r="S13" s="31"/>
    </x:row>
    <x:row r="14">
      <x:c r="A14" s="79"/>
      <x:c r="B14" s="31"/>
      <x:c r="C14" s="31"/>
      <x:c r="D14" s="31"/>
      <x:c r="E14" s="31"/>
      <x:c r="F14" s="31"/>
      <x:c r="G14" s="32"/>
      <x:c r="H14" s="32"/>
      <x:c r="I14" s="31"/>
      <x:c r="J14" s="32"/>
      <x:c r="K14" s="32"/>
      <x:c r="L14" s="31"/>
      <x:c r="M14" s="32"/>
      <x:c r="N14" s="32"/>
      <x:c r="O14" s="31"/>
      <x:c r="P14" s="31"/>
      <x:c r="Q14" s="32"/>
      <x:c r="R14" s="31"/>
      <x:c r="S14" s="31"/>
    </x:row>
    <x:row r="15">
      <x:c r="A15" s="79"/>
      <x:c r="B15" s="31"/>
      <x:c r="C15" s="31"/>
      <x:c r="D15" s="31"/>
      <x:c r="E15" s="31"/>
      <x:c r="F15" s="31"/>
      <x:c r="G15" s="32"/>
      <x:c r="H15" s="32"/>
      <x:c r="I15" s="31"/>
      <x:c r="J15" s="32"/>
      <x:c r="K15" s="32"/>
      <x:c r="L15" s="31"/>
      <x:c r="M15" s="32"/>
      <x:c r="N15" s="32"/>
      <x:c r="O15" s="31"/>
      <x:c r="P15" s="31"/>
      <x:c r="Q15" s="32"/>
      <x:c r="R15" s="31"/>
      <x:c r="S15" s="31"/>
    </x:row>
    <x:row r="16">
      <x:c r="A16" s="79"/>
      <x:c r="B16" s="31"/>
      <x:c r="C16" s="31"/>
      <x:c r="D16" s="31"/>
      <x:c r="E16" s="31"/>
      <x:c r="F16" s="31"/>
      <x:c r="G16" s="32"/>
      <x:c r="H16" s="32"/>
      <x:c r="I16" s="31"/>
      <x:c r="J16" s="32"/>
      <x:c r="K16" s="32"/>
      <x:c r="L16" s="31"/>
      <x:c r="M16" s="32"/>
      <x:c r="N16" s="32"/>
      <x:c r="O16" s="31"/>
      <x:c r="P16" s="31"/>
      <x:c r="Q16" s="32"/>
      <x:c r="R16" s="31"/>
      <x:c r="S16" s="31"/>
    </x:row>
    <x:row r="17">
      <x:c r="A17" s="79"/>
      <x:c r="B17" s="31"/>
      <x:c r="C17" s="31"/>
      <x:c r="D17" s="31"/>
      <x:c r="E17" s="31"/>
      <x:c r="F17" s="31"/>
      <x:c r="G17" s="32"/>
      <x:c r="H17" s="32"/>
      <x:c r="I17" s="31"/>
      <x:c r="J17" s="32"/>
      <x:c r="K17" s="32"/>
      <x:c r="L17" s="31"/>
      <x:c r="M17" s="32"/>
      <x:c r="N17" s="32"/>
      <x:c r="O17" s="31"/>
      <x:c r="P17" s="31"/>
      <x:c r="Q17" s="32"/>
      <x:c r="R17" s="31"/>
      <x:c r="S17" s="31"/>
    </x:row>
    <x:row r="18">
      <x:c r="A18" s="79"/>
      <x:c r="B18" s="31"/>
      <x:c r="C18" s="31"/>
      <x:c r="D18" s="31"/>
      <x:c r="E18" s="31"/>
      <x:c r="F18" s="31"/>
      <x:c r="G18" s="32"/>
      <x:c r="H18" s="32"/>
      <x:c r="I18" s="31"/>
      <x:c r="J18" s="32"/>
      <x:c r="K18" s="32"/>
      <x:c r="L18" s="31"/>
      <x:c r="M18" s="32"/>
      <x:c r="N18" s="32"/>
      <x:c r="O18" s="31"/>
      <x:c r="P18" s="31"/>
      <x:c r="Q18" s="32"/>
      <x:c r="R18" s="31"/>
      <x:c r="S18" s="31"/>
    </x:row>
    <x:row r="19">
      <x:c r="A19" s="79"/>
      <x:c r="B19" s="31"/>
      <x:c r="C19" s="31"/>
      <x:c r="D19" s="31"/>
      <x:c r="E19" s="31"/>
      <x:c r="F19" s="31"/>
      <x:c r="G19" s="32"/>
      <x:c r="H19" s="32"/>
      <x:c r="I19" s="31"/>
      <x:c r="J19" s="32"/>
      <x:c r="K19" s="32"/>
      <x:c r="L19" s="31"/>
      <x:c r="M19" s="32"/>
      <x:c r="N19" s="32"/>
      <x:c r="O19" s="31"/>
      <x:c r="P19" s="31"/>
      <x:c r="Q19" s="32"/>
      <x:c r="R19" s="31"/>
      <x:c r="S19" s="31"/>
    </x:row>
    <x:row r="20">
      <x:c r="A20" s="79"/>
      <x:c r="B20" s="31"/>
      <x:c r="C20" s="31"/>
      <x:c r="D20" s="31"/>
      <x:c r="E20" s="31"/>
      <x:c r="F20" s="31"/>
      <x:c r="G20" s="32"/>
      <x:c r="H20" s="32"/>
      <x:c r="I20" s="31"/>
      <x:c r="J20" s="32"/>
      <x:c r="K20" s="32"/>
      <x:c r="L20" s="31"/>
      <x:c r="M20" s="32"/>
      <x:c r="N20" s="32"/>
      <x:c r="O20" s="31"/>
      <x:c r="P20" s="31"/>
      <x:c r="Q20" s="32"/>
      <x:c r="R20" s="31"/>
      <x:c r="S20" s="31"/>
    </x:row>
    <x:row r="21">
      <x:c r="A21" s="79"/>
      <x:c r="B21" s="31"/>
      <x:c r="C21" s="31"/>
      <x:c r="D21" s="31"/>
      <x:c r="E21" s="31"/>
      <x:c r="F21" s="31"/>
      <x:c r="G21" s="32"/>
      <x:c r="H21" s="32"/>
      <x:c r="I21" s="31"/>
      <x:c r="J21" s="32"/>
      <x:c r="K21" s="32"/>
      <x:c r="L21" s="31"/>
      <x:c r="M21" s="32"/>
      <x:c r="N21" s="32"/>
      <x:c r="O21" s="31"/>
      <x:c r="P21" s="31"/>
      <x:c r="Q21" s="32"/>
      <x:c r="R21" s="31"/>
      <x:c r="S21" s="31"/>
    </x:row>
    <x:row r="22">
      <x:c r="A22" s="79"/>
      <x:c r="B22" s="31"/>
      <x:c r="C22" s="31"/>
      <x:c r="D22" s="31"/>
      <x:c r="E22" s="31"/>
      <x:c r="F22" s="31"/>
      <x:c r="G22" s="32"/>
      <x:c r="H22" s="32"/>
      <x:c r="I22" s="31"/>
      <x:c r="J22" s="32"/>
      <x:c r="K22" s="32"/>
      <x:c r="L22" s="31"/>
      <x:c r="M22" s="32"/>
      <x:c r="N22" s="32"/>
      <x:c r="O22" s="31"/>
      <x:c r="P22" s="31"/>
      <x:c r="Q22" s="32"/>
      <x:c r="R22" s="31"/>
      <x:c r="S22" s="31"/>
    </x:row>
    <x:row r="23">
      <x:c r="A23" s="79"/>
      <x:c r="B23" s="31"/>
      <x:c r="C23" s="31"/>
      <x:c r="D23" s="31"/>
      <x:c r="E23" s="31"/>
      <x:c r="F23" s="31"/>
      <x:c r="G23" s="32"/>
      <x:c r="H23" s="32"/>
      <x:c r="I23" s="31"/>
      <x:c r="J23" s="32"/>
      <x:c r="K23" s="32"/>
      <x:c r="L23" s="31"/>
      <x:c r="M23" s="32"/>
      <x:c r="N23" s="32"/>
      <x:c r="O23" s="31"/>
      <x:c r="P23" s="31"/>
      <x:c r="Q23" s="32"/>
      <x:c r="R23" s="31"/>
      <x:c r="S23" s="31"/>
    </x:row>
    <x:row r="24">
      <x:c r="A24" s="79"/>
      <x:c r="B24" s="31"/>
      <x:c r="C24" s="31"/>
      <x:c r="D24" s="31"/>
      <x:c r="E24" s="31"/>
      <x:c r="F24" s="31"/>
      <x:c r="G24" s="32"/>
      <x:c r="H24" s="32"/>
      <x:c r="I24" s="31"/>
      <x:c r="J24" s="32"/>
      <x:c r="K24" s="32"/>
      <x:c r="L24" s="31"/>
      <x:c r="M24" s="32"/>
      <x:c r="N24" s="32"/>
      <x:c r="O24" s="31"/>
      <x:c r="P24" s="31"/>
      <x:c r="Q24" s="32"/>
      <x:c r="R24" s="31"/>
      <x:c r="S24" s="31"/>
    </x:row>
    <x:row r="25">
      <x:c r="A25" s="79"/>
      <x:c r="B25" s="31"/>
      <x:c r="C25" s="31"/>
      <x:c r="D25" s="31"/>
      <x:c r="E25" s="31"/>
      <x:c r="F25" s="31"/>
      <x:c r="G25" s="32"/>
      <x:c r="H25" s="32"/>
      <x:c r="I25" s="31"/>
      <x:c r="J25" s="32"/>
      <x:c r="K25" s="32"/>
      <x:c r="L25" s="31"/>
      <x:c r="M25" s="32"/>
      <x:c r="N25" s="32"/>
      <x:c r="O25" s="31"/>
      <x:c r="P25" s="31"/>
      <x:c r="Q25" s="32"/>
      <x:c r="R25" s="31"/>
      <x:c r="S25" s="31"/>
    </x:row>
    <x:row r="26">
      <x:c r="A26" s="79"/>
      <x:c r="B26" s="31"/>
      <x:c r="C26" s="31"/>
      <x:c r="D26" s="31"/>
      <x:c r="E26" s="31"/>
      <x:c r="F26" s="31"/>
      <x:c r="G26" s="32"/>
      <x:c r="H26" s="32"/>
      <x:c r="I26" s="31"/>
      <x:c r="J26" s="32"/>
      <x:c r="K26" s="32"/>
      <x:c r="L26" s="31"/>
      <x:c r="M26" s="32"/>
      <x:c r="N26" s="32"/>
      <x:c r="O26" s="31"/>
      <x:c r="P26" s="31"/>
      <x:c r="Q26" s="32"/>
      <x:c r="R26" s="31"/>
      <x:c r="S26" s="31"/>
    </x:row>
    <x:row r="27">
      <x:c r="A27" s="79"/>
      <x:c r="B27" s="31"/>
      <x:c r="C27" s="31"/>
      <x:c r="D27" s="31"/>
      <x:c r="E27" s="31"/>
      <x:c r="F27" s="31"/>
      <x:c r="G27" s="32"/>
      <x:c r="H27" s="32"/>
      <x:c r="I27" s="31"/>
      <x:c r="J27" s="32"/>
      <x:c r="K27" s="32"/>
      <x:c r="L27" s="31"/>
      <x:c r="M27" s="32"/>
      <x:c r="N27" s="32"/>
      <x:c r="O27" s="31"/>
      <x:c r="P27" s="31"/>
      <x:c r="Q27" s="32"/>
      <x:c r="R27" s="31"/>
      <x:c r="S27" s="31"/>
    </x:row>
    <x:row r="28">
      <x:c r="A28" s="79"/>
      <x:c r="B28" s="31"/>
      <x:c r="C28" s="31"/>
      <x:c r="D28" s="31"/>
      <x:c r="E28" s="31"/>
      <x:c r="F28" s="31"/>
      <x:c r="G28" s="32"/>
      <x:c r="H28" s="32"/>
      <x:c r="I28" s="31"/>
      <x:c r="J28" s="32"/>
      <x:c r="K28" s="32"/>
      <x:c r="L28" s="31"/>
      <x:c r="M28" s="32"/>
      <x:c r="N28" s="32"/>
      <x:c r="O28" s="31"/>
      <x:c r="P28" s="31"/>
      <x:c r="Q28" s="32"/>
      <x:c r="R28" s="31"/>
      <x:c r="S28" s="31"/>
    </x:row>
    <x:row r="29">
      <x:c r="A29" s="79"/>
      <x:c r="B29" s="31"/>
      <x:c r="C29" s="31"/>
      <x:c r="D29" s="31"/>
      <x:c r="E29" s="31"/>
      <x:c r="F29" s="31"/>
      <x:c r="G29" s="32"/>
      <x:c r="H29" s="32"/>
      <x:c r="I29" s="31"/>
      <x:c r="J29" s="32"/>
      <x:c r="K29" s="32"/>
      <x:c r="L29" s="31"/>
      <x:c r="M29" s="32"/>
      <x:c r="N29" s="32"/>
      <x:c r="O29" s="31"/>
      <x:c r="P29" s="31"/>
      <x:c r="Q29" s="32"/>
      <x:c r="R29" s="31"/>
      <x:c r="S29" s="31"/>
    </x:row>
    <x:row r="30">
      <x:c r="A30" s="79"/>
      <x:c r="B30" s="31"/>
      <x:c r="C30" s="31"/>
      <x:c r="D30" s="31"/>
      <x:c r="E30" s="31"/>
      <x:c r="F30" s="31"/>
      <x:c r="G30" s="32"/>
      <x:c r="H30" s="32"/>
      <x:c r="I30" s="31"/>
      <x:c r="J30" s="32"/>
      <x:c r="K30" s="32"/>
      <x:c r="L30" s="31"/>
      <x:c r="M30" s="32"/>
      <x:c r="N30" s="32"/>
      <x:c r="O30" s="31"/>
      <x:c r="P30" s="31"/>
      <x:c r="Q30" s="32"/>
      <x:c r="R30" s="31"/>
      <x:c r="S30" s="31"/>
    </x:row>
    <x:row r="31">
      <x:c r="A31" s="79"/>
      <x:c r="B31" s="31"/>
      <x:c r="C31" s="31"/>
      <x:c r="D31" s="31"/>
      <x:c r="E31" s="31"/>
      <x:c r="F31" s="31"/>
      <x:c r="G31" s="32"/>
      <x:c r="H31" s="32"/>
      <x:c r="I31" s="31"/>
      <x:c r="J31" s="32"/>
      <x:c r="K31" s="32"/>
      <x:c r="L31" s="31"/>
      <x:c r="M31" s="32"/>
      <x:c r="N31" s="32"/>
      <x:c r="O31" s="31"/>
      <x:c r="P31" s="31"/>
      <x:c r="Q31" s="32"/>
      <x:c r="R31" s="31"/>
      <x:c r="S31" s="31"/>
    </x:row>
    <x:row r="32">
      <x:c r="A32" s="79"/>
      <x:c r="B32" s="31"/>
      <x:c r="C32" s="31"/>
      <x:c r="D32" s="31"/>
      <x:c r="E32" s="31"/>
      <x:c r="F32" s="31"/>
      <x:c r="G32" s="32"/>
      <x:c r="H32" s="32"/>
      <x:c r="I32" s="31"/>
      <x:c r="J32" s="32"/>
      <x:c r="K32" s="32"/>
      <x:c r="L32" s="31"/>
      <x:c r="M32" s="32"/>
      <x:c r="N32" s="32"/>
      <x:c r="O32" s="31"/>
      <x:c r="P32" s="31"/>
      <x:c r="Q32" s="32"/>
      <x:c r="R32" s="31"/>
      <x:c r="S32" s="31"/>
    </x:row>
    <x:row r="33">
      <x:c r="A33" s="79"/>
      <x:c r="B33" s="31"/>
      <x:c r="C33" s="31"/>
      <x:c r="D33" s="31"/>
      <x:c r="E33" s="31"/>
      <x:c r="F33" s="31"/>
      <x:c r="G33" s="32"/>
      <x:c r="H33" s="32"/>
      <x:c r="I33" s="31"/>
      <x:c r="J33" s="32"/>
      <x:c r="K33" s="32"/>
      <x:c r="L33" s="31"/>
      <x:c r="M33" s="32"/>
      <x:c r="N33" s="32"/>
      <x:c r="O33" s="31"/>
      <x:c r="P33" s="31"/>
      <x:c r="Q33" s="32"/>
      <x:c r="R33" s="31"/>
      <x:c r="S33" s="31"/>
    </x:row>
    <x:row r="34">
      <x:c r="A34" s="79"/>
      <x:c r="B34" s="31"/>
      <x:c r="C34" s="31"/>
      <x:c r="D34" s="31"/>
      <x:c r="E34" s="31"/>
      <x:c r="F34" s="31"/>
      <x:c r="G34" s="32"/>
      <x:c r="H34" s="32"/>
      <x:c r="I34" s="31"/>
      <x:c r="J34" s="32"/>
      <x:c r="K34" s="32"/>
      <x:c r="L34" s="31"/>
      <x:c r="M34" s="32"/>
      <x:c r="N34" s="32"/>
      <x:c r="O34" s="31"/>
      <x:c r="P34" s="31"/>
      <x:c r="Q34" s="32"/>
      <x:c r="R34" s="31"/>
      <x:c r="S34" s="31"/>
    </x:row>
    <x:row r="35">
      <x:c r="A35" s="79"/>
      <x:c r="B35" s="31"/>
      <x:c r="C35" s="31"/>
      <x:c r="D35" s="31"/>
      <x:c r="E35" s="31"/>
      <x:c r="F35" s="31"/>
      <x:c r="G35" s="32"/>
      <x:c r="H35" s="32"/>
      <x:c r="I35" s="31"/>
      <x:c r="J35" s="32"/>
      <x:c r="K35" s="32"/>
      <x:c r="L35" s="31"/>
      <x:c r="M35" s="32"/>
      <x:c r="N35" s="32"/>
      <x:c r="O35" s="31"/>
      <x:c r="P35" s="31"/>
      <x:c r="Q35" s="32"/>
      <x:c r="R35" s="31"/>
      <x:c r="S35" s="31"/>
    </x:row>
    <x:row r="36">
      <x:c r="A36" s="79"/>
      <x:c r="B36" s="31"/>
      <x:c r="C36" s="31"/>
      <x:c r="D36" s="31"/>
      <x:c r="E36" s="31"/>
      <x:c r="F36" s="31"/>
      <x:c r="G36" s="32"/>
      <x:c r="H36" s="32"/>
      <x:c r="I36" s="31"/>
      <x:c r="J36" s="32"/>
      <x:c r="K36" s="32"/>
      <x:c r="L36" s="31"/>
      <x:c r="M36" s="32"/>
      <x:c r="N36" s="32"/>
      <x:c r="O36" s="31"/>
      <x:c r="P36" s="31"/>
      <x:c r="Q36" s="32"/>
      <x:c r="R36" s="31"/>
      <x:c r="S36" s="31"/>
    </x:row>
    <x:row r="37">
      <x:c r="A37" s="79"/>
      <x:c r="B37" s="31"/>
      <x:c r="C37" s="31"/>
      <x:c r="D37" s="31"/>
      <x:c r="E37" s="31"/>
      <x:c r="F37" s="31"/>
      <x:c r="G37" s="32"/>
      <x:c r="H37" s="32"/>
      <x:c r="I37" s="31"/>
      <x:c r="J37" s="32"/>
      <x:c r="K37" s="32"/>
      <x:c r="L37" s="31"/>
      <x:c r="M37" s="32"/>
      <x:c r="N37" s="32"/>
      <x:c r="O37" s="31"/>
      <x:c r="P37" s="31"/>
      <x:c r="Q37" s="32"/>
      <x:c r="R37" s="31"/>
      <x:c r="S37" s="31"/>
    </x:row>
    <x:row r="38">
      <x:c r="A38" s="79"/>
      <x:c r="B38" s="31"/>
      <x:c r="C38" s="31"/>
      <x:c r="D38" s="31"/>
      <x:c r="E38" s="31"/>
      <x:c r="F38" s="31"/>
      <x:c r="G38" s="32"/>
      <x:c r="H38" s="32"/>
      <x:c r="I38" s="31"/>
      <x:c r="J38" s="32"/>
      <x:c r="K38" s="32"/>
      <x:c r="L38" s="31"/>
      <x:c r="M38" s="32"/>
      <x:c r="N38" s="32"/>
      <x:c r="O38" s="31"/>
      <x:c r="P38" s="31"/>
      <x:c r="Q38" s="32"/>
      <x:c r="R38" s="31"/>
      <x:c r="S38" s="31"/>
    </x:row>
    <x:row r="39">
      <x:c r="A39" s="79"/>
      <x:c r="B39" s="31"/>
      <x:c r="C39" s="31"/>
      <x:c r="D39" s="31"/>
      <x:c r="E39" s="31"/>
      <x:c r="F39" s="31"/>
      <x:c r="G39" s="32"/>
      <x:c r="H39" s="32"/>
      <x:c r="I39" s="31"/>
      <x:c r="J39" s="32"/>
      <x:c r="K39" s="32"/>
      <x:c r="L39" s="31"/>
      <x:c r="M39" s="32"/>
      <x:c r="N39" s="32"/>
      <x:c r="O39" s="31"/>
      <x:c r="P39" s="31"/>
      <x:c r="Q39" s="32"/>
      <x:c r="R39" s="31"/>
      <x:c r="S39" s="31"/>
    </x:row>
    <x:row r="40">
      <x:c r="A40" s="79"/>
      <x:c r="B40" s="31"/>
      <x:c r="C40" s="31"/>
      <x:c r="D40" s="31"/>
      <x:c r="E40" s="31"/>
      <x:c r="F40" s="31"/>
      <x:c r="G40" s="32"/>
      <x:c r="H40" s="32"/>
      <x:c r="I40" s="31"/>
      <x:c r="J40" s="32"/>
      <x:c r="K40" s="32"/>
      <x:c r="L40" s="31"/>
      <x:c r="M40" s="32"/>
      <x:c r="N40" s="32"/>
      <x:c r="O40" s="31"/>
      <x:c r="P40" s="31"/>
      <x:c r="Q40" s="32"/>
      <x:c r="R40" s="31"/>
      <x:c r="S40" s="31"/>
    </x:row>
    <x:row r="41">
      <x:c r="A41" s="79"/>
      <x:c r="B41" s="31"/>
      <x:c r="C41" s="31"/>
      <x:c r="D41" s="31"/>
      <x:c r="E41" s="31"/>
      <x:c r="F41" s="31"/>
      <x:c r="G41" s="32"/>
      <x:c r="H41" s="32"/>
      <x:c r="I41" s="31"/>
      <x:c r="J41" s="32"/>
      <x:c r="K41" s="32"/>
      <x:c r="L41" s="31"/>
      <x:c r="M41" s="32"/>
      <x:c r="N41" s="32"/>
      <x:c r="O41" s="31"/>
      <x:c r="P41" s="31"/>
      <x:c r="Q41" s="32"/>
      <x:c r="R41" s="31"/>
      <x:c r="S41" s="31"/>
    </x:row>
    <x:row r="42">
      <x:c r="A42" s="79"/>
      <x:c r="B42" s="31"/>
      <x:c r="C42" s="31"/>
      <x:c r="D42" s="31"/>
      <x:c r="E42" s="31"/>
      <x:c r="F42" s="31"/>
      <x:c r="G42" s="32"/>
      <x:c r="H42" s="32"/>
      <x:c r="I42" s="31"/>
      <x:c r="J42" s="32"/>
      <x:c r="K42" s="32"/>
      <x:c r="L42" s="31"/>
      <x:c r="M42" s="32"/>
      <x:c r="N42" s="32"/>
      <x:c r="O42" s="31"/>
      <x:c r="P42" s="31"/>
      <x:c r="Q42" s="32"/>
      <x:c r="R42" s="31"/>
      <x:c r="S42" s="31"/>
    </x:row>
    <x:row r="43">
      <x:c r="A43" s="79"/>
      <x:c r="B43" s="31"/>
      <x:c r="C43" s="31"/>
      <x:c r="D43" s="31"/>
      <x:c r="E43" s="31"/>
      <x:c r="F43" s="31"/>
      <x:c r="G43" s="32"/>
      <x:c r="H43" s="32"/>
      <x:c r="I43" s="31"/>
      <x:c r="J43" s="32"/>
      <x:c r="K43" s="32"/>
      <x:c r="L43" s="31"/>
      <x:c r="M43" s="32"/>
      <x:c r="N43" s="32"/>
      <x:c r="O43" s="31"/>
      <x:c r="P43" s="31"/>
      <x:c r="Q43" s="32"/>
      <x:c r="R43" s="31"/>
      <x:c r="S43" s="31"/>
    </x:row>
    <x:row r="44">
      <x:c r="A44" s="79"/>
      <x:c r="B44" s="31"/>
      <x:c r="C44" s="31"/>
      <x:c r="D44" s="31"/>
      <x:c r="E44" s="31"/>
      <x:c r="F44" s="31"/>
      <x:c r="G44" s="32"/>
      <x:c r="H44" s="32"/>
      <x:c r="I44" s="31"/>
      <x:c r="J44" s="32"/>
      <x:c r="K44" s="32"/>
      <x:c r="L44" s="31"/>
      <x:c r="M44" s="32"/>
      <x:c r="N44" s="32"/>
      <x:c r="O44" s="31"/>
      <x:c r="P44" s="31"/>
      <x:c r="Q44" s="32"/>
      <x:c r="R44" s="31"/>
      <x:c r="S44" s="31"/>
    </x:row>
    <x:row r="45">
      <x:c r="A45" s="79"/>
      <x:c r="B45" s="31"/>
      <x:c r="C45" s="31"/>
      <x:c r="D45" s="31"/>
      <x:c r="E45" s="31"/>
      <x:c r="F45" s="31"/>
      <x:c r="G45" s="32"/>
      <x:c r="H45" s="32"/>
      <x:c r="I45" s="31"/>
      <x:c r="J45" s="32"/>
      <x:c r="K45" s="32"/>
      <x:c r="L45" s="31"/>
      <x:c r="M45" s="32"/>
      <x:c r="N45" s="32"/>
      <x:c r="O45" s="31"/>
      <x:c r="P45" s="31"/>
      <x:c r="Q45" s="32"/>
      <x:c r="R45" s="31"/>
      <x:c r="S45" s="31"/>
    </x:row>
    <x:row r="46">
      <x:c r="A46" s="79"/>
      <x:c r="B46" s="31"/>
      <x:c r="C46" s="31"/>
      <x:c r="D46" s="31"/>
      <x:c r="E46" s="31"/>
      <x:c r="F46" s="31"/>
      <x:c r="G46" s="32"/>
      <x:c r="H46" s="32"/>
      <x:c r="I46" s="31"/>
      <x:c r="J46" s="32"/>
      <x:c r="K46" s="32"/>
      <x:c r="L46" s="31"/>
      <x:c r="M46" s="32"/>
      <x:c r="N46" s="32"/>
      <x:c r="O46" s="31"/>
      <x:c r="P46" s="31"/>
      <x:c r="Q46" s="32"/>
      <x:c r="R46" s="31"/>
      <x:c r="S46" s="31"/>
    </x:row>
    <x:row r="47">
      <x:c r="A47" s="79"/>
      <x:c r="B47" s="31"/>
      <x:c r="C47" s="31"/>
      <x:c r="D47" s="31"/>
      <x:c r="E47" s="31"/>
      <x:c r="F47" s="31"/>
      <x:c r="G47" s="32"/>
      <x:c r="H47" s="32"/>
      <x:c r="I47" s="31"/>
      <x:c r="J47" s="32"/>
      <x:c r="K47" s="32"/>
      <x:c r="L47" s="31"/>
      <x:c r="M47" s="32"/>
      <x:c r="N47" s="32"/>
      <x:c r="O47" s="31"/>
      <x:c r="P47" s="31"/>
      <x:c r="Q47" s="32"/>
      <x:c r="R47" s="31"/>
      <x:c r="S47" s="31"/>
    </x:row>
    <x:row r="48">
      <x:c r="A48" s="79"/>
      <x:c r="B48" s="31"/>
      <x:c r="C48" s="31"/>
      <x:c r="D48" s="31"/>
      <x:c r="E48" s="31"/>
      <x:c r="F48" s="31"/>
      <x:c r="G48" s="32"/>
      <x:c r="H48" s="32"/>
      <x:c r="I48" s="31"/>
      <x:c r="J48" s="32"/>
      <x:c r="K48" s="32"/>
      <x:c r="L48" s="31"/>
      <x:c r="M48" s="32"/>
      <x:c r="N48" s="32"/>
      <x:c r="O48" s="31"/>
      <x:c r="P48" s="31"/>
      <x:c r="Q48" s="32"/>
      <x:c r="R48" s="31"/>
      <x:c r="S48" s="31"/>
    </x:row>
    <x:row r="49">
      <x:c r="A49" s="79"/>
      <x:c r="B49" s="31"/>
      <x:c r="C49" s="31"/>
      <x:c r="D49" s="31"/>
      <x:c r="E49" s="31"/>
      <x:c r="F49" s="31"/>
      <x:c r="G49" s="32"/>
      <x:c r="H49" s="32"/>
      <x:c r="I49" s="31"/>
      <x:c r="J49" s="32"/>
      <x:c r="K49" s="32"/>
      <x:c r="L49" s="31"/>
      <x:c r="M49" s="32"/>
      <x:c r="N49" s="32"/>
      <x:c r="O49" s="31"/>
      <x:c r="P49" s="31"/>
      <x:c r="Q49" s="32"/>
      <x:c r="R49" s="31"/>
      <x:c r="S49" s="31"/>
    </x:row>
    <x:row r="50">
      <x:c r="A50" s="79"/>
      <x:c r="B50" s="31"/>
      <x:c r="C50" s="31"/>
      <x:c r="D50" s="31"/>
      <x:c r="E50" s="31"/>
      <x:c r="F50" s="31"/>
      <x:c r="G50" s="32"/>
      <x:c r="H50" s="32"/>
      <x:c r="I50" s="31"/>
      <x:c r="J50" s="32"/>
      <x:c r="K50" s="32"/>
      <x:c r="L50" s="31"/>
      <x:c r="M50" s="32"/>
      <x:c r="N50" s="32"/>
      <x:c r="O50" s="31"/>
      <x:c r="P50" s="31"/>
      <x:c r="Q50" s="32"/>
      <x:c r="R50" s="31"/>
      <x:c r="S50" s="31"/>
    </x:row>
    <x:row r="51">
      <x:c r="A51" s="79"/>
      <x:c r="B51" s="31"/>
      <x:c r="C51" s="31"/>
      <x:c r="D51" s="31"/>
      <x:c r="E51" s="31"/>
      <x:c r="F51" s="31"/>
      <x:c r="G51" s="32"/>
      <x:c r="H51" s="32"/>
      <x:c r="I51" s="31"/>
      <x:c r="J51" s="32"/>
      <x:c r="K51" s="32"/>
      <x:c r="L51" s="31"/>
      <x:c r="M51" s="32"/>
      <x:c r="N51" s="32"/>
      <x:c r="O51" s="31"/>
      <x:c r="P51" s="31"/>
      <x:c r="Q51" s="32"/>
      <x:c r="R51" s="31"/>
      <x:c r="S51" s="31"/>
    </x:row>
    <x:row r="52">
      <x:c r="A52" s="79"/>
      <x:c r="B52" s="31"/>
      <x:c r="C52" s="31"/>
      <x:c r="D52" s="31"/>
      <x:c r="E52" s="31"/>
      <x:c r="F52" s="31"/>
      <x:c r="G52" s="32"/>
      <x:c r="H52" s="32"/>
      <x:c r="I52" s="31"/>
      <x:c r="J52" s="32"/>
      <x:c r="K52" s="32"/>
      <x:c r="L52" s="31"/>
      <x:c r="M52" s="32"/>
      <x:c r="N52" s="32"/>
      <x:c r="O52" s="31"/>
      <x:c r="P52" s="31"/>
      <x:c r="Q52" s="32"/>
      <x:c r="R52" s="31"/>
      <x:c r="S52" s="31"/>
    </x:row>
    <x:row r="53">
      <x:c r="A53" s="79"/>
      <x:c r="B53" s="31"/>
      <x:c r="C53" s="31"/>
      <x:c r="D53" s="31"/>
      <x:c r="E53" s="31"/>
      <x:c r="F53" s="31"/>
      <x:c r="G53" s="32"/>
      <x:c r="H53" s="32"/>
      <x:c r="I53" s="31"/>
      <x:c r="J53" s="32"/>
      <x:c r="K53" s="32"/>
      <x:c r="L53" s="31"/>
      <x:c r="M53" s="32"/>
      <x:c r="N53" s="32"/>
      <x:c r="O53" s="31"/>
      <x:c r="P53" s="31"/>
      <x:c r="Q53" s="32"/>
      <x:c r="R53" s="31"/>
      <x:c r="S53" s="31"/>
    </x:row>
    <x:row r="54">
      <x:c r="A54" s="79"/>
      <x:c r="B54" s="31"/>
      <x:c r="C54" s="31"/>
      <x:c r="D54" s="31"/>
      <x:c r="E54" s="31"/>
      <x:c r="F54" s="31"/>
      <x:c r="G54" s="32"/>
      <x:c r="H54" s="32"/>
      <x:c r="I54" s="31"/>
      <x:c r="J54" s="32"/>
      <x:c r="K54" s="32"/>
      <x:c r="L54" s="31"/>
      <x:c r="M54" s="32"/>
      <x:c r="N54" s="32"/>
      <x:c r="O54" s="31"/>
      <x:c r="P54" s="31"/>
      <x:c r="Q54" s="32"/>
      <x:c r="R54" s="31"/>
      <x:c r="S54" s="31"/>
    </x:row>
    <x:row r="55">
      <x:c r="A55" s="79"/>
      <x:c r="B55" s="31"/>
      <x:c r="C55" s="31"/>
      <x:c r="D55" s="31"/>
      <x:c r="E55" s="31"/>
      <x:c r="F55" s="31"/>
      <x:c r="G55" s="32"/>
      <x:c r="H55" s="32"/>
      <x:c r="I55" s="31"/>
      <x:c r="J55" s="32"/>
      <x:c r="K55" s="32"/>
      <x:c r="L55" s="31"/>
      <x:c r="M55" s="32"/>
      <x:c r="N55" s="32"/>
      <x:c r="O55" s="31"/>
      <x:c r="P55" s="31"/>
      <x:c r="Q55" s="32"/>
      <x:c r="R55" s="31"/>
      <x:c r="S55" s="31"/>
    </x:row>
    <x:row r="56">
      <x:c r="A56" s="79"/>
      <x:c r="B56" s="31"/>
      <x:c r="C56" s="31"/>
      <x:c r="D56" s="31"/>
      <x:c r="E56" s="31"/>
      <x:c r="F56" s="31"/>
      <x:c r="G56" s="32"/>
      <x:c r="H56" s="32"/>
      <x:c r="I56" s="31"/>
      <x:c r="J56" s="32"/>
      <x:c r="K56" s="32"/>
      <x:c r="L56" s="31"/>
      <x:c r="M56" s="32"/>
      <x:c r="N56" s="32"/>
      <x:c r="O56" s="31"/>
      <x:c r="P56" s="31"/>
      <x:c r="Q56" s="32"/>
      <x:c r="R56" s="31"/>
      <x:c r="S56" s="31"/>
    </x:row>
    <x:row r="57">
      <x:c r="A57" s="79"/>
      <x:c r="B57" s="31"/>
      <x:c r="C57" s="31"/>
      <x:c r="D57" s="31"/>
      <x:c r="E57" s="31"/>
      <x:c r="F57" s="31"/>
      <x:c r="G57" s="32"/>
      <x:c r="H57" s="32"/>
      <x:c r="I57" s="31"/>
      <x:c r="J57" s="32"/>
      <x:c r="K57" s="32"/>
      <x:c r="L57" s="31"/>
      <x:c r="M57" s="32"/>
      <x:c r="N57" s="32"/>
      <x:c r="O57" s="31"/>
      <x:c r="P57" s="31"/>
      <x:c r="Q57" s="32"/>
      <x:c r="R57" s="31"/>
      <x:c r="S57" s="31"/>
    </x:row>
    <x:row r="58">
      <x:c r="A58" s="79"/>
      <x:c r="B58" s="31"/>
      <x:c r="C58" s="31"/>
      <x:c r="D58" s="31"/>
      <x:c r="E58" s="31"/>
      <x:c r="F58" s="31"/>
      <x:c r="G58" s="32"/>
      <x:c r="H58" s="32"/>
      <x:c r="I58" s="31"/>
      <x:c r="J58" s="32"/>
      <x:c r="K58" s="32"/>
      <x:c r="L58" s="31"/>
      <x:c r="M58" s="32"/>
      <x:c r="N58" s="32"/>
      <x:c r="O58" s="31"/>
      <x:c r="P58" s="31"/>
      <x:c r="Q58" s="32"/>
      <x:c r="R58" s="31"/>
      <x:c r="S58" s="31"/>
    </x:row>
    <x:row r="59">
      <x:c r="A59" s="79"/>
      <x:c r="B59" s="31"/>
      <x:c r="C59" s="31"/>
      <x:c r="D59" s="31"/>
      <x:c r="E59" s="31"/>
      <x:c r="F59" s="31"/>
      <x:c r="G59" s="32"/>
      <x:c r="H59" s="32"/>
      <x:c r="I59" s="31"/>
      <x:c r="J59" s="32"/>
      <x:c r="K59" s="32"/>
      <x:c r="L59" s="31"/>
      <x:c r="M59" s="32"/>
      <x:c r="N59" s="32"/>
      <x:c r="O59" s="31"/>
      <x:c r="P59" s="31"/>
      <x:c r="Q59" s="32"/>
      <x:c r="R59" s="31"/>
      <x:c r="S59" s="31"/>
    </x:row>
    <x:row r="60">
      <x:c r="A60" s="79"/>
      <x:c r="B60" s="31"/>
      <x:c r="C60" s="31"/>
      <x:c r="D60" s="31"/>
      <x:c r="E60" s="31"/>
      <x:c r="F60" s="31"/>
      <x:c r="G60" s="32"/>
      <x:c r="H60" s="32"/>
      <x:c r="I60" s="31"/>
      <x:c r="J60" s="32"/>
      <x:c r="K60" s="32"/>
      <x:c r="L60" s="31"/>
      <x:c r="M60" s="32"/>
      <x:c r="N60" s="32"/>
      <x:c r="O60" s="31"/>
      <x:c r="P60" s="31"/>
      <x:c r="Q60" s="32"/>
      <x:c r="R60" s="31"/>
      <x:c r="S60" s="31"/>
    </x:row>
    <x:row r="61">
      <x:c r="A61" s="79"/>
      <x:c r="B61" s="31"/>
      <x:c r="C61" s="31"/>
      <x:c r="D61" s="31"/>
      <x:c r="E61" s="31"/>
      <x:c r="F61" s="31"/>
      <x:c r="G61" s="32"/>
      <x:c r="H61" s="32"/>
      <x:c r="I61" s="31"/>
      <x:c r="J61" s="32"/>
      <x:c r="K61" s="32"/>
      <x:c r="L61" s="31"/>
      <x:c r="M61" s="32"/>
      <x:c r="N61" s="32"/>
      <x:c r="O61" s="31"/>
      <x:c r="P61" s="31"/>
      <x:c r="Q61" s="32"/>
      <x:c r="R61" s="31"/>
      <x:c r="S61" s="31"/>
    </x:row>
    <x:row r="62">
      <x:c r="A62" s="79"/>
      <x:c r="B62" s="31"/>
      <x:c r="C62" s="31"/>
      <x:c r="D62" s="31"/>
      <x:c r="E62" s="31"/>
      <x:c r="F62" s="31"/>
      <x:c r="G62" s="32"/>
      <x:c r="H62" s="32"/>
      <x:c r="I62" s="31"/>
      <x:c r="J62" s="32"/>
      <x:c r="K62" s="32"/>
      <x:c r="L62" s="31"/>
      <x:c r="M62" s="32"/>
      <x:c r="N62" s="32"/>
      <x:c r="O62" s="31"/>
      <x:c r="P62" s="31"/>
      <x:c r="Q62" s="32"/>
      <x:c r="R62" s="31"/>
      <x:c r="S62" s="31"/>
    </x:row>
    <x:row r="63">
      <x:c r="A63" s="79"/>
      <x:c r="B63" s="31"/>
      <x:c r="C63" s="31"/>
      <x:c r="D63" s="31"/>
      <x:c r="E63" s="31"/>
      <x:c r="F63" s="31"/>
      <x:c r="G63" s="32"/>
      <x:c r="H63" s="32"/>
      <x:c r="I63" s="31"/>
      <x:c r="J63" s="32"/>
      <x:c r="K63" s="32"/>
      <x:c r="L63" s="31"/>
      <x:c r="M63" s="32"/>
      <x:c r="N63" s="32"/>
      <x:c r="O63" s="31"/>
      <x:c r="P63" s="31"/>
      <x:c r="Q63" s="32"/>
      <x:c r="R63" s="31"/>
      <x:c r="S63" s="31"/>
    </x:row>
    <x:row r="64">
      <x:c r="A64" s="79"/>
      <x:c r="B64" s="31"/>
      <x:c r="C64" s="31"/>
      <x:c r="D64" s="31"/>
      <x:c r="E64" s="31"/>
      <x:c r="F64" s="31"/>
      <x:c r="G64" s="32"/>
      <x:c r="H64" s="32"/>
      <x:c r="I64" s="31"/>
      <x:c r="J64" s="32"/>
      <x:c r="K64" s="32"/>
      <x:c r="L64" s="31"/>
      <x:c r="M64" s="32"/>
      <x:c r="N64" s="32"/>
      <x:c r="O64" s="31"/>
      <x:c r="P64" s="31"/>
      <x:c r="Q64" s="32"/>
      <x:c r="R64" s="31"/>
      <x:c r="S64" s="31"/>
    </x:row>
    <x:row r="65">
      <x:c r="A65" s="79"/>
      <x:c r="B65" s="31"/>
      <x:c r="C65" s="31"/>
      <x:c r="D65" s="31"/>
      <x:c r="E65" s="31"/>
      <x:c r="F65" s="31"/>
      <x:c r="G65" s="32"/>
      <x:c r="H65" s="32"/>
      <x:c r="I65" s="31"/>
      <x:c r="J65" s="32"/>
      <x:c r="K65" s="32"/>
      <x:c r="L65" s="31"/>
      <x:c r="M65" s="32"/>
      <x:c r="N65" s="32"/>
      <x:c r="O65" s="31"/>
      <x:c r="P65" s="31"/>
      <x:c r="Q65" s="32"/>
      <x:c r="R65" s="31"/>
      <x:c r="S65" s="31"/>
    </x:row>
    <x:row r="66">
      <x:c r="A66" s="79"/>
      <x:c r="B66" s="31"/>
      <x:c r="C66" s="31"/>
      <x:c r="D66" s="31"/>
      <x:c r="E66" s="31"/>
      <x:c r="F66" s="31"/>
      <x:c r="G66" s="32"/>
      <x:c r="H66" s="32"/>
      <x:c r="I66" s="31"/>
      <x:c r="J66" s="32"/>
      <x:c r="K66" s="32"/>
      <x:c r="L66" s="31"/>
      <x:c r="M66" s="32"/>
      <x:c r="N66" s="32"/>
      <x:c r="O66" s="31"/>
      <x:c r="P66" s="31"/>
      <x:c r="Q66" s="32"/>
      <x:c r="R66" s="31"/>
      <x:c r="S66" s="31"/>
    </x:row>
    <x:row r="67">
      <x:c r="A67" s="79"/>
      <x:c r="B67" s="31"/>
      <x:c r="C67" s="31"/>
      <x:c r="D67" s="31"/>
      <x:c r="E67" s="31"/>
      <x:c r="F67" s="31"/>
      <x:c r="G67" s="32"/>
      <x:c r="H67" s="32"/>
      <x:c r="I67" s="31"/>
      <x:c r="J67" s="32"/>
      <x:c r="K67" s="32"/>
      <x:c r="L67" s="31"/>
      <x:c r="M67" s="32"/>
      <x:c r="N67" s="32"/>
      <x:c r="O67" s="31"/>
      <x:c r="P67" s="31"/>
      <x:c r="Q67" s="32"/>
      <x:c r="R67" s="31"/>
      <x:c r="S67" s="31"/>
    </x:row>
    <x:row r="68">
      <x:c r="A68" s="79"/>
      <x:c r="B68" s="31"/>
      <x:c r="C68" s="31"/>
      <x:c r="D68" s="31"/>
      <x:c r="E68" s="31"/>
      <x:c r="F68" s="31"/>
      <x:c r="G68" s="32"/>
      <x:c r="H68" s="32"/>
      <x:c r="I68" s="31"/>
      <x:c r="J68" s="32"/>
      <x:c r="K68" s="32"/>
      <x:c r="L68" s="31"/>
      <x:c r="M68" s="32"/>
      <x:c r="N68" s="32"/>
      <x:c r="O68" s="31"/>
      <x:c r="P68" s="31"/>
      <x:c r="Q68" s="32"/>
      <x:c r="R68" s="31"/>
      <x:c r="S68" s="31"/>
    </x:row>
    <x:row r="69">
      <x:c r="A69" s="79"/>
      <x:c r="B69" s="31"/>
      <x:c r="C69" s="31"/>
      <x:c r="D69" s="31"/>
      <x:c r="E69" s="31"/>
      <x:c r="F69" s="31"/>
      <x:c r="G69" s="32"/>
      <x:c r="H69" s="32"/>
      <x:c r="I69" s="31"/>
      <x:c r="J69" s="32"/>
      <x:c r="K69" s="32"/>
      <x:c r="L69" s="31"/>
      <x:c r="M69" s="32"/>
      <x:c r="N69" s="32"/>
      <x:c r="O69" s="31"/>
      <x:c r="P69" s="31"/>
      <x:c r="Q69" s="32"/>
      <x:c r="R69" s="31"/>
      <x:c r="S69" s="31"/>
    </x:row>
    <x:row r="70">
      <x:c r="A70" s="79"/>
      <x:c r="B70" s="31"/>
      <x:c r="C70" s="31"/>
      <x:c r="D70" s="31"/>
      <x:c r="E70" s="31"/>
      <x:c r="F70" s="31"/>
      <x:c r="G70" s="32"/>
      <x:c r="H70" s="32"/>
      <x:c r="I70" s="31"/>
      <x:c r="J70" s="32"/>
      <x:c r="K70" s="32"/>
      <x:c r="L70" s="31"/>
      <x:c r="M70" s="32"/>
      <x:c r="N70" s="32"/>
      <x:c r="O70" s="31"/>
      <x:c r="P70" s="31"/>
      <x:c r="Q70" s="32"/>
      <x:c r="R70" s="31"/>
      <x:c r="S70" s="31"/>
    </x:row>
    <x:row r="71">
      <x:c r="A71" s="79"/>
      <x:c r="B71" s="31"/>
      <x:c r="C71" s="31"/>
      <x:c r="D71" s="31"/>
      <x:c r="E71" s="31"/>
      <x:c r="F71" s="31"/>
      <x:c r="G71" s="32"/>
      <x:c r="H71" s="32"/>
      <x:c r="I71" s="31"/>
      <x:c r="J71" s="32"/>
      <x:c r="K71" s="32"/>
      <x:c r="L71" s="31"/>
      <x:c r="M71" s="32"/>
      <x:c r="N71" s="32"/>
      <x:c r="O71" s="31"/>
      <x:c r="P71" s="31"/>
      <x:c r="Q71" s="32"/>
      <x:c r="R71" s="31"/>
      <x:c r="S71" s="31"/>
    </x:row>
    <x:row r="72">
      <x:c r="A72" s="79"/>
      <x:c r="B72" s="31"/>
      <x:c r="C72" s="31"/>
      <x:c r="D72" s="31"/>
      <x:c r="E72" s="31"/>
      <x:c r="F72" s="31"/>
      <x:c r="G72" s="32"/>
      <x:c r="H72" s="32"/>
      <x:c r="I72" s="31"/>
      <x:c r="J72" s="32"/>
      <x:c r="K72" s="32"/>
      <x:c r="L72" s="31"/>
      <x:c r="M72" s="32"/>
      <x:c r="N72" s="32"/>
      <x:c r="O72" s="31"/>
      <x:c r="P72" s="31"/>
      <x:c r="Q72" s="32"/>
      <x:c r="R72" s="31"/>
      <x:c r="S72" s="31"/>
    </x:row>
    <x:row r="73">
      <x:c r="A73" s="79"/>
      <x:c r="B73" s="31"/>
      <x:c r="C73" s="31"/>
      <x:c r="D73" s="31"/>
      <x:c r="E73" s="31"/>
      <x:c r="F73" s="31"/>
      <x:c r="G73" s="32"/>
      <x:c r="H73" s="32"/>
      <x:c r="I73" s="31"/>
      <x:c r="J73" s="32"/>
      <x:c r="K73" s="32"/>
      <x:c r="L73" s="31"/>
      <x:c r="M73" s="32"/>
      <x:c r="N73" s="32"/>
      <x:c r="O73" s="31"/>
      <x:c r="P73" s="31"/>
      <x:c r="Q73" s="32"/>
      <x:c r="R73" s="31"/>
      <x:c r="S73" s="31"/>
    </x:row>
    <x:row r="74">
      <x:c r="A74" s="79"/>
      <x:c r="B74" s="31"/>
      <x:c r="C74" s="31"/>
      <x:c r="D74" s="31"/>
      <x:c r="E74" s="31"/>
      <x:c r="F74" s="31"/>
      <x:c r="G74" s="32"/>
      <x:c r="H74" s="32"/>
      <x:c r="I74" s="31"/>
      <x:c r="J74" s="32"/>
      <x:c r="K74" s="32"/>
      <x:c r="L74" s="31"/>
      <x:c r="M74" s="32"/>
      <x:c r="N74" s="32"/>
      <x:c r="O74" s="31"/>
      <x:c r="P74" s="31"/>
      <x:c r="Q74" s="32"/>
      <x:c r="R74" s="31"/>
      <x:c r="S74" s="31"/>
    </x:row>
    <x:row r="75">
      <x:c r="A75" s="79"/>
      <x:c r="B75" s="31"/>
      <x:c r="C75" s="31"/>
      <x:c r="D75" s="31"/>
      <x:c r="E75" s="31"/>
      <x:c r="F75" s="31"/>
      <x:c r="G75" s="32"/>
      <x:c r="H75" s="32"/>
      <x:c r="I75" s="31"/>
      <x:c r="J75" s="32"/>
      <x:c r="K75" s="32"/>
      <x:c r="L75" s="31"/>
      <x:c r="M75" s="32"/>
      <x:c r="N75" s="32"/>
      <x:c r="O75" s="31"/>
      <x:c r="P75" s="31"/>
      <x:c r="Q75" s="32"/>
      <x:c r="R75" s="31"/>
      <x:c r="S75" s="31"/>
    </x:row>
    <x:row r="76">
      <x:c r="A76" s="79"/>
      <x:c r="B76" s="31"/>
      <x:c r="C76" s="31"/>
      <x:c r="D76" s="31"/>
      <x:c r="E76" s="31"/>
      <x:c r="F76" s="31"/>
      <x:c r="G76" s="32"/>
      <x:c r="H76" s="32"/>
      <x:c r="I76" s="31"/>
      <x:c r="J76" s="32"/>
      <x:c r="K76" s="32"/>
      <x:c r="L76" s="31"/>
      <x:c r="M76" s="32"/>
      <x:c r="N76" s="32"/>
      <x:c r="O76" s="31"/>
      <x:c r="P76" s="31"/>
      <x:c r="Q76" s="32"/>
      <x:c r="R76" s="31"/>
      <x:c r="S76" s="31"/>
    </x:row>
    <x:row r="77">
      <x:c r="A77" s="79"/>
      <x:c r="B77" s="31"/>
      <x:c r="C77" s="31"/>
      <x:c r="D77" s="31"/>
      <x:c r="E77" s="31"/>
      <x:c r="F77" s="31"/>
      <x:c r="G77" s="32"/>
      <x:c r="H77" s="32"/>
      <x:c r="I77" s="31"/>
      <x:c r="J77" s="32"/>
      <x:c r="K77" s="32"/>
      <x:c r="L77" s="31"/>
      <x:c r="M77" s="32"/>
      <x:c r="N77" s="32"/>
      <x:c r="O77" s="31"/>
      <x:c r="P77" s="31"/>
      <x:c r="Q77" s="32"/>
      <x:c r="R77" s="31"/>
      <x:c r="S77" s="31"/>
    </x:row>
    <x:row r="78">
      <x:c r="A78" s="79"/>
      <x:c r="B78" s="31"/>
      <x:c r="C78" s="31"/>
      <x:c r="D78" s="31"/>
      <x:c r="E78" s="31"/>
      <x:c r="F78" s="31"/>
      <x:c r="G78" s="32"/>
      <x:c r="H78" s="32"/>
      <x:c r="I78" s="31"/>
      <x:c r="J78" s="32"/>
      <x:c r="K78" s="32"/>
      <x:c r="L78" s="31"/>
      <x:c r="M78" s="32"/>
      <x:c r="N78" s="32"/>
      <x:c r="O78" s="31"/>
      <x:c r="P78" s="31"/>
      <x:c r="Q78" s="32"/>
      <x:c r="R78" s="31"/>
      <x:c r="S78" s="31"/>
    </x:row>
    <x:row r="79">
      <x:c r="A79" s="79"/>
      <x:c r="B79" s="31"/>
      <x:c r="C79" s="31"/>
      <x:c r="D79" s="31"/>
      <x:c r="E79" s="31"/>
      <x:c r="F79" s="31"/>
      <x:c r="G79" s="32"/>
      <x:c r="H79" s="32"/>
      <x:c r="I79" s="31"/>
      <x:c r="J79" s="32"/>
      <x:c r="K79" s="32"/>
      <x:c r="L79" s="31"/>
      <x:c r="M79" s="32"/>
      <x:c r="N79" s="32"/>
      <x:c r="O79" s="31"/>
      <x:c r="P79" s="31"/>
      <x:c r="Q79" s="32"/>
      <x:c r="R79" s="31"/>
      <x:c r="S79" s="31"/>
    </x:row>
    <x:row r="80">
      <x:c r="A80" s="79"/>
      <x:c r="B80" s="31"/>
      <x:c r="C80" s="31"/>
      <x:c r="D80" s="31"/>
      <x:c r="E80" s="31"/>
      <x:c r="F80" s="31"/>
      <x:c r="G80" s="32"/>
      <x:c r="H80" s="32"/>
      <x:c r="I80" s="31"/>
      <x:c r="J80" s="32"/>
      <x:c r="K80" s="32"/>
      <x:c r="L80" s="31"/>
      <x:c r="M80" s="32"/>
      <x:c r="N80" s="32"/>
      <x:c r="O80" s="31"/>
      <x:c r="P80" s="31"/>
      <x:c r="Q80" s="32"/>
      <x:c r="R80" s="31"/>
      <x:c r="S80" s="31"/>
    </x:row>
    <x:row r="81">
      <x:c r="A81" s="79"/>
      <x:c r="B81" s="31"/>
      <x:c r="C81" s="31"/>
      <x:c r="D81" s="31"/>
      <x:c r="E81" s="31"/>
      <x:c r="F81" s="31"/>
      <x:c r="G81" s="32"/>
      <x:c r="H81" s="32"/>
      <x:c r="I81" s="31"/>
      <x:c r="J81" s="32"/>
      <x:c r="K81" s="32"/>
      <x:c r="L81" s="31"/>
      <x:c r="M81" s="32"/>
      <x:c r="N81" s="32"/>
      <x:c r="O81" s="31"/>
      <x:c r="P81" s="31"/>
      <x:c r="Q81" s="32"/>
      <x:c r="R81" s="31"/>
      <x:c r="S81" s="31"/>
    </x:row>
    <x:row r="82">
      <x:c r="A82" s="79"/>
      <x:c r="B82" s="31"/>
      <x:c r="C82" s="31"/>
      <x:c r="D82" s="31"/>
      <x:c r="E82" s="31"/>
      <x:c r="F82" s="31"/>
      <x:c r="G82" s="32"/>
      <x:c r="H82" s="32"/>
      <x:c r="I82" s="31"/>
      <x:c r="J82" s="32"/>
      <x:c r="K82" s="32"/>
      <x:c r="L82" s="31"/>
      <x:c r="M82" s="32"/>
      <x:c r="N82" s="32"/>
      <x:c r="O82" s="31"/>
      <x:c r="P82" s="31"/>
      <x:c r="Q82" s="32"/>
      <x:c r="R82" s="31"/>
      <x:c r="S82" s="31"/>
    </x:row>
    <x:row r="83">
      <x:c r="A83" s="79"/>
      <x:c r="B83" s="31"/>
      <x:c r="C83" s="31"/>
      <x:c r="D83" s="31"/>
      <x:c r="E83" s="31"/>
      <x:c r="F83" s="31"/>
      <x:c r="G83" s="32"/>
      <x:c r="H83" s="32"/>
      <x:c r="I83" s="31"/>
      <x:c r="J83" s="32"/>
      <x:c r="K83" s="32"/>
      <x:c r="L83" s="31"/>
      <x:c r="M83" s="32"/>
      <x:c r="N83" s="32"/>
      <x:c r="O83" s="31"/>
      <x:c r="P83" s="31"/>
      <x:c r="Q83" s="32"/>
      <x:c r="R83" s="31"/>
      <x:c r="S83" s="31"/>
    </x:row>
    <x:row r="84">
      <x:c r="A84" s="79"/>
      <x:c r="B84" s="31"/>
      <x:c r="C84" s="31"/>
      <x:c r="D84" s="31"/>
      <x:c r="E84" s="31"/>
      <x:c r="F84" s="31"/>
      <x:c r="G84" s="32"/>
      <x:c r="H84" s="32"/>
      <x:c r="I84" s="31"/>
      <x:c r="J84" s="32"/>
      <x:c r="K84" s="32"/>
      <x:c r="L84" s="31"/>
      <x:c r="M84" s="32"/>
      <x:c r="N84" s="32"/>
      <x:c r="O84" s="31"/>
      <x:c r="P84" s="31"/>
      <x:c r="Q84" s="32"/>
      <x:c r="R84" s="31"/>
      <x:c r="S84" s="31"/>
    </x:row>
    <x:row r="85">
      <x:c r="A85" s="79"/>
      <x:c r="B85" s="31"/>
      <x:c r="C85" s="31"/>
      <x:c r="D85" s="31"/>
      <x:c r="E85" s="31"/>
      <x:c r="F85" s="31"/>
      <x:c r="G85" s="32"/>
      <x:c r="H85" s="32"/>
      <x:c r="I85" s="31"/>
      <x:c r="J85" s="32"/>
      <x:c r="K85" s="32"/>
      <x:c r="L85" s="31"/>
      <x:c r="M85" s="32"/>
      <x:c r="N85" s="32"/>
      <x:c r="O85" s="31"/>
      <x:c r="P85" s="31"/>
      <x:c r="Q85" s="32"/>
      <x:c r="R85" s="31"/>
      <x:c r="S85" s="31"/>
    </x:row>
    <x:row r="86">
      <x:c r="A86" s="79"/>
      <x:c r="B86" s="31"/>
      <x:c r="C86" s="31"/>
      <x:c r="D86" s="31"/>
      <x:c r="E86" s="31"/>
      <x:c r="F86" s="31"/>
      <x:c r="G86" s="32"/>
      <x:c r="H86" s="32"/>
      <x:c r="I86" s="31"/>
      <x:c r="J86" s="32"/>
      <x:c r="K86" s="32"/>
      <x:c r="L86" s="31"/>
      <x:c r="M86" s="32"/>
      <x:c r="N86" s="32"/>
      <x:c r="O86" s="31"/>
      <x:c r="P86" s="31"/>
      <x:c r="Q86" s="32"/>
      <x:c r="R86" s="31"/>
      <x:c r="S86" s="31"/>
    </x:row>
    <x:row r="87">
      <x:c r="A87" s="79"/>
      <x:c r="B87" s="31"/>
      <x:c r="C87" s="31"/>
      <x:c r="D87" s="31"/>
      <x:c r="E87" s="31"/>
      <x:c r="F87" s="31"/>
      <x:c r="G87" s="32"/>
      <x:c r="H87" s="32"/>
      <x:c r="I87" s="31"/>
      <x:c r="J87" s="32"/>
      <x:c r="K87" s="32"/>
      <x:c r="L87" s="31"/>
      <x:c r="M87" s="32"/>
      <x:c r="N87" s="32"/>
      <x:c r="O87" s="31"/>
      <x:c r="P87" s="31"/>
      <x:c r="Q87" s="32"/>
      <x:c r="R87" s="31"/>
      <x:c r="S87" s="31"/>
    </x:row>
    <x:row r="88">
      <x:c r="A88" s="79"/>
      <x:c r="B88" s="31"/>
      <x:c r="C88" s="31"/>
      <x:c r="D88" s="31"/>
      <x:c r="E88" s="31"/>
      <x:c r="F88" s="31"/>
      <x:c r="G88" s="32"/>
      <x:c r="H88" s="32"/>
      <x:c r="I88" s="31"/>
      <x:c r="J88" s="32"/>
      <x:c r="K88" s="32"/>
      <x:c r="L88" s="31"/>
      <x:c r="M88" s="32"/>
      <x:c r="N88" s="32"/>
      <x:c r="O88" s="31"/>
      <x:c r="P88" s="31"/>
      <x:c r="Q88" s="32"/>
      <x:c r="R88" s="31"/>
      <x:c r="S88" s="31"/>
    </x:row>
    <x:row r="89">
      <x:c r="A89" s="79"/>
      <x:c r="B89" s="31"/>
      <x:c r="C89" s="31"/>
      <x:c r="D89" s="31"/>
      <x:c r="E89" s="31"/>
      <x:c r="F89" s="31"/>
      <x:c r="G89" s="32"/>
      <x:c r="H89" s="32"/>
      <x:c r="I89" s="31"/>
      <x:c r="J89" s="32"/>
      <x:c r="K89" s="32"/>
      <x:c r="L89" s="31"/>
      <x:c r="M89" s="32"/>
      <x:c r="N89" s="32"/>
      <x:c r="O89" s="31"/>
      <x:c r="P89" s="31"/>
      <x:c r="Q89" s="32"/>
      <x:c r="R89" s="31"/>
      <x:c r="S89" s="31"/>
    </x:row>
    <x:row r="90">
      <x:c r="A90" s="79"/>
      <x:c r="B90" s="31"/>
      <x:c r="C90" s="31"/>
      <x:c r="D90" s="31"/>
      <x:c r="E90" s="31"/>
      <x:c r="F90" s="31"/>
      <x:c r="G90" s="32"/>
      <x:c r="H90" s="32"/>
      <x:c r="I90" s="31"/>
      <x:c r="J90" s="32"/>
      <x:c r="K90" s="32"/>
      <x:c r="L90" s="31"/>
      <x:c r="M90" s="32"/>
      <x:c r="N90" s="32"/>
      <x:c r="O90" s="31"/>
      <x:c r="P90" s="31"/>
      <x:c r="Q90" s="32"/>
      <x:c r="R90" s="31"/>
      <x:c r="S90" s="31"/>
    </x:row>
    <x:row r="91">
      <x:c r="A91" s="79"/>
      <x:c r="B91" s="31"/>
      <x:c r="C91" s="31"/>
      <x:c r="D91" s="31"/>
      <x:c r="E91" s="31"/>
      <x:c r="F91" s="31"/>
      <x:c r="G91" s="32"/>
      <x:c r="H91" s="32"/>
      <x:c r="I91" s="31"/>
      <x:c r="J91" s="32"/>
      <x:c r="K91" s="32"/>
      <x:c r="L91" s="31"/>
      <x:c r="M91" s="32"/>
      <x:c r="N91" s="32"/>
      <x:c r="O91" s="31"/>
      <x:c r="P91" s="31"/>
      <x:c r="Q91" s="32"/>
      <x:c r="R91" s="31"/>
      <x:c r="S91" s="31"/>
    </x:row>
    <x:row r="92">
      <x:c r="A92" s="79"/>
      <x:c r="B92" s="31"/>
      <x:c r="C92" s="31"/>
      <x:c r="D92" s="31"/>
      <x:c r="E92" s="31"/>
      <x:c r="F92" s="31"/>
      <x:c r="G92" s="32"/>
      <x:c r="H92" s="32"/>
      <x:c r="I92" s="31"/>
      <x:c r="J92" s="32"/>
      <x:c r="K92" s="32"/>
      <x:c r="L92" s="31"/>
      <x:c r="M92" s="32"/>
      <x:c r="N92" s="32"/>
      <x:c r="O92" s="31"/>
      <x:c r="P92" s="31"/>
      <x:c r="Q92" s="32"/>
      <x:c r="R92" s="31"/>
      <x:c r="S92" s="31"/>
    </x:row>
    <x:row r="93">
      <x:c r="A93" s="79"/>
      <x:c r="B93" s="31"/>
      <x:c r="C93" s="31"/>
      <x:c r="D93" s="31"/>
      <x:c r="E93" s="31"/>
      <x:c r="F93" s="31"/>
      <x:c r="G93" s="32"/>
      <x:c r="H93" s="32"/>
      <x:c r="I93" s="31"/>
      <x:c r="J93" s="32"/>
      <x:c r="K93" s="32"/>
      <x:c r="L93" s="31"/>
      <x:c r="M93" s="32"/>
      <x:c r="N93" s="32"/>
      <x:c r="O93" s="31"/>
      <x:c r="P93" s="31"/>
      <x:c r="Q93" s="32"/>
      <x:c r="R93" s="31"/>
      <x:c r="S93" s="31"/>
    </x:row>
    <x:row r="94">
      <x:c r="A94" s="79"/>
      <x:c r="B94" s="31"/>
      <x:c r="C94" s="31"/>
      <x:c r="D94" s="31"/>
      <x:c r="E94" s="31"/>
      <x:c r="F94" s="31"/>
      <x:c r="G94" s="32"/>
      <x:c r="H94" s="32"/>
      <x:c r="I94" s="31"/>
      <x:c r="J94" s="32"/>
      <x:c r="K94" s="32"/>
      <x:c r="L94" s="31"/>
      <x:c r="M94" s="32"/>
      <x:c r="N94" s="32"/>
      <x:c r="O94" s="31"/>
      <x:c r="P94" s="31"/>
      <x:c r="Q94" s="32"/>
      <x:c r="R94" s="31"/>
      <x:c r="S94" s="31"/>
    </x:row>
    <x:row r="95">
      <x:c r="A95" s="79"/>
      <x:c r="B95" s="31"/>
      <x:c r="C95" s="31"/>
      <x:c r="D95" s="31"/>
      <x:c r="E95" s="31"/>
      <x:c r="F95" s="31"/>
      <x:c r="G95" s="32"/>
      <x:c r="H95" s="32"/>
      <x:c r="I95" s="31"/>
      <x:c r="J95" s="32"/>
      <x:c r="K95" s="32"/>
      <x:c r="L95" s="31"/>
      <x:c r="M95" s="32"/>
      <x:c r="N95" s="32"/>
      <x:c r="O95" s="31"/>
      <x:c r="P95" s="31"/>
      <x:c r="Q95" s="32"/>
      <x:c r="R95" s="31"/>
      <x:c r="S95" s="31"/>
    </x:row>
    <x:row r="96">
      <x:c r="A96" s="79"/>
      <x:c r="B96" s="31"/>
      <x:c r="C96" s="31"/>
      <x:c r="D96" s="31"/>
      <x:c r="E96" s="31"/>
      <x:c r="F96" s="31"/>
      <x:c r="G96" s="32"/>
      <x:c r="H96" s="32"/>
      <x:c r="I96" s="31"/>
      <x:c r="J96" s="32"/>
      <x:c r="K96" s="32"/>
      <x:c r="L96" s="31"/>
      <x:c r="M96" s="32"/>
      <x:c r="N96" s="32"/>
      <x:c r="O96" s="31"/>
      <x:c r="P96" s="31"/>
      <x:c r="Q96" s="32"/>
      <x:c r="R96" s="31"/>
      <x:c r="S96" s="31"/>
    </x:row>
    <x:row r="97">
      <x:c r="A97" s="79"/>
      <x:c r="B97" s="31"/>
      <x:c r="C97" s="31"/>
      <x:c r="D97" s="31"/>
      <x:c r="E97" s="31"/>
      <x:c r="F97" s="31"/>
      <x:c r="G97" s="32"/>
      <x:c r="H97" s="32"/>
      <x:c r="I97" s="31"/>
      <x:c r="J97" s="32"/>
      <x:c r="K97" s="32"/>
      <x:c r="L97" s="31"/>
      <x:c r="M97" s="32"/>
      <x:c r="N97" s="32"/>
      <x:c r="O97" s="31"/>
      <x:c r="P97" s="31"/>
      <x:c r="Q97" s="32"/>
      <x:c r="R97" s="31"/>
      <x:c r="S97" s="31"/>
    </x:row>
    <x:row r="98">
      <x:c r="A98" s="79"/>
      <x:c r="B98" s="31"/>
      <x:c r="C98" s="31"/>
      <x:c r="D98" s="31"/>
      <x:c r="E98" s="31"/>
      <x:c r="F98" s="31"/>
      <x:c r="G98" s="32"/>
      <x:c r="H98" s="32"/>
      <x:c r="I98" s="31"/>
      <x:c r="J98" s="32"/>
      <x:c r="K98" s="32"/>
      <x:c r="L98" s="31"/>
      <x:c r="M98" s="32"/>
      <x:c r="N98" s="32"/>
      <x:c r="O98" s="31"/>
      <x:c r="P98" s="31"/>
      <x:c r="Q98" s="32"/>
      <x:c r="R98" s="31"/>
      <x:c r="S98" s="31"/>
    </x:row>
    <x:row r="99">
      <x:c r="A99" s="79"/>
      <x:c r="B99" s="31"/>
      <x:c r="C99" s="31"/>
      <x:c r="D99" s="31"/>
      <x:c r="E99" s="31"/>
      <x:c r="F99" s="31"/>
      <x:c r="G99" s="32"/>
      <x:c r="H99" s="32"/>
      <x:c r="I99" s="31"/>
      <x:c r="J99" s="32"/>
      <x:c r="K99" s="32"/>
      <x:c r="L99" s="31"/>
      <x:c r="M99" s="32"/>
      <x:c r="N99" s="32"/>
      <x:c r="O99" s="31"/>
      <x:c r="P99" s="31"/>
      <x:c r="Q99" s="32"/>
      <x:c r="R99" s="31"/>
      <x:c r="S99" s="31"/>
    </x:row>
    <x:row r="100">
      <x:c r="A100" s="79"/>
      <x:c r="B100" s="31"/>
      <x:c r="C100" s="31"/>
      <x:c r="D100" s="31"/>
      <x:c r="E100" s="31"/>
      <x:c r="F100" s="31"/>
      <x:c r="G100" s="32"/>
      <x:c r="H100" s="32"/>
      <x:c r="I100" s="31"/>
      <x:c r="J100" s="32"/>
      <x:c r="K100" s="32"/>
      <x:c r="L100" s="31"/>
      <x:c r="M100" s="32"/>
      <x:c r="N100" s="32"/>
      <x:c r="O100" s="31"/>
      <x:c r="P100" s="31"/>
      <x:c r="Q100" s="32"/>
      <x:c r="R100" s="31"/>
      <x:c r="S100" s="31"/>
    </x:row>
    <x:row r="101">
      <x:c r="A101" s="79"/>
      <x:c r="B101" s="31"/>
      <x:c r="C101" s="31"/>
      <x:c r="D101" s="31"/>
      <x:c r="E101" s="31"/>
      <x:c r="F101" s="31"/>
      <x:c r="G101" s="32"/>
      <x:c r="H101" s="32"/>
      <x:c r="I101" s="31"/>
      <x:c r="J101" s="32"/>
      <x:c r="K101" s="32"/>
      <x:c r="L101" s="31"/>
      <x:c r="M101" s="32"/>
      <x:c r="N101" s="32"/>
      <x:c r="O101" s="31"/>
      <x:c r="P101" s="31"/>
      <x:c r="Q101" s="32"/>
      <x:c r="R101" s="31"/>
      <x:c r="S101" s="31"/>
    </x:row>
    <x:row r="102">
      <x:c r="A102" s="79"/>
      <x:c r="B102" s="31"/>
      <x:c r="C102" s="31"/>
      <x:c r="D102" s="31"/>
      <x:c r="E102" s="31"/>
      <x:c r="F102" s="31"/>
      <x:c r="G102" s="32"/>
      <x:c r="H102" s="32"/>
      <x:c r="I102" s="31"/>
      <x:c r="J102" s="32"/>
      <x:c r="K102" s="32"/>
      <x:c r="L102" s="31"/>
      <x:c r="M102" s="32"/>
      <x:c r="N102" s="32"/>
      <x:c r="O102" s="31"/>
      <x:c r="P102" s="31"/>
      <x:c r="Q102" s="32"/>
      <x:c r="R102" s="31"/>
      <x:c r="S102" s="31"/>
    </x:row>
    <x:row r="103">
      <x:c r="A103" s="79"/>
      <x:c r="B103" s="31"/>
      <x:c r="C103" s="31"/>
      <x:c r="D103" s="31"/>
      <x:c r="E103" s="31"/>
      <x:c r="F103" s="31"/>
      <x:c r="G103" s="32"/>
      <x:c r="H103" s="32"/>
      <x:c r="I103" s="31"/>
      <x:c r="J103" s="32"/>
      <x:c r="K103" s="32"/>
      <x:c r="L103" s="31"/>
      <x:c r="M103" s="32"/>
      <x:c r="N103" s="32"/>
      <x:c r="O103" s="31"/>
      <x:c r="P103" s="31"/>
      <x:c r="Q103" s="32"/>
      <x:c r="R103" s="31"/>
      <x:c r="S103" s="31"/>
    </x:row>
    <x:row r="104">
      <x:c r="A104" s="79"/>
      <x:c r="B104" s="31"/>
      <x:c r="C104" s="31"/>
      <x:c r="D104" s="31"/>
      <x:c r="E104" s="31"/>
      <x:c r="F104" s="31"/>
      <x:c r="G104" s="32"/>
      <x:c r="H104" s="32"/>
      <x:c r="I104" s="31"/>
      <x:c r="J104" s="32"/>
      <x:c r="K104" s="32"/>
      <x:c r="L104" s="31"/>
      <x:c r="M104" s="32"/>
      <x:c r="N104" s="32"/>
      <x:c r="O104" s="31"/>
      <x:c r="P104" s="31"/>
      <x:c r="Q104" s="32"/>
      <x:c r="R104" s="31"/>
      <x:c r="S104" s="31"/>
    </x:row>
    <x:row r="105">
      <x:c r="A105" s="79"/>
      <x:c r="B105" s="31"/>
      <x:c r="C105" s="31"/>
      <x:c r="D105" s="31"/>
      <x:c r="E105" s="31"/>
      <x:c r="F105" s="31"/>
      <x:c r="G105" s="32"/>
      <x:c r="H105" s="32"/>
      <x:c r="I105" s="31"/>
      <x:c r="J105" s="32"/>
      <x:c r="K105" s="32"/>
      <x:c r="L105" s="31"/>
      <x:c r="M105" s="32"/>
      <x:c r="N105" s="32"/>
      <x:c r="O105" s="31"/>
      <x:c r="P105" s="31"/>
      <x:c r="Q105" s="32"/>
      <x:c r="R105" s="31"/>
      <x:c r="S105" s="31"/>
    </x:row>
    <x:row r="106">
      <x:c r="A106" s="79"/>
      <x:c r="B106" s="31"/>
      <x:c r="C106" s="31"/>
      <x:c r="D106" s="31"/>
      <x:c r="E106" s="31"/>
      <x:c r="F106" s="31"/>
      <x:c r="G106" s="32"/>
      <x:c r="H106" s="32"/>
      <x:c r="I106" s="31"/>
      <x:c r="J106" s="32"/>
      <x:c r="K106" s="32"/>
      <x:c r="L106" s="31"/>
      <x:c r="M106" s="32"/>
      <x:c r="N106" s="32"/>
      <x:c r="O106" s="31"/>
      <x:c r="P106" s="31"/>
      <x:c r="Q106" s="32"/>
      <x:c r="R106" s="31"/>
      <x:c r="S106" s="31"/>
    </x:row>
    <x:row r="107">
      <x:c r="A107" s="79"/>
      <x:c r="B107" s="31"/>
      <x:c r="C107" s="31"/>
      <x:c r="D107" s="31"/>
      <x:c r="E107" s="31"/>
      <x:c r="F107" s="31"/>
      <x:c r="G107" s="32"/>
      <x:c r="H107" s="32"/>
      <x:c r="I107" s="31"/>
      <x:c r="J107" s="32"/>
      <x:c r="K107" s="32"/>
      <x:c r="L107" s="31"/>
      <x:c r="M107" s="32"/>
      <x:c r="N107" s="32"/>
      <x:c r="O107" s="31"/>
      <x:c r="P107" s="31"/>
      <x:c r="Q107" s="32"/>
      <x:c r="R107" s="31"/>
      <x:c r="S107" s="31"/>
    </x:row>
    <x:row r="108">
      <x:c r="A108" s="79"/>
      <x:c r="B108" s="31"/>
      <x:c r="C108" s="31"/>
      <x:c r="D108" s="31"/>
      <x:c r="E108" s="31"/>
      <x:c r="F108" s="31"/>
      <x:c r="G108" s="32"/>
      <x:c r="H108" s="32"/>
      <x:c r="I108" s="31"/>
      <x:c r="J108" s="32"/>
      <x:c r="K108" s="32"/>
      <x:c r="L108" s="31"/>
      <x:c r="M108" s="32"/>
      <x:c r="N108" s="32"/>
      <x:c r="O108" s="31"/>
      <x:c r="P108" s="31"/>
      <x:c r="Q108" s="32"/>
      <x:c r="R108" s="31"/>
      <x:c r="S108" s="31"/>
    </x:row>
    <x:row r="109">
      <x:c r="A109" s="79"/>
      <x:c r="B109" s="31"/>
      <x:c r="C109" s="31"/>
      <x:c r="D109" s="31"/>
      <x:c r="E109" s="31"/>
      <x:c r="F109" s="31"/>
      <x:c r="G109" s="32"/>
      <x:c r="H109" s="32"/>
      <x:c r="I109" s="31"/>
      <x:c r="J109" s="32"/>
      <x:c r="K109" s="32"/>
      <x:c r="L109" s="31"/>
      <x:c r="M109" s="32"/>
      <x:c r="N109" s="32"/>
      <x:c r="O109" s="31"/>
      <x:c r="P109" s="31"/>
      <x:c r="Q109" s="32"/>
      <x:c r="R109" s="31"/>
      <x:c r="S109" s="31"/>
    </x:row>
    <x:row r="110">
      <x:c r="A110" s="79"/>
      <x:c r="B110" s="31"/>
      <x:c r="C110" s="31"/>
      <x:c r="D110" s="31"/>
      <x:c r="E110" s="31"/>
      <x:c r="F110" s="31"/>
      <x:c r="G110" s="32"/>
      <x:c r="H110" s="32"/>
      <x:c r="I110" s="31"/>
      <x:c r="J110" s="32"/>
      <x:c r="K110" s="32"/>
      <x:c r="L110" s="31"/>
      <x:c r="M110" s="32"/>
      <x:c r="N110" s="32"/>
      <x:c r="O110" s="31"/>
      <x:c r="P110" s="31"/>
      <x:c r="Q110" s="32"/>
      <x:c r="R110" s="31"/>
      <x:c r="S110" s="31"/>
    </x:row>
    <x:row r="111">
      <x:c r="A111" s="79"/>
      <x:c r="B111" s="31"/>
      <x:c r="C111" s="31"/>
      <x:c r="D111" s="31"/>
      <x:c r="E111" s="31"/>
      <x:c r="F111" s="31"/>
      <x:c r="G111" s="32"/>
      <x:c r="H111" s="32"/>
      <x:c r="I111" s="31"/>
      <x:c r="J111" s="32"/>
      <x:c r="K111" s="32"/>
      <x:c r="L111" s="31"/>
      <x:c r="M111" s="32"/>
      <x:c r="N111" s="32"/>
      <x:c r="O111" s="31"/>
      <x:c r="P111" s="31"/>
      <x:c r="Q111" s="32"/>
      <x:c r="R111" s="31"/>
      <x:c r="S111" s="31"/>
    </x:row>
    <x:row r="112">
      <x:c r="A112" s="79"/>
      <x:c r="B112" s="31"/>
      <x:c r="C112" s="31"/>
      <x:c r="D112" s="31"/>
      <x:c r="E112" s="31"/>
      <x:c r="F112" s="31"/>
      <x:c r="G112" s="32"/>
      <x:c r="H112" s="32"/>
      <x:c r="I112" s="31"/>
      <x:c r="J112" s="32"/>
      <x:c r="K112" s="32"/>
      <x:c r="L112" s="31"/>
      <x:c r="M112" s="32"/>
      <x:c r="N112" s="32"/>
      <x:c r="O112" s="31"/>
      <x:c r="P112" s="31"/>
      <x:c r="Q112" s="32"/>
      <x:c r="R112" s="31"/>
      <x:c r="S112" s="31"/>
    </x:row>
    <x:row r="113">
      <x:c r="A113" s="79"/>
      <x:c r="B113" s="31"/>
      <x:c r="C113" s="31"/>
      <x:c r="D113" s="31"/>
      <x:c r="E113" s="31"/>
      <x:c r="F113" s="31"/>
      <x:c r="G113" s="32"/>
      <x:c r="H113" s="32"/>
      <x:c r="I113" s="31"/>
      <x:c r="J113" s="32"/>
      <x:c r="K113" s="32"/>
      <x:c r="L113" s="31"/>
      <x:c r="M113" s="32"/>
      <x:c r="N113" s="32"/>
      <x:c r="O113" s="31"/>
      <x:c r="P113" s="31"/>
      <x:c r="Q113" s="32"/>
      <x:c r="R113" s="31"/>
      <x:c r="S113" s="31"/>
    </x:row>
    <x:row r="114">
      <x:c r="A114" s="79"/>
      <x:c r="B114" s="31"/>
      <x:c r="C114" s="31"/>
      <x:c r="D114" s="31"/>
      <x:c r="E114" s="31"/>
      <x:c r="F114" s="31"/>
      <x:c r="G114" s="32"/>
      <x:c r="H114" s="32"/>
      <x:c r="I114" s="31"/>
      <x:c r="J114" s="32"/>
      <x:c r="K114" s="32"/>
      <x:c r="L114" s="31"/>
      <x:c r="M114" s="32"/>
      <x:c r="N114" s="32"/>
      <x:c r="O114" s="31"/>
      <x:c r="P114" s="31"/>
      <x:c r="Q114" s="32"/>
      <x:c r="R114" s="31"/>
      <x:c r="S114" s="31"/>
    </x:row>
    <x:row r="115">
      <x:c r="A115" s="79"/>
      <x:c r="B115" s="31"/>
      <x:c r="C115" s="31"/>
      <x:c r="D115" s="31"/>
      <x:c r="E115" s="31"/>
      <x:c r="F115" s="31"/>
      <x:c r="G115" s="32"/>
      <x:c r="H115" s="32"/>
      <x:c r="I115" s="31"/>
      <x:c r="J115" s="32"/>
      <x:c r="K115" s="32"/>
      <x:c r="L115" s="31"/>
      <x:c r="M115" s="32"/>
      <x:c r="N115" s="32"/>
      <x:c r="O115" s="31"/>
      <x:c r="P115" s="31"/>
      <x:c r="Q115" s="32"/>
      <x:c r="R115" s="31"/>
      <x:c r="S115" s="31"/>
    </x:row>
    <x:row r="116">
      <x:c r="A116" s="79"/>
      <x:c r="B116" s="31"/>
      <x:c r="C116" s="31"/>
      <x:c r="D116" s="31"/>
      <x:c r="E116" s="31"/>
      <x:c r="F116" s="31"/>
      <x:c r="G116" s="32"/>
      <x:c r="H116" s="32"/>
      <x:c r="I116" s="31"/>
      <x:c r="J116" s="32"/>
      <x:c r="K116" s="32"/>
      <x:c r="L116" s="31"/>
      <x:c r="M116" s="32"/>
      <x:c r="N116" s="32"/>
      <x:c r="O116" s="31"/>
      <x:c r="P116" s="31"/>
      <x:c r="Q116" s="32"/>
      <x:c r="R116" s="31"/>
      <x:c r="S116" s="31"/>
    </x:row>
    <x:row r="117">
      <x:c r="A117" s="79"/>
      <x:c r="B117" s="31"/>
      <x:c r="C117" s="31"/>
      <x:c r="D117" s="31"/>
      <x:c r="E117" s="31"/>
      <x:c r="F117" s="31"/>
      <x:c r="G117" s="32"/>
      <x:c r="H117" s="32"/>
      <x:c r="I117" s="31"/>
      <x:c r="J117" s="32"/>
      <x:c r="K117" s="32"/>
      <x:c r="L117" s="31"/>
      <x:c r="M117" s="32"/>
      <x:c r="N117" s="32"/>
      <x:c r="O117" s="31"/>
      <x:c r="P117" s="31"/>
      <x:c r="Q117" s="32"/>
      <x:c r="R117" s="31"/>
      <x:c r="S117" s="31"/>
    </x:row>
    <x:row r="118">
      <x:c r="A118" s="79"/>
      <x:c r="B118" s="31"/>
      <x:c r="C118" s="31"/>
      <x:c r="D118" s="31"/>
      <x:c r="E118" s="31"/>
      <x:c r="F118" s="31"/>
      <x:c r="G118" s="32"/>
      <x:c r="H118" s="32"/>
      <x:c r="I118" s="31"/>
      <x:c r="J118" s="32"/>
      <x:c r="K118" s="32"/>
      <x:c r="L118" s="31"/>
      <x:c r="M118" s="32"/>
      <x:c r="N118" s="32"/>
      <x:c r="O118" s="31"/>
      <x:c r="P118" s="31"/>
      <x:c r="Q118" s="32"/>
      <x:c r="R118" s="31"/>
      <x:c r="S118" s="31"/>
    </x:row>
    <x:row r="119">
      <x:c r="A119" s="79"/>
      <x:c r="B119" s="31"/>
      <x:c r="C119" s="31"/>
      <x:c r="D119" s="31"/>
      <x:c r="E119" s="31"/>
      <x:c r="F119" s="31"/>
      <x:c r="G119" s="32"/>
      <x:c r="H119" s="32"/>
      <x:c r="I119" s="31"/>
      <x:c r="J119" s="32"/>
      <x:c r="K119" s="32"/>
      <x:c r="L119" s="31"/>
      <x:c r="M119" s="32"/>
      <x:c r="N119" s="32"/>
      <x:c r="O119" s="31"/>
      <x:c r="P119" s="31"/>
      <x:c r="Q119" s="32"/>
      <x:c r="R119" s="31"/>
      <x:c r="S119" s="31"/>
    </x:row>
    <x:row r="120">
      <x:c r="A120" s="79"/>
      <x:c r="B120" s="31"/>
      <x:c r="C120" s="31"/>
      <x:c r="D120" s="31"/>
      <x:c r="E120" s="31"/>
      <x:c r="F120" s="31"/>
      <x:c r="G120" s="32"/>
      <x:c r="H120" s="32"/>
      <x:c r="I120" s="31"/>
      <x:c r="J120" s="32"/>
      <x:c r="K120" s="32"/>
      <x:c r="L120" s="31"/>
      <x:c r="M120" s="32"/>
      <x:c r="N120" s="32"/>
      <x:c r="O120" s="31"/>
      <x:c r="P120" s="31"/>
      <x:c r="Q120" s="32"/>
      <x:c r="R120" s="31"/>
      <x:c r="S120" s="31"/>
    </x:row>
    <x:row r="121">
      <x:c r="A121" s="79"/>
      <x:c r="B121" s="31"/>
      <x:c r="C121" s="31"/>
      <x:c r="D121" s="31"/>
      <x:c r="E121" s="31"/>
      <x:c r="F121" s="31"/>
      <x:c r="G121" s="32"/>
      <x:c r="H121" s="32"/>
      <x:c r="I121" s="31"/>
      <x:c r="J121" s="32"/>
      <x:c r="K121" s="32"/>
      <x:c r="L121" s="31"/>
      <x:c r="M121" s="32"/>
      <x:c r="N121" s="32"/>
      <x:c r="O121" s="31"/>
      <x:c r="P121" s="31"/>
      <x:c r="Q121" s="32"/>
      <x:c r="R121" s="31"/>
      <x:c r="S121" s="31"/>
    </x:row>
    <x:row r="122">
      <x:c r="A122" s="79"/>
      <x:c r="B122" s="31"/>
      <x:c r="C122" s="31"/>
      <x:c r="D122" s="31"/>
      <x:c r="E122" s="31"/>
      <x:c r="F122" s="31"/>
      <x:c r="G122" s="32"/>
      <x:c r="H122" s="32"/>
      <x:c r="I122" s="31"/>
      <x:c r="J122" s="32"/>
      <x:c r="K122" s="32"/>
      <x:c r="L122" s="31"/>
      <x:c r="M122" s="32"/>
      <x:c r="N122" s="32"/>
      <x:c r="O122" s="31"/>
      <x:c r="P122" s="31"/>
      <x:c r="Q122" s="32"/>
      <x:c r="R122" s="31"/>
      <x:c r="S122" s="31"/>
    </x:row>
    <x:row r="123">
      <x:c r="A123" s="79"/>
      <x:c r="B123" s="31"/>
      <x:c r="C123" s="31"/>
      <x:c r="D123" s="31"/>
      <x:c r="E123" s="31"/>
      <x:c r="F123" s="31"/>
      <x:c r="G123" s="32"/>
      <x:c r="H123" s="32"/>
      <x:c r="I123" s="31"/>
      <x:c r="J123" s="32"/>
      <x:c r="K123" s="32"/>
      <x:c r="L123" s="31"/>
      <x:c r="M123" s="32"/>
      <x:c r="N123" s="32"/>
      <x:c r="O123" s="31"/>
      <x:c r="P123" s="31"/>
      <x:c r="Q123" s="32"/>
      <x:c r="R123" s="31"/>
      <x:c r="S123" s="31"/>
    </x:row>
    <x:row r="124">
      <x:c r="A124" s="79"/>
      <x:c r="B124" s="31"/>
      <x:c r="C124" s="31"/>
      <x:c r="D124" s="31"/>
      <x:c r="E124" s="31"/>
      <x:c r="F124" s="31"/>
      <x:c r="G124" s="32"/>
      <x:c r="H124" s="32"/>
      <x:c r="I124" s="31"/>
      <x:c r="J124" s="32"/>
      <x:c r="K124" s="32"/>
      <x:c r="L124" s="31"/>
      <x:c r="M124" s="32"/>
      <x:c r="N124" s="32"/>
      <x:c r="O124" s="31"/>
      <x:c r="P124" s="31"/>
      <x:c r="Q124" s="32"/>
      <x:c r="R124" s="31"/>
      <x:c r="S124" s="31"/>
    </x:row>
    <x:row r="125">
      <x:c r="A125" s="79"/>
      <x:c r="B125" s="31"/>
      <x:c r="C125" s="31"/>
      <x:c r="D125" s="31"/>
      <x:c r="E125" s="31"/>
      <x:c r="F125" s="31"/>
      <x:c r="G125" s="32"/>
      <x:c r="H125" s="32"/>
      <x:c r="I125" s="31"/>
      <x:c r="J125" s="32"/>
      <x:c r="K125" s="32"/>
      <x:c r="L125" s="31"/>
      <x:c r="M125" s="32"/>
      <x:c r="N125" s="32"/>
      <x:c r="O125" s="31"/>
      <x:c r="P125" s="31"/>
      <x:c r="Q125" s="32"/>
      <x:c r="R125" s="31"/>
      <x:c r="S125" s="31"/>
    </x:row>
    <x:row r="126">
      <x:c r="A126" s="79"/>
      <x:c r="B126" s="31"/>
      <x:c r="C126" s="31"/>
      <x:c r="D126" s="31"/>
      <x:c r="E126" s="31"/>
      <x:c r="F126" s="31"/>
      <x:c r="G126" s="32"/>
      <x:c r="H126" s="32"/>
      <x:c r="I126" s="31"/>
      <x:c r="J126" s="32"/>
      <x:c r="K126" s="32"/>
      <x:c r="L126" s="31"/>
      <x:c r="M126" s="32"/>
      <x:c r="N126" s="32"/>
      <x:c r="O126" s="31"/>
      <x:c r="P126" s="31"/>
      <x:c r="Q126" s="32"/>
      <x:c r="R126" s="31"/>
      <x:c r="S126" s="31"/>
    </x:row>
    <x:row r="127">
      <x:c r="A127" s="79"/>
      <x:c r="B127" s="31"/>
      <x:c r="C127" s="31"/>
      <x:c r="D127" s="31"/>
      <x:c r="E127" s="31"/>
      <x:c r="F127" s="31"/>
      <x:c r="G127" s="32"/>
      <x:c r="H127" s="32"/>
      <x:c r="I127" s="31"/>
      <x:c r="J127" s="32"/>
      <x:c r="K127" s="32"/>
      <x:c r="L127" s="31"/>
      <x:c r="M127" s="32"/>
      <x:c r="N127" s="32"/>
      <x:c r="O127" s="31"/>
      <x:c r="P127" s="31"/>
      <x:c r="Q127" s="32"/>
      <x:c r="R127" s="31"/>
      <x:c r="S127" s="31"/>
    </x:row>
    <x:row r="128">
      <x:c r="A128" s="79"/>
      <x:c r="B128" s="31"/>
      <x:c r="C128" s="31"/>
      <x:c r="D128" s="31"/>
      <x:c r="E128" s="31"/>
      <x:c r="F128" s="31"/>
      <x:c r="G128" s="32"/>
      <x:c r="H128" s="32"/>
      <x:c r="I128" s="31"/>
      <x:c r="J128" s="32"/>
      <x:c r="K128" s="32"/>
      <x:c r="L128" s="31"/>
      <x:c r="M128" s="32"/>
      <x:c r="N128" s="32"/>
      <x:c r="O128" s="31"/>
      <x:c r="P128" s="31"/>
      <x:c r="Q128" s="32"/>
      <x:c r="R128" s="31"/>
      <x:c r="S128" s="31"/>
    </x:row>
    <x:row r="129">
      <x:c r="A129" s="79"/>
      <x:c r="B129" s="31"/>
      <x:c r="C129" s="31"/>
      <x:c r="D129" s="31"/>
      <x:c r="E129" s="31"/>
      <x:c r="F129" s="31"/>
      <x:c r="G129" s="32"/>
      <x:c r="H129" s="32"/>
      <x:c r="I129" s="31"/>
      <x:c r="J129" s="32"/>
      <x:c r="K129" s="32"/>
      <x:c r="L129" s="31"/>
      <x:c r="M129" s="32"/>
      <x:c r="N129" s="32"/>
      <x:c r="O129" s="31"/>
      <x:c r="P129" s="31"/>
      <x:c r="Q129" s="32"/>
      <x:c r="R129" s="31"/>
      <x:c r="S129" s="31"/>
    </x:row>
    <x:row r="130">
      <x:c r="A130" s="79"/>
      <x:c r="B130" s="31"/>
      <x:c r="C130" s="31"/>
      <x:c r="D130" s="31"/>
      <x:c r="E130" s="31"/>
      <x:c r="F130" s="31"/>
      <x:c r="G130" s="32"/>
      <x:c r="H130" s="32"/>
      <x:c r="I130" s="31"/>
      <x:c r="J130" s="32"/>
      <x:c r="K130" s="32"/>
      <x:c r="L130" s="31"/>
      <x:c r="M130" s="32"/>
      <x:c r="N130" s="32"/>
      <x:c r="O130" s="31"/>
      <x:c r="P130" s="31"/>
      <x:c r="Q130" s="32"/>
      <x:c r="R130" s="31"/>
      <x:c r="S130" s="31"/>
    </x:row>
    <x:row r="131">
      <x:c r="A131" s="79"/>
      <x:c r="B131" s="31"/>
      <x:c r="C131" s="31"/>
      <x:c r="D131" s="31"/>
      <x:c r="E131" s="31"/>
      <x:c r="F131" s="31"/>
      <x:c r="G131" s="32"/>
      <x:c r="H131" s="32"/>
      <x:c r="I131" s="31"/>
      <x:c r="J131" s="32"/>
      <x:c r="K131" s="32"/>
      <x:c r="L131" s="31"/>
      <x:c r="M131" s="32"/>
      <x:c r="N131" s="32"/>
      <x:c r="O131" s="31"/>
      <x:c r="P131" s="31"/>
      <x:c r="Q131" s="32"/>
      <x:c r="R131" s="31"/>
      <x:c r="S131" s="31"/>
    </x:row>
    <x:row r="132">
      <x:c r="A132" s="79"/>
      <x:c r="B132" s="31"/>
      <x:c r="C132" s="31"/>
      <x:c r="D132" s="31"/>
      <x:c r="E132" s="31"/>
      <x:c r="F132" s="31"/>
      <x:c r="G132" s="32"/>
      <x:c r="H132" s="32"/>
      <x:c r="I132" s="31"/>
      <x:c r="J132" s="32"/>
      <x:c r="K132" s="32"/>
      <x:c r="L132" s="31"/>
      <x:c r="M132" s="32"/>
      <x:c r="N132" s="32"/>
      <x:c r="O132" s="31"/>
      <x:c r="P132" s="31"/>
      <x:c r="Q132" s="32"/>
      <x:c r="R132" s="31"/>
      <x:c r="S132" s="31"/>
    </x:row>
    <x:row r="133">
      <x:c r="A133" s="79"/>
      <x:c r="B133" s="31"/>
      <x:c r="C133" s="31"/>
      <x:c r="D133" s="31"/>
      <x:c r="E133" s="31"/>
      <x:c r="F133" s="31"/>
      <x:c r="G133" s="32"/>
      <x:c r="H133" s="32"/>
      <x:c r="I133" s="31"/>
      <x:c r="J133" s="32"/>
      <x:c r="K133" s="32"/>
      <x:c r="L133" s="31"/>
      <x:c r="M133" s="32"/>
      <x:c r="N133" s="32"/>
      <x:c r="O133" s="31"/>
      <x:c r="P133" s="31"/>
      <x:c r="Q133" s="32"/>
      <x:c r="R133" s="31"/>
      <x:c r="S133" s="31"/>
    </x:row>
    <x:row r="134">
      <x:c r="A134" s="79"/>
      <x:c r="B134" s="31"/>
      <x:c r="C134" s="31"/>
      <x:c r="D134" s="31"/>
      <x:c r="E134" s="31"/>
      <x:c r="F134" s="31"/>
      <x:c r="G134" s="32"/>
      <x:c r="H134" s="32"/>
      <x:c r="I134" s="31"/>
      <x:c r="J134" s="32"/>
      <x:c r="K134" s="32"/>
      <x:c r="L134" s="31"/>
      <x:c r="M134" s="32"/>
      <x:c r="N134" s="32"/>
      <x:c r="O134" s="31"/>
      <x:c r="P134" s="31"/>
      <x:c r="Q134" s="32"/>
      <x:c r="R134" s="31"/>
      <x:c r="S134" s="31"/>
    </x:row>
    <x:row r="135">
      <x:c r="A135" s="79"/>
      <x:c r="B135" s="31"/>
      <x:c r="C135" s="31"/>
      <x:c r="D135" s="31"/>
      <x:c r="E135" s="31"/>
      <x:c r="F135" s="31"/>
      <x:c r="G135" s="32"/>
      <x:c r="H135" s="32"/>
      <x:c r="I135" s="31"/>
      <x:c r="J135" s="32"/>
      <x:c r="K135" s="32"/>
      <x:c r="L135" s="31"/>
      <x:c r="M135" s="32"/>
      <x:c r="N135" s="32"/>
      <x:c r="O135" s="31"/>
      <x:c r="P135" s="31"/>
      <x:c r="Q135" s="32"/>
      <x:c r="R135" s="31"/>
      <x:c r="S135" s="31"/>
    </x:row>
    <x:row r="136">
      <x:c r="A136" s="79"/>
      <x:c r="B136" s="31"/>
      <x:c r="C136" s="31"/>
      <x:c r="D136" s="31"/>
      <x:c r="E136" s="31"/>
      <x:c r="F136" s="31"/>
      <x:c r="G136" s="32"/>
      <x:c r="H136" s="32"/>
      <x:c r="I136" s="31"/>
      <x:c r="J136" s="32"/>
      <x:c r="K136" s="32"/>
      <x:c r="L136" s="31"/>
      <x:c r="M136" s="32"/>
      <x:c r="N136" s="32"/>
      <x:c r="O136" s="31"/>
      <x:c r="P136" s="31"/>
      <x:c r="Q136" s="32"/>
      <x:c r="R136" s="31"/>
      <x:c r="S136" s="31"/>
    </x:row>
    <x:row r="137">
      <x:c r="A137" s="79"/>
      <x:c r="B137" s="31"/>
      <x:c r="C137" s="31"/>
      <x:c r="D137" s="31"/>
      <x:c r="E137" s="31"/>
      <x:c r="F137" s="31"/>
      <x:c r="G137" s="32"/>
      <x:c r="H137" s="32"/>
      <x:c r="I137" s="31"/>
      <x:c r="J137" s="32"/>
      <x:c r="K137" s="32"/>
      <x:c r="L137" s="31"/>
      <x:c r="M137" s="32"/>
      <x:c r="N137" s="32"/>
      <x:c r="O137" s="31"/>
      <x:c r="P137" s="31"/>
      <x:c r="Q137" s="32"/>
      <x:c r="R137" s="31"/>
      <x:c r="S137" s="31"/>
    </x:row>
    <x:row r="138">
      <x:c r="A138" s="79"/>
      <x:c r="B138" s="31"/>
      <x:c r="C138" s="31"/>
      <x:c r="D138" s="31"/>
      <x:c r="E138" s="31"/>
      <x:c r="F138" s="31"/>
      <x:c r="G138" s="32"/>
      <x:c r="H138" s="32"/>
      <x:c r="I138" s="31"/>
      <x:c r="J138" s="32"/>
      <x:c r="K138" s="32"/>
      <x:c r="L138" s="31"/>
      <x:c r="M138" s="32"/>
      <x:c r="N138" s="32"/>
      <x:c r="O138" s="31"/>
      <x:c r="P138" s="31"/>
      <x:c r="Q138" s="32"/>
      <x:c r="R138" s="31"/>
      <x:c r="S138" s="31"/>
    </x:row>
    <x:row r="139">
      <x:c r="A139" s="79"/>
      <x:c r="B139" s="31"/>
      <x:c r="C139" s="31"/>
      <x:c r="D139" s="31"/>
      <x:c r="E139" s="31"/>
      <x:c r="F139" s="31"/>
      <x:c r="G139" s="32"/>
      <x:c r="H139" s="32"/>
      <x:c r="I139" s="31"/>
      <x:c r="J139" s="32"/>
      <x:c r="K139" s="32"/>
      <x:c r="L139" s="31"/>
      <x:c r="M139" s="32"/>
      <x:c r="N139" s="32"/>
      <x:c r="O139" s="31"/>
      <x:c r="P139" s="31"/>
      <x:c r="Q139" s="32"/>
      <x:c r="R139" s="31"/>
      <x:c r="S139" s="31"/>
    </x:row>
    <x:row r="140">
      <x:c r="A140" s="79"/>
      <x:c r="B140" s="31"/>
      <x:c r="C140" s="31"/>
      <x:c r="D140" s="31"/>
      <x:c r="E140" s="31"/>
      <x:c r="F140" s="31"/>
      <x:c r="G140" s="32"/>
      <x:c r="H140" s="32"/>
      <x:c r="I140" s="31"/>
      <x:c r="J140" s="32"/>
      <x:c r="K140" s="32"/>
      <x:c r="L140" s="31"/>
      <x:c r="M140" s="32"/>
      <x:c r="N140" s="32"/>
      <x:c r="O140" s="31"/>
      <x:c r="P140" s="31"/>
      <x:c r="Q140" s="32"/>
      <x:c r="R140" s="31"/>
      <x:c r="S140" s="31"/>
    </x:row>
    <x:row r="141">
      <x:c r="A141" s="79"/>
      <x:c r="B141" s="31"/>
      <x:c r="C141" s="31"/>
      <x:c r="D141" s="31"/>
      <x:c r="E141" s="31"/>
      <x:c r="F141" s="31"/>
      <x:c r="G141" s="32"/>
      <x:c r="H141" s="32"/>
      <x:c r="I141" s="31"/>
      <x:c r="J141" s="32"/>
      <x:c r="K141" s="32"/>
      <x:c r="L141" s="31"/>
      <x:c r="M141" s="32"/>
      <x:c r="N141" s="32"/>
      <x:c r="O141" s="31"/>
      <x:c r="P141" s="31"/>
      <x:c r="Q141" s="32"/>
      <x:c r="R141" s="31"/>
      <x:c r="S141" s="31"/>
    </x:row>
    <x:row r="142">
      <x:c r="A142" s="79"/>
      <x:c r="B142" s="31"/>
      <x:c r="C142" s="31"/>
      <x:c r="D142" s="31"/>
      <x:c r="E142" s="31"/>
      <x:c r="F142" s="31"/>
      <x:c r="G142" s="32"/>
      <x:c r="H142" s="32"/>
      <x:c r="I142" s="31"/>
      <x:c r="J142" s="32"/>
      <x:c r="K142" s="32"/>
      <x:c r="L142" s="31"/>
      <x:c r="M142" s="32"/>
      <x:c r="N142" s="32"/>
      <x:c r="O142" s="31"/>
      <x:c r="P142" s="31"/>
      <x:c r="Q142" s="32"/>
      <x:c r="R142" s="31"/>
      <x:c r="S142" s="31"/>
    </x:row>
    <x:row r="143">
      <x:c r="A143" s="79"/>
      <x:c r="B143" s="31"/>
      <x:c r="C143" s="31"/>
      <x:c r="D143" s="31"/>
      <x:c r="E143" s="31"/>
      <x:c r="F143" s="31"/>
      <x:c r="G143" s="32"/>
      <x:c r="H143" s="32"/>
      <x:c r="I143" s="31"/>
      <x:c r="J143" s="32"/>
      <x:c r="K143" s="32"/>
      <x:c r="L143" s="31"/>
      <x:c r="M143" s="32"/>
      <x:c r="N143" s="32"/>
      <x:c r="O143" s="31"/>
      <x:c r="P143" s="31"/>
      <x:c r="Q143" s="32"/>
      <x:c r="R143" s="31"/>
      <x:c r="S143" s="31"/>
    </x:row>
    <x:row r="144">
      <x:c r="A144" s="79"/>
      <x:c r="B144" s="31"/>
      <x:c r="C144" s="31"/>
      <x:c r="D144" s="31"/>
      <x:c r="E144" s="31"/>
      <x:c r="F144" s="31"/>
      <x:c r="G144" s="32"/>
      <x:c r="H144" s="32"/>
      <x:c r="I144" s="31"/>
      <x:c r="J144" s="32"/>
      <x:c r="K144" s="32"/>
      <x:c r="L144" s="31"/>
      <x:c r="M144" s="32"/>
      <x:c r="N144" s="32"/>
      <x:c r="O144" s="31"/>
      <x:c r="P144" s="31"/>
      <x:c r="Q144" s="32"/>
      <x:c r="R144" s="31"/>
      <x:c r="S144" s="31"/>
    </x:row>
    <x:row r="145">
      <x:c r="A145" s="79"/>
      <x:c r="B145" s="31"/>
      <x:c r="C145" s="31"/>
      <x:c r="D145" s="31"/>
      <x:c r="E145" s="31"/>
      <x:c r="F145" s="31"/>
      <x:c r="G145" s="32"/>
      <x:c r="H145" s="32"/>
      <x:c r="I145" s="31"/>
      <x:c r="J145" s="32"/>
      <x:c r="K145" s="32"/>
      <x:c r="L145" s="31"/>
      <x:c r="M145" s="32"/>
      <x:c r="N145" s="32"/>
      <x:c r="O145" s="31"/>
      <x:c r="P145" s="31"/>
      <x:c r="Q145" s="32"/>
      <x:c r="R145" s="31"/>
      <x:c r="S145" s="31"/>
    </x:row>
    <x:row r="146">
      <x:c r="A146" s="79"/>
      <x:c r="B146" s="31"/>
      <x:c r="C146" s="31"/>
      <x:c r="D146" s="31"/>
      <x:c r="E146" s="31"/>
      <x:c r="F146" s="31"/>
      <x:c r="G146" s="32"/>
      <x:c r="H146" s="32"/>
      <x:c r="I146" s="31"/>
      <x:c r="J146" s="32"/>
      <x:c r="K146" s="32"/>
      <x:c r="L146" s="31"/>
      <x:c r="M146" s="32"/>
      <x:c r="N146" s="32"/>
      <x:c r="O146" s="31"/>
      <x:c r="P146" s="31"/>
      <x:c r="Q146" s="32"/>
      <x:c r="R146" s="31"/>
      <x:c r="S146" s="31"/>
    </x:row>
    <x:row r="147">
      <x:c r="A147" s="79"/>
      <x:c r="B147" s="31"/>
      <x:c r="C147" s="31"/>
      <x:c r="D147" s="31"/>
      <x:c r="E147" s="31"/>
      <x:c r="F147" s="31"/>
      <x:c r="G147" s="32"/>
      <x:c r="H147" s="32"/>
      <x:c r="I147" s="31"/>
      <x:c r="J147" s="32"/>
      <x:c r="K147" s="32"/>
      <x:c r="L147" s="31"/>
      <x:c r="M147" s="32"/>
      <x:c r="N147" s="32"/>
      <x:c r="O147" s="31"/>
      <x:c r="P147" s="31"/>
      <x:c r="Q147" s="32"/>
      <x:c r="R147" s="31"/>
      <x:c r="S147" s="31"/>
    </x:row>
    <x:row r="148">
      <x:c r="A148" s="79"/>
      <x:c r="B148" s="31"/>
      <x:c r="C148" s="31"/>
      <x:c r="D148" s="31"/>
      <x:c r="E148" s="31"/>
      <x:c r="F148" s="31"/>
      <x:c r="G148" s="32"/>
      <x:c r="H148" s="32"/>
      <x:c r="I148" s="31"/>
      <x:c r="J148" s="32"/>
      <x:c r="K148" s="32"/>
      <x:c r="L148" s="31"/>
      <x:c r="M148" s="32"/>
      <x:c r="N148" s="32"/>
      <x:c r="O148" s="31"/>
      <x:c r="P148" s="31"/>
      <x:c r="Q148" s="32"/>
      <x:c r="R148" s="31"/>
      <x:c r="S148" s="31"/>
    </x:row>
    <x:row r="149">
      <x:c r="A149" s="79"/>
      <x:c r="B149" s="31"/>
      <x:c r="C149" s="31"/>
      <x:c r="D149" s="31"/>
      <x:c r="E149" s="31"/>
      <x:c r="F149" s="31"/>
      <x:c r="G149" s="32"/>
      <x:c r="H149" s="32"/>
      <x:c r="I149" s="31"/>
      <x:c r="J149" s="32"/>
      <x:c r="K149" s="32"/>
      <x:c r="L149" s="31"/>
      <x:c r="M149" s="32"/>
      <x:c r="N149" s="32"/>
      <x:c r="O149" s="31"/>
      <x:c r="P149" s="31"/>
      <x:c r="Q149" s="32"/>
      <x:c r="R149" s="31"/>
      <x:c r="S149" s="31"/>
    </x:row>
    <x:row r="150">
      <x:c r="A150" s="79"/>
      <x:c r="B150" s="31"/>
      <x:c r="C150" s="31"/>
      <x:c r="D150" s="31"/>
      <x:c r="E150" s="31"/>
      <x:c r="F150" s="31"/>
      <x:c r="G150" s="32"/>
      <x:c r="H150" s="32"/>
      <x:c r="I150" s="31"/>
      <x:c r="J150" s="32"/>
      <x:c r="K150" s="32"/>
      <x:c r="L150" s="31"/>
      <x:c r="M150" s="32"/>
      <x:c r="N150" s="32"/>
      <x:c r="O150" s="31"/>
      <x:c r="P150" s="31"/>
      <x:c r="Q150" s="32"/>
      <x:c r="R150" s="31"/>
      <x:c r="S150" s="31"/>
    </x:row>
    <x:row r="151">
      <x:c r="A151" s="79"/>
      <x:c r="B151" s="31"/>
      <x:c r="C151" s="31"/>
      <x:c r="D151" s="31"/>
      <x:c r="E151" s="31"/>
      <x:c r="F151" s="31"/>
      <x:c r="G151" s="32"/>
      <x:c r="H151" s="32"/>
      <x:c r="I151" s="31"/>
      <x:c r="J151" s="32"/>
      <x:c r="K151" s="32"/>
      <x:c r="L151" s="31"/>
      <x:c r="M151" s="32"/>
      <x:c r="N151" s="32"/>
      <x:c r="O151" s="31"/>
      <x:c r="P151" s="31"/>
      <x:c r="Q151" s="32"/>
      <x:c r="R151" s="31"/>
      <x:c r="S151" s="31"/>
    </x:row>
    <x:row r="152">
      <x:c r="A152" s="79"/>
      <x:c r="B152" s="31"/>
      <x:c r="C152" s="31"/>
      <x:c r="D152" s="31"/>
      <x:c r="E152" s="31"/>
      <x:c r="F152" s="31"/>
      <x:c r="G152" s="32"/>
      <x:c r="H152" s="32"/>
      <x:c r="I152" s="31"/>
      <x:c r="J152" s="32"/>
      <x:c r="K152" s="32"/>
      <x:c r="L152" s="31"/>
      <x:c r="M152" s="32"/>
      <x:c r="N152" s="32"/>
      <x:c r="O152" s="31"/>
      <x:c r="P152" s="31"/>
      <x:c r="Q152" s="32"/>
      <x:c r="R152" s="31"/>
      <x:c r="S152" s="31"/>
    </x:row>
    <x:row r="153">
      <x:c r="A153" s="79"/>
      <x:c r="B153" s="31"/>
      <x:c r="C153" s="31"/>
      <x:c r="D153" s="31"/>
      <x:c r="E153" s="31"/>
      <x:c r="F153" s="31"/>
      <x:c r="G153" s="32"/>
      <x:c r="H153" s="32"/>
      <x:c r="I153" s="31"/>
      <x:c r="J153" s="32"/>
      <x:c r="K153" s="32"/>
      <x:c r="L153" s="31"/>
      <x:c r="M153" s="32"/>
      <x:c r="N153" s="32"/>
      <x:c r="O153" s="31"/>
      <x:c r="P153" s="31"/>
      <x:c r="Q153" s="32"/>
      <x:c r="R153" s="31"/>
      <x:c r="S153" s="31"/>
    </x:row>
    <x:row r="154">
      <x:c r="A154" s="79"/>
      <x:c r="B154" s="31"/>
      <x:c r="C154" s="31"/>
      <x:c r="D154" s="31"/>
      <x:c r="E154" s="31"/>
      <x:c r="F154" s="31"/>
      <x:c r="G154" s="32"/>
      <x:c r="H154" s="32"/>
      <x:c r="I154" s="31"/>
      <x:c r="J154" s="32"/>
      <x:c r="K154" s="32"/>
      <x:c r="L154" s="31"/>
      <x:c r="M154" s="32"/>
      <x:c r="N154" s="32"/>
      <x:c r="O154" s="31"/>
      <x:c r="P154" s="31"/>
      <x:c r="Q154" s="32"/>
      <x:c r="R154" s="31"/>
      <x:c r="S154" s="31"/>
    </x:row>
    <x:row r="155">
      <x:c r="A155" s="79"/>
      <x:c r="B155" s="31"/>
      <x:c r="C155" s="31"/>
      <x:c r="D155" s="31"/>
      <x:c r="E155" s="31"/>
      <x:c r="F155" s="31"/>
      <x:c r="G155" s="32"/>
      <x:c r="H155" s="32"/>
      <x:c r="I155" s="31"/>
      <x:c r="J155" s="32"/>
      <x:c r="K155" s="32"/>
      <x:c r="L155" s="31"/>
      <x:c r="M155" s="32"/>
      <x:c r="N155" s="32"/>
      <x:c r="O155" s="31"/>
      <x:c r="P155" s="31"/>
      <x:c r="Q155" s="32"/>
      <x:c r="R155" s="31"/>
      <x:c r="S155" s="31"/>
    </x:row>
    <x:row r="156">
      <x:c r="A156" s="79"/>
      <x:c r="B156" s="31"/>
      <x:c r="C156" s="31"/>
      <x:c r="D156" s="31"/>
      <x:c r="E156" s="31"/>
      <x:c r="F156" s="31"/>
      <x:c r="G156" s="32"/>
      <x:c r="H156" s="32"/>
      <x:c r="I156" s="31"/>
      <x:c r="J156" s="32"/>
      <x:c r="K156" s="32"/>
      <x:c r="L156" s="31"/>
      <x:c r="M156" s="32"/>
      <x:c r="N156" s="32"/>
      <x:c r="O156" s="31"/>
      <x:c r="P156" s="31"/>
      <x:c r="Q156" s="32"/>
      <x:c r="R156" s="31"/>
      <x:c r="S156" s="31"/>
    </x:row>
    <x:row r="157">
      <x:c r="A157" s="79"/>
      <x:c r="B157" s="31"/>
      <x:c r="C157" s="31"/>
      <x:c r="D157" s="31"/>
      <x:c r="E157" s="31"/>
      <x:c r="F157" s="31"/>
      <x:c r="G157" s="32"/>
      <x:c r="H157" s="32"/>
      <x:c r="I157" s="31"/>
      <x:c r="J157" s="32"/>
      <x:c r="K157" s="32"/>
      <x:c r="L157" s="31"/>
      <x:c r="M157" s="32"/>
      <x:c r="N157" s="32"/>
      <x:c r="O157" s="31"/>
      <x:c r="P157" s="31"/>
      <x:c r="Q157" s="32"/>
      <x:c r="R157" s="31"/>
      <x:c r="S157" s="31"/>
    </x:row>
    <x:row r="158">
      <x:c r="A158" s="79"/>
      <x:c r="B158" s="31"/>
      <x:c r="C158" s="31"/>
      <x:c r="D158" s="31"/>
      <x:c r="E158" s="31"/>
      <x:c r="F158" s="31"/>
      <x:c r="G158" s="32"/>
      <x:c r="H158" s="32"/>
      <x:c r="I158" s="31"/>
      <x:c r="J158" s="32"/>
      <x:c r="K158" s="32"/>
      <x:c r="L158" s="31"/>
      <x:c r="M158" s="32"/>
      <x:c r="N158" s="32"/>
      <x:c r="O158" s="31"/>
      <x:c r="P158" s="31"/>
      <x:c r="Q158" s="32"/>
      <x:c r="R158" s="31"/>
      <x:c r="S158" s="31"/>
    </x:row>
    <x:row r="159">
      <x:c r="A159" s="79"/>
      <x:c r="B159" s="31"/>
      <x:c r="C159" s="31"/>
      <x:c r="D159" s="31"/>
      <x:c r="E159" s="31"/>
      <x:c r="F159" s="31"/>
      <x:c r="G159" s="32"/>
      <x:c r="H159" s="32"/>
      <x:c r="I159" s="31"/>
      <x:c r="J159" s="32"/>
      <x:c r="K159" s="32"/>
      <x:c r="L159" s="31"/>
      <x:c r="M159" s="32"/>
      <x:c r="N159" s="32"/>
      <x:c r="O159" s="31"/>
      <x:c r="P159" s="31"/>
      <x:c r="Q159" s="32"/>
      <x:c r="R159" s="31"/>
      <x:c r="S159" s="31"/>
    </x:row>
    <x:row r="160">
      <x:c r="A160" s="79"/>
      <x:c r="B160" s="31"/>
      <x:c r="C160" s="31"/>
      <x:c r="D160" s="31"/>
      <x:c r="E160" s="31"/>
      <x:c r="F160" s="31"/>
      <x:c r="G160" s="32"/>
      <x:c r="H160" s="32"/>
      <x:c r="I160" s="31"/>
      <x:c r="J160" s="32"/>
      <x:c r="K160" s="32"/>
      <x:c r="L160" s="31"/>
      <x:c r="M160" s="32"/>
      <x:c r="N160" s="32"/>
      <x:c r="O160" s="31"/>
      <x:c r="P160" s="31"/>
      <x:c r="Q160" s="32"/>
      <x:c r="R160" s="31"/>
      <x:c r="S160" s="31"/>
    </x:row>
    <x:row r="161">
      <x:c r="A161" s="79"/>
      <x:c r="B161" s="31"/>
      <x:c r="C161" s="31"/>
      <x:c r="D161" s="31"/>
      <x:c r="E161" s="31"/>
      <x:c r="F161" s="31"/>
      <x:c r="G161" s="32"/>
      <x:c r="H161" s="32"/>
      <x:c r="I161" s="31"/>
      <x:c r="J161" s="32"/>
      <x:c r="K161" s="32"/>
      <x:c r="L161" s="31"/>
      <x:c r="M161" s="32"/>
      <x:c r="N161" s="32"/>
      <x:c r="O161" s="31"/>
      <x:c r="P161" s="31"/>
      <x:c r="Q161" s="32"/>
      <x:c r="R161" s="31"/>
      <x:c r="S161" s="31"/>
    </x:row>
    <x:row r="162">
      <x:c r="A162" s="79"/>
      <x:c r="B162" s="31"/>
      <x:c r="C162" s="31"/>
      <x:c r="D162" s="31"/>
      <x:c r="E162" s="31"/>
      <x:c r="F162" s="31"/>
      <x:c r="G162" s="32"/>
      <x:c r="H162" s="32"/>
      <x:c r="I162" s="31"/>
      <x:c r="J162" s="32"/>
      <x:c r="K162" s="32"/>
      <x:c r="L162" s="31"/>
      <x:c r="M162" s="32"/>
      <x:c r="N162" s="32"/>
      <x:c r="O162" s="31"/>
      <x:c r="P162" s="31"/>
      <x:c r="Q162" s="32"/>
      <x:c r="R162" s="31"/>
      <x:c r="S162" s="31"/>
    </x:row>
    <x:row r="163">
      <x:c r="A163" s="79"/>
      <x:c r="B163" s="31"/>
      <x:c r="C163" s="31"/>
      <x:c r="D163" s="31"/>
      <x:c r="E163" s="31"/>
      <x:c r="F163" s="31"/>
      <x:c r="G163" s="32"/>
      <x:c r="H163" s="32"/>
      <x:c r="I163" s="31"/>
      <x:c r="J163" s="32"/>
      <x:c r="K163" s="32"/>
      <x:c r="L163" s="31"/>
      <x:c r="M163" s="32"/>
      <x:c r="N163" s="32"/>
      <x:c r="O163" s="31"/>
      <x:c r="P163" s="31"/>
      <x:c r="Q163" s="32"/>
      <x:c r="R163" s="31"/>
      <x:c r="S163" s="31"/>
    </x:row>
    <x:row r="164">
      <x:c r="A164" s="79"/>
      <x:c r="B164" s="31"/>
      <x:c r="C164" s="31"/>
      <x:c r="D164" s="31"/>
      <x:c r="E164" s="31"/>
      <x:c r="F164" s="31"/>
      <x:c r="G164" s="32"/>
      <x:c r="H164" s="32"/>
      <x:c r="I164" s="31"/>
      <x:c r="J164" s="32"/>
      <x:c r="K164" s="32"/>
      <x:c r="L164" s="31"/>
      <x:c r="M164" s="32"/>
      <x:c r="N164" s="32"/>
      <x:c r="O164" s="31"/>
      <x:c r="P164" s="31"/>
      <x:c r="Q164" s="32"/>
      <x:c r="R164" s="31"/>
      <x:c r="S164" s="31"/>
    </x:row>
    <x:row r="165">
      <x:c r="A165" s="79"/>
      <x:c r="B165" s="31"/>
      <x:c r="C165" s="31"/>
      <x:c r="D165" s="31"/>
      <x:c r="E165" s="31"/>
      <x:c r="F165" s="31"/>
      <x:c r="G165" s="32"/>
      <x:c r="H165" s="32"/>
      <x:c r="I165" s="31"/>
      <x:c r="J165" s="32"/>
      <x:c r="K165" s="32"/>
      <x:c r="L165" s="31"/>
      <x:c r="M165" s="32"/>
      <x:c r="N165" s="32"/>
      <x:c r="O165" s="31"/>
      <x:c r="P165" s="31"/>
      <x:c r="Q165" s="32"/>
      <x:c r="R165" s="31"/>
      <x:c r="S165" s="31"/>
    </x:row>
    <x:row r="166">
      <x:c r="A166" s="79"/>
      <x:c r="B166" s="31"/>
      <x:c r="C166" s="31"/>
      <x:c r="D166" s="31"/>
      <x:c r="E166" s="31"/>
      <x:c r="F166" s="31"/>
      <x:c r="G166" s="32"/>
      <x:c r="H166" s="32"/>
      <x:c r="I166" s="31"/>
      <x:c r="J166" s="32"/>
      <x:c r="K166" s="32"/>
      <x:c r="L166" s="31"/>
      <x:c r="M166" s="32"/>
      <x:c r="N166" s="32"/>
      <x:c r="O166" s="31"/>
      <x:c r="P166" s="31"/>
      <x:c r="Q166" s="32"/>
      <x:c r="R166" s="31"/>
      <x:c r="S166" s="31"/>
    </x:row>
    <x:row r="167">
      <x:c r="A167" s="79"/>
      <x:c r="B167" s="31"/>
      <x:c r="C167" s="31"/>
      <x:c r="D167" s="31"/>
      <x:c r="E167" s="31"/>
      <x:c r="F167" s="31"/>
      <x:c r="G167" s="32"/>
      <x:c r="H167" s="32"/>
      <x:c r="I167" s="31"/>
      <x:c r="J167" s="32"/>
      <x:c r="K167" s="32"/>
      <x:c r="L167" s="31"/>
      <x:c r="M167" s="32"/>
      <x:c r="N167" s="32"/>
      <x:c r="O167" s="31"/>
      <x:c r="P167" s="31"/>
      <x:c r="Q167" s="32"/>
      <x:c r="R167" s="31"/>
      <x:c r="S167" s="31"/>
    </x:row>
    <x:row r="168">
      <x:c r="A168" s="79"/>
      <x:c r="B168" s="31"/>
      <x:c r="C168" s="31"/>
      <x:c r="D168" s="31"/>
      <x:c r="E168" s="31"/>
      <x:c r="F168" s="31"/>
      <x:c r="G168" s="32"/>
      <x:c r="H168" s="32"/>
      <x:c r="I168" s="31"/>
      <x:c r="J168" s="32"/>
      <x:c r="K168" s="32"/>
      <x:c r="L168" s="31"/>
      <x:c r="M168" s="32"/>
      <x:c r="N168" s="32"/>
      <x:c r="O168" s="31"/>
      <x:c r="P168" s="31"/>
      <x:c r="Q168" s="32"/>
      <x:c r="R168" s="31"/>
      <x:c r="S168" s="31"/>
    </x:row>
    <x:row r="169">
      <x:c r="A169" s="79"/>
      <x:c r="B169" s="31"/>
      <x:c r="C169" s="31"/>
      <x:c r="D169" s="31"/>
      <x:c r="E169" s="31"/>
      <x:c r="F169" s="31"/>
      <x:c r="G169" s="32"/>
      <x:c r="H169" s="32"/>
      <x:c r="I169" s="31"/>
      <x:c r="J169" s="32"/>
      <x:c r="K169" s="32"/>
      <x:c r="L169" s="31"/>
      <x:c r="M169" s="32"/>
      <x:c r="N169" s="32"/>
      <x:c r="O169" s="31"/>
      <x:c r="P169" s="31"/>
      <x:c r="Q169" s="32"/>
      <x:c r="R169" s="31"/>
      <x:c r="S169" s="31"/>
    </x:row>
    <x:row r="170">
      <x:c r="A170" s="79"/>
      <x:c r="B170" s="31"/>
      <x:c r="C170" s="31"/>
      <x:c r="D170" s="31"/>
      <x:c r="E170" s="31"/>
      <x:c r="F170" s="31"/>
      <x:c r="G170" s="32"/>
      <x:c r="H170" s="32"/>
      <x:c r="I170" s="31"/>
      <x:c r="J170" s="32"/>
      <x:c r="K170" s="32"/>
      <x:c r="L170" s="31"/>
      <x:c r="M170" s="32"/>
      <x:c r="N170" s="32"/>
      <x:c r="O170" s="31"/>
      <x:c r="P170" s="31"/>
      <x:c r="Q170" s="32"/>
      <x:c r="R170" s="31"/>
      <x:c r="S170" s="31"/>
    </x:row>
    <x:row r="171">
      <x:c r="A171" s="79"/>
      <x:c r="B171" s="31"/>
      <x:c r="C171" s="31"/>
      <x:c r="D171" s="31"/>
      <x:c r="E171" s="31"/>
      <x:c r="F171" s="31"/>
      <x:c r="G171" s="32"/>
      <x:c r="H171" s="32"/>
      <x:c r="I171" s="31"/>
      <x:c r="J171" s="32"/>
      <x:c r="K171" s="32"/>
      <x:c r="L171" s="31"/>
      <x:c r="M171" s="32"/>
      <x:c r="N171" s="32"/>
      <x:c r="O171" s="31"/>
      <x:c r="P171" s="31"/>
      <x:c r="Q171" s="32"/>
      <x:c r="R171" s="31"/>
      <x:c r="S171" s="31"/>
    </x:row>
    <x:row r="172">
      <x:c r="A172" s="79"/>
      <x:c r="B172" s="31"/>
      <x:c r="C172" s="31"/>
      <x:c r="D172" s="31"/>
      <x:c r="E172" s="31"/>
      <x:c r="F172" s="31"/>
      <x:c r="G172" s="32"/>
      <x:c r="H172" s="32"/>
      <x:c r="I172" s="31"/>
      <x:c r="J172" s="32"/>
      <x:c r="K172" s="32"/>
      <x:c r="L172" s="31"/>
      <x:c r="M172" s="32"/>
      <x:c r="N172" s="32"/>
      <x:c r="O172" s="31"/>
      <x:c r="P172" s="31"/>
      <x:c r="Q172" s="32"/>
      <x:c r="R172" s="31"/>
      <x:c r="S172" s="31"/>
    </x:row>
    <x:row r="173">
      <x:c r="A173" s="79"/>
      <x:c r="B173" s="31"/>
      <x:c r="C173" s="31"/>
      <x:c r="D173" s="31"/>
      <x:c r="E173" s="31"/>
      <x:c r="F173" s="31"/>
      <x:c r="G173" s="32"/>
      <x:c r="H173" s="32"/>
      <x:c r="I173" s="31"/>
      <x:c r="J173" s="32"/>
      <x:c r="K173" s="32"/>
      <x:c r="L173" s="31"/>
      <x:c r="M173" s="32"/>
      <x:c r="N173" s="32"/>
      <x:c r="O173" s="31"/>
      <x:c r="P173" s="31"/>
      <x:c r="Q173" s="32"/>
      <x:c r="R173" s="31"/>
      <x:c r="S173" s="31"/>
    </x:row>
    <x:row r="174">
      <x:c r="A174" s="79"/>
      <x:c r="B174" s="31"/>
      <x:c r="C174" s="31"/>
      <x:c r="D174" s="31"/>
      <x:c r="E174" s="31"/>
      <x:c r="F174" s="31"/>
      <x:c r="G174" s="32"/>
      <x:c r="H174" s="32"/>
      <x:c r="I174" s="31"/>
      <x:c r="J174" s="32"/>
      <x:c r="K174" s="32"/>
      <x:c r="L174" s="31"/>
      <x:c r="M174" s="32"/>
      <x:c r="N174" s="32"/>
      <x:c r="O174" s="31"/>
      <x:c r="P174" s="31"/>
      <x:c r="Q174" s="32"/>
      <x:c r="R174" s="31"/>
      <x:c r="S174" s="31"/>
    </x:row>
    <x:row r="175">
      <x:c r="A175" s="79"/>
      <x:c r="B175" s="31"/>
      <x:c r="C175" s="31"/>
      <x:c r="D175" s="31"/>
      <x:c r="E175" s="31"/>
      <x:c r="F175" s="31"/>
      <x:c r="G175" s="32"/>
      <x:c r="H175" s="32"/>
      <x:c r="I175" s="31"/>
      <x:c r="J175" s="32"/>
      <x:c r="K175" s="32"/>
      <x:c r="L175" s="31"/>
      <x:c r="M175" s="32"/>
      <x:c r="N175" s="32"/>
      <x:c r="O175" s="31"/>
      <x:c r="P175" s="31"/>
      <x:c r="Q175" s="32"/>
      <x:c r="R175" s="31"/>
      <x:c r="S175" s="31"/>
    </x:row>
    <x:row r="176">
      <x:c r="A176" s="79"/>
      <x:c r="B176" s="31"/>
      <x:c r="C176" s="31"/>
      <x:c r="D176" s="31"/>
      <x:c r="E176" s="31"/>
      <x:c r="F176" s="31"/>
      <x:c r="G176" s="32"/>
      <x:c r="H176" s="32"/>
      <x:c r="I176" s="31"/>
      <x:c r="J176" s="32"/>
      <x:c r="K176" s="32"/>
      <x:c r="L176" s="31"/>
      <x:c r="M176" s="32"/>
      <x:c r="N176" s="32"/>
      <x:c r="O176" s="31"/>
      <x:c r="P176" s="31"/>
      <x:c r="Q176" s="32"/>
      <x:c r="R176" s="31"/>
      <x:c r="S176" s="31"/>
    </x:row>
    <x:row r="177">
      <x:c r="A177" s="79"/>
      <x:c r="B177" s="31"/>
      <x:c r="C177" s="31"/>
      <x:c r="D177" s="31"/>
      <x:c r="E177" s="31"/>
      <x:c r="F177" s="31"/>
      <x:c r="G177" s="32"/>
      <x:c r="H177" s="32"/>
      <x:c r="I177" s="31"/>
      <x:c r="J177" s="32"/>
      <x:c r="K177" s="32"/>
      <x:c r="L177" s="31"/>
      <x:c r="M177" s="32"/>
      <x:c r="N177" s="32"/>
      <x:c r="O177" s="31"/>
      <x:c r="P177" s="31"/>
      <x:c r="Q177" s="32"/>
      <x:c r="R177" s="31"/>
      <x:c r="S177" s="31"/>
    </x:row>
    <x:row r="178">
      <x:c r="A178" s="79"/>
      <x:c r="B178" s="31"/>
      <x:c r="C178" s="31"/>
      <x:c r="D178" s="31"/>
      <x:c r="E178" s="31"/>
      <x:c r="F178" s="31"/>
      <x:c r="G178" s="32"/>
      <x:c r="H178" s="32"/>
      <x:c r="I178" s="31"/>
      <x:c r="J178" s="32"/>
      <x:c r="K178" s="32"/>
      <x:c r="L178" s="31"/>
      <x:c r="M178" s="32"/>
      <x:c r="N178" s="32"/>
      <x:c r="O178" s="31"/>
      <x:c r="P178" s="31"/>
      <x:c r="Q178" s="32"/>
      <x:c r="R178" s="31"/>
      <x:c r="S178" s="31"/>
    </x:row>
    <x:row r="179">
      <x:c r="A179" s="79"/>
      <x:c r="B179" s="31"/>
      <x:c r="C179" s="31"/>
      <x:c r="D179" s="31"/>
      <x:c r="E179" s="31"/>
      <x:c r="F179" s="31"/>
      <x:c r="G179" s="32"/>
      <x:c r="H179" s="32"/>
      <x:c r="I179" s="31"/>
      <x:c r="J179" s="32"/>
      <x:c r="K179" s="32"/>
      <x:c r="L179" s="31"/>
      <x:c r="M179" s="32"/>
      <x:c r="N179" s="32"/>
      <x:c r="O179" s="31"/>
      <x:c r="P179" s="31"/>
      <x:c r="Q179" s="32"/>
      <x:c r="R179" s="31"/>
      <x:c r="S179" s="31"/>
    </x:row>
    <x:row r="180">
      <x:c r="A180" s="79"/>
      <x:c r="B180" s="31"/>
      <x:c r="C180" s="31"/>
      <x:c r="D180" s="31"/>
      <x:c r="E180" s="31"/>
      <x:c r="F180" s="31"/>
      <x:c r="G180" s="32"/>
      <x:c r="H180" s="32"/>
      <x:c r="I180" s="31"/>
      <x:c r="J180" s="32"/>
      <x:c r="K180" s="32"/>
      <x:c r="L180" s="31"/>
      <x:c r="M180" s="32"/>
      <x:c r="N180" s="32"/>
      <x:c r="O180" s="31"/>
      <x:c r="P180" s="31"/>
      <x:c r="Q180" s="32"/>
      <x:c r="R180" s="31"/>
      <x:c r="S180" s="31"/>
    </x:row>
    <x:row r="181">
      <x:c r="A181" s="79"/>
      <x:c r="B181" s="31"/>
      <x:c r="C181" s="31"/>
      <x:c r="D181" s="31"/>
      <x:c r="E181" s="31"/>
      <x:c r="F181" s="31"/>
      <x:c r="G181" s="32"/>
      <x:c r="H181" s="32"/>
      <x:c r="I181" s="31"/>
      <x:c r="J181" s="32"/>
      <x:c r="K181" s="32"/>
      <x:c r="L181" s="31"/>
      <x:c r="M181" s="32"/>
      <x:c r="N181" s="32"/>
      <x:c r="O181" s="31"/>
      <x:c r="P181" s="31"/>
      <x:c r="Q181" s="32"/>
      <x:c r="R181" s="31"/>
      <x:c r="S181" s="31"/>
    </x:row>
    <x:row r="182">
      <x:c r="A182" s="79"/>
      <x:c r="B182" s="31"/>
      <x:c r="C182" s="31"/>
      <x:c r="D182" s="31"/>
      <x:c r="E182" s="31"/>
      <x:c r="F182" s="31"/>
      <x:c r="G182" s="32"/>
      <x:c r="H182" s="32"/>
      <x:c r="I182" s="31"/>
      <x:c r="J182" s="32"/>
      <x:c r="K182" s="32"/>
      <x:c r="L182" s="31"/>
      <x:c r="M182" s="32"/>
      <x:c r="N182" s="32"/>
      <x:c r="O182" s="31"/>
      <x:c r="P182" s="31"/>
      <x:c r="Q182" s="32"/>
      <x:c r="R182" s="31"/>
      <x:c r="S182" s="31"/>
    </x:row>
    <x:row r="183">
      <x:c r="A183" s="79"/>
      <x:c r="B183" s="31"/>
      <x:c r="C183" s="31"/>
      <x:c r="D183" s="31"/>
      <x:c r="E183" s="31"/>
      <x:c r="F183" s="31"/>
      <x:c r="G183" s="32"/>
      <x:c r="H183" s="32"/>
      <x:c r="I183" s="31"/>
      <x:c r="J183" s="32"/>
      <x:c r="K183" s="32"/>
      <x:c r="L183" s="31"/>
      <x:c r="M183" s="32"/>
      <x:c r="N183" s="32"/>
      <x:c r="O183" s="31"/>
      <x:c r="P183" s="31"/>
      <x:c r="Q183" s="32"/>
      <x:c r="R183" s="31"/>
      <x:c r="S183" s="31"/>
    </x:row>
    <x:row r="184">
      <x:c r="A184" s="79"/>
      <x:c r="B184" s="31"/>
      <x:c r="C184" s="31"/>
      <x:c r="D184" s="31"/>
      <x:c r="E184" s="31"/>
      <x:c r="F184" s="31"/>
      <x:c r="G184" s="32"/>
      <x:c r="H184" s="32"/>
      <x:c r="I184" s="31"/>
      <x:c r="J184" s="32"/>
      <x:c r="K184" s="32"/>
      <x:c r="L184" s="31"/>
      <x:c r="M184" s="32"/>
      <x:c r="N184" s="32"/>
      <x:c r="O184" s="31"/>
      <x:c r="P184" s="31"/>
      <x:c r="Q184" s="32"/>
      <x:c r="R184" s="31"/>
      <x:c r="S184" s="31"/>
    </x:row>
    <x:row r="185">
      <x:c r="A185" s="79"/>
      <x:c r="B185" s="31"/>
      <x:c r="C185" s="31"/>
      <x:c r="D185" s="31"/>
      <x:c r="E185" s="31"/>
      <x:c r="F185" s="31"/>
      <x:c r="G185" s="32"/>
      <x:c r="H185" s="32"/>
      <x:c r="I185" s="31"/>
      <x:c r="J185" s="32"/>
      <x:c r="K185" s="32"/>
      <x:c r="L185" s="31"/>
      <x:c r="M185" s="32"/>
      <x:c r="N185" s="32"/>
      <x:c r="O185" s="31"/>
      <x:c r="P185" s="31"/>
      <x:c r="Q185" s="32"/>
      <x:c r="R185" s="31"/>
      <x:c r="S185" s="31"/>
    </x:row>
    <x:row r="186">
      <x:c r="A186" s="79"/>
      <x:c r="B186" s="31"/>
      <x:c r="C186" s="31"/>
      <x:c r="D186" s="31"/>
      <x:c r="E186" s="31"/>
      <x:c r="F186" s="31"/>
      <x:c r="G186" s="32"/>
      <x:c r="H186" s="32"/>
      <x:c r="I186" s="31"/>
      <x:c r="J186" s="32"/>
      <x:c r="K186" s="32"/>
      <x:c r="L186" s="31"/>
      <x:c r="M186" s="32"/>
      <x:c r="N186" s="32"/>
      <x:c r="O186" s="31"/>
      <x:c r="P186" s="31"/>
      <x:c r="Q186" s="32"/>
      <x:c r="R186" s="31"/>
      <x:c r="S186" s="31"/>
    </x:row>
    <x:row r="187">
      <x:c r="A187" s="79"/>
      <x:c r="B187" s="31"/>
      <x:c r="C187" s="31"/>
      <x:c r="D187" s="31"/>
      <x:c r="E187" s="31"/>
      <x:c r="F187" s="31"/>
      <x:c r="G187" s="32"/>
      <x:c r="H187" s="32"/>
      <x:c r="I187" s="31"/>
      <x:c r="J187" s="32"/>
      <x:c r="K187" s="32"/>
      <x:c r="L187" s="31"/>
      <x:c r="M187" s="32"/>
      <x:c r="N187" s="32"/>
      <x:c r="O187" s="31"/>
      <x:c r="P187" s="31"/>
      <x:c r="Q187" s="32"/>
      <x:c r="R187" s="31"/>
      <x:c r="S187" s="31"/>
    </x:row>
    <x:row r="188">
      <x:c r="A188" s="79"/>
      <x:c r="B188" s="31"/>
      <x:c r="C188" s="31"/>
      <x:c r="D188" s="31"/>
      <x:c r="E188" s="31"/>
      <x:c r="F188" s="31"/>
      <x:c r="G188" s="32"/>
      <x:c r="H188" s="32"/>
      <x:c r="I188" s="31"/>
      <x:c r="J188" s="32"/>
      <x:c r="K188" s="32"/>
      <x:c r="L188" s="31"/>
      <x:c r="M188" s="32"/>
      <x:c r="N188" s="32"/>
      <x:c r="O188" s="31"/>
      <x:c r="P188" s="31"/>
      <x:c r="Q188" s="32"/>
      <x:c r="R188" s="31"/>
      <x:c r="S188" s="31"/>
    </x:row>
    <x:row r="189">
      <x:c r="A189" s="79"/>
      <x:c r="B189" s="31"/>
      <x:c r="C189" s="31"/>
      <x:c r="D189" s="31"/>
      <x:c r="E189" s="31"/>
      <x:c r="F189" s="31"/>
      <x:c r="G189" s="32"/>
      <x:c r="H189" s="32"/>
      <x:c r="I189" s="31"/>
      <x:c r="J189" s="32"/>
      <x:c r="K189" s="32"/>
      <x:c r="L189" s="31"/>
      <x:c r="M189" s="32"/>
      <x:c r="N189" s="32"/>
      <x:c r="O189" s="31"/>
      <x:c r="P189" s="31"/>
      <x:c r="Q189" s="32"/>
      <x:c r="R189" s="31"/>
      <x:c r="S189" s="31"/>
    </x:row>
    <x:row r="190">
      <x:c r="A190" s="79"/>
      <x:c r="B190" s="31"/>
      <x:c r="C190" s="31"/>
      <x:c r="D190" s="31"/>
      <x:c r="E190" s="31"/>
      <x:c r="F190" s="31"/>
      <x:c r="G190" s="32"/>
      <x:c r="H190" s="32"/>
      <x:c r="I190" s="31"/>
      <x:c r="J190" s="32"/>
      <x:c r="K190" s="32"/>
      <x:c r="L190" s="31"/>
      <x:c r="M190" s="32"/>
      <x:c r="N190" s="32"/>
      <x:c r="O190" s="31"/>
      <x:c r="P190" s="31"/>
      <x:c r="Q190" s="32"/>
      <x:c r="R190" s="31"/>
      <x:c r="S190" s="31"/>
    </x:row>
    <x:row r="191">
      <x:c r="A191" s="79"/>
      <x:c r="B191" s="31"/>
      <x:c r="C191" s="31"/>
      <x:c r="D191" s="31"/>
      <x:c r="E191" s="31"/>
      <x:c r="F191" s="31"/>
      <x:c r="G191" s="32"/>
      <x:c r="H191" s="32"/>
      <x:c r="I191" s="31"/>
      <x:c r="J191" s="32"/>
      <x:c r="K191" s="32"/>
      <x:c r="L191" s="31"/>
      <x:c r="M191" s="32"/>
      <x:c r="N191" s="32"/>
      <x:c r="O191" s="31"/>
      <x:c r="P191" s="31"/>
      <x:c r="Q191" s="32"/>
      <x:c r="R191" s="31"/>
      <x:c r="S191" s="31"/>
    </x:row>
    <x:row r="192">
      <x:c r="A192" s="79"/>
      <x:c r="B192" s="31"/>
      <x:c r="C192" s="31"/>
      <x:c r="D192" s="31"/>
      <x:c r="E192" s="31"/>
      <x:c r="F192" s="31"/>
      <x:c r="G192" s="32"/>
      <x:c r="H192" s="32"/>
      <x:c r="I192" s="31"/>
      <x:c r="J192" s="32"/>
      <x:c r="K192" s="32"/>
      <x:c r="L192" s="31"/>
      <x:c r="M192" s="32"/>
      <x:c r="N192" s="32"/>
      <x:c r="O192" s="31"/>
      <x:c r="P192" s="31"/>
      <x:c r="Q192" s="32"/>
      <x:c r="R192" s="31"/>
      <x:c r="S192" s="31"/>
    </x:row>
    <x:row r="193">
      <x:c r="A193" s="79"/>
      <x:c r="B193" s="31"/>
      <x:c r="C193" s="31"/>
      <x:c r="D193" s="31"/>
      <x:c r="E193" s="31"/>
      <x:c r="F193" s="31"/>
      <x:c r="G193" s="32"/>
      <x:c r="H193" s="32"/>
      <x:c r="I193" s="31"/>
      <x:c r="J193" s="32"/>
      <x:c r="K193" s="32"/>
      <x:c r="L193" s="31"/>
      <x:c r="M193" s="32"/>
      <x:c r="N193" s="32"/>
      <x:c r="O193" s="31"/>
      <x:c r="P193" s="31"/>
      <x:c r="Q193" s="32"/>
      <x:c r="R193" s="31"/>
      <x:c r="S193" s="31"/>
    </x:row>
    <x:row r="194">
      <x:c r="A194" s="79"/>
      <x:c r="B194" s="31"/>
      <x:c r="C194" s="31"/>
      <x:c r="D194" s="31"/>
      <x:c r="E194" s="31"/>
      <x:c r="F194" s="31"/>
      <x:c r="G194" s="32"/>
      <x:c r="H194" s="32"/>
      <x:c r="I194" s="31"/>
      <x:c r="J194" s="32"/>
      <x:c r="K194" s="32"/>
      <x:c r="L194" s="31"/>
      <x:c r="M194" s="32"/>
      <x:c r="N194" s="32"/>
      <x:c r="O194" s="31"/>
      <x:c r="P194" s="31"/>
      <x:c r="Q194" s="32"/>
      <x:c r="R194" s="31"/>
      <x:c r="S194" s="31"/>
    </x:row>
    <x:row r="195">
      <x:c r="A195" s="79"/>
      <x:c r="B195" s="31"/>
      <x:c r="C195" s="31"/>
      <x:c r="D195" s="31"/>
      <x:c r="E195" s="31"/>
      <x:c r="F195" s="31"/>
      <x:c r="G195" s="32"/>
      <x:c r="H195" s="32"/>
      <x:c r="I195" s="31"/>
      <x:c r="J195" s="32"/>
      <x:c r="K195" s="32"/>
      <x:c r="L195" s="31"/>
      <x:c r="M195" s="32"/>
      <x:c r="N195" s="32"/>
      <x:c r="O195" s="31"/>
      <x:c r="P195" s="31"/>
      <x:c r="Q195" s="32"/>
      <x:c r="R195" s="31"/>
      <x:c r="S195" s="31"/>
    </x:row>
    <x:row r="196">
      <x:c r="A196" s="79"/>
      <x:c r="B196" s="31"/>
      <x:c r="C196" s="31"/>
      <x:c r="D196" s="31"/>
      <x:c r="E196" s="31"/>
      <x:c r="F196" s="31"/>
      <x:c r="G196" s="32"/>
      <x:c r="H196" s="32"/>
      <x:c r="I196" s="31"/>
      <x:c r="J196" s="32"/>
      <x:c r="K196" s="32"/>
      <x:c r="L196" s="31"/>
      <x:c r="M196" s="32"/>
      <x:c r="N196" s="32"/>
      <x:c r="O196" s="31"/>
      <x:c r="P196" s="31"/>
      <x:c r="Q196" s="32"/>
      <x:c r="R196" s="31"/>
      <x:c r="S196" s="31"/>
    </x:row>
    <x:row r="197">
      <x:c r="A197" s="79"/>
      <x:c r="B197" s="31"/>
      <x:c r="C197" s="31"/>
      <x:c r="D197" s="31"/>
      <x:c r="E197" s="31"/>
      <x:c r="F197" s="31"/>
      <x:c r="G197" s="32"/>
      <x:c r="H197" s="32"/>
      <x:c r="I197" s="31"/>
      <x:c r="J197" s="32"/>
      <x:c r="K197" s="32"/>
      <x:c r="L197" s="31"/>
      <x:c r="M197" s="32"/>
      <x:c r="N197" s="32"/>
      <x:c r="O197" s="31"/>
      <x:c r="P197" s="31"/>
      <x:c r="Q197" s="32"/>
      <x:c r="R197" s="31"/>
      <x:c r="S197" s="31"/>
    </x:row>
    <x:row r="198">
      <x:c r="A198" s="79"/>
      <x:c r="B198" s="31"/>
      <x:c r="C198" s="31"/>
      <x:c r="D198" s="31"/>
      <x:c r="E198" s="31"/>
      <x:c r="F198" s="31"/>
      <x:c r="G198" s="32"/>
      <x:c r="H198" s="32"/>
      <x:c r="I198" s="31"/>
      <x:c r="J198" s="32"/>
      <x:c r="K198" s="32"/>
      <x:c r="L198" s="31"/>
      <x:c r="M198" s="32"/>
      <x:c r="N198" s="32"/>
      <x:c r="O198" s="31"/>
      <x:c r="P198" s="31"/>
      <x:c r="Q198" s="32"/>
      <x:c r="R198" s="31"/>
      <x:c r="S198" s="31"/>
    </x:row>
    <x:row r="199">
      <x:c r="A199" s="79"/>
      <x:c r="B199" s="31"/>
      <x:c r="C199" s="31"/>
      <x:c r="D199" s="31"/>
      <x:c r="E199" s="31"/>
      <x:c r="F199" s="31"/>
      <x:c r="G199" s="32"/>
      <x:c r="H199" s="32"/>
      <x:c r="I199" s="31"/>
      <x:c r="J199" s="32"/>
      <x:c r="K199" s="32"/>
      <x:c r="L199" s="31"/>
      <x:c r="M199" s="32"/>
      <x:c r="N199" s="32"/>
      <x:c r="O199" s="31"/>
      <x:c r="P199" s="31"/>
      <x:c r="Q199" s="32"/>
      <x:c r="R199" s="31"/>
      <x:c r="S199" s="31"/>
    </x:row>
    <x:row r="200">
      <x:c r="A200" s="79"/>
      <x:c r="B200" s="31"/>
      <x:c r="C200" s="31"/>
      <x:c r="D200" s="31"/>
      <x:c r="E200" s="31"/>
      <x:c r="F200" s="31"/>
      <x:c r="G200" s="32"/>
      <x:c r="H200" s="32"/>
      <x:c r="I200" s="31"/>
      <x:c r="J200" s="32"/>
      <x:c r="K200" s="32"/>
      <x:c r="L200" s="31"/>
      <x:c r="M200" s="32"/>
      <x:c r="N200" s="32"/>
      <x:c r="O200" s="31"/>
      <x:c r="P200" s="31"/>
      <x:c r="Q200" s="32"/>
      <x:c r="R200" s="31"/>
      <x:c r="S200" s="31"/>
    </x:row>
    <x:row r="201">
      <x:c r="A201" s="79"/>
      <x:c r="B201" s="31"/>
      <x:c r="C201" s="31"/>
      <x:c r="D201" s="31"/>
      <x:c r="E201" s="31"/>
      <x:c r="F201" s="31"/>
      <x:c r="G201" s="32"/>
      <x:c r="H201" s="32"/>
      <x:c r="I201" s="31"/>
      <x:c r="J201" s="32"/>
      <x:c r="K201" s="32"/>
      <x:c r="L201" s="31"/>
      <x:c r="M201" s="32"/>
      <x:c r="N201" s="32"/>
      <x:c r="O201" s="31"/>
      <x:c r="P201" s="31"/>
      <x:c r="Q201" s="32"/>
      <x:c r="R201" s="31"/>
      <x:c r="S201" s="31"/>
    </x:row>
    <x:row r="202">
      <x:c r="A202" s="79"/>
      <x:c r="B202" s="31"/>
      <x:c r="C202" s="31"/>
      <x:c r="D202" s="31"/>
      <x:c r="E202" s="31"/>
      <x:c r="F202" s="31"/>
      <x:c r="G202" s="32"/>
      <x:c r="H202" s="32"/>
      <x:c r="I202" s="31"/>
      <x:c r="J202" s="32"/>
      <x:c r="K202" s="32"/>
      <x:c r="L202" s="31"/>
      <x:c r="M202" s="32"/>
      <x:c r="N202" s="32"/>
      <x:c r="O202" s="31"/>
      <x:c r="P202" s="31"/>
      <x:c r="Q202" s="32"/>
      <x:c r="R202" s="31"/>
      <x:c r="S202" s="31"/>
    </x:row>
    <x:row r="203">
      <x:c r="A203" s="79"/>
      <x:c r="B203" s="31"/>
      <x:c r="C203" s="31"/>
      <x:c r="D203" s="31"/>
      <x:c r="E203" s="31"/>
      <x:c r="F203" s="31"/>
      <x:c r="G203" s="32"/>
      <x:c r="H203" s="32"/>
      <x:c r="I203" s="31"/>
      <x:c r="J203" s="32"/>
      <x:c r="K203" s="32"/>
      <x:c r="L203" s="31"/>
      <x:c r="M203" s="32"/>
      <x:c r="N203" s="32"/>
      <x:c r="O203" s="31"/>
      <x:c r="P203" s="31"/>
      <x:c r="Q203" s="32"/>
      <x:c r="R203" s="31"/>
      <x:c r="S203" s="31"/>
    </x:row>
    <x:row r="204">
      <x:c r="A204" s="79"/>
      <x:c r="B204" s="31"/>
      <x:c r="C204" s="31"/>
      <x:c r="D204" s="31"/>
      <x:c r="E204" s="31"/>
      <x:c r="F204" s="31"/>
      <x:c r="G204" s="32"/>
      <x:c r="H204" s="32"/>
      <x:c r="I204" s="31"/>
      <x:c r="J204" s="32"/>
      <x:c r="K204" s="32"/>
      <x:c r="L204" s="31"/>
      <x:c r="M204" s="32"/>
      <x:c r="N204" s="32"/>
      <x:c r="O204" s="31"/>
      <x:c r="P204" s="31"/>
      <x:c r="Q204" s="32"/>
      <x:c r="R204" s="31"/>
      <x:c r="S204" s="31"/>
    </x:row>
    <x:row r="205">
      <x:c r="A205" s="79"/>
      <x:c r="B205" s="31"/>
      <x:c r="C205" s="31"/>
      <x:c r="D205" s="31"/>
      <x:c r="E205" s="31"/>
      <x:c r="F205" s="31"/>
      <x:c r="G205" s="32"/>
      <x:c r="H205" s="32"/>
      <x:c r="I205" s="31"/>
      <x:c r="J205" s="32"/>
      <x:c r="K205" s="32"/>
      <x:c r="L205" s="31"/>
      <x:c r="M205" s="32"/>
      <x:c r="N205" s="32"/>
      <x:c r="O205" s="31"/>
      <x:c r="P205" s="31"/>
      <x:c r="Q205" s="32"/>
      <x:c r="R205" s="31"/>
      <x:c r="S205" s="31"/>
    </x:row>
    <x:row r="206">
      <x:c r="A206" s="79"/>
      <x:c r="B206" s="31"/>
      <x:c r="C206" s="31"/>
      <x:c r="D206" s="31"/>
      <x:c r="E206" s="31"/>
      <x:c r="F206" s="31"/>
      <x:c r="G206" s="32"/>
      <x:c r="H206" s="32"/>
      <x:c r="I206" s="31"/>
      <x:c r="J206" s="32"/>
      <x:c r="K206" s="32"/>
      <x:c r="L206" s="31"/>
      <x:c r="M206" s="32"/>
      <x:c r="N206" s="32"/>
      <x:c r="O206" s="31"/>
      <x:c r="P206" s="31"/>
      <x:c r="Q206" s="32"/>
      <x:c r="R206" s="31"/>
      <x:c r="S206" s="31"/>
    </x:row>
    <x:row r="207">
      <x:c r="A207" s="79"/>
      <x:c r="B207" s="31"/>
      <x:c r="C207" s="31"/>
      <x:c r="D207" s="31"/>
      <x:c r="E207" s="31"/>
      <x:c r="F207" s="31"/>
      <x:c r="G207" s="32"/>
      <x:c r="H207" s="32"/>
      <x:c r="I207" s="31"/>
      <x:c r="J207" s="32"/>
      <x:c r="K207" s="32"/>
      <x:c r="L207" s="31"/>
      <x:c r="M207" s="32"/>
      <x:c r="N207" s="32"/>
      <x:c r="O207" s="31"/>
      <x:c r="P207" s="31"/>
      <x:c r="Q207" s="32"/>
      <x:c r="R207" s="31"/>
      <x:c r="S207" s="31"/>
    </x:row>
    <x:row r="208">
      <x:c r="A208" s="79"/>
      <x:c r="B208" s="31"/>
      <x:c r="C208" s="31"/>
      <x:c r="D208" s="31"/>
      <x:c r="E208" s="31"/>
      <x:c r="F208" s="31"/>
      <x:c r="G208" s="32"/>
      <x:c r="H208" s="32"/>
      <x:c r="I208" s="31"/>
      <x:c r="J208" s="32"/>
      <x:c r="K208" s="32"/>
      <x:c r="L208" s="31"/>
      <x:c r="M208" s="32"/>
      <x:c r="N208" s="32"/>
      <x:c r="O208" s="31"/>
      <x:c r="P208" s="31"/>
      <x:c r="Q208" s="32"/>
      <x:c r="R208" s="31"/>
      <x:c r="S208" s="31"/>
    </x:row>
    <x:row r="209">
      <x:c r="A209" s="79"/>
      <x:c r="B209" s="31"/>
      <x:c r="C209" s="31"/>
      <x:c r="D209" s="31"/>
      <x:c r="E209" s="31"/>
      <x:c r="F209" s="31"/>
      <x:c r="G209" s="32"/>
      <x:c r="H209" s="32"/>
      <x:c r="I209" s="31"/>
      <x:c r="J209" s="32"/>
      <x:c r="K209" s="32"/>
      <x:c r="L209" s="31"/>
      <x:c r="M209" s="32"/>
      <x:c r="N209" s="32"/>
      <x:c r="O209" s="31"/>
      <x:c r="P209" s="31"/>
      <x:c r="Q209" s="32"/>
      <x:c r="R209" s="31"/>
      <x:c r="S209" s="31"/>
    </x:row>
    <x:row r="210">
      <x:c r="A210" s="79"/>
      <x:c r="B210" s="31"/>
      <x:c r="C210" s="31"/>
      <x:c r="D210" s="31"/>
      <x:c r="E210" s="31"/>
      <x:c r="F210" s="31"/>
      <x:c r="G210" s="32"/>
      <x:c r="H210" s="32"/>
      <x:c r="I210" s="31"/>
      <x:c r="J210" s="32"/>
      <x:c r="K210" s="32"/>
      <x:c r="L210" s="31"/>
      <x:c r="M210" s="32"/>
      <x:c r="N210" s="32"/>
      <x:c r="O210" s="31"/>
      <x:c r="P210" s="31"/>
      <x:c r="Q210" s="32"/>
      <x:c r="R210" s="31"/>
      <x:c r="S210" s="31"/>
    </x:row>
    <x:row r="211">
      <x:c r="A211" s="79"/>
      <x:c r="B211" s="31"/>
      <x:c r="C211" s="31"/>
      <x:c r="D211" s="31"/>
      <x:c r="E211" s="31"/>
      <x:c r="F211" s="31"/>
      <x:c r="G211" s="32"/>
      <x:c r="H211" s="32"/>
      <x:c r="I211" s="31"/>
      <x:c r="J211" s="32"/>
      <x:c r="K211" s="32"/>
      <x:c r="L211" s="31"/>
      <x:c r="M211" s="32"/>
      <x:c r="N211" s="32"/>
      <x:c r="O211" s="31"/>
      <x:c r="P211" s="31"/>
      <x:c r="Q211" s="32"/>
      <x:c r="R211" s="31"/>
      <x:c r="S211" s="31"/>
    </x:row>
    <x:row r="212">
      <x:c r="A212" s="79"/>
      <x:c r="B212" s="31"/>
      <x:c r="C212" s="31"/>
      <x:c r="D212" s="31"/>
      <x:c r="E212" s="31"/>
      <x:c r="F212" s="31"/>
      <x:c r="G212" s="32"/>
      <x:c r="H212" s="32"/>
      <x:c r="I212" s="31"/>
      <x:c r="J212" s="32"/>
      <x:c r="K212" s="32"/>
      <x:c r="L212" s="31"/>
      <x:c r="M212" s="32"/>
      <x:c r="N212" s="32"/>
      <x:c r="O212" s="31"/>
      <x:c r="P212" s="31"/>
      <x:c r="Q212" s="32"/>
      <x:c r="R212" s="31"/>
      <x:c r="S212" s="31"/>
    </x:row>
    <x:row r="213">
      <x:c r="A213" s="79"/>
      <x:c r="B213" s="31"/>
      <x:c r="C213" s="31"/>
      <x:c r="D213" s="31"/>
      <x:c r="E213" s="31"/>
      <x:c r="F213" s="31"/>
      <x:c r="G213" s="32"/>
      <x:c r="H213" s="32"/>
      <x:c r="I213" s="31"/>
      <x:c r="J213" s="32"/>
      <x:c r="K213" s="32"/>
      <x:c r="L213" s="31"/>
      <x:c r="M213" s="32"/>
      <x:c r="N213" s="32"/>
      <x:c r="O213" s="31"/>
      <x:c r="P213" s="31"/>
      <x:c r="Q213" s="32"/>
      <x:c r="R213" s="31"/>
      <x:c r="S213" s="31"/>
    </x:row>
    <x:row r="214">
      <x:c r="A214" s="79"/>
      <x:c r="B214" s="31"/>
      <x:c r="C214" s="31"/>
      <x:c r="D214" s="31"/>
      <x:c r="E214" s="31"/>
      <x:c r="F214" s="31"/>
      <x:c r="G214" s="32"/>
      <x:c r="H214" s="32"/>
      <x:c r="I214" s="31"/>
      <x:c r="J214" s="32"/>
      <x:c r="K214" s="32"/>
      <x:c r="L214" s="31"/>
      <x:c r="M214" s="32"/>
      <x:c r="N214" s="32"/>
      <x:c r="O214" s="31"/>
      <x:c r="P214" s="31"/>
      <x:c r="Q214" s="32"/>
      <x:c r="R214" s="31"/>
      <x:c r="S214" s="31"/>
    </x:row>
    <x:row r="215">
      <x:c r="A215" s="79"/>
      <x:c r="B215" s="31"/>
      <x:c r="C215" s="31"/>
      <x:c r="D215" s="31"/>
      <x:c r="E215" s="31"/>
      <x:c r="F215" s="31"/>
      <x:c r="G215" s="32"/>
      <x:c r="H215" s="32"/>
      <x:c r="I215" s="31"/>
      <x:c r="J215" s="32"/>
      <x:c r="K215" s="32"/>
      <x:c r="L215" s="31"/>
      <x:c r="M215" s="32"/>
      <x:c r="N215" s="32"/>
      <x:c r="O215" s="31"/>
      <x:c r="P215" s="31"/>
      <x:c r="Q215" s="32"/>
      <x:c r="R215" s="31"/>
      <x:c r="S215" s="31"/>
    </x:row>
    <x:row r="216">
      <x:c r="A216" s="79"/>
      <x:c r="B216" s="31"/>
      <x:c r="C216" s="31"/>
      <x:c r="D216" s="31"/>
      <x:c r="E216" s="31"/>
      <x:c r="F216" s="31"/>
      <x:c r="G216" s="32"/>
      <x:c r="H216" s="32"/>
      <x:c r="I216" s="31"/>
      <x:c r="J216" s="32"/>
      <x:c r="K216" s="32"/>
      <x:c r="L216" s="31"/>
      <x:c r="M216" s="32"/>
      <x:c r="N216" s="32"/>
      <x:c r="O216" s="31"/>
      <x:c r="P216" s="31"/>
      <x:c r="Q216" s="32"/>
      <x:c r="R216" s="31"/>
      <x:c r="S216" s="31"/>
    </x:row>
    <x:row r="217">
      <x:c r="A217" s="79"/>
      <x:c r="B217" s="31"/>
      <x:c r="C217" s="31"/>
      <x:c r="D217" s="31"/>
      <x:c r="E217" s="31"/>
      <x:c r="F217" s="31"/>
      <x:c r="G217" s="32"/>
      <x:c r="H217" s="32"/>
      <x:c r="I217" s="31"/>
      <x:c r="J217" s="32"/>
      <x:c r="K217" s="32"/>
      <x:c r="L217" s="31"/>
      <x:c r="M217" s="32"/>
      <x:c r="N217" s="32"/>
      <x:c r="O217" s="31"/>
      <x:c r="P217" s="31"/>
      <x:c r="Q217" s="32"/>
      <x:c r="R217" s="31"/>
      <x:c r="S217" s="31"/>
    </x:row>
    <x:row r="218">
      <x:c r="A218" s="79"/>
      <x:c r="B218" s="31"/>
      <x:c r="C218" s="31"/>
      <x:c r="D218" s="31"/>
      <x:c r="E218" s="31"/>
      <x:c r="F218" s="31"/>
      <x:c r="G218" s="32"/>
      <x:c r="H218" s="32"/>
      <x:c r="I218" s="31"/>
      <x:c r="J218" s="32"/>
      <x:c r="K218" s="32"/>
      <x:c r="L218" s="31"/>
      <x:c r="M218" s="32"/>
      <x:c r="N218" s="32"/>
      <x:c r="O218" s="31"/>
      <x:c r="P218" s="31"/>
      <x:c r="Q218" s="32"/>
      <x:c r="R218" s="31"/>
      <x:c r="S218" s="31"/>
    </x:row>
    <x:row r="219">
      <x:c r="A219" s="79"/>
      <x:c r="B219" s="31"/>
      <x:c r="C219" s="31"/>
      <x:c r="D219" s="31"/>
      <x:c r="E219" s="31"/>
      <x:c r="F219" s="31"/>
      <x:c r="G219" s="32"/>
      <x:c r="H219" s="32"/>
      <x:c r="I219" s="31"/>
      <x:c r="J219" s="32"/>
      <x:c r="K219" s="32"/>
      <x:c r="L219" s="31"/>
      <x:c r="M219" s="32"/>
      <x:c r="N219" s="32"/>
      <x:c r="O219" s="31"/>
      <x:c r="P219" s="31"/>
      <x:c r="Q219" s="32"/>
      <x:c r="R219" s="31"/>
      <x:c r="S219" s="31"/>
    </x:row>
    <x:row r="220">
      <x:c r="A220" s="79"/>
      <x:c r="B220" s="31"/>
      <x:c r="C220" s="31"/>
      <x:c r="D220" s="31"/>
      <x:c r="E220" s="31"/>
      <x:c r="F220" s="31"/>
      <x:c r="G220" s="32"/>
      <x:c r="H220" s="32"/>
      <x:c r="I220" s="31"/>
      <x:c r="J220" s="32"/>
      <x:c r="K220" s="32"/>
      <x:c r="L220" s="31"/>
      <x:c r="M220" s="32"/>
      <x:c r="N220" s="32"/>
      <x:c r="O220" s="31"/>
      <x:c r="P220" s="31"/>
      <x:c r="Q220" s="32"/>
      <x:c r="R220" s="31"/>
      <x:c r="S220" s="31"/>
    </x:row>
    <x:row r="221">
      <x:c r="A221" s="79"/>
      <x:c r="B221" s="31"/>
      <x:c r="C221" s="31"/>
      <x:c r="D221" s="31"/>
      <x:c r="E221" s="31"/>
      <x:c r="F221" s="31"/>
      <x:c r="G221" s="32"/>
      <x:c r="H221" s="32"/>
      <x:c r="I221" s="31"/>
      <x:c r="J221" s="32"/>
      <x:c r="K221" s="32"/>
      <x:c r="L221" s="31"/>
      <x:c r="M221" s="32"/>
      <x:c r="N221" s="32"/>
      <x:c r="O221" s="31"/>
      <x:c r="P221" s="31"/>
      <x:c r="Q221" s="32"/>
      <x:c r="R221" s="31"/>
      <x:c r="S221" s="31"/>
    </x:row>
    <x:row r="222">
      <x:c r="A222" s="79"/>
      <x:c r="B222" s="31"/>
      <x:c r="C222" s="31"/>
      <x:c r="D222" s="31"/>
      <x:c r="E222" s="31"/>
      <x:c r="F222" s="31"/>
      <x:c r="G222" s="32"/>
      <x:c r="H222" s="32"/>
      <x:c r="I222" s="31"/>
      <x:c r="J222" s="32"/>
      <x:c r="K222" s="32"/>
      <x:c r="L222" s="31"/>
      <x:c r="M222" s="32"/>
      <x:c r="N222" s="32"/>
      <x:c r="O222" s="31"/>
      <x:c r="P222" s="31"/>
      <x:c r="Q222" s="32"/>
      <x:c r="R222" s="31"/>
      <x:c r="S222" s="31"/>
    </x:row>
    <x:row r="223">
      <x:c r="A223" s="79"/>
      <x:c r="B223" s="31"/>
      <x:c r="C223" s="31"/>
      <x:c r="D223" s="31"/>
      <x:c r="E223" s="31"/>
      <x:c r="F223" s="31"/>
      <x:c r="G223" s="32"/>
      <x:c r="H223" s="32"/>
      <x:c r="I223" s="31"/>
      <x:c r="J223" s="32"/>
      <x:c r="K223" s="32"/>
      <x:c r="L223" s="31"/>
      <x:c r="M223" s="32"/>
      <x:c r="N223" s="32"/>
      <x:c r="O223" s="31"/>
      <x:c r="P223" s="31"/>
      <x:c r="Q223" s="32"/>
      <x:c r="R223" s="31"/>
      <x:c r="S223" s="31"/>
    </x:row>
    <x:row r="224">
      <x:c r="A224" s="79"/>
      <x:c r="B224" s="31"/>
      <x:c r="C224" s="31"/>
      <x:c r="D224" s="31"/>
      <x:c r="E224" s="31"/>
      <x:c r="F224" s="31"/>
      <x:c r="G224" s="32"/>
      <x:c r="H224" s="32"/>
      <x:c r="I224" s="31"/>
      <x:c r="J224" s="32"/>
      <x:c r="K224" s="32"/>
      <x:c r="L224" s="31"/>
      <x:c r="M224" s="32"/>
      <x:c r="N224" s="32"/>
      <x:c r="O224" s="31"/>
      <x:c r="P224" s="31"/>
      <x:c r="Q224" s="32"/>
      <x:c r="R224" s="31"/>
      <x:c r="S224" s="31"/>
    </x:row>
    <x:row r="225">
      <x:c r="A225" s="79"/>
      <x:c r="B225" s="31"/>
      <x:c r="C225" s="31"/>
      <x:c r="D225" s="31"/>
      <x:c r="E225" s="31"/>
      <x:c r="F225" s="31"/>
      <x:c r="G225" s="32"/>
      <x:c r="H225" s="32"/>
      <x:c r="I225" s="31"/>
      <x:c r="J225" s="32"/>
      <x:c r="K225" s="32"/>
      <x:c r="L225" s="31"/>
      <x:c r="M225" s="32"/>
      <x:c r="N225" s="32"/>
      <x:c r="O225" s="31"/>
      <x:c r="P225" s="31"/>
      <x:c r="Q225" s="32"/>
      <x:c r="R225" s="31"/>
      <x:c r="S225" s="31"/>
    </x:row>
    <x:row r="226">
      <x:c r="A226" s="79"/>
      <x:c r="B226" s="31"/>
      <x:c r="C226" s="31"/>
      <x:c r="D226" s="31"/>
      <x:c r="E226" s="31"/>
      <x:c r="F226" s="31"/>
      <x:c r="G226" s="32"/>
      <x:c r="H226" s="32"/>
      <x:c r="I226" s="31"/>
      <x:c r="J226" s="32"/>
      <x:c r="K226" s="32"/>
      <x:c r="L226" s="31"/>
      <x:c r="M226" s="32"/>
      <x:c r="N226" s="32"/>
      <x:c r="O226" s="31"/>
      <x:c r="P226" s="31"/>
      <x:c r="Q226" s="32"/>
      <x:c r="R226" s="31"/>
      <x:c r="S226" s="31"/>
    </x:row>
    <x:row r="227">
      <x:c r="A227" s="79"/>
      <x:c r="B227" s="31"/>
      <x:c r="C227" s="31"/>
      <x:c r="D227" s="31"/>
      <x:c r="E227" s="31"/>
      <x:c r="F227" s="31"/>
      <x:c r="G227" s="32"/>
      <x:c r="H227" s="32"/>
      <x:c r="I227" s="31"/>
      <x:c r="J227" s="32"/>
      <x:c r="K227" s="32"/>
      <x:c r="L227" s="31"/>
      <x:c r="M227" s="32"/>
      <x:c r="N227" s="32"/>
      <x:c r="O227" s="31"/>
      <x:c r="P227" s="31"/>
      <x:c r="Q227" s="32"/>
      <x:c r="R227" s="31"/>
      <x:c r="S227" s="31"/>
    </x:row>
    <x:row r="228">
      <x:c r="A228" s="79"/>
      <x:c r="B228" s="31"/>
      <x:c r="C228" s="31"/>
      <x:c r="D228" s="31"/>
      <x:c r="E228" s="31"/>
      <x:c r="F228" s="31"/>
      <x:c r="G228" s="32"/>
      <x:c r="H228" s="32"/>
      <x:c r="I228" s="31"/>
      <x:c r="J228" s="32"/>
      <x:c r="K228" s="32"/>
      <x:c r="L228" s="31"/>
      <x:c r="M228" s="32"/>
      <x:c r="N228" s="32"/>
      <x:c r="O228" s="31"/>
      <x:c r="P228" s="31"/>
      <x:c r="Q228" s="32"/>
      <x:c r="R228" s="31"/>
      <x:c r="S228" s="31"/>
    </x:row>
    <x:row r="229">
      <x:c r="A229" s="79"/>
      <x:c r="B229" s="31"/>
      <x:c r="C229" s="31"/>
      <x:c r="D229" s="31"/>
      <x:c r="E229" s="31"/>
      <x:c r="F229" s="31"/>
      <x:c r="G229" s="32"/>
      <x:c r="H229" s="32"/>
      <x:c r="I229" s="31"/>
      <x:c r="J229" s="32"/>
      <x:c r="K229" s="32"/>
      <x:c r="L229" s="31"/>
      <x:c r="M229" s="32"/>
      <x:c r="N229" s="32"/>
      <x:c r="O229" s="31"/>
      <x:c r="P229" s="31"/>
      <x:c r="Q229" s="32"/>
      <x:c r="R229" s="31"/>
      <x:c r="S229" s="31"/>
    </x:row>
    <x:row r="230">
      <x:c r="A230" s="79"/>
      <x:c r="B230" s="31"/>
      <x:c r="C230" s="31"/>
      <x:c r="D230" s="31"/>
      <x:c r="E230" s="31"/>
      <x:c r="F230" s="31"/>
      <x:c r="G230" s="32"/>
      <x:c r="H230" s="32"/>
      <x:c r="I230" s="31"/>
      <x:c r="J230" s="32"/>
      <x:c r="K230" s="32"/>
      <x:c r="L230" s="31"/>
      <x:c r="M230" s="32"/>
      <x:c r="N230" s="32"/>
      <x:c r="O230" s="31"/>
      <x:c r="P230" s="31"/>
      <x:c r="Q230" s="32"/>
      <x:c r="R230" s="31"/>
      <x:c r="S230" s="31"/>
    </x:row>
    <x:row r="231">
      <x:c r="A231" s="79"/>
      <x:c r="B231" s="31"/>
      <x:c r="C231" s="31"/>
      <x:c r="D231" s="31"/>
      <x:c r="E231" s="31"/>
      <x:c r="F231" s="31"/>
      <x:c r="G231" s="32"/>
      <x:c r="H231" s="32"/>
      <x:c r="I231" s="31"/>
      <x:c r="J231" s="32"/>
      <x:c r="K231" s="32"/>
      <x:c r="L231" s="31"/>
      <x:c r="M231" s="32"/>
      <x:c r="N231" s="32"/>
      <x:c r="O231" s="31"/>
      <x:c r="P231" s="31"/>
      <x:c r="Q231" s="32"/>
      <x:c r="R231" s="31"/>
      <x:c r="S231" s="31"/>
    </x:row>
    <x:row r="232">
      <x:c r="A232" s="79"/>
      <x:c r="B232" s="31"/>
      <x:c r="C232" s="31"/>
      <x:c r="D232" s="31"/>
      <x:c r="E232" s="31"/>
      <x:c r="F232" s="31"/>
      <x:c r="G232" s="32"/>
      <x:c r="H232" s="32"/>
      <x:c r="I232" s="31"/>
      <x:c r="J232" s="32"/>
      <x:c r="K232" s="32"/>
      <x:c r="L232" s="31"/>
      <x:c r="M232" s="32"/>
      <x:c r="N232" s="32"/>
      <x:c r="O232" s="31"/>
      <x:c r="P232" s="31"/>
      <x:c r="Q232" s="32"/>
      <x:c r="R232" s="31"/>
      <x:c r="S232" s="31"/>
    </x:row>
    <x:row r="233">
      <x:c r="A233" s="79"/>
      <x:c r="B233" s="31"/>
      <x:c r="C233" s="31"/>
      <x:c r="D233" s="31"/>
      <x:c r="E233" s="31"/>
      <x:c r="F233" s="31"/>
      <x:c r="G233" s="32"/>
      <x:c r="H233" s="32"/>
      <x:c r="I233" s="31"/>
      <x:c r="J233" s="32"/>
      <x:c r="K233" s="32"/>
      <x:c r="L233" s="31"/>
      <x:c r="M233" s="32"/>
      <x:c r="N233" s="32"/>
      <x:c r="O233" s="31"/>
      <x:c r="P233" s="31"/>
      <x:c r="Q233" s="32"/>
      <x:c r="R233" s="31"/>
      <x:c r="S233" s="31"/>
    </x:row>
    <x:row r="234">
      <x:c r="A234" s="79"/>
      <x:c r="B234" s="31"/>
      <x:c r="C234" s="31"/>
      <x:c r="D234" s="31"/>
      <x:c r="E234" s="31"/>
      <x:c r="F234" s="31"/>
      <x:c r="G234" s="32"/>
      <x:c r="H234" s="32"/>
      <x:c r="I234" s="31"/>
      <x:c r="J234" s="32"/>
      <x:c r="K234" s="32"/>
      <x:c r="L234" s="31"/>
      <x:c r="M234" s="32"/>
      <x:c r="N234" s="32"/>
      <x:c r="O234" s="31"/>
      <x:c r="P234" s="31"/>
      <x:c r="Q234" s="32"/>
      <x:c r="R234" s="31"/>
      <x:c r="S234" s="31"/>
    </x:row>
    <x:row r="235">
      <x:c r="A235" s="79"/>
      <x:c r="B235" s="31"/>
      <x:c r="C235" s="31"/>
      <x:c r="D235" s="31"/>
      <x:c r="E235" s="31"/>
      <x:c r="F235" s="31"/>
      <x:c r="G235" s="32"/>
      <x:c r="H235" s="32"/>
      <x:c r="I235" s="31"/>
      <x:c r="J235" s="32"/>
      <x:c r="K235" s="32"/>
      <x:c r="L235" s="31"/>
      <x:c r="M235" s="32"/>
      <x:c r="N235" s="32"/>
      <x:c r="O235" s="31"/>
      <x:c r="P235" s="31"/>
      <x:c r="Q235" s="32"/>
      <x:c r="R235" s="31"/>
      <x:c r="S235" s="31"/>
    </x:row>
    <x:row r="236">
      <x:c r="A236" s="79"/>
      <x:c r="B236" s="31"/>
      <x:c r="C236" s="31"/>
      <x:c r="D236" s="31"/>
      <x:c r="E236" s="31"/>
      <x:c r="F236" s="31"/>
      <x:c r="G236" s="32"/>
      <x:c r="H236" s="32"/>
      <x:c r="I236" s="31"/>
      <x:c r="J236" s="32"/>
      <x:c r="K236" s="32"/>
      <x:c r="L236" s="31"/>
      <x:c r="M236" s="32"/>
      <x:c r="N236" s="32"/>
      <x:c r="O236" s="31"/>
      <x:c r="P236" s="31"/>
      <x:c r="Q236" s="32"/>
      <x:c r="R236" s="31"/>
      <x:c r="S236" s="31"/>
    </x:row>
    <x:row r="237">
      <x:c r="A237" s="79"/>
      <x:c r="B237" s="31"/>
      <x:c r="C237" s="31"/>
      <x:c r="D237" s="31"/>
      <x:c r="E237" s="31"/>
      <x:c r="F237" s="31"/>
      <x:c r="G237" s="32"/>
      <x:c r="H237" s="32"/>
      <x:c r="I237" s="31"/>
      <x:c r="J237" s="32"/>
      <x:c r="K237" s="32"/>
      <x:c r="L237" s="31"/>
      <x:c r="M237" s="32"/>
      <x:c r="N237" s="32"/>
      <x:c r="O237" s="31"/>
      <x:c r="P237" s="31"/>
      <x:c r="Q237" s="32"/>
      <x:c r="R237" s="31"/>
      <x:c r="S237" s="31"/>
    </x:row>
    <x:row r="238">
      <x:c r="A238" s="79"/>
      <x:c r="B238" s="31"/>
      <x:c r="C238" s="31"/>
      <x:c r="D238" s="31"/>
      <x:c r="E238" s="31"/>
      <x:c r="F238" s="31"/>
      <x:c r="G238" s="32"/>
      <x:c r="H238" s="32"/>
      <x:c r="I238" s="31"/>
      <x:c r="J238" s="32"/>
      <x:c r="K238" s="32"/>
      <x:c r="L238" s="31"/>
      <x:c r="M238" s="32"/>
      <x:c r="N238" s="32"/>
      <x:c r="O238" s="31"/>
      <x:c r="P238" s="31"/>
      <x:c r="Q238" s="32"/>
      <x:c r="R238" s="31"/>
      <x:c r="S238" s="31"/>
    </x:row>
    <x:row r="239">
      <x:c r="A239" s="79"/>
      <x:c r="B239" s="31"/>
      <x:c r="C239" s="31"/>
      <x:c r="D239" s="31"/>
      <x:c r="E239" s="31"/>
      <x:c r="F239" s="31"/>
      <x:c r="G239" s="32"/>
      <x:c r="H239" s="32"/>
      <x:c r="I239" s="31"/>
      <x:c r="J239" s="32"/>
      <x:c r="K239" s="32"/>
      <x:c r="L239" s="31"/>
      <x:c r="M239" s="32"/>
      <x:c r="N239" s="32"/>
      <x:c r="O239" s="31"/>
      <x:c r="P239" s="31"/>
      <x:c r="Q239" s="32"/>
      <x:c r="R239" s="31"/>
      <x:c r="S239" s="31"/>
    </x:row>
    <x:row r="240">
      <x:c r="A240" s="79"/>
      <x:c r="B240" s="31"/>
      <x:c r="C240" s="31"/>
      <x:c r="D240" s="31"/>
      <x:c r="E240" s="31"/>
      <x:c r="F240" s="31"/>
      <x:c r="G240" s="32"/>
      <x:c r="H240" s="32"/>
      <x:c r="I240" s="31"/>
      <x:c r="J240" s="32"/>
      <x:c r="K240" s="32"/>
      <x:c r="L240" s="31"/>
      <x:c r="M240" s="32"/>
      <x:c r="N240" s="32"/>
      <x:c r="O240" s="31"/>
      <x:c r="P240" s="31"/>
      <x:c r="Q240" s="32"/>
      <x:c r="R240" s="31"/>
      <x:c r="S240" s="31"/>
    </x:row>
    <x:row r="241">
      <x:c r="A241" s="79"/>
      <x:c r="B241" s="31"/>
      <x:c r="C241" s="31"/>
      <x:c r="D241" s="31"/>
      <x:c r="E241" s="31"/>
      <x:c r="F241" s="31"/>
      <x:c r="G241" s="32"/>
      <x:c r="H241" s="32"/>
      <x:c r="I241" s="31"/>
      <x:c r="J241" s="32"/>
      <x:c r="K241" s="32"/>
      <x:c r="L241" s="31"/>
      <x:c r="M241" s="32"/>
      <x:c r="N241" s="32"/>
      <x:c r="O241" s="31"/>
      <x:c r="P241" s="31"/>
      <x:c r="Q241" s="32"/>
      <x:c r="R241" s="31"/>
      <x:c r="S241" s="31"/>
    </x:row>
    <x:row r="242">
      <x:c r="A242" s="79"/>
      <x:c r="B242" s="31"/>
      <x:c r="C242" s="31"/>
      <x:c r="D242" s="31"/>
      <x:c r="E242" s="31"/>
      <x:c r="F242" s="31"/>
      <x:c r="G242" s="32"/>
      <x:c r="H242" s="32"/>
      <x:c r="I242" s="31"/>
      <x:c r="J242" s="32"/>
      <x:c r="K242" s="32"/>
      <x:c r="L242" s="31"/>
      <x:c r="M242" s="32"/>
      <x:c r="N242" s="32"/>
      <x:c r="O242" s="31"/>
      <x:c r="P242" s="31"/>
      <x:c r="Q242" s="32"/>
      <x:c r="R242" s="31"/>
      <x:c r="S242" s="31"/>
    </x:row>
    <x:row r="243">
      <x:c r="A243" s="79"/>
      <x:c r="B243" s="31"/>
      <x:c r="C243" s="31"/>
      <x:c r="D243" s="31"/>
      <x:c r="E243" s="31"/>
      <x:c r="F243" s="31"/>
      <x:c r="G243" s="32"/>
      <x:c r="H243" s="32"/>
      <x:c r="I243" s="31"/>
      <x:c r="J243" s="32"/>
      <x:c r="K243" s="32"/>
      <x:c r="L243" s="31"/>
      <x:c r="M243" s="32"/>
      <x:c r="N243" s="32"/>
      <x:c r="O243" s="31"/>
      <x:c r="P243" s="31"/>
      <x:c r="Q243" s="32"/>
      <x:c r="R243" s="31"/>
      <x:c r="S243" s="31"/>
    </x:row>
    <x:row r="244">
      <x:c r="A244" s="79"/>
      <x:c r="B244" s="31"/>
      <x:c r="C244" s="31"/>
      <x:c r="D244" s="31"/>
      <x:c r="E244" s="31"/>
      <x:c r="F244" s="31"/>
      <x:c r="G244" s="32"/>
      <x:c r="H244" s="32"/>
      <x:c r="I244" s="31"/>
      <x:c r="J244" s="32"/>
      <x:c r="K244" s="32"/>
      <x:c r="L244" s="31"/>
      <x:c r="M244" s="32"/>
      <x:c r="N244" s="32"/>
      <x:c r="O244" s="31"/>
      <x:c r="P244" s="31"/>
      <x:c r="Q244" s="32"/>
      <x:c r="R244" s="31"/>
      <x:c r="S244" s="31"/>
    </x:row>
    <x:row r="245">
      <x:c r="A245" s="79"/>
      <x:c r="B245" s="31"/>
      <x:c r="C245" s="31"/>
      <x:c r="D245" s="31"/>
      <x:c r="E245" s="31"/>
      <x:c r="F245" s="31"/>
      <x:c r="G245" s="32"/>
      <x:c r="H245" s="32"/>
      <x:c r="I245" s="31"/>
      <x:c r="J245" s="32"/>
      <x:c r="K245" s="32"/>
      <x:c r="L245" s="31"/>
      <x:c r="M245" s="32"/>
      <x:c r="N245" s="32"/>
      <x:c r="O245" s="31"/>
      <x:c r="P245" s="31"/>
      <x:c r="Q245" s="32"/>
      <x:c r="R245" s="31"/>
      <x:c r="S245" s="31"/>
    </x:row>
    <x:row r="246">
      <x:c r="A246" s="79"/>
      <x:c r="B246" s="31"/>
      <x:c r="C246" s="31"/>
      <x:c r="D246" s="31"/>
      <x:c r="E246" s="31"/>
      <x:c r="F246" s="31"/>
      <x:c r="G246" s="32"/>
      <x:c r="H246" s="32"/>
      <x:c r="I246" s="31"/>
      <x:c r="J246" s="32"/>
      <x:c r="K246" s="32"/>
      <x:c r="L246" s="31"/>
      <x:c r="M246" s="32"/>
      <x:c r="N246" s="32"/>
      <x:c r="O246" s="31"/>
      <x:c r="P246" s="31"/>
      <x:c r="Q246" s="32"/>
      <x:c r="R246" s="31"/>
      <x:c r="S246" s="31"/>
    </x:row>
    <x:row r="247">
      <x:c r="A247" s="79"/>
      <x:c r="B247" s="31"/>
      <x:c r="C247" s="31"/>
      <x:c r="D247" s="31"/>
      <x:c r="E247" s="31"/>
      <x:c r="F247" s="31"/>
      <x:c r="G247" s="32"/>
      <x:c r="H247" s="32"/>
      <x:c r="I247" s="31"/>
      <x:c r="J247" s="32"/>
      <x:c r="K247" s="32"/>
      <x:c r="L247" s="31"/>
      <x:c r="M247" s="32"/>
      <x:c r="N247" s="32"/>
      <x:c r="O247" s="31"/>
      <x:c r="P247" s="31"/>
      <x:c r="Q247" s="32"/>
      <x:c r="R247" s="31"/>
      <x:c r="S247" s="31"/>
    </x:row>
    <x:row r="248">
      <x:c r="A248" s="79"/>
      <x:c r="B248" s="31"/>
      <x:c r="C248" s="31"/>
      <x:c r="D248" s="31"/>
      <x:c r="E248" s="31"/>
      <x:c r="F248" s="31"/>
      <x:c r="G248" s="32"/>
      <x:c r="H248" s="32"/>
      <x:c r="I248" s="31"/>
      <x:c r="J248" s="32"/>
      <x:c r="K248" s="32"/>
      <x:c r="L248" s="31"/>
      <x:c r="M248" s="32"/>
      <x:c r="N248" s="32"/>
      <x:c r="O248" s="31"/>
      <x:c r="P248" s="31"/>
      <x:c r="Q248" s="32"/>
      <x:c r="R248" s="31"/>
      <x:c r="S248" s="31"/>
    </x:row>
    <x:row r="249">
      <x:c r="A249" s="79"/>
      <x:c r="B249" s="31"/>
      <x:c r="C249" s="31"/>
      <x:c r="D249" s="31"/>
      <x:c r="E249" s="31"/>
      <x:c r="F249" s="31"/>
      <x:c r="G249" s="32"/>
      <x:c r="H249" s="32"/>
      <x:c r="I249" s="31"/>
      <x:c r="J249" s="32"/>
      <x:c r="K249" s="32"/>
      <x:c r="L249" s="31"/>
      <x:c r="M249" s="32"/>
      <x:c r="N249" s="32"/>
      <x:c r="O249" s="31"/>
      <x:c r="P249" s="31"/>
      <x:c r="Q249" s="32"/>
      <x:c r="R249" s="31"/>
      <x:c r="S249" s="31"/>
    </x:row>
    <x:row r="250">
      <x:c r="A250" s="79"/>
      <x:c r="B250" s="31"/>
      <x:c r="C250" s="31"/>
      <x:c r="D250" s="31"/>
      <x:c r="E250" s="31"/>
      <x:c r="F250" s="31"/>
      <x:c r="G250" s="32"/>
      <x:c r="H250" s="32"/>
      <x:c r="I250" s="31"/>
      <x:c r="J250" s="32"/>
      <x:c r="K250" s="32"/>
      <x:c r="L250" s="31"/>
      <x:c r="M250" s="32"/>
      <x:c r="N250" s="32"/>
      <x:c r="O250" s="31"/>
      <x:c r="P250" s="31"/>
      <x:c r="Q250" s="32"/>
      <x:c r="R250" s="31"/>
      <x:c r="S250" s="31"/>
    </x:row>
    <x:row r="251">
      <x:c r="A251" s="79"/>
      <x:c r="B251" s="31"/>
      <x:c r="C251" s="31"/>
      <x:c r="D251" s="31"/>
      <x:c r="E251" s="31"/>
      <x:c r="F251" s="31"/>
      <x:c r="G251" s="32"/>
      <x:c r="H251" s="32"/>
      <x:c r="I251" s="31"/>
      <x:c r="J251" s="32"/>
      <x:c r="K251" s="32"/>
      <x:c r="L251" s="31"/>
      <x:c r="M251" s="32"/>
      <x:c r="N251" s="32"/>
      <x:c r="O251" s="31"/>
      <x:c r="P251" s="31"/>
      <x:c r="Q251" s="32"/>
      <x:c r="R251" s="31"/>
      <x:c r="S251" s="31"/>
    </x:row>
    <x:row r="252">
      <x:c r="A252" s="79"/>
      <x:c r="B252" s="31"/>
      <x:c r="C252" s="31"/>
      <x:c r="D252" s="31"/>
      <x:c r="E252" s="31"/>
      <x:c r="F252" s="31"/>
      <x:c r="G252" s="32"/>
      <x:c r="H252" s="32"/>
      <x:c r="I252" s="31"/>
      <x:c r="J252" s="32"/>
      <x:c r="K252" s="32"/>
      <x:c r="L252" s="31"/>
      <x:c r="M252" s="32"/>
      <x:c r="N252" s="32"/>
      <x:c r="O252" s="31"/>
      <x:c r="P252" s="31"/>
      <x:c r="Q252" s="32"/>
      <x:c r="R252" s="31"/>
      <x:c r="S252" s="31"/>
    </x:row>
    <x:row r="253">
      <x:c r="A253" s="79"/>
      <x:c r="B253" s="31"/>
      <x:c r="C253" s="31"/>
      <x:c r="D253" s="31"/>
      <x:c r="E253" s="31"/>
      <x:c r="F253" s="31"/>
      <x:c r="G253" s="32"/>
      <x:c r="H253" s="32"/>
      <x:c r="I253" s="31"/>
      <x:c r="J253" s="32"/>
      <x:c r="K253" s="32"/>
      <x:c r="L253" s="31"/>
      <x:c r="M253" s="32"/>
      <x:c r="N253" s="32"/>
      <x:c r="O253" s="31"/>
      <x:c r="P253" s="31"/>
      <x:c r="Q253" s="32"/>
      <x:c r="R253" s="31"/>
      <x:c r="S253" s="31"/>
    </x:row>
    <x:row r="254">
      <x:c r="A254" s="79"/>
      <x:c r="B254" s="31"/>
      <x:c r="C254" s="31"/>
      <x:c r="D254" s="31"/>
      <x:c r="E254" s="31"/>
      <x:c r="F254" s="31"/>
      <x:c r="G254" s="32"/>
      <x:c r="H254" s="32"/>
      <x:c r="I254" s="31"/>
      <x:c r="J254" s="32"/>
      <x:c r="K254" s="32"/>
      <x:c r="L254" s="31"/>
      <x:c r="M254" s="32"/>
      <x:c r="N254" s="32"/>
      <x:c r="O254" s="31"/>
      <x:c r="P254" s="31"/>
      <x:c r="Q254" s="32"/>
      <x:c r="R254" s="31"/>
      <x:c r="S254" s="31"/>
    </x:row>
    <x:row r="255">
      <x:c r="A255" s="79"/>
      <x:c r="B255" s="31"/>
      <x:c r="C255" s="31"/>
      <x:c r="D255" s="31"/>
      <x:c r="E255" s="31"/>
      <x:c r="F255" s="31"/>
      <x:c r="G255" s="32"/>
      <x:c r="H255" s="32"/>
      <x:c r="I255" s="31"/>
      <x:c r="J255" s="32"/>
      <x:c r="K255" s="32"/>
      <x:c r="L255" s="31"/>
      <x:c r="M255" s="32"/>
      <x:c r="N255" s="32"/>
      <x:c r="O255" s="31"/>
      <x:c r="P255" s="31"/>
      <x:c r="Q255" s="32"/>
      <x:c r="R255" s="31"/>
      <x:c r="S255" s="31"/>
    </x:row>
    <x:row r="256">
      <x:c r="A256" s="79"/>
      <x:c r="B256" s="31"/>
      <x:c r="C256" s="31"/>
      <x:c r="D256" s="31"/>
      <x:c r="E256" s="31"/>
      <x:c r="F256" s="31"/>
      <x:c r="G256" s="32"/>
      <x:c r="H256" s="32"/>
      <x:c r="I256" s="31"/>
      <x:c r="J256" s="32"/>
      <x:c r="K256" s="32"/>
      <x:c r="L256" s="31"/>
      <x:c r="M256" s="32"/>
      <x:c r="N256" s="32"/>
      <x:c r="O256" s="31"/>
      <x:c r="P256" s="31"/>
      <x:c r="Q256" s="32"/>
      <x:c r="R256" s="31"/>
      <x:c r="S256" s="31"/>
    </x:row>
    <x:row r="257">
      <x:c r="A257" s="79"/>
      <x:c r="B257" s="31"/>
      <x:c r="C257" s="31"/>
      <x:c r="D257" s="31"/>
      <x:c r="E257" s="31"/>
      <x:c r="F257" s="31"/>
      <x:c r="G257" s="32"/>
      <x:c r="H257" s="32"/>
      <x:c r="I257" s="31"/>
      <x:c r="J257" s="32"/>
      <x:c r="K257" s="32"/>
      <x:c r="L257" s="31"/>
      <x:c r="M257" s="32"/>
      <x:c r="N257" s="32"/>
      <x:c r="O257" s="31"/>
      <x:c r="P257" s="31"/>
      <x:c r="Q257" s="32"/>
      <x:c r="R257" s="31"/>
      <x:c r="S257" s="31"/>
    </x:row>
    <x:row r="258">
      <x:c r="A258" s="79"/>
      <x:c r="B258" s="31"/>
      <x:c r="C258" s="31"/>
      <x:c r="D258" s="31"/>
      <x:c r="E258" s="31"/>
      <x:c r="F258" s="31"/>
      <x:c r="G258" s="32"/>
      <x:c r="H258" s="32"/>
      <x:c r="I258" s="31"/>
      <x:c r="J258" s="32"/>
      <x:c r="K258" s="32"/>
      <x:c r="L258" s="31"/>
      <x:c r="M258" s="32"/>
      <x:c r="N258" s="32"/>
      <x:c r="O258" s="31"/>
      <x:c r="P258" s="31"/>
      <x:c r="Q258" s="32"/>
      <x:c r="R258" s="31"/>
      <x:c r="S258" s="31"/>
    </x:row>
    <x:row r="259">
      <x:c r="A259" s="79"/>
      <x:c r="B259" s="31"/>
      <x:c r="C259" s="31"/>
      <x:c r="D259" s="31"/>
      <x:c r="E259" s="31"/>
      <x:c r="F259" s="31"/>
      <x:c r="G259" s="32"/>
      <x:c r="H259" s="32"/>
      <x:c r="I259" s="31"/>
      <x:c r="J259" s="32"/>
      <x:c r="K259" s="32"/>
      <x:c r="L259" s="31"/>
      <x:c r="M259" s="32"/>
      <x:c r="N259" s="32"/>
      <x:c r="O259" s="31"/>
      <x:c r="P259" s="31"/>
      <x:c r="Q259" s="32"/>
      <x:c r="R259" s="31"/>
      <x:c r="S259" s="31"/>
    </x:row>
    <x:row r="260">
      <x:c r="A260" s="79"/>
      <x:c r="B260" s="31"/>
      <x:c r="C260" s="31"/>
      <x:c r="D260" s="31"/>
      <x:c r="E260" s="31"/>
      <x:c r="F260" s="31"/>
      <x:c r="G260" s="32"/>
      <x:c r="H260" s="32"/>
      <x:c r="I260" s="31"/>
      <x:c r="J260" s="32"/>
      <x:c r="K260" s="32"/>
      <x:c r="L260" s="31"/>
      <x:c r="M260" s="32"/>
      <x:c r="N260" s="32"/>
      <x:c r="O260" s="31"/>
      <x:c r="P260" s="31"/>
      <x:c r="Q260" s="32"/>
      <x:c r="R260" s="31"/>
      <x:c r="S260" s="31"/>
    </x:row>
    <x:row r="261">
      <x:c r="A261" s="79"/>
      <x:c r="B261" s="31"/>
      <x:c r="C261" s="31"/>
      <x:c r="D261" s="31"/>
      <x:c r="E261" s="31"/>
      <x:c r="F261" s="31"/>
      <x:c r="G261" s="32"/>
      <x:c r="H261" s="32"/>
      <x:c r="I261" s="31"/>
      <x:c r="J261" s="32"/>
      <x:c r="K261" s="32"/>
      <x:c r="L261" s="31"/>
      <x:c r="M261" s="32"/>
      <x:c r="N261" s="32"/>
      <x:c r="O261" s="31"/>
      <x:c r="P261" s="31"/>
      <x:c r="Q261" s="32"/>
      <x:c r="R261" s="31"/>
      <x:c r="S261" s="31"/>
    </x:row>
    <x:row r="262">
      <x:c r="A262" s="79"/>
      <x:c r="B262" s="31"/>
      <x:c r="C262" s="31"/>
      <x:c r="D262" s="31"/>
      <x:c r="E262" s="31"/>
      <x:c r="F262" s="31"/>
      <x:c r="G262" s="32"/>
      <x:c r="H262" s="32"/>
      <x:c r="I262" s="31"/>
      <x:c r="J262" s="32"/>
      <x:c r="K262" s="32"/>
      <x:c r="L262" s="31"/>
      <x:c r="M262" s="32"/>
      <x:c r="N262" s="32"/>
      <x:c r="O262" s="31"/>
      <x:c r="P262" s="31"/>
      <x:c r="Q262" s="32"/>
      <x:c r="R262" s="31"/>
      <x:c r="S262" s="31"/>
    </x:row>
    <x:row r="263">
      <x:c r="A263" s="79"/>
      <x:c r="B263" s="31"/>
      <x:c r="C263" s="31"/>
      <x:c r="D263" s="31"/>
      <x:c r="E263" s="31"/>
      <x:c r="F263" s="31"/>
      <x:c r="G263" s="32"/>
      <x:c r="H263" s="32"/>
      <x:c r="I263" s="31"/>
      <x:c r="J263" s="32"/>
      <x:c r="K263" s="32"/>
      <x:c r="L263" s="31"/>
      <x:c r="M263" s="32"/>
      <x:c r="N263" s="32"/>
      <x:c r="O263" s="31"/>
      <x:c r="P263" s="31"/>
      <x:c r="Q263" s="32"/>
      <x:c r="R263" s="31"/>
      <x:c r="S263" s="31"/>
    </x:row>
    <x:row r="264">
      <x:c r="A264" s="79"/>
      <x:c r="B264" s="31"/>
      <x:c r="C264" s="31"/>
      <x:c r="D264" s="31"/>
      <x:c r="E264" s="31"/>
      <x:c r="F264" s="31"/>
      <x:c r="G264" s="32"/>
      <x:c r="H264" s="32"/>
      <x:c r="I264" s="31"/>
      <x:c r="J264" s="32"/>
      <x:c r="K264" s="32"/>
      <x:c r="L264" s="31"/>
      <x:c r="M264" s="32"/>
      <x:c r="N264" s="32"/>
      <x:c r="O264" s="31"/>
      <x:c r="P264" s="31"/>
      <x:c r="Q264" s="32"/>
      <x:c r="R264" s="31"/>
      <x:c r="S264" s="31"/>
    </x:row>
    <x:row r="265">
      <x:c r="A265" s="79"/>
      <x:c r="B265" s="31"/>
      <x:c r="C265" s="31"/>
      <x:c r="D265" s="31"/>
      <x:c r="E265" s="31"/>
      <x:c r="F265" s="31"/>
      <x:c r="G265" s="32"/>
      <x:c r="H265" s="32"/>
      <x:c r="I265" s="31"/>
      <x:c r="J265" s="32"/>
      <x:c r="K265" s="32"/>
      <x:c r="L265" s="31"/>
      <x:c r="M265" s="32"/>
      <x:c r="N265" s="32"/>
      <x:c r="O265" s="31"/>
      <x:c r="P265" s="31"/>
      <x:c r="Q265" s="32"/>
      <x:c r="R265" s="31"/>
      <x:c r="S265" s="31"/>
    </x:row>
    <x:row r="266">
      <x:c r="A266" s="79"/>
      <x:c r="B266" s="31"/>
      <x:c r="C266" s="31"/>
      <x:c r="D266" s="31"/>
      <x:c r="E266" s="31"/>
      <x:c r="F266" s="31"/>
      <x:c r="G266" s="32"/>
      <x:c r="H266" s="32"/>
      <x:c r="I266" s="31"/>
      <x:c r="J266" s="32"/>
      <x:c r="K266" s="32"/>
      <x:c r="L266" s="31"/>
      <x:c r="M266" s="32"/>
      <x:c r="N266" s="32"/>
      <x:c r="O266" s="31"/>
      <x:c r="P266" s="31"/>
      <x:c r="Q266" s="32"/>
      <x:c r="R266" s="31"/>
      <x:c r="S266" s="31"/>
    </x:row>
    <x:row r="267">
      <x:c r="A267" s="79"/>
      <x:c r="B267" s="31"/>
      <x:c r="C267" s="31"/>
      <x:c r="D267" s="31"/>
      <x:c r="E267" s="31"/>
      <x:c r="F267" s="31"/>
      <x:c r="G267" s="32"/>
      <x:c r="H267" s="32"/>
      <x:c r="I267" s="31"/>
      <x:c r="J267" s="32"/>
      <x:c r="K267" s="32"/>
      <x:c r="L267" s="31"/>
      <x:c r="M267" s="32"/>
      <x:c r="N267" s="32"/>
      <x:c r="O267" s="31"/>
      <x:c r="P267" s="31"/>
      <x:c r="Q267" s="32"/>
      <x:c r="R267" s="31"/>
      <x:c r="S267" s="31"/>
    </x:row>
    <x:row r="268">
      <x:c r="A268" s="79"/>
      <x:c r="B268" s="31"/>
      <x:c r="C268" s="31"/>
      <x:c r="D268" s="31"/>
      <x:c r="E268" s="31"/>
      <x:c r="F268" s="31"/>
      <x:c r="G268" s="32"/>
      <x:c r="H268" s="32"/>
      <x:c r="I268" s="31"/>
      <x:c r="J268" s="32"/>
      <x:c r="K268" s="32"/>
      <x:c r="L268" s="31"/>
      <x:c r="M268" s="32"/>
      <x:c r="N268" s="32"/>
      <x:c r="O268" s="31"/>
      <x:c r="P268" s="31"/>
      <x:c r="Q268" s="32"/>
      <x:c r="R268" s="31"/>
      <x:c r="S268" s="31"/>
    </x:row>
    <x:row r="269">
      <x:c r="A269" s="79"/>
      <x:c r="B269" s="31"/>
      <x:c r="C269" s="31"/>
      <x:c r="D269" s="31"/>
      <x:c r="E269" s="31"/>
      <x:c r="F269" s="31"/>
      <x:c r="G269" s="32"/>
      <x:c r="H269" s="32"/>
      <x:c r="I269" s="31"/>
      <x:c r="J269" s="32"/>
      <x:c r="K269" s="32"/>
      <x:c r="L269" s="31"/>
      <x:c r="M269" s="32"/>
      <x:c r="N269" s="32"/>
      <x:c r="O269" s="31"/>
      <x:c r="P269" s="31"/>
      <x:c r="Q269" s="32"/>
      <x:c r="R269" s="31"/>
      <x:c r="S269" s="31"/>
    </x:row>
    <x:row r="270">
      <x:c r="A270" s="79"/>
      <x:c r="B270" s="31"/>
      <x:c r="C270" s="31"/>
      <x:c r="D270" s="31"/>
      <x:c r="E270" s="31"/>
      <x:c r="F270" s="31"/>
      <x:c r="G270" s="32"/>
      <x:c r="H270" s="32"/>
      <x:c r="I270" s="31"/>
      <x:c r="J270" s="32"/>
      <x:c r="K270" s="32"/>
      <x:c r="L270" s="31"/>
      <x:c r="M270" s="32"/>
      <x:c r="N270" s="32"/>
      <x:c r="O270" s="31"/>
      <x:c r="P270" s="31"/>
      <x:c r="Q270" s="32"/>
      <x:c r="R270" s="31"/>
      <x:c r="S270" s="31"/>
    </x:row>
    <x:row r="271">
      <x:c r="A271" s="79"/>
      <x:c r="B271" s="31"/>
      <x:c r="C271" s="31"/>
      <x:c r="D271" s="31"/>
      <x:c r="E271" s="31"/>
      <x:c r="F271" s="31"/>
      <x:c r="G271" s="32"/>
      <x:c r="H271" s="32"/>
      <x:c r="I271" s="31"/>
      <x:c r="J271" s="32"/>
      <x:c r="K271" s="32"/>
      <x:c r="L271" s="31"/>
      <x:c r="M271" s="32"/>
      <x:c r="N271" s="32"/>
      <x:c r="O271" s="31"/>
      <x:c r="P271" s="31"/>
      <x:c r="Q271" s="32"/>
      <x:c r="R271" s="31"/>
      <x:c r="S271" s="31"/>
    </x:row>
    <x:row r="272">
      <x:c r="A272" s="79"/>
      <x:c r="B272" s="31"/>
      <x:c r="C272" s="31"/>
      <x:c r="D272" s="31"/>
      <x:c r="E272" s="31"/>
      <x:c r="F272" s="31"/>
      <x:c r="G272" s="32"/>
      <x:c r="H272" s="32"/>
      <x:c r="I272" s="31"/>
      <x:c r="J272" s="32"/>
      <x:c r="K272" s="32"/>
      <x:c r="L272" s="31"/>
      <x:c r="M272" s="32"/>
      <x:c r="N272" s="32"/>
      <x:c r="O272" s="31"/>
      <x:c r="P272" s="31"/>
      <x:c r="Q272" s="32"/>
      <x:c r="R272" s="31"/>
      <x:c r="S272" s="31"/>
    </x:row>
    <x:row r="273">
      <x:c r="A273" s="79"/>
      <x:c r="B273" s="31"/>
      <x:c r="C273" s="31"/>
      <x:c r="D273" s="31"/>
      <x:c r="E273" s="31"/>
      <x:c r="F273" s="31"/>
      <x:c r="G273" s="32"/>
      <x:c r="H273" s="32"/>
      <x:c r="I273" s="31"/>
      <x:c r="J273" s="32"/>
      <x:c r="K273" s="32"/>
      <x:c r="L273" s="31"/>
      <x:c r="M273" s="32"/>
      <x:c r="N273" s="32"/>
      <x:c r="O273" s="31"/>
      <x:c r="P273" s="31"/>
      <x:c r="Q273" s="32"/>
      <x:c r="R273" s="31"/>
      <x:c r="S273" s="31"/>
    </x:row>
    <x:row r="274">
      <x:c r="A274" s="79"/>
      <x:c r="B274" s="31"/>
      <x:c r="C274" s="31"/>
      <x:c r="D274" s="31"/>
      <x:c r="E274" s="31"/>
      <x:c r="F274" s="31"/>
      <x:c r="G274" s="32"/>
      <x:c r="H274" s="32"/>
      <x:c r="I274" s="31"/>
      <x:c r="J274" s="32"/>
      <x:c r="K274" s="32"/>
      <x:c r="L274" s="31"/>
      <x:c r="M274" s="32"/>
      <x:c r="N274" s="32"/>
      <x:c r="O274" s="31"/>
      <x:c r="P274" s="31"/>
      <x:c r="Q274" s="32"/>
      <x:c r="R274" s="31"/>
      <x:c r="S274" s="31"/>
    </x:row>
    <x:row r="275">
      <x:c r="A275" s="79"/>
      <x:c r="B275" s="31"/>
      <x:c r="C275" s="31"/>
      <x:c r="D275" s="31"/>
      <x:c r="E275" s="31"/>
      <x:c r="F275" s="31"/>
      <x:c r="G275" s="32"/>
      <x:c r="H275" s="32"/>
      <x:c r="I275" s="31"/>
      <x:c r="J275" s="32"/>
      <x:c r="K275" s="32"/>
      <x:c r="L275" s="31"/>
      <x:c r="M275" s="32"/>
      <x:c r="N275" s="32"/>
      <x:c r="O275" s="31"/>
      <x:c r="P275" s="31"/>
      <x:c r="Q275" s="32"/>
      <x:c r="R275" s="31"/>
      <x:c r="S275" s="31"/>
    </x:row>
    <x:row r="276">
      <x:c r="A276" s="79"/>
      <x:c r="B276" s="31"/>
      <x:c r="C276" s="31"/>
      <x:c r="D276" s="31"/>
      <x:c r="E276" s="31"/>
      <x:c r="F276" s="31"/>
      <x:c r="G276" s="32"/>
      <x:c r="H276" s="32"/>
      <x:c r="I276" s="31"/>
      <x:c r="J276" s="32"/>
      <x:c r="K276" s="32"/>
      <x:c r="L276" s="31"/>
      <x:c r="M276" s="32"/>
      <x:c r="N276" s="32"/>
      <x:c r="O276" s="31"/>
      <x:c r="P276" s="31"/>
      <x:c r="Q276" s="32"/>
      <x:c r="R276" s="31"/>
      <x:c r="S276" s="31"/>
    </x:row>
    <x:row r="277">
      <x:c r="A277" s="79"/>
      <x:c r="B277" s="31"/>
      <x:c r="C277" s="31"/>
      <x:c r="D277" s="31"/>
      <x:c r="E277" s="31"/>
      <x:c r="F277" s="31"/>
      <x:c r="G277" s="32"/>
      <x:c r="H277" s="32"/>
      <x:c r="I277" s="31"/>
      <x:c r="J277" s="32"/>
      <x:c r="K277" s="32"/>
      <x:c r="L277" s="31"/>
      <x:c r="M277" s="32"/>
      <x:c r="N277" s="32"/>
      <x:c r="O277" s="31"/>
      <x:c r="P277" s="31"/>
      <x:c r="Q277" s="32"/>
      <x:c r="R277" s="31"/>
      <x:c r="S277" s="31"/>
    </x:row>
    <x:row r="278">
      <x:c r="A278" s="79"/>
      <x:c r="B278" s="31"/>
      <x:c r="C278" s="31"/>
      <x:c r="D278" s="31"/>
      <x:c r="E278" s="31"/>
      <x:c r="F278" s="31"/>
      <x:c r="G278" s="32"/>
      <x:c r="H278" s="32"/>
      <x:c r="I278" s="31"/>
      <x:c r="J278" s="32"/>
      <x:c r="K278" s="32"/>
      <x:c r="L278" s="31"/>
      <x:c r="M278" s="32"/>
      <x:c r="N278" s="32"/>
      <x:c r="O278" s="31"/>
      <x:c r="P278" s="31"/>
      <x:c r="Q278" s="32"/>
      <x:c r="R278" s="31"/>
      <x:c r="S278" s="31"/>
    </x:row>
    <x:row r="279">
      <x:c r="A279" s="79"/>
      <x:c r="B279" s="31"/>
      <x:c r="C279" s="31"/>
      <x:c r="D279" s="31"/>
      <x:c r="E279" s="31"/>
      <x:c r="F279" s="31"/>
      <x:c r="G279" s="32"/>
      <x:c r="H279" s="32"/>
      <x:c r="I279" s="31"/>
      <x:c r="J279" s="32"/>
      <x:c r="K279" s="32"/>
      <x:c r="L279" s="31"/>
      <x:c r="M279" s="32"/>
      <x:c r="N279" s="32"/>
      <x:c r="O279" s="31"/>
      <x:c r="P279" s="31"/>
      <x:c r="Q279" s="32"/>
      <x:c r="R279" s="31"/>
      <x:c r="S279" s="31"/>
    </x:row>
    <x:row r="280">
      <x:c r="A280" s="79"/>
      <x:c r="B280" s="31"/>
      <x:c r="C280" s="31"/>
      <x:c r="D280" s="31"/>
      <x:c r="E280" s="31"/>
      <x:c r="F280" s="31"/>
      <x:c r="G280" s="32"/>
      <x:c r="H280" s="32"/>
      <x:c r="I280" s="31"/>
      <x:c r="J280" s="32"/>
      <x:c r="K280" s="32"/>
      <x:c r="L280" s="31"/>
      <x:c r="M280" s="32"/>
      <x:c r="N280" s="32"/>
      <x:c r="O280" s="31"/>
      <x:c r="P280" s="31"/>
      <x:c r="Q280" s="32"/>
      <x:c r="R280" s="31"/>
      <x:c r="S280" s="31"/>
    </x:row>
    <x:row r="281">
      <x:c r="A281" s="79"/>
      <x:c r="B281" s="31"/>
      <x:c r="C281" s="31"/>
      <x:c r="D281" s="31"/>
      <x:c r="E281" s="31"/>
      <x:c r="F281" s="31"/>
      <x:c r="G281" s="32"/>
      <x:c r="H281" s="32"/>
      <x:c r="I281" s="31"/>
      <x:c r="J281" s="32"/>
      <x:c r="K281" s="32"/>
      <x:c r="L281" s="31"/>
      <x:c r="M281" s="32"/>
      <x:c r="N281" s="32"/>
      <x:c r="O281" s="31"/>
      <x:c r="P281" s="31"/>
      <x:c r="Q281" s="32"/>
      <x:c r="R281" s="31"/>
      <x:c r="S281" s="31"/>
    </x:row>
    <x:row r="282">
      <x:c r="A282" s="79"/>
      <x:c r="B282" s="31"/>
      <x:c r="C282" s="31"/>
      <x:c r="D282" s="31"/>
      <x:c r="E282" s="31"/>
      <x:c r="F282" s="31"/>
      <x:c r="G282" s="32"/>
      <x:c r="H282" s="32"/>
      <x:c r="I282" s="31"/>
      <x:c r="J282" s="32"/>
      <x:c r="K282" s="32"/>
      <x:c r="L282" s="31"/>
      <x:c r="M282" s="32"/>
      <x:c r="N282" s="32"/>
      <x:c r="O282" s="31"/>
      <x:c r="P282" s="31"/>
      <x:c r="Q282" s="32"/>
      <x:c r="R282" s="31"/>
      <x:c r="S282" s="31"/>
    </x:row>
    <x:row r="283">
      <x:c r="A283" s="79"/>
      <x:c r="B283" s="31"/>
      <x:c r="C283" s="31"/>
      <x:c r="D283" s="31"/>
      <x:c r="E283" s="31"/>
      <x:c r="F283" s="31"/>
      <x:c r="G283" s="32"/>
      <x:c r="H283" s="32"/>
      <x:c r="I283" s="31"/>
      <x:c r="J283" s="32"/>
      <x:c r="K283" s="32"/>
      <x:c r="L283" s="31"/>
      <x:c r="M283" s="32"/>
      <x:c r="N283" s="32"/>
      <x:c r="O283" s="31"/>
      <x:c r="P283" s="31"/>
      <x:c r="Q283" s="32"/>
      <x:c r="R283" s="31"/>
      <x:c r="S283" s="31"/>
    </x:row>
    <x:row r="284">
      <x:c r="A284" s="79"/>
      <x:c r="B284" s="31"/>
      <x:c r="C284" s="31"/>
      <x:c r="D284" s="31"/>
      <x:c r="E284" s="31"/>
      <x:c r="F284" s="31"/>
      <x:c r="G284" s="32"/>
      <x:c r="H284" s="32"/>
      <x:c r="I284" s="31"/>
      <x:c r="J284" s="32"/>
      <x:c r="K284" s="32"/>
      <x:c r="L284" s="31"/>
      <x:c r="M284" s="32"/>
      <x:c r="N284" s="32"/>
      <x:c r="O284" s="31"/>
      <x:c r="P284" s="31"/>
      <x:c r="Q284" s="32"/>
      <x:c r="R284" s="31"/>
      <x:c r="S284" s="31"/>
    </x:row>
    <x:row r="285">
      <x:c r="A285" s="79"/>
      <x:c r="B285" s="31"/>
      <x:c r="C285" s="31"/>
      <x:c r="D285" s="31"/>
      <x:c r="E285" s="31"/>
      <x:c r="F285" s="31"/>
      <x:c r="G285" s="32"/>
      <x:c r="H285" s="32"/>
      <x:c r="I285" s="31"/>
      <x:c r="J285" s="32"/>
      <x:c r="K285" s="32"/>
      <x:c r="L285" s="31"/>
      <x:c r="M285" s="32"/>
      <x:c r="N285" s="32"/>
      <x:c r="O285" s="31"/>
      <x:c r="P285" s="31"/>
      <x:c r="Q285" s="32"/>
      <x:c r="R285" s="31"/>
      <x:c r="S285" s="31"/>
    </x:row>
    <x:row r="286">
      <x:c r="A286" s="79"/>
      <x:c r="B286" s="31"/>
      <x:c r="C286" s="31"/>
      <x:c r="D286" s="31"/>
      <x:c r="E286" s="31"/>
      <x:c r="F286" s="31"/>
      <x:c r="G286" s="32"/>
      <x:c r="H286" s="32"/>
      <x:c r="I286" s="31"/>
      <x:c r="J286" s="32"/>
      <x:c r="K286" s="32"/>
      <x:c r="L286" s="31"/>
      <x:c r="M286" s="32"/>
      <x:c r="N286" s="32"/>
      <x:c r="O286" s="31"/>
      <x:c r="P286" s="31"/>
      <x:c r="Q286" s="32"/>
      <x:c r="R286" s="31"/>
      <x:c r="S286" s="31"/>
    </x:row>
    <x:row r="287">
      <x:c r="A287" s="79"/>
      <x:c r="B287" s="31"/>
      <x:c r="C287" s="31"/>
      <x:c r="D287" s="31"/>
      <x:c r="E287" s="31"/>
      <x:c r="F287" s="31"/>
      <x:c r="G287" s="32"/>
      <x:c r="H287" s="32"/>
      <x:c r="I287" s="31"/>
      <x:c r="J287" s="32"/>
      <x:c r="K287" s="32"/>
      <x:c r="L287" s="31"/>
      <x:c r="M287" s="32"/>
      <x:c r="N287" s="32"/>
      <x:c r="O287" s="31"/>
      <x:c r="P287" s="31"/>
      <x:c r="Q287" s="32"/>
      <x:c r="R287" s="31"/>
      <x:c r="S287" s="31"/>
    </x:row>
    <x:row r="288">
      <x:c r="A288" s="79"/>
      <x:c r="B288" s="31"/>
      <x:c r="C288" s="31"/>
      <x:c r="D288" s="31"/>
      <x:c r="E288" s="31"/>
      <x:c r="F288" s="31"/>
      <x:c r="G288" s="32"/>
      <x:c r="H288" s="32"/>
      <x:c r="I288" s="31"/>
      <x:c r="J288" s="32"/>
      <x:c r="K288" s="32"/>
      <x:c r="L288" s="31"/>
      <x:c r="M288" s="32"/>
      <x:c r="N288" s="32"/>
      <x:c r="O288" s="31"/>
      <x:c r="P288" s="31"/>
      <x:c r="Q288" s="32"/>
      <x:c r="R288" s="31"/>
      <x:c r="S288" s="31"/>
    </x:row>
    <x:row r="289">
      <x:c r="A289" s="79"/>
      <x:c r="B289" s="31"/>
      <x:c r="C289" s="31"/>
      <x:c r="D289" s="31"/>
      <x:c r="E289" s="31"/>
      <x:c r="F289" s="31"/>
      <x:c r="G289" s="32"/>
      <x:c r="H289" s="32"/>
      <x:c r="I289" s="31"/>
      <x:c r="J289" s="32"/>
      <x:c r="K289" s="32"/>
      <x:c r="L289" s="31"/>
      <x:c r="M289" s="32"/>
      <x:c r="N289" s="32"/>
      <x:c r="O289" s="31"/>
      <x:c r="P289" s="31"/>
      <x:c r="Q289" s="32"/>
      <x:c r="R289" s="31"/>
      <x:c r="S289" s="31"/>
    </x:row>
    <x:row r="290">
      <x:c r="A290" s="79"/>
      <x:c r="B290" s="31"/>
      <x:c r="C290" s="31"/>
      <x:c r="D290" s="31"/>
      <x:c r="E290" s="31"/>
      <x:c r="F290" s="31"/>
      <x:c r="G290" s="32"/>
      <x:c r="H290" s="32"/>
      <x:c r="I290" s="31"/>
      <x:c r="J290" s="32"/>
      <x:c r="K290" s="32"/>
      <x:c r="L290" s="31"/>
      <x:c r="M290" s="32"/>
      <x:c r="N290" s="32"/>
      <x:c r="O290" s="31"/>
      <x:c r="P290" s="31"/>
      <x:c r="Q290" s="32"/>
      <x:c r="R290" s="31"/>
      <x:c r="S290" s="31"/>
    </x:row>
    <x:row r="291">
      <x:c r="A291" s="79"/>
      <x:c r="B291" s="31"/>
      <x:c r="C291" s="31"/>
      <x:c r="D291" s="31"/>
      <x:c r="E291" s="31"/>
      <x:c r="F291" s="31"/>
      <x:c r="G291" s="32"/>
      <x:c r="H291" s="32"/>
      <x:c r="I291" s="31"/>
      <x:c r="J291" s="32"/>
      <x:c r="K291" s="32"/>
      <x:c r="L291" s="31"/>
      <x:c r="M291" s="32"/>
      <x:c r="N291" s="32"/>
      <x:c r="O291" s="31"/>
      <x:c r="P291" s="31"/>
      <x:c r="Q291" s="32"/>
      <x:c r="R291" s="31"/>
      <x:c r="S291" s="31"/>
    </x:row>
    <x:row r="292">
      <x:c r="A292" s="79"/>
      <x:c r="B292" s="31"/>
      <x:c r="C292" s="31"/>
      <x:c r="D292" s="31"/>
      <x:c r="E292" s="31"/>
      <x:c r="F292" s="31"/>
      <x:c r="G292" s="32"/>
      <x:c r="H292" s="32"/>
      <x:c r="I292" s="31"/>
      <x:c r="J292" s="32"/>
      <x:c r="K292" s="32"/>
      <x:c r="L292" s="31"/>
      <x:c r="M292" s="32"/>
      <x:c r="N292" s="32"/>
      <x:c r="O292" s="31"/>
      <x:c r="P292" s="31"/>
      <x:c r="Q292" s="32"/>
      <x:c r="R292" s="31"/>
      <x:c r="S292" s="31"/>
    </x:row>
    <x:row r="293">
      <x:c r="A293" s="79"/>
      <x:c r="B293" s="31"/>
      <x:c r="C293" s="31"/>
      <x:c r="D293" s="31"/>
      <x:c r="E293" s="31"/>
      <x:c r="F293" s="31"/>
      <x:c r="G293" s="32"/>
      <x:c r="H293" s="32"/>
      <x:c r="I293" s="31"/>
      <x:c r="J293" s="32"/>
      <x:c r="K293" s="32"/>
      <x:c r="L293" s="31"/>
      <x:c r="M293" s="32"/>
      <x:c r="N293" s="32"/>
      <x:c r="O293" s="31"/>
      <x:c r="P293" s="31"/>
      <x:c r="Q293" s="32"/>
      <x:c r="R293" s="31"/>
      <x:c r="S293" s="31"/>
    </x:row>
    <x:row r="294">
      <x:c r="A294" s="79"/>
      <x:c r="B294" s="31"/>
      <x:c r="C294" s="31"/>
      <x:c r="D294" s="31"/>
      <x:c r="E294" s="31"/>
      <x:c r="F294" s="31"/>
      <x:c r="G294" s="32"/>
      <x:c r="H294" s="32"/>
      <x:c r="I294" s="31"/>
      <x:c r="J294" s="32"/>
      <x:c r="K294" s="32"/>
      <x:c r="L294" s="31"/>
      <x:c r="M294" s="32"/>
      <x:c r="N294" s="32"/>
      <x:c r="O294" s="31"/>
      <x:c r="P294" s="31"/>
      <x:c r="Q294" s="32"/>
      <x:c r="R294" s="31"/>
      <x:c r="S294" s="31"/>
    </x:row>
    <x:row r="295">
      <x:c r="A295" s="79"/>
      <x:c r="B295" s="31"/>
      <x:c r="C295" s="31"/>
      <x:c r="D295" s="31"/>
      <x:c r="E295" s="31"/>
      <x:c r="F295" s="31"/>
      <x:c r="G295" s="32"/>
      <x:c r="H295" s="32"/>
      <x:c r="I295" s="31"/>
      <x:c r="J295" s="32"/>
      <x:c r="K295" s="32"/>
      <x:c r="L295" s="31"/>
      <x:c r="M295" s="32"/>
      <x:c r="N295" s="32"/>
      <x:c r="O295" s="31"/>
      <x:c r="P295" s="31"/>
      <x:c r="Q295" s="32"/>
      <x:c r="R295" s="31"/>
      <x:c r="S295" s="31"/>
    </x:row>
    <x:row r="296">
      <x:c r="A296" s="79"/>
      <x:c r="B296" s="31"/>
      <x:c r="C296" s="31"/>
      <x:c r="D296" s="31"/>
      <x:c r="E296" s="31"/>
      <x:c r="F296" s="31"/>
      <x:c r="G296" s="32"/>
      <x:c r="H296" s="32"/>
      <x:c r="I296" s="31"/>
      <x:c r="J296" s="32"/>
      <x:c r="K296" s="32"/>
      <x:c r="L296" s="31"/>
      <x:c r="M296" s="32"/>
      <x:c r="N296" s="32"/>
      <x:c r="O296" s="31"/>
      <x:c r="P296" s="31"/>
      <x:c r="Q296" s="32"/>
      <x:c r="R296" s="31"/>
      <x:c r="S296" s="31"/>
    </x:row>
    <x:row r="297">
      <x:c r="A297" s="79"/>
      <x:c r="B297" s="31"/>
      <x:c r="C297" s="31"/>
      <x:c r="D297" s="31"/>
      <x:c r="E297" s="31"/>
      <x:c r="F297" s="31"/>
      <x:c r="G297" s="32"/>
      <x:c r="H297" s="32"/>
      <x:c r="I297" s="31"/>
      <x:c r="J297" s="32"/>
      <x:c r="K297" s="32"/>
      <x:c r="L297" s="31"/>
      <x:c r="M297" s="32"/>
      <x:c r="N297" s="32"/>
      <x:c r="O297" s="31"/>
      <x:c r="P297" s="31"/>
      <x:c r="Q297" s="32"/>
      <x:c r="R297" s="31"/>
      <x:c r="S297" s="31"/>
    </x:row>
    <x:row r="298">
      <x:c r="A298" s="79"/>
      <x:c r="B298" s="31"/>
      <x:c r="C298" s="31"/>
      <x:c r="D298" s="31"/>
      <x:c r="E298" s="31"/>
      <x:c r="F298" s="31"/>
      <x:c r="G298" s="32"/>
      <x:c r="H298" s="32"/>
      <x:c r="I298" s="31"/>
      <x:c r="J298" s="32"/>
      <x:c r="K298" s="32"/>
      <x:c r="L298" s="31"/>
      <x:c r="M298" s="32"/>
      <x:c r="N298" s="32"/>
      <x:c r="O298" s="31"/>
      <x:c r="P298" s="31"/>
      <x:c r="Q298" s="32"/>
      <x:c r="R298" s="31"/>
      <x:c r="S298" s="31"/>
    </x:row>
    <x:row r="299">
      <x:c r="A299" s="79"/>
      <x:c r="B299" s="31"/>
      <x:c r="C299" s="31"/>
      <x:c r="D299" s="31"/>
      <x:c r="E299" s="31"/>
      <x:c r="F299" s="31"/>
      <x:c r="G299" s="32"/>
      <x:c r="H299" s="32"/>
      <x:c r="I299" s="31"/>
      <x:c r="J299" s="32"/>
      <x:c r="K299" s="32"/>
      <x:c r="L299" s="31"/>
      <x:c r="M299" s="32"/>
      <x:c r="N299" s="32"/>
      <x:c r="O299" s="31"/>
      <x:c r="P299" s="31"/>
      <x:c r="Q299" s="32"/>
      <x:c r="R299" s="31"/>
      <x:c r="S299" s="31"/>
    </x:row>
    <x:row r="300">
      <x:c r="A300" s="79"/>
      <x:c r="B300" s="31"/>
      <x:c r="C300" s="31"/>
      <x:c r="D300" s="31"/>
      <x:c r="E300" s="31"/>
      <x:c r="F300" s="31"/>
      <x:c r="G300" s="32"/>
      <x:c r="H300" s="32"/>
      <x:c r="I300" s="31"/>
      <x:c r="J300" s="32"/>
      <x:c r="K300" s="32"/>
      <x:c r="L300" s="31"/>
      <x:c r="M300" s="32"/>
      <x:c r="N300" s="32"/>
      <x:c r="O300" s="31"/>
      <x:c r="P300" s="31"/>
      <x:c r="Q300" s="32"/>
      <x:c r="R300" s="31"/>
      <x:c r="S300" s="31"/>
    </x:row>
  </x:sheetData>
  <x:dataValidations count="2">
    <x:dataValidation type="list" sqref="E2:E300">
      <x:formula1>"BET,PAPER,REJECTED"</x:formula1>
    </x:dataValidation>
    <x:dataValidation type="list" sqref="F2:F300">
      <x:formula1>"Win,Loss,Push,Pending"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8" hidden="0" customWidth="1"/>
    <x:col min="5" max="5" width="18" hidden="0" customWidth="1"/>
    <x:col min="6" max="6" width="9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0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2" hidden="0" customWidth="1"/>
    <x:col min="17" max="17" width="18" hidden="0" customWidth="1"/>
    <x:col min="18" max="18" width="18" hidden="0" customWidth="1"/>
    <x:col min="19" max="19" width="12" hidden="0" customWidth="1"/>
    <x:col min="20" max="20" width="34" hidden="0" customWidth="1"/>
  </x:cols>
  <x:sheetData>
    <x:row r="1">
      <x:c r="A1" s="78" t="str">
        <x:v>Date</x:v>
      </x:c>
      <x:c r="B1" s="78" t="str">
        <x:v>Candidate ID</x:v>
      </x:c>
      <x:c r="C1" s="78" t="str">
        <x:v>Player/Team</x:v>
      </x:c>
      <x:c r="D1" s="78" t="str">
        <x:v>Opponent</x:v>
      </x:c>
      <x:c r="E1" s="78" t="str">
        <x:v>Market</x:v>
      </x:c>
      <x:c r="F1" s="78" t="str">
        <x:v>Line</x:v>
      </x:c>
      <x:c r="G1" s="78" t="str">
        <x:v>Odds</x:v>
      </x:c>
      <x:c r="H1" s="78" t="str">
        <x:v>Decision</x:v>
      </x:c>
      <x:c r="I1" s="78" t="str">
        <x:v>Result</x:v>
      </x:c>
      <x:c r="J1" s="78" t="str">
        <x:v>Projected Minutes</x:v>
      </x:c>
      <x:c r="K1" s="78" t="str">
        <x:v>Usage%</x:v>
      </x:c>
      <x:c r="L1" s="78" t="str">
        <x:v>Season Per-Min Rate</x:v>
      </x:c>
      <x:c r="M1" s="78" t="str">
        <x:v>Recent Per-Min Rate</x:v>
      </x:c>
      <x:c r="N1" s="78" t="str">
        <x:v>Role Change Score</x:v>
      </x:c>
      <x:c r="O1" s="78" t="str">
        <x:v>Opponent Defense Rating</x:v>
      </x:c>
      <x:c r="P1" s="78" t="str">
        <x:v>Opponent Pace</x:v>
      </x:c>
      <x:c r="Q1" s="78" t="str">
        <x:v>Matchup Positional Edge Score</x:v>
      </x:c>
      <x:c r="R1" s="78" t="str">
        <x:v>Rest/Injury Context Score</x:v>
      </x:c>
      <x:c r="S1" s="78" t="str">
        <x:v>Price Edge Est.</x:v>
      </x:c>
      <x:c r="T1" s="78" t="str">
        <x:v>Notes</x:v>
      </x:c>
    </x:row>
    <x:row r="2">
      <x:c r="A2" s="79"/>
      <x:c r="B2" s="31"/>
      <x:c r="C2" s="31"/>
      <x:c r="D2" s="31"/>
      <x:c r="E2" s="31"/>
      <x:c r="F2" s="31"/>
      <x:c r="G2" s="31"/>
      <x:c r="H2" s="31"/>
      <x:c r="I2" s="31"/>
      <x:c r="J2" s="31"/>
      <x:c r="K2" s="32"/>
      <x:c r="L2" s="32"/>
      <x:c r="M2" s="32"/>
      <x:c r="N2" s="31"/>
      <x:c r="O2" s="31"/>
      <x:c r="P2" s="31"/>
      <x:c r="Q2" s="31"/>
      <x:c r="R2" s="31"/>
      <x:c r="S2" s="32"/>
      <x:c r="T2" s="31"/>
    </x:row>
    <x:row r="3">
      <x:c r="A3" s="79"/>
      <x:c r="B3" s="31"/>
      <x:c r="C3" s="31"/>
      <x:c r="D3" s="31"/>
      <x:c r="E3" s="31"/>
      <x:c r="F3" s="31"/>
      <x:c r="G3" s="31"/>
      <x:c r="H3" s="31"/>
      <x:c r="I3" s="31"/>
      <x:c r="J3" s="31"/>
      <x:c r="K3" s="32"/>
      <x:c r="L3" s="32"/>
      <x:c r="M3" s="32"/>
      <x:c r="N3" s="31"/>
      <x:c r="O3" s="31"/>
      <x:c r="P3" s="31"/>
      <x:c r="Q3" s="31"/>
      <x:c r="R3" s="31"/>
      <x:c r="S3" s="32"/>
      <x:c r="T3" s="31"/>
    </x:row>
    <x:row r="4">
      <x:c r="A4" s="79"/>
      <x:c r="B4" s="31"/>
      <x:c r="C4" s="31"/>
      <x:c r="D4" s="31"/>
      <x:c r="E4" s="31"/>
      <x:c r="F4" s="31"/>
      <x:c r="G4" s="31"/>
      <x:c r="H4" s="31"/>
      <x:c r="I4" s="31"/>
      <x:c r="J4" s="31"/>
      <x:c r="K4" s="32"/>
      <x:c r="L4" s="32"/>
      <x:c r="M4" s="32"/>
      <x:c r="N4" s="31"/>
      <x:c r="O4" s="31"/>
      <x:c r="P4" s="31"/>
      <x:c r="Q4" s="31"/>
      <x:c r="R4" s="31"/>
      <x:c r="S4" s="32"/>
      <x:c r="T4" s="31"/>
    </x:row>
    <x:row r="5">
      <x:c r="A5" s="79"/>
      <x:c r="B5" s="31"/>
      <x:c r="C5" s="31"/>
      <x:c r="D5" s="31"/>
      <x:c r="E5" s="31"/>
      <x:c r="F5" s="31"/>
      <x:c r="G5" s="31"/>
      <x:c r="H5" s="31"/>
      <x:c r="I5" s="31"/>
      <x:c r="J5" s="31"/>
      <x:c r="K5" s="32"/>
      <x:c r="L5" s="32"/>
      <x:c r="M5" s="32"/>
      <x:c r="N5" s="31"/>
      <x:c r="O5" s="31"/>
      <x:c r="P5" s="31"/>
      <x:c r="Q5" s="31"/>
      <x:c r="R5" s="31"/>
      <x:c r="S5" s="32"/>
      <x:c r="T5" s="31"/>
    </x:row>
    <x:row r="6">
      <x:c r="A6" s="79"/>
      <x:c r="B6" s="31"/>
      <x:c r="C6" s="31"/>
      <x:c r="D6" s="31"/>
      <x:c r="E6" s="31"/>
      <x:c r="F6" s="31"/>
      <x:c r="G6" s="31"/>
      <x:c r="H6" s="31"/>
      <x:c r="I6" s="31"/>
      <x:c r="J6" s="31"/>
      <x:c r="K6" s="32"/>
      <x:c r="L6" s="32"/>
      <x:c r="M6" s="32"/>
      <x:c r="N6" s="31"/>
      <x:c r="O6" s="31"/>
      <x:c r="P6" s="31"/>
      <x:c r="Q6" s="31"/>
      <x:c r="R6" s="31"/>
      <x:c r="S6" s="32"/>
      <x:c r="T6" s="31"/>
    </x:row>
    <x:row r="7">
      <x:c r="A7" s="79"/>
      <x:c r="B7" s="31"/>
      <x:c r="C7" s="31"/>
      <x:c r="D7" s="31"/>
      <x:c r="E7" s="31"/>
      <x:c r="F7" s="31"/>
      <x:c r="G7" s="31"/>
      <x:c r="H7" s="31"/>
      <x:c r="I7" s="31"/>
      <x:c r="J7" s="31"/>
      <x:c r="K7" s="32"/>
      <x:c r="L7" s="32"/>
      <x:c r="M7" s="32"/>
      <x:c r="N7" s="31"/>
      <x:c r="O7" s="31"/>
      <x:c r="P7" s="31"/>
      <x:c r="Q7" s="31"/>
      <x:c r="R7" s="31"/>
      <x:c r="S7" s="32"/>
      <x:c r="T7" s="31"/>
    </x:row>
    <x:row r="8">
      <x:c r="A8" s="79"/>
      <x:c r="B8" s="31"/>
      <x:c r="C8" s="31"/>
      <x:c r="D8" s="31"/>
      <x:c r="E8" s="31"/>
      <x:c r="F8" s="31"/>
      <x:c r="G8" s="31"/>
      <x:c r="H8" s="31"/>
      <x:c r="I8" s="31"/>
      <x:c r="J8" s="31"/>
      <x:c r="K8" s="32"/>
      <x:c r="L8" s="32"/>
      <x:c r="M8" s="32"/>
      <x:c r="N8" s="31"/>
      <x:c r="O8" s="31"/>
      <x:c r="P8" s="31"/>
      <x:c r="Q8" s="31"/>
      <x:c r="R8" s="31"/>
      <x:c r="S8" s="32"/>
      <x:c r="T8" s="31"/>
    </x:row>
    <x:row r="9">
      <x:c r="A9" s="79"/>
      <x:c r="B9" s="31"/>
      <x:c r="C9" s="31"/>
      <x:c r="D9" s="31"/>
      <x:c r="E9" s="31"/>
      <x:c r="F9" s="31"/>
      <x:c r="G9" s="31"/>
      <x:c r="H9" s="31"/>
      <x:c r="I9" s="31"/>
      <x:c r="J9" s="31"/>
      <x:c r="K9" s="32"/>
      <x:c r="L9" s="32"/>
      <x:c r="M9" s="32"/>
      <x:c r="N9" s="31"/>
      <x:c r="O9" s="31"/>
      <x:c r="P9" s="31"/>
      <x:c r="Q9" s="31"/>
      <x:c r="R9" s="31"/>
      <x:c r="S9" s="32"/>
      <x:c r="T9" s="31"/>
    </x:row>
    <x:row r="10">
      <x:c r="A10" s="79"/>
      <x:c r="B10" s="31"/>
      <x:c r="C10" s="31"/>
      <x:c r="D10" s="31"/>
      <x:c r="E10" s="31"/>
      <x:c r="F10" s="31"/>
      <x:c r="G10" s="31"/>
      <x:c r="H10" s="31"/>
      <x:c r="I10" s="31"/>
      <x:c r="J10" s="31"/>
      <x:c r="K10" s="32"/>
      <x:c r="L10" s="32"/>
      <x:c r="M10" s="32"/>
      <x:c r="N10" s="31"/>
      <x:c r="O10" s="31"/>
      <x:c r="P10" s="31"/>
      <x:c r="Q10" s="31"/>
      <x:c r="R10" s="31"/>
      <x:c r="S10" s="32"/>
      <x:c r="T10" s="31"/>
    </x:row>
    <x:row r="11">
      <x:c r="A11" s="79"/>
      <x:c r="B11" s="31"/>
      <x:c r="C11" s="31"/>
      <x:c r="D11" s="31"/>
      <x:c r="E11" s="31"/>
      <x:c r="F11" s="31"/>
      <x:c r="G11" s="31"/>
      <x:c r="H11" s="31"/>
      <x:c r="I11" s="31"/>
      <x:c r="J11" s="31"/>
      <x:c r="K11" s="32"/>
      <x:c r="L11" s="32"/>
      <x:c r="M11" s="32"/>
      <x:c r="N11" s="31"/>
      <x:c r="O11" s="31"/>
      <x:c r="P11" s="31"/>
      <x:c r="Q11" s="31"/>
      <x:c r="R11" s="31"/>
      <x:c r="S11" s="32"/>
      <x:c r="T11" s="31"/>
    </x:row>
    <x:row r="12">
      <x:c r="A12" s="79"/>
      <x:c r="B12" s="31"/>
      <x:c r="C12" s="31"/>
      <x:c r="D12" s="31"/>
      <x:c r="E12" s="31"/>
      <x:c r="F12" s="31"/>
      <x:c r="G12" s="31"/>
      <x:c r="H12" s="31"/>
      <x:c r="I12" s="31"/>
      <x:c r="J12" s="31"/>
      <x:c r="K12" s="32"/>
      <x:c r="L12" s="32"/>
      <x:c r="M12" s="32"/>
      <x:c r="N12" s="31"/>
      <x:c r="O12" s="31"/>
      <x:c r="P12" s="31"/>
      <x:c r="Q12" s="31"/>
      <x:c r="R12" s="31"/>
      <x:c r="S12" s="32"/>
      <x:c r="T12" s="31"/>
    </x:row>
    <x:row r="13">
      <x:c r="A13" s="79"/>
      <x:c r="B13" s="31"/>
      <x:c r="C13" s="31"/>
      <x:c r="D13" s="31"/>
      <x:c r="E13" s="31"/>
      <x:c r="F13" s="31"/>
      <x:c r="G13" s="31"/>
      <x:c r="H13" s="31"/>
      <x:c r="I13" s="31"/>
      <x:c r="J13" s="31"/>
      <x:c r="K13" s="32"/>
      <x:c r="L13" s="32"/>
      <x:c r="M13" s="32"/>
      <x:c r="N13" s="31"/>
      <x:c r="O13" s="31"/>
      <x:c r="P13" s="31"/>
      <x:c r="Q13" s="31"/>
      <x:c r="R13" s="31"/>
      <x:c r="S13" s="32"/>
      <x:c r="T13" s="31"/>
    </x:row>
    <x:row r="14">
      <x:c r="A14" s="79"/>
      <x:c r="B14" s="31"/>
      <x:c r="C14" s="31"/>
      <x:c r="D14" s="31"/>
      <x:c r="E14" s="31"/>
      <x:c r="F14" s="31"/>
      <x:c r="G14" s="31"/>
      <x:c r="H14" s="31"/>
      <x:c r="I14" s="31"/>
      <x:c r="J14" s="31"/>
      <x:c r="K14" s="32"/>
      <x:c r="L14" s="32"/>
      <x:c r="M14" s="32"/>
      <x:c r="N14" s="31"/>
      <x:c r="O14" s="31"/>
      <x:c r="P14" s="31"/>
      <x:c r="Q14" s="31"/>
      <x:c r="R14" s="31"/>
      <x:c r="S14" s="32"/>
      <x:c r="T14" s="31"/>
    </x:row>
    <x:row r="15">
      <x:c r="A15" s="79"/>
      <x:c r="B15" s="31"/>
      <x:c r="C15" s="31"/>
      <x:c r="D15" s="31"/>
      <x:c r="E15" s="31"/>
      <x:c r="F15" s="31"/>
      <x:c r="G15" s="31"/>
      <x:c r="H15" s="31"/>
      <x:c r="I15" s="31"/>
      <x:c r="J15" s="31"/>
      <x:c r="K15" s="32"/>
      <x:c r="L15" s="32"/>
      <x:c r="M15" s="32"/>
      <x:c r="N15" s="31"/>
      <x:c r="O15" s="31"/>
      <x:c r="P15" s="31"/>
      <x:c r="Q15" s="31"/>
      <x:c r="R15" s="31"/>
      <x:c r="S15" s="32"/>
      <x:c r="T15" s="31"/>
    </x:row>
    <x:row r="16">
      <x:c r="A16" s="79"/>
      <x:c r="B16" s="31"/>
      <x:c r="C16" s="31"/>
      <x:c r="D16" s="31"/>
      <x:c r="E16" s="31"/>
      <x:c r="F16" s="31"/>
      <x:c r="G16" s="31"/>
      <x:c r="H16" s="31"/>
      <x:c r="I16" s="31"/>
      <x:c r="J16" s="31"/>
      <x:c r="K16" s="32"/>
      <x:c r="L16" s="32"/>
      <x:c r="M16" s="32"/>
      <x:c r="N16" s="31"/>
      <x:c r="O16" s="31"/>
      <x:c r="P16" s="31"/>
      <x:c r="Q16" s="31"/>
      <x:c r="R16" s="31"/>
      <x:c r="S16" s="32"/>
      <x:c r="T16" s="31"/>
    </x:row>
    <x:row r="17">
      <x:c r="A17" s="79"/>
      <x:c r="B17" s="31"/>
      <x:c r="C17" s="31"/>
      <x:c r="D17" s="31"/>
      <x:c r="E17" s="31"/>
      <x:c r="F17" s="31"/>
      <x:c r="G17" s="31"/>
      <x:c r="H17" s="31"/>
      <x:c r="I17" s="31"/>
      <x:c r="J17" s="31"/>
      <x:c r="K17" s="32"/>
      <x:c r="L17" s="32"/>
      <x:c r="M17" s="32"/>
      <x:c r="N17" s="31"/>
      <x:c r="O17" s="31"/>
      <x:c r="P17" s="31"/>
      <x:c r="Q17" s="31"/>
      <x:c r="R17" s="31"/>
      <x:c r="S17" s="32"/>
      <x:c r="T17" s="31"/>
    </x:row>
    <x:row r="18">
      <x:c r="A18" s="79"/>
      <x:c r="B18" s="31"/>
      <x:c r="C18" s="31"/>
      <x:c r="D18" s="31"/>
      <x:c r="E18" s="31"/>
      <x:c r="F18" s="31"/>
      <x:c r="G18" s="31"/>
      <x:c r="H18" s="31"/>
      <x:c r="I18" s="31"/>
      <x:c r="J18" s="31"/>
      <x:c r="K18" s="32"/>
      <x:c r="L18" s="32"/>
      <x:c r="M18" s="32"/>
      <x:c r="N18" s="31"/>
      <x:c r="O18" s="31"/>
      <x:c r="P18" s="31"/>
      <x:c r="Q18" s="31"/>
      <x:c r="R18" s="31"/>
      <x:c r="S18" s="32"/>
      <x:c r="T18" s="31"/>
    </x:row>
    <x:row r="19">
      <x:c r="A19" s="79"/>
      <x:c r="B19" s="31"/>
      <x:c r="C19" s="31"/>
      <x:c r="D19" s="31"/>
      <x:c r="E19" s="31"/>
      <x:c r="F19" s="31"/>
      <x:c r="G19" s="31"/>
      <x:c r="H19" s="31"/>
      <x:c r="I19" s="31"/>
      <x:c r="J19" s="31"/>
      <x:c r="K19" s="32"/>
      <x:c r="L19" s="32"/>
      <x:c r="M19" s="32"/>
      <x:c r="N19" s="31"/>
      <x:c r="O19" s="31"/>
      <x:c r="P19" s="31"/>
      <x:c r="Q19" s="31"/>
      <x:c r="R19" s="31"/>
      <x:c r="S19" s="32"/>
      <x:c r="T19" s="31"/>
    </x:row>
    <x:row r="20">
      <x:c r="A20" s="79"/>
      <x:c r="B20" s="31"/>
      <x:c r="C20" s="31"/>
      <x:c r="D20" s="31"/>
      <x:c r="E20" s="31"/>
      <x:c r="F20" s="31"/>
      <x:c r="G20" s="31"/>
      <x:c r="H20" s="31"/>
      <x:c r="I20" s="31"/>
      <x:c r="J20" s="31"/>
      <x:c r="K20" s="32"/>
      <x:c r="L20" s="32"/>
      <x:c r="M20" s="32"/>
      <x:c r="N20" s="31"/>
      <x:c r="O20" s="31"/>
      <x:c r="P20" s="31"/>
      <x:c r="Q20" s="31"/>
      <x:c r="R20" s="31"/>
      <x:c r="S20" s="32"/>
      <x:c r="T20" s="31"/>
    </x:row>
    <x:row r="21">
      <x:c r="A21" s="79"/>
      <x:c r="B21" s="31"/>
      <x:c r="C21" s="31"/>
      <x:c r="D21" s="31"/>
      <x:c r="E21" s="31"/>
      <x:c r="F21" s="31"/>
      <x:c r="G21" s="31"/>
      <x:c r="H21" s="31"/>
      <x:c r="I21" s="31"/>
      <x:c r="J21" s="31"/>
      <x:c r="K21" s="32"/>
      <x:c r="L21" s="32"/>
      <x:c r="M21" s="32"/>
      <x:c r="N21" s="31"/>
      <x:c r="O21" s="31"/>
      <x:c r="P21" s="31"/>
      <x:c r="Q21" s="31"/>
      <x:c r="R21" s="31"/>
      <x:c r="S21" s="32"/>
      <x:c r="T21" s="31"/>
    </x:row>
    <x:row r="22">
      <x:c r="A22" s="79"/>
      <x:c r="B22" s="31"/>
      <x:c r="C22" s="31"/>
      <x:c r="D22" s="31"/>
      <x:c r="E22" s="31"/>
      <x:c r="F22" s="31"/>
      <x:c r="G22" s="31"/>
      <x:c r="H22" s="31"/>
      <x:c r="I22" s="31"/>
      <x:c r="J22" s="31"/>
      <x:c r="K22" s="32"/>
      <x:c r="L22" s="32"/>
      <x:c r="M22" s="32"/>
      <x:c r="N22" s="31"/>
      <x:c r="O22" s="31"/>
      <x:c r="P22" s="31"/>
      <x:c r="Q22" s="31"/>
      <x:c r="R22" s="31"/>
      <x:c r="S22" s="32"/>
      <x:c r="T22" s="31"/>
    </x:row>
    <x:row r="23">
      <x:c r="A23" s="79"/>
      <x:c r="B23" s="31"/>
      <x:c r="C23" s="31"/>
      <x:c r="D23" s="31"/>
      <x:c r="E23" s="31"/>
      <x:c r="F23" s="31"/>
      <x:c r="G23" s="31"/>
      <x:c r="H23" s="31"/>
      <x:c r="I23" s="31"/>
      <x:c r="J23" s="31"/>
      <x:c r="K23" s="32"/>
      <x:c r="L23" s="32"/>
      <x:c r="M23" s="32"/>
      <x:c r="N23" s="31"/>
      <x:c r="O23" s="31"/>
      <x:c r="P23" s="31"/>
      <x:c r="Q23" s="31"/>
      <x:c r="R23" s="31"/>
      <x:c r="S23" s="32"/>
      <x:c r="T23" s="31"/>
    </x:row>
    <x:row r="24">
      <x:c r="A24" s="79"/>
      <x:c r="B24" s="31"/>
      <x:c r="C24" s="31"/>
      <x:c r="D24" s="31"/>
      <x:c r="E24" s="31"/>
      <x:c r="F24" s="31"/>
      <x:c r="G24" s="31"/>
      <x:c r="H24" s="31"/>
      <x:c r="I24" s="31"/>
      <x:c r="J24" s="31"/>
      <x:c r="K24" s="32"/>
      <x:c r="L24" s="32"/>
      <x:c r="M24" s="32"/>
      <x:c r="N24" s="31"/>
      <x:c r="O24" s="31"/>
      <x:c r="P24" s="31"/>
      <x:c r="Q24" s="31"/>
      <x:c r="R24" s="31"/>
      <x:c r="S24" s="32"/>
      <x:c r="T24" s="31"/>
    </x:row>
    <x:row r="25">
      <x:c r="A25" s="79"/>
      <x:c r="B25" s="31"/>
      <x:c r="C25" s="31"/>
      <x:c r="D25" s="31"/>
      <x:c r="E25" s="31"/>
      <x:c r="F25" s="31"/>
      <x:c r="G25" s="31"/>
      <x:c r="H25" s="31"/>
      <x:c r="I25" s="31"/>
      <x:c r="J25" s="31"/>
      <x:c r="K25" s="32"/>
      <x:c r="L25" s="32"/>
      <x:c r="M25" s="32"/>
      <x:c r="N25" s="31"/>
      <x:c r="O25" s="31"/>
      <x:c r="P25" s="31"/>
      <x:c r="Q25" s="31"/>
      <x:c r="R25" s="31"/>
      <x:c r="S25" s="32"/>
      <x:c r="T25" s="31"/>
    </x:row>
    <x:row r="26">
      <x:c r="A26" s="79"/>
      <x:c r="B26" s="31"/>
      <x:c r="C26" s="31"/>
      <x:c r="D26" s="31"/>
      <x:c r="E26" s="31"/>
      <x:c r="F26" s="31"/>
      <x:c r="G26" s="31"/>
      <x:c r="H26" s="31"/>
      <x:c r="I26" s="31"/>
      <x:c r="J26" s="31"/>
      <x:c r="K26" s="32"/>
      <x:c r="L26" s="32"/>
      <x:c r="M26" s="32"/>
      <x:c r="N26" s="31"/>
      <x:c r="O26" s="31"/>
      <x:c r="P26" s="31"/>
      <x:c r="Q26" s="31"/>
      <x:c r="R26" s="31"/>
      <x:c r="S26" s="32"/>
      <x:c r="T26" s="31"/>
    </x:row>
    <x:row r="27">
      <x:c r="A27" s="79"/>
      <x:c r="B27" s="31"/>
      <x:c r="C27" s="31"/>
      <x:c r="D27" s="31"/>
      <x:c r="E27" s="31"/>
      <x:c r="F27" s="31"/>
      <x:c r="G27" s="31"/>
      <x:c r="H27" s="31"/>
      <x:c r="I27" s="31"/>
      <x:c r="J27" s="31"/>
      <x:c r="K27" s="32"/>
      <x:c r="L27" s="32"/>
      <x:c r="M27" s="32"/>
      <x:c r="N27" s="31"/>
      <x:c r="O27" s="31"/>
      <x:c r="P27" s="31"/>
      <x:c r="Q27" s="31"/>
      <x:c r="R27" s="31"/>
      <x:c r="S27" s="32"/>
      <x:c r="T27" s="31"/>
    </x:row>
    <x:row r="28">
      <x:c r="A28" s="79"/>
      <x:c r="B28" s="31"/>
      <x:c r="C28" s="31"/>
      <x:c r="D28" s="31"/>
      <x:c r="E28" s="31"/>
      <x:c r="F28" s="31"/>
      <x:c r="G28" s="31"/>
      <x:c r="H28" s="31"/>
      <x:c r="I28" s="31"/>
      <x:c r="J28" s="31"/>
      <x:c r="K28" s="32"/>
      <x:c r="L28" s="32"/>
      <x:c r="M28" s="32"/>
      <x:c r="N28" s="31"/>
      <x:c r="O28" s="31"/>
      <x:c r="P28" s="31"/>
      <x:c r="Q28" s="31"/>
      <x:c r="R28" s="31"/>
      <x:c r="S28" s="32"/>
      <x:c r="T28" s="31"/>
    </x:row>
    <x:row r="29">
      <x:c r="A29" s="79"/>
      <x:c r="B29" s="31"/>
      <x:c r="C29" s="31"/>
      <x:c r="D29" s="31"/>
      <x:c r="E29" s="31"/>
      <x:c r="F29" s="31"/>
      <x:c r="G29" s="31"/>
      <x:c r="H29" s="31"/>
      <x:c r="I29" s="31"/>
      <x:c r="J29" s="31"/>
      <x:c r="K29" s="32"/>
      <x:c r="L29" s="32"/>
      <x:c r="M29" s="32"/>
      <x:c r="N29" s="31"/>
      <x:c r="O29" s="31"/>
      <x:c r="P29" s="31"/>
      <x:c r="Q29" s="31"/>
      <x:c r="R29" s="31"/>
      <x:c r="S29" s="32"/>
      <x:c r="T29" s="31"/>
    </x:row>
    <x:row r="30">
      <x:c r="A30" s="79"/>
      <x:c r="B30" s="31"/>
      <x:c r="C30" s="31"/>
      <x:c r="D30" s="31"/>
      <x:c r="E30" s="31"/>
      <x:c r="F30" s="31"/>
      <x:c r="G30" s="31"/>
      <x:c r="H30" s="31"/>
      <x:c r="I30" s="31"/>
      <x:c r="J30" s="31"/>
      <x:c r="K30" s="32"/>
      <x:c r="L30" s="32"/>
      <x:c r="M30" s="32"/>
      <x:c r="N30" s="31"/>
      <x:c r="O30" s="31"/>
      <x:c r="P30" s="31"/>
      <x:c r="Q30" s="31"/>
      <x:c r="R30" s="31"/>
      <x:c r="S30" s="32"/>
      <x:c r="T30" s="31"/>
    </x:row>
    <x:row r="31">
      <x:c r="A31" s="79"/>
      <x:c r="B31" s="31"/>
      <x:c r="C31" s="31"/>
      <x:c r="D31" s="31"/>
      <x:c r="E31" s="31"/>
      <x:c r="F31" s="31"/>
      <x:c r="G31" s="31"/>
      <x:c r="H31" s="31"/>
      <x:c r="I31" s="31"/>
      <x:c r="J31" s="31"/>
      <x:c r="K31" s="32"/>
      <x:c r="L31" s="32"/>
      <x:c r="M31" s="32"/>
      <x:c r="N31" s="31"/>
      <x:c r="O31" s="31"/>
      <x:c r="P31" s="31"/>
      <x:c r="Q31" s="31"/>
      <x:c r="R31" s="31"/>
      <x:c r="S31" s="32"/>
      <x:c r="T31" s="31"/>
    </x:row>
    <x:row r="32">
      <x:c r="A32" s="79"/>
      <x:c r="B32" s="31"/>
      <x:c r="C32" s="31"/>
      <x:c r="D32" s="31"/>
      <x:c r="E32" s="31"/>
      <x:c r="F32" s="31"/>
      <x:c r="G32" s="31"/>
      <x:c r="H32" s="31"/>
      <x:c r="I32" s="31"/>
      <x:c r="J32" s="31"/>
      <x:c r="K32" s="32"/>
      <x:c r="L32" s="32"/>
      <x:c r="M32" s="32"/>
      <x:c r="N32" s="31"/>
      <x:c r="O32" s="31"/>
      <x:c r="P32" s="31"/>
      <x:c r="Q32" s="31"/>
      <x:c r="R32" s="31"/>
      <x:c r="S32" s="32"/>
      <x:c r="T32" s="31"/>
    </x:row>
    <x:row r="33">
      <x:c r="A33" s="79"/>
      <x:c r="B33" s="31"/>
      <x:c r="C33" s="31"/>
      <x:c r="D33" s="31"/>
      <x:c r="E33" s="31"/>
      <x:c r="F33" s="31"/>
      <x:c r="G33" s="31"/>
      <x:c r="H33" s="31"/>
      <x:c r="I33" s="31"/>
      <x:c r="J33" s="31"/>
      <x:c r="K33" s="32"/>
      <x:c r="L33" s="32"/>
      <x:c r="M33" s="32"/>
      <x:c r="N33" s="31"/>
      <x:c r="O33" s="31"/>
      <x:c r="P33" s="31"/>
      <x:c r="Q33" s="31"/>
      <x:c r="R33" s="31"/>
      <x:c r="S33" s="32"/>
      <x:c r="T33" s="31"/>
    </x:row>
    <x:row r="34">
      <x:c r="A34" s="79"/>
      <x:c r="B34" s="31"/>
      <x:c r="C34" s="31"/>
      <x:c r="D34" s="31"/>
      <x:c r="E34" s="31"/>
      <x:c r="F34" s="31"/>
      <x:c r="G34" s="31"/>
      <x:c r="H34" s="31"/>
      <x:c r="I34" s="31"/>
      <x:c r="J34" s="31"/>
      <x:c r="K34" s="32"/>
      <x:c r="L34" s="32"/>
      <x:c r="M34" s="32"/>
      <x:c r="N34" s="31"/>
      <x:c r="O34" s="31"/>
      <x:c r="P34" s="31"/>
      <x:c r="Q34" s="31"/>
      <x:c r="R34" s="31"/>
      <x:c r="S34" s="32"/>
      <x:c r="T34" s="31"/>
    </x:row>
    <x:row r="35">
      <x:c r="A35" s="79"/>
      <x:c r="B35" s="31"/>
      <x:c r="C35" s="31"/>
      <x:c r="D35" s="31"/>
      <x:c r="E35" s="31"/>
      <x:c r="F35" s="31"/>
      <x:c r="G35" s="31"/>
      <x:c r="H35" s="31"/>
      <x:c r="I35" s="31"/>
      <x:c r="J35" s="31"/>
      <x:c r="K35" s="32"/>
      <x:c r="L35" s="32"/>
      <x:c r="M35" s="32"/>
      <x:c r="N35" s="31"/>
      <x:c r="O35" s="31"/>
      <x:c r="P35" s="31"/>
      <x:c r="Q35" s="31"/>
      <x:c r="R35" s="31"/>
      <x:c r="S35" s="32"/>
      <x:c r="T35" s="31"/>
    </x:row>
    <x:row r="36">
      <x:c r="A36" s="79"/>
      <x:c r="B36" s="31"/>
      <x:c r="C36" s="31"/>
      <x:c r="D36" s="31"/>
      <x:c r="E36" s="31"/>
      <x:c r="F36" s="31"/>
      <x:c r="G36" s="31"/>
      <x:c r="H36" s="31"/>
      <x:c r="I36" s="31"/>
      <x:c r="J36" s="31"/>
      <x:c r="K36" s="32"/>
      <x:c r="L36" s="32"/>
      <x:c r="M36" s="32"/>
      <x:c r="N36" s="31"/>
      <x:c r="O36" s="31"/>
      <x:c r="P36" s="31"/>
      <x:c r="Q36" s="31"/>
      <x:c r="R36" s="31"/>
      <x:c r="S36" s="32"/>
      <x:c r="T36" s="31"/>
    </x:row>
    <x:row r="37">
      <x:c r="A37" s="79"/>
      <x:c r="B37" s="31"/>
      <x:c r="C37" s="31"/>
      <x:c r="D37" s="31"/>
      <x:c r="E37" s="31"/>
      <x:c r="F37" s="31"/>
      <x:c r="G37" s="31"/>
      <x:c r="H37" s="31"/>
      <x:c r="I37" s="31"/>
      <x:c r="J37" s="31"/>
      <x:c r="K37" s="32"/>
      <x:c r="L37" s="32"/>
      <x:c r="M37" s="32"/>
      <x:c r="N37" s="31"/>
      <x:c r="O37" s="31"/>
      <x:c r="P37" s="31"/>
      <x:c r="Q37" s="31"/>
      <x:c r="R37" s="31"/>
      <x:c r="S37" s="32"/>
      <x:c r="T37" s="31"/>
    </x:row>
    <x:row r="38">
      <x:c r="A38" s="79"/>
      <x:c r="B38" s="31"/>
      <x:c r="C38" s="31"/>
      <x:c r="D38" s="31"/>
      <x:c r="E38" s="31"/>
      <x:c r="F38" s="31"/>
      <x:c r="G38" s="31"/>
      <x:c r="H38" s="31"/>
      <x:c r="I38" s="31"/>
      <x:c r="J38" s="31"/>
      <x:c r="K38" s="32"/>
      <x:c r="L38" s="32"/>
      <x:c r="M38" s="32"/>
      <x:c r="N38" s="31"/>
      <x:c r="O38" s="31"/>
      <x:c r="P38" s="31"/>
      <x:c r="Q38" s="31"/>
      <x:c r="R38" s="31"/>
      <x:c r="S38" s="32"/>
      <x:c r="T38" s="31"/>
    </x:row>
    <x:row r="39">
      <x:c r="A39" s="79"/>
      <x:c r="B39" s="31"/>
      <x:c r="C39" s="31"/>
      <x:c r="D39" s="31"/>
      <x:c r="E39" s="31"/>
      <x:c r="F39" s="31"/>
      <x:c r="G39" s="31"/>
      <x:c r="H39" s="31"/>
      <x:c r="I39" s="31"/>
      <x:c r="J39" s="31"/>
      <x:c r="K39" s="32"/>
      <x:c r="L39" s="32"/>
      <x:c r="M39" s="32"/>
      <x:c r="N39" s="31"/>
      <x:c r="O39" s="31"/>
      <x:c r="P39" s="31"/>
      <x:c r="Q39" s="31"/>
      <x:c r="R39" s="31"/>
      <x:c r="S39" s="32"/>
      <x:c r="T39" s="31"/>
    </x:row>
    <x:row r="40">
      <x:c r="A40" s="79"/>
      <x:c r="B40" s="31"/>
      <x:c r="C40" s="31"/>
      <x:c r="D40" s="31"/>
      <x:c r="E40" s="31"/>
      <x:c r="F40" s="31"/>
      <x:c r="G40" s="31"/>
      <x:c r="H40" s="31"/>
      <x:c r="I40" s="31"/>
      <x:c r="J40" s="31"/>
      <x:c r="K40" s="32"/>
      <x:c r="L40" s="32"/>
      <x:c r="M40" s="32"/>
      <x:c r="N40" s="31"/>
      <x:c r="O40" s="31"/>
      <x:c r="P40" s="31"/>
      <x:c r="Q40" s="31"/>
      <x:c r="R40" s="31"/>
      <x:c r="S40" s="32"/>
      <x:c r="T40" s="31"/>
    </x:row>
    <x:row r="41">
      <x:c r="A41" s="79"/>
      <x:c r="B41" s="31"/>
      <x:c r="C41" s="31"/>
      <x:c r="D41" s="31"/>
      <x:c r="E41" s="31"/>
      <x:c r="F41" s="31"/>
      <x:c r="G41" s="31"/>
      <x:c r="H41" s="31"/>
      <x:c r="I41" s="31"/>
      <x:c r="J41" s="31"/>
      <x:c r="K41" s="32"/>
      <x:c r="L41" s="32"/>
      <x:c r="M41" s="32"/>
      <x:c r="N41" s="31"/>
      <x:c r="O41" s="31"/>
      <x:c r="P41" s="31"/>
      <x:c r="Q41" s="31"/>
      <x:c r="R41" s="31"/>
      <x:c r="S41" s="32"/>
      <x:c r="T41" s="31"/>
    </x:row>
    <x:row r="42">
      <x:c r="A42" s="79"/>
      <x:c r="B42" s="31"/>
      <x:c r="C42" s="31"/>
      <x:c r="D42" s="31"/>
      <x:c r="E42" s="31"/>
      <x:c r="F42" s="31"/>
      <x:c r="G42" s="31"/>
      <x:c r="H42" s="31"/>
      <x:c r="I42" s="31"/>
      <x:c r="J42" s="31"/>
      <x:c r="K42" s="32"/>
      <x:c r="L42" s="32"/>
      <x:c r="M42" s="32"/>
      <x:c r="N42" s="31"/>
      <x:c r="O42" s="31"/>
      <x:c r="P42" s="31"/>
      <x:c r="Q42" s="31"/>
      <x:c r="R42" s="31"/>
      <x:c r="S42" s="32"/>
      <x:c r="T42" s="31"/>
    </x:row>
    <x:row r="43">
      <x:c r="A43" s="79"/>
      <x:c r="B43" s="31"/>
      <x:c r="C43" s="31"/>
      <x:c r="D43" s="31"/>
      <x:c r="E43" s="31"/>
      <x:c r="F43" s="31"/>
      <x:c r="G43" s="31"/>
      <x:c r="H43" s="31"/>
      <x:c r="I43" s="31"/>
      <x:c r="J43" s="31"/>
      <x:c r="K43" s="32"/>
      <x:c r="L43" s="32"/>
      <x:c r="M43" s="32"/>
      <x:c r="N43" s="31"/>
      <x:c r="O43" s="31"/>
      <x:c r="P43" s="31"/>
      <x:c r="Q43" s="31"/>
      <x:c r="R43" s="31"/>
      <x:c r="S43" s="32"/>
      <x:c r="T43" s="31"/>
    </x:row>
    <x:row r="44">
      <x:c r="A44" s="79"/>
      <x:c r="B44" s="31"/>
      <x:c r="C44" s="31"/>
      <x:c r="D44" s="31"/>
      <x:c r="E44" s="31"/>
      <x:c r="F44" s="31"/>
      <x:c r="G44" s="31"/>
      <x:c r="H44" s="31"/>
      <x:c r="I44" s="31"/>
      <x:c r="J44" s="31"/>
      <x:c r="K44" s="32"/>
      <x:c r="L44" s="32"/>
      <x:c r="M44" s="32"/>
      <x:c r="N44" s="31"/>
      <x:c r="O44" s="31"/>
      <x:c r="P44" s="31"/>
      <x:c r="Q44" s="31"/>
      <x:c r="R44" s="31"/>
      <x:c r="S44" s="32"/>
      <x:c r="T44" s="31"/>
    </x:row>
    <x:row r="45">
      <x:c r="A45" s="79"/>
      <x:c r="B45" s="31"/>
      <x:c r="C45" s="31"/>
      <x:c r="D45" s="31"/>
      <x:c r="E45" s="31"/>
      <x:c r="F45" s="31"/>
      <x:c r="G45" s="31"/>
      <x:c r="H45" s="31"/>
      <x:c r="I45" s="31"/>
      <x:c r="J45" s="31"/>
      <x:c r="K45" s="32"/>
      <x:c r="L45" s="32"/>
      <x:c r="M45" s="32"/>
      <x:c r="N45" s="31"/>
      <x:c r="O45" s="31"/>
      <x:c r="P45" s="31"/>
      <x:c r="Q45" s="31"/>
      <x:c r="R45" s="31"/>
      <x:c r="S45" s="32"/>
      <x:c r="T45" s="31"/>
    </x:row>
    <x:row r="46">
      <x:c r="A46" s="79"/>
      <x:c r="B46" s="31"/>
      <x:c r="C46" s="31"/>
      <x:c r="D46" s="31"/>
      <x:c r="E46" s="31"/>
      <x:c r="F46" s="31"/>
      <x:c r="G46" s="31"/>
      <x:c r="H46" s="31"/>
      <x:c r="I46" s="31"/>
      <x:c r="J46" s="31"/>
      <x:c r="K46" s="32"/>
      <x:c r="L46" s="32"/>
      <x:c r="M46" s="32"/>
      <x:c r="N46" s="31"/>
      <x:c r="O46" s="31"/>
      <x:c r="P46" s="31"/>
      <x:c r="Q46" s="31"/>
      <x:c r="R46" s="31"/>
      <x:c r="S46" s="32"/>
      <x:c r="T46" s="31"/>
    </x:row>
    <x:row r="47">
      <x:c r="A47" s="79"/>
      <x:c r="B47" s="31"/>
      <x:c r="C47" s="31"/>
      <x:c r="D47" s="31"/>
      <x:c r="E47" s="31"/>
      <x:c r="F47" s="31"/>
      <x:c r="G47" s="31"/>
      <x:c r="H47" s="31"/>
      <x:c r="I47" s="31"/>
      <x:c r="J47" s="31"/>
      <x:c r="K47" s="32"/>
      <x:c r="L47" s="32"/>
      <x:c r="M47" s="32"/>
      <x:c r="N47" s="31"/>
      <x:c r="O47" s="31"/>
      <x:c r="P47" s="31"/>
      <x:c r="Q47" s="31"/>
      <x:c r="R47" s="31"/>
      <x:c r="S47" s="32"/>
      <x:c r="T47" s="31"/>
    </x:row>
    <x:row r="48">
      <x:c r="A48" s="79"/>
      <x:c r="B48" s="31"/>
      <x:c r="C48" s="31"/>
      <x:c r="D48" s="31"/>
      <x:c r="E48" s="31"/>
      <x:c r="F48" s="31"/>
      <x:c r="G48" s="31"/>
      <x:c r="H48" s="31"/>
      <x:c r="I48" s="31"/>
      <x:c r="J48" s="31"/>
      <x:c r="K48" s="32"/>
      <x:c r="L48" s="32"/>
      <x:c r="M48" s="32"/>
      <x:c r="N48" s="31"/>
      <x:c r="O48" s="31"/>
      <x:c r="P48" s="31"/>
      <x:c r="Q48" s="31"/>
      <x:c r="R48" s="31"/>
      <x:c r="S48" s="32"/>
      <x:c r="T48" s="31"/>
    </x:row>
    <x:row r="49">
      <x:c r="A49" s="79"/>
      <x:c r="B49" s="31"/>
      <x:c r="C49" s="31"/>
      <x:c r="D49" s="31"/>
      <x:c r="E49" s="31"/>
      <x:c r="F49" s="31"/>
      <x:c r="G49" s="31"/>
      <x:c r="H49" s="31"/>
      <x:c r="I49" s="31"/>
      <x:c r="J49" s="31"/>
      <x:c r="K49" s="32"/>
      <x:c r="L49" s="32"/>
      <x:c r="M49" s="32"/>
      <x:c r="N49" s="31"/>
      <x:c r="O49" s="31"/>
      <x:c r="P49" s="31"/>
      <x:c r="Q49" s="31"/>
      <x:c r="R49" s="31"/>
      <x:c r="S49" s="32"/>
      <x:c r="T49" s="31"/>
    </x:row>
    <x:row r="50">
      <x:c r="A50" s="79"/>
      <x:c r="B50" s="31"/>
      <x:c r="C50" s="31"/>
      <x:c r="D50" s="31"/>
      <x:c r="E50" s="31"/>
      <x:c r="F50" s="31"/>
      <x:c r="G50" s="31"/>
      <x:c r="H50" s="31"/>
      <x:c r="I50" s="31"/>
      <x:c r="J50" s="31"/>
      <x:c r="K50" s="32"/>
      <x:c r="L50" s="32"/>
      <x:c r="M50" s="32"/>
      <x:c r="N50" s="31"/>
      <x:c r="O50" s="31"/>
      <x:c r="P50" s="31"/>
      <x:c r="Q50" s="31"/>
      <x:c r="R50" s="31"/>
      <x:c r="S50" s="32"/>
      <x:c r="T50" s="31"/>
    </x:row>
    <x:row r="51">
      <x:c r="A51" s="79"/>
      <x:c r="B51" s="31"/>
      <x:c r="C51" s="31"/>
      <x:c r="D51" s="31"/>
      <x:c r="E51" s="31"/>
      <x:c r="F51" s="31"/>
      <x:c r="G51" s="31"/>
      <x:c r="H51" s="31"/>
      <x:c r="I51" s="31"/>
      <x:c r="J51" s="31"/>
      <x:c r="K51" s="32"/>
      <x:c r="L51" s="32"/>
      <x:c r="M51" s="32"/>
      <x:c r="N51" s="31"/>
      <x:c r="O51" s="31"/>
      <x:c r="P51" s="31"/>
      <x:c r="Q51" s="31"/>
      <x:c r="R51" s="31"/>
      <x:c r="S51" s="32"/>
      <x:c r="T51" s="31"/>
    </x:row>
    <x:row r="52">
      <x:c r="A52" s="79"/>
      <x:c r="B52" s="31"/>
      <x:c r="C52" s="31"/>
      <x:c r="D52" s="31"/>
      <x:c r="E52" s="31"/>
      <x:c r="F52" s="31"/>
      <x:c r="G52" s="31"/>
      <x:c r="H52" s="31"/>
      <x:c r="I52" s="31"/>
      <x:c r="J52" s="31"/>
      <x:c r="K52" s="32"/>
      <x:c r="L52" s="32"/>
      <x:c r="M52" s="32"/>
      <x:c r="N52" s="31"/>
      <x:c r="O52" s="31"/>
      <x:c r="P52" s="31"/>
      <x:c r="Q52" s="31"/>
      <x:c r="R52" s="31"/>
      <x:c r="S52" s="32"/>
      <x:c r="T52" s="31"/>
    </x:row>
    <x:row r="53">
      <x:c r="A53" s="79"/>
      <x:c r="B53" s="31"/>
      <x:c r="C53" s="31"/>
      <x:c r="D53" s="31"/>
      <x:c r="E53" s="31"/>
      <x:c r="F53" s="31"/>
      <x:c r="G53" s="31"/>
      <x:c r="H53" s="31"/>
      <x:c r="I53" s="31"/>
      <x:c r="J53" s="31"/>
      <x:c r="K53" s="32"/>
      <x:c r="L53" s="32"/>
      <x:c r="M53" s="32"/>
      <x:c r="N53" s="31"/>
      <x:c r="O53" s="31"/>
      <x:c r="P53" s="31"/>
      <x:c r="Q53" s="31"/>
      <x:c r="R53" s="31"/>
      <x:c r="S53" s="32"/>
      <x:c r="T53" s="31"/>
    </x:row>
    <x:row r="54">
      <x:c r="A54" s="79"/>
      <x:c r="B54" s="31"/>
      <x:c r="C54" s="31"/>
      <x:c r="D54" s="31"/>
      <x:c r="E54" s="31"/>
      <x:c r="F54" s="31"/>
      <x:c r="G54" s="31"/>
      <x:c r="H54" s="31"/>
      <x:c r="I54" s="31"/>
      <x:c r="J54" s="31"/>
      <x:c r="K54" s="32"/>
      <x:c r="L54" s="32"/>
      <x:c r="M54" s="32"/>
      <x:c r="N54" s="31"/>
      <x:c r="O54" s="31"/>
      <x:c r="P54" s="31"/>
      <x:c r="Q54" s="31"/>
      <x:c r="R54" s="31"/>
      <x:c r="S54" s="32"/>
      <x:c r="T54" s="31"/>
    </x:row>
    <x:row r="55">
      <x:c r="A55" s="79"/>
      <x:c r="B55" s="31"/>
      <x:c r="C55" s="31"/>
      <x:c r="D55" s="31"/>
      <x:c r="E55" s="31"/>
      <x:c r="F55" s="31"/>
      <x:c r="G55" s="31"/>
      <x:c r="H55" s="31"/>
      <x:c r="I55" s="31"/>
      <x:c r="J55" s="31"/>
      <x:c r="K55" s="32"/>
      <x:c r="L55" s="32"/>
      <x:c r="M55" s="32"/>
      <x:c r="N55" s="31"/>
      <x:c r="O55" s="31"/>
      <x:c r="P55" s="31"/>
      <x:c r="Q55" s="31"/>
      <x:c r="R55" s="31"/>
      <x:c r="S55" s="32"/>
      <x:c r="T55" s="31"/>
    </x:row>
    <x:row r="56">
      <x:c r="A56" s="79"/>
      <x:c r="B56" s="31"/>
      <x:c r="C56" s="31"/>
      <x:c r="D56" s="31"/>
      <x:c r="E56" s="31"/>
      <x:c r="F56" s="31"/>
      <x:c r="G56" s="31"/>
      <x:c r="H56" s="31"/>
      <x:c r="I56" s="31"/>
      <x:c r="J56" s="31"/>
      <x:c r="K56" s="32"/>
      <x:c r="L56" s="32"/>
      <x:c r="M56" s="32"/>
      <x:c r="N56" s="31"/>
      <x:c r="O56" s="31"/>
      <x:c r="P56" s="31"/>
      <x:c r="Q56" s="31"/>
      <x:c r="R56" s="31"/>
      <x:c r="S56" s="32"/>
      <x:c r="T56" s="31"/>
    </x:row>
    <x:row r="57">
      <x:c r="A57" s="79"/>
      <x:c r="B57" s="31"/>
      <x:c r="C57" s="31"/>
      <x:c r="D57" s="31"/>
      <x:c r="E57" s="31"/>
      <x:c r="F57" s="31"/>
      <x:c r="G57" s="31"/>
      <x:c r="H57" s="31"/>
      <x:c r="I57" s="31"/>
      <x:c r="J57" s="31"/>
      <x:c r="K57" s="32"/>
      <x:c r="L57" s="32"/>
      <x:c r="M57" s="32"/>
      <x:c r="N57" s="31"/>
      <x:c r="O57" s="31"/>
      <x:c r="P57" s="31"/>
      <x:c r="Q57" s="31"/>
      <x:c r="R57" s="31"/>
      <x:c r="S57" s="32"/>
      <x:c r="T57" s="31"/>
    </x:row>
    <x:row r="58">
      <x:c r="A58" s="79"/>
      <x:c r="B58" s="31"/>
      <x:c r="C58" s="31"/>
      <x:c r="D58" s="31"/>
      <x:c r="E58" s="31"/>
      <x:c r="F58" s="31"/>
      <x:c r="G58" s="31"/>
      <x:c r="H58" s="31"/>
      <x:c r="I58" s="31"/>
      <x:c r="J58" s="31"/>
      <x:c r="K58" s="32"/>
      <x:c r="L58" s="32"/>
      <x:c r="M58" s="32"/>
      <x:c r="N58" s="31"/>
      <x:c r="O58" s="31"/>
      <x:c r="P58" s="31"/>
      <x:c r="Q58" s="31"/>
      <x:c r="R58" s="31"/>
      <x:c r="S58" s="32"/>
      <x:c r="T58" s="31"/>
    </x:row>
    <x:row r="59">
      <x:c r="A59" s="79"/>
      <x:c r="B59" s="31"/>
      <x:c r="C59" s="31"/>
      <x:c r="D59" s="31"/>
      <x:c r="E59" s="31"/>
      <x:c r="F59" s="31"/>
      <x:c r="G59" s="31"/>
      <x:c r="H59" s="31"/>
      <x:c r="I59" s="31"/>
      <x:c r="J59" s="31"/>
      <x:c r="K59" s="32"/>
      <x:c r="L59" s="32"/>
      <x:c r="M59" s="32"/>
      <x:c r="N59" s="31"/>
      <x:c r="O59" s="31"/>
      <x:c r="P59" s="31"/>
      <x:c r="Q59" s="31"/>
      <x:c r="R59" s="31"/>
      <x:c r="S59" s="32"/>
      <x:c r="T59" s="31"/>
    </x:row>
    <x:row r="60">
      <x:c r="A60" s="79"/>
      <x:c r="B60" s="31"/>
      <x:c r="C60" s="31"/>
      <x:c r="D60" s="31"/>
      <x:c r="E60" s="31"/>
      <x:c r="F60" s="31"/>
      <x:c r="G60" s="31"/>
      <x:c r="H60" s="31"/>
      <x:c r="I60" s="31"/>
      <x:c r="J60" s="31"/>
      <x:c r="K60" s="32"/>
      <x:c r="L60" s="32"/>
      <x:c r="M60" s="32"/>
      <x:c r="N60" s="31"/>
      <x:c r="O60" s="31"/>
      <x:c r="P60" s="31"/>
      <x:c r="Q60" s="31"/>
      <x:c r="R60" s="31"/>
      <x:c r="S60" s="32"/>
      <x:c r="T60" s="31"/>
    </x:row>
    <x:row r="61">
      <x:c r="A61" s="79"/>
      <x:c r="B61" s="31"/>
      <x:c r="C61" s="31"/>
      <x:c r="D61" s="31"/>
      <x:c r="E61" s="31"/>
      <x:c r="F61" s="31"/>
      <x:c r="G61" s="31"/>
      <x:c r="H61" s="31"/>
      <x:c r="I61" s="31"/>
      <x:c r="J61" s="31"/>
      <x:c r="K61" s="32"/>
      <x:c r="L61" s="32"/>
      <x:c r="M61" s="32"/>
      <x:c r="N61" s="31"/>
      <x:c r="O61" s="31"/>
      <x:c r="P61" s="31"/>
      <x:c r="Q61" s="31"/>
      <x:c r="R61" s="31"/>
      <x:c r="S61" s="32"/>
      <x:c r="T61" s="31"/>
    </x:row>
    <x:row r="62">
      <x:c r="A62" s="79"/>
      <x:c r="B62" s="31"/>
      <x:c r="C62" s="31"/>
      <x:c r="D62" s="31"/>
      <x:c r="E62" s="31"/>
      <x:c r="F62" s="31"/>
      <x:c r="G62" s="31"/>
      <x:c r="H62" s="31"/>
      <x:c r="I62" s="31"/>
      <x:c r="J62" s="31"/>
      <x:c r="K62" s="32"/>
      <x:c r="L62" s="32"/>
      <x:c r="M62" s="32"/>
      <x:c r="N62" s="31"/>
      <x:c r="O62" s="31"/>
      <x:c r="P62" s="31"/>
      <x:c r="Q62" s="31"/>
      <x:c r="R62" s="31"/>
      <x:c r="S62" s="32"/>
      <x:c r="T62" s="31"/>
    </x:row>
    <x:row r="63">
      <x:c r="A63" s="79"/>
      <x:c r="B63" s="31"/>
      <x:c r="C63" s="31"/>
      <x:c r="D63" s="31"/>
      <x:c r="E63" s="31"/>
      <x:c r="F63" s="31"/>
      <x:c r="G63" s="31"/>
      <x:c r="H63" s="31"/>
      <x:c r="I63" s="31"/>
      <x:c r="J63" s="31"/>
      <x:c r="K63" s="32"/>
      <x:c r="L63" s="32"/>
      <x:c r="M63" s="32"/>
      <x:c r="N63" s="31"/>
      <x:c r="O63" s="31"/>
      <x:c r="P63" s="31"/>
      <x:c r="Q63" s="31"/>
      <x:c r="R63" s="31"/>
      <x:c r="S63" s="32"/>
      <x:c r="T63" s="31"/>
    </x:row>
    <x:row r="64">
      <x:c r="A64" s="79"/>
      <x:c r="B64" s="31"/>
      <x:c r="C64" s="31"/>
      <x:c r="D64" s="31"/>
      <x:c r="E64" s="31"/>
      <x:c r="F64" s="31"/>
      <x:c r="G64" s="31"/>
      <x:c r="H64" s="31"/>
      <x:c r="I64" s="31"/>
      <x:c r="J64" s="31"/>
      <x:c r="K64" s="32"/>
      <x:c r="L64" s="32"/>
      <x:c r="M64" s="32"/>
      <x:c r="N64" s="31"/>
      <x:c r="O64" s="31"/>
      <x:c r="P64" s="31"/>
      <x:c r="Q64" s="31"/>
      <x:c r="R64" s="31"/>
      <x:c r="S64" s="32"/>
      <x:c r="T64" s="31"/>
    </x:row>
    <x:row r="65">
      <x:c r="A65" s="79"/>
      <x:c r="B65" s="31"/>
      <x:c r="C65" s="31"/>
      <x:c r="D65" s="31"/>
      <x:c r="E65" s="31"/>
      <x:c r="F65" s="31"/>
      <x:c r="G65" s="31"/>
      <x:c r="H65" s="31"/>
      <x:c r="I65" s="31"/>
      <x:c r="J65" s="31"/>
      <x:c r="K65" s="32"/>
      <x:c r="L65" s="32"/>
      <x:c r="M65" s="32"/>
      <x:c r="N65" s="31"/>
      <x:c r="O65" s="31"/>
      <x:c r="P65" s="31"/>
      <x:c r="Q65" s="31"/>
      <x:c r="R65" s="31"/>
      <x:c r="S65" s="32"/>
      <x:c r="T65" s="31"/>
    </x:row>
    <x:row r="66">
      <x:c r="A66" s="79"/>
      <x:c r="B66" s="31"/>
      <x:c r="C66" s="31"/>
      <x:c r="D66" s="31"/>
      <x:c r="E66" s="31"/>
      <x:c r="F66" s="31"/>
      <x:c r="G66" s="31"/>
      <x:c r="H66" s="31"/>
      <x:c r="I66" s="31"/>
      <x:c r="J66" s="31"/>
      <x:c r="K66" s="32"/>
      <x:c r="L66" s="32"/>
      <x:c r="M66" s="32"/>
      <x:c r="N66" s="31"/>
      <x:c r="O66" s="31"/>
      <x:c r="P66" s="31"/>
      <x:c r="Q66" s="31"/>
      <x:c r="R66" s="31"/>
      <x:c r="S66" s="32"/>
      <x:c r="T66" s="31"/>
    </x:row>
    <x:row r="67">
      <x:c r="A67" s="79"/>
      <x:c r="B67" s="31"/>
      <x:c r="C67" s="31"/>
      <x:c r="D67" s="31"/>
      <x:c r="E67" s="31"/>
      <x:c r="F67" s="31"/>
      <x:c r="G67" s="31"/>
      <x:c r="H67" s="31"/>
      <x:c r="I67" s="31"/>
      <x:c r="J67" s="31"/>
      <x:c r="K67" s="32"/>
      <x:c r="L67" s="32"/>
      <x:c r="M67" s="32"/>
      <x:c r="N67" s="31"/>
      <x:c r="O67" s="31"/>
      <x:c r="P67" s="31"/>
      <x:c r="Q67" s="31"/>
      <x:c r="R67" s="31"/>
      <x:c r="S67" s="32"/>
      <x:c r="T67" s="31"/>
    </x:row>
    <x:row r="68">
      <x:c r="A68" s="79"/>
      <x:c r="B68" s="31"/>
      <x:c r="C68" s="31"/>
      <x:c r="D68" s="31"/>
      <x:c r="E68" s="31"/>
      <x:c r="F68" s="31"/>
      <x:c r="G68" s="31"/>
      <x:c r="H68" s="31"/>
      <x:c r="I68" s="31"/>
      <x:c r="J68" s="31"/>
      <x:c r="K68" s="32"/>
      <x:c r="L68" s="32"/>
      <x:c r="M68" s="32"/>
      <x:c r="N68" s="31"/>
      <x:c r="O68" s="31"/>
      <x:c r="P68" s="31"/>
      <x:c r="Q68" s="31"/>
      <x:c r="R68" s="31"/>
      <x:c r="S68" s="32"/>
      <x:c r="T68" s="31"/>
    </x:row>
    <x:row r="69">
      <x:c r="A69" s="79"/>
      <x:c r="B69" s="31"/>
      <x:c r="C69" s="31"/>
      <x:c r="D69" s="31"/>
      <x:c r="E69" s="31"/>
      <x:c r="F69" s="31"/>
      <x:c r="G69" s="31"/>
      <x:c r="H69" s="31"/>
      <x:c r="I69" s="31"/>
      <x:c r="J69" s="31"/>
      <x:c r="K69" s="32"/>
      <x:c r="L69" s="32"/>
      <x:c r="M69" s="32"/>
      <x:c r="N69" s="31"/>
      <x:c r="O69" s="31"/>
      <x:c r="P69" s="31"/>
      <x:c r="Q69" s="31"/>
      <x:c r="R69" s="31"/>
      <x:c r="S69" s="32"/>
      <x:c r="T69" s="31"/>
    </x:row>
    <x:row r="70">
      <x:c r="A70" s="79"/>
      <x:c r="B70" s="31"/>
      <x:c r="C70" s="31"/>
      <x:c r="D70" s="31"/>
      <x:c r="E70" s="31"/>
      <x:c r="F70" s="31"/>
      <x:c r="G70" s="31"/>
      <x:c r="H70" s="31"/>
      <x:c r="I70" s="31"/>
      <x:c r="J70" s="31"/>
      <x:c r="K70" s="32"/>
      <x:c r="L70" s="32"/>
      <x:c r="M70" s="32"/>
      <x:c r="N70" s="31"/>
      <x:c r="O70" s="31"/>
      <x:c r="P70" s="31"/>
      <x:c r="Q70" s="31"/>
      <x:c r="R70" s="31"/>
      <x:c r="S70" s="32"/>
      <x:c r="T70" s="31"/>
    </x:row>
    <x:row r="71">
      <x:c r="A71" s="79"/>
      <x:c r="B71" s="31"/>
      <x:c r="C71" s="31"/>
      <x:c r="D71" s="31"/>
      <x:c r="E71" s="31"/>
      <x:c r="F71" s="31"/>
      <x:c r="G71" s="31"/>
      <x:c r="H71" s="31"/>
      <x:c r="I71" s="31"/>
      <x:c r="J71" s="31"/>
      <x:c r="K71" s="32"/>
      <x:c r="L71" s="32"/>
      <x:c r="M71" s="32"/>
      <x:c r="N71" s="31"/>
      <x:c r="O71" s="31"/>
      <x:c r="P71" s="31"/>
      <x:c r="Q71" s="31"/>
      <x:c r="R71" s="31"/>
      <x:c r="S71" s="32"/>
      <x:c r="T71" s="31"/>
    </x:row>
    <x:row r="72">
      <x:c r="A72" s="79"/>
      <x:c r="B72" s="31"/>
      <x:c r="C72" s="31"/>
      <x:c r="D72" s="31"/>
      <x:c r="E72" s="31"/>
      <x:c r="F72" s="31"/>
      <x:c r="G72" s="31"/>
      <x:c r="H72" s="31"/>
      <x:c r="I72" s="31"/>
      <x:c r="J72" s="31"/>
      <x:c r="K72" s="32"/>
      <x:c r="L72" s="32"/>
      <x:c r="M72" s="32"/>
      <x:c r="N72" s="31"/>
      <x:c r="O72" s="31"/>
      <x:c r="P72" s="31"/>
      <x:c r="Q72" s="31"/>
      <x:c r="R72" s="31"/>
      <x:c r="S72" s="32"/>
      <x:c r="T72" s="31"/>
    </x:row>
    <x:row r="73">
      <x:c r="A73" s="79"/>
      <x:c r="B73" s="31"/>
      <x:c r="C73" s="31"/>
      <x:c r="D73" s="31"/>
      <x:c r="E73" s="31"/>
      <x:c r="F73" s="31"/>
      <x:c r="G73" s="31"/>
      <x:c r="H73" s="31"/>
      <x:c r="I73" s="31"/>
      <x:c r="J73" s="31"/>
      <x:c r="K73" s="32"/>
      <x:c r="L73" s="32"/>
      <x:c r="M73" s="32"/>
      <x:c r="N73" s="31"/>
      <x:c r="O73" s="31"/>
      <x:c r="P73" s="31"/>
      <x:c r="Q73" s="31"/>
      <x:c r="R73" s="31"/>
      <x:c r="S73" s="32"/>
      <x:c r="T73" s="31"/>
    </x:row>
    <x:row r="74">
      <x:c r="A74" s="79"/>
      <x:c r="B74" s="31"/>
      <x:c r="C74" s="31"/>
      <x:c r="D74" s="31"/>
      <x:c r="E74" s="31"/>
      <x:c r="F74" s="31"/>
      <x:c r="G74" s="31"/>
      <x:c r="H74" s="31"/>
      <x:c r="I74" s="31"/>
      <x:c r="J74" s="31"/>
      <x:c r="K74" s="32"/>
      <x:c r="L74" s="32"/>
      <x:c r="M74" s="32"/>
      <x:c r="N74" s="31"/>
      <x:c r="O74" s="31"/>
      <x:c r="P74" s="31"/>
      <x:c r="Q74" s="31"/>
      <x:c r="R74" s="31"/>
      <x:c r="S74" s="32"/>
      <x:c r="T74" s="31"/>
    </x:row>
    <x:row r="75">
      <x:c r="A75" s="79"/>
      <x:c r="B75" s="31"/>
      <x:c r="C75" s="31"/>
      <x:c r="D75" s="31"/>
      <x:c r="E75" s="31"/>
      <x:c r="F75" s="31"/>
      <x:c r="G75" s="31"/>
      <x:c r="H75" s="31"/>
      <x:c r="I75" s="31"/>
      <x:c r="J75" s="31"/>
      <x:c r="K75" s="32"/>
      <x:c r="L75" s="32"/>
      <x:c r="M75" s="32"/>
      <x:c r="N75" s="31"/>
      <x:c r="O75" s="31"/>
      <x:c r="P75" s="31"/>
      <x:c r="Q75" s="31"/>
      <x:c r="R75" s="31"/>
      <x:c r="S75" s="32"/>
      <x:c r="T75" s="31"/>
    </x:row>
    <x:row r="76">
      <x:c r="A76" s="79"/>
      <x:c r="B76" s="31"/>
      <x:c r="C76" s="31"/>
      <x:c r="D76" s="31"/>
      <x:c r="E76" s="31"/>
      <x:c r="F76" s="31"/>
      <x:c r="G76" s="31"/>
      <x:c r="H76" s="31"/>
      <x:c r="I76" s="31"/>
      <x:c r="J76" s="31"/>
      <x:c r="K76" s="32"/>
      <x:c r="L76" s="32"/>
      <x:c r="M76" s="32"/>
      <x:c r="N76" s="31"/>
      <x:c r="O76" s="31"/>
      <x:c r="P76" s="31"/>
      <x:c r="Q76" s="31"/>
      <x:c r="R76" s="31"/>
      <x:c r="S76" s="32"/>
      <x:c r="T76" s="31"/>
    </x:row>
    <x:row r="77">
      <x:c r="A77" s="79"/>
      <x:c r="B77" s="31"/>
      <x:c r="C77" s="31"/>
      <x:c r="D77" s="31"/>
      <x:c r="E77" s="31"/>
      <x:c r="F77" s="31"/>
      <x:c r="G77" s="31"/>
      <x:c r="H77" s="31"/>
      <x:c r="I77" s="31"/>
      <x:c r="J77" s="31"/>
      <x:c r="K77" s="32"/>
      <x:c r="L77" s="32"/>
      <x:c r="M77" s="32"/>
      <x:c r="N77" s="31"/>
      <x:c r="O77" s="31"/>
      <x:c r="P77" s="31"/>
      <x:c r="Q77" s="31"/>
      <x:c r="R77" s="31"/>
      <x:c r="S77" s="32"/>
      <x:c r="T77" s="31"/>
    </x:row>
    <x:row r="78">
      <x:c r="A78" s="79"/>
      <x:c r="B78" s="31"/>
      <x:c r="C78" s="31"/>
      <x:c r="D78" s="31"/>
      <x:c r="E78" s="31"/>
      <x:c r="F78" s="31"/>
      <x:c r="G78" s="31"/>
      <x:c r="H78" s="31"/>
      <x:c r="I78" s="31"/>
      <x:c r="J78" s="31"/>
      <x:c r="K78" s="32"/>
      <x:c r="L78" s="32"/>
      <x:c r="M78" s="32"/>
      <x:c r="N78" s="31"/>
      <x:c r="O78" s="31"/>
      <x:c r="P78" s="31"/>
      <x:c r="Q78" s="31"/>
      <x:c r="R78" s="31"/>
      <x:c r="S78" s="32"/>
      <x:c r="T78" s="31"/>
    </x:row>
    <x:row r="79">
      <x:c r="A79" s="79"/>
      <x:c r="B79" s="31"/>
      <x:c r="C79" s="31"/>
      <x:c r="D79" s="31"/>
      <x:c r="E79" s="31"/>
      <x:c r="F79" s="31"/>
      <x:c r="G79" s="31"/>
      <x:c r="H79" s="31"/>
      <x:c r="I79" s="31"/>
      <x:c r="J79" s="31"/>
      <x:c r="K79" s="32"/>
      <x:c r="L79" s="32"/>
      <x:c r="M79" s="32"/>
      <x:c r="N79" s="31"/>
      <x:c r="O79" s="31"/>
      <x:c r="P79" s="31"/>
      <x:c r="Q79" s="31"/>
      <x:c r="R79" s="31"/>
      <x:c r="S79" s="32"/>
      <x:c r="T79" s="31"/>
    </x:row>
    <x:row r="80">
      <x:c r="A80" s="79"/>
      <x:c r="B80" s="31"/>
      <x:c r="C80" s="31"/>
      <x:c r="D80" s="31"/>
      <x:c r="E80" s="31"/>
      <x:c r="F80" s="31"/>
      <x:c r="G80" s="31"/>
      <x:c r="H80" s="31"/>
      <x:c r="I80" s="31"/>
      <x:c r="J80" s="31"/>
      <x:c r="K80" s="32"/>
      <x:c r="L80" s="32"/>
      <x:c r="M80" s="32"/>
      <x:c r="N80" s="31"/>
      <x:c r="O80" s="31"/>
      <x:c r="P80" s="31"/>
      <x:c r="Q80" s="31"/>
      <x:c r="R80" s="31"/>
      <x:c r="S80" s="32"/>
      <x:c r="T80" s="31"/>
    </x:row>
    <x:row r="81">
      <x:c r="A81" s="79"/>
      <x:c r="B81" s="31"/>
      <x:c r="C81" s="31"/>
      <x:c r="D81" s="31"/>
      <x:c r="E81" s="31"/>
      <x:c r="F81" s="31"/>
      <x:c r="G81" s="31"/>
      <x:c r="H81" s="31"/>
      <x:c r="I81" s="31"/>
      <x:c r="J81" s="31"/>
      <x:c r="K81" s="32"/>
      <x:c r="L81" s="32"/>
      <x:c r="M81" s="32"/>
      <x:c r="N81" s="31"/>
      <x:c r="O81" s="31"/>
      <x:c r="P81" s="31"/>
      <x:c r="Q81" s="31"/>
      <x:c r="R81" s="31"/>
      <x:c r="S81" s="32"/>
      <x:c r="T81" s="31"/>
    </x:row>
    <x:row r="82">
      <x:c r="A82" s="79"/>
      <x:c r="B82" s="31"/>
      <x:c r="C82" s="31"/>
      <x:c r="D82" s="31"/>
      <x:c r="E82" s="31"/>
      <x:c r="F82" s="31"/>
      <x:c r="G82" s="31"/>
      <x:c r="H82" s="31"/>
      <x:c r="I82" s="31"/>
      <x:c r="J82" s="31"/>
      <x:c r="K82" s="32"/>
      <x:c r="L82" s="32"/>
      <x:c r="M82" s="32"/>
      <x:c r="N82" s="31"/>
      <x:c r="O82" s="31"/>
      <x:c r="P82" s="31"/>
      <x:c r="Q82" s="31"/>
      <x:c r="R82" s="31"/>
      <x:c r="S82" s="32"/>
      <x:c r="T82" s="31"/>
    </x:row>
    <x:row r="83">
      <x:c r="A83" s="79"/>
      <x:c r="B83" s="31"/>
      <x:c r="C83" s="31"/>
      <x:c r="D83" s="31"/>
      <x:c r="E83" s="31"/>
      <x:c r="F83" s="31"/>
      <x:c r="G83" s="31"/>
      <x:c r="H83" s="31"/>
      <x:c r="I83" s="31"/>
      <x:c r="J83" s="31"/>
      <x:c r="K83" s="32"/>
      <x:c r="L83" s="32"/>
      <x:c r="M83" s="32"/>
      <x:c r="N83" s="31"/>
      <x:c r="O83" s="31"/>
      <x:c r="P83" s="31"/>
      <x:c r="Q83" s="31"/>
      <x:c r="R83" s="31"/>
      <x:c r="S83" s="32"/>
      <x:c r="T83" s="31"/>
    </x:row>
    <x:row r="84">
      <x:c r="A84" s="79"/>
      <x:c r="B84" s="31"/>
      <x:c r="C84" s="31"/>
      <x:c r="D84" s="31"/>
      <x:c r="E84" s="31"/>
      <x:c r="F84" s="31"/>
      <x:c r="G84" s="31"/>
      <x:c r="H84" s="31"/>
      <x:c r="I84" s="31"/>
      <x:c r="J84" s="31"/>
      <x:c r="K84" s="32"/>
      <x:c r="L84" s="32"/>
      <x:c r="M84" s="32"/>
      <x:c r="N84" s="31"/>
      <x:c r="O84" s="31"/>
      <x:c r="P84" s="31"/>
      <x:c r="Q84" s="31"/>
      <x:c r="R84" s="31"/>
      <x:c r="S84" s="32"/>
      <x:c r="T84" s="31"/>
    </x:row>
    <x:row r="85">
      <x:c r="A85" s="79"/>
      <x:c r="B85" s="31"/>
      <x:c r="C85" s="31"/>
      <x:c r="D85" s="31"/>
      <x:c r="E85" s="31"/>
      <x:c r="F85" s="31"/>
      <x:c r="G85" s="31"/>
      <x:c r="H85" s="31"/>
      <x:c r="I85" s="31"/>
      <x:c r="J85" s="31"/>
      <x:c r="K85" s="32"/>
      <x:c r="L85" s="32"/>
      <x:c r="M85" s="32"/>
      <x:c r="N85" s="31"/>
      <x:c r="O85" s="31"/>
      <x:c r="P85" s="31"/>
      <x:c r="Q85" s="31"/>
      <x:c r="R85" s="31"/>
      <x:c r="S85" s="32"/>
      <x:c r="T85" s="31"/>
    </x:row>
    <x:row r="86">
      <x:c r="A86" s="79"/>
      <x:c r="B86" s="31"/>
      <x:c r="C86" s="31"/>
      <x:c r="D86" s="31"/>
      <x:c r="E86" s="31"/>
      <x:c r="F86" s="31"/>
      <x:c r="G86" s="31"/>
      <x:c r="H86" s="31"/>
      <x:c r="I86" s="31"/>
      <x:c r="J86" s="31"/>
      <x:c r="K86" s="32"/>
      <x:c r="L86" s="32"/>
      <x:c r="M86" s="32"/>
      <x:c r="N86" s="31"/>
      <x:c r="O86" s="31"/>
      <x:c r="P86" s="31"/>
      <x:c r="Q86" s="31"/>
      <x:c r="R86" s="31"/>
      <x:c r="S86" s="32"/>
      <x:c r="T86" s="31"/>
    </x:row>
    <x:row r="87">
      <x:c r="A87" s="79"/>
      <x:c r="B87" s="31"/>
      <x:c r="C87" s="31"/>
      <x:c r="D87" s="31"/>
      <x:c r="E87" s="31"/>
      <x:c r="F87" s="31"/>
      <x:c r="G87" s="31"/>
      <x:c r="H87" s="31"/>
      <x:c r="I87" s="31"/>
      <x:c r="J87" s="31"/>
      <x:c r="K87" s="32"/>
      <x:c r="L87" s="32"/>
      <x:c r="M87" s="32"/>
      <x:c r="N87" s="31"/>
      <x:c r="O87" s="31"/>
      <x:c r="P87" s="31"/>
      <x:c r="Q87" s="31"/>
      <x:c r="R87" s="31"/>
      <x:c r="S87" s="32"/>
      <x:c r="T87" s="31"/>
    </x:row>
    <x:row r="88">
      <x:c r="A88" s="79"/>
      <x:c r="B88" s="31"/>
      <x:c r="C88" s="31"/>
      <x:c r="D88" s="31"/>
      <x:c r="E88" s="31"/>
      <x:c r="F88" s="31"/>
      <x:c r="G88" s="31"/>
      <x:c r="H88" s="31"/>
      <x:c r="I88" s="31"/>
      <x:c r="J88" s="31"/>
      <x:c r="K88" s="32"/>
      <x:c r="L88" s="32"/>
      <x:c r="M88" s="32"/>
      <x:c r="N88" s="31"/>
      <x:c r="O88" s="31"/>
      <x:c r="P88" s="31"/>
      <x:c r="Q88" s="31"/>
      <x:c r="R88" s="31"/>
      <x:c r="S88" s="32"/>
      <x:c r="T88" s="31"/>
    </x:row>
    <x:row r="89">
      <x:c r="A89" s="79"/>
      <x:c r="B89" s="31"/>
      <x:c r="C89" s="31"/>
      <x:c r="D89" s="31"/>
      <x:c r="E89" s="31"/>
      <x:c r="F89" s="31"/>
      <x:c r="G89" s="31"/>
      <x:c r="H89" s="31"/>
      <x:c r="I89" s="31"/>
      <x:c r="J89" s="31"/>
      <x:c r="K89" s="32"/>
      <x:c r="L89" s="32"/>
      <x:c r="M89" s="32"/>
      <x:c r="N89" s="31"/>
      <x:c r="O89" s="31"/>
      <x:c r="P89" s="31"/>
      <x:c r="Q89" s="31"/>
      <x:c r="R89" s="31"/>
      <x:c r="S89" s="32"/>
      <x:c r="T89" s="31"/>
    </x:row>
    <x:row r="90">
      <x:c r="A90" s="79"/>
      <x:c r="B90" s="31"/>
      <x:c r="C90" s="31"/>
      <x:c r="D90" s="31"/>
      <x:c r="E90" s="31"/>
      <x:c r="F90" s="31"/>
      <x:c r="G90" s="31"/>
      <x:c r="H90" s="31"/>
      <x:c r="I90" s="31"/>
      <x:c r="J90" s="31"/>
      <x:c r="K90" s="32"/>
      <x:c r="L90" s="32"/>
      <x:c r="M90" s="32"/>
      <x:c r="N90" s="31"/>
      <x:c r="O90" s="31"/>
      <x:c r="P90" s="31"/>
      <x:c r="Q90" s="31"/>
      <x:c r="R90" s="31"/>
      <x:c r="S90" s="32"/>
      <x:c r="T90" s="31"/>
    </x:row>
    <x:row r="91">
      <x:c r="A91" s="79"/>
      <x:c r="B91" s="31"/>
      <x:c r="C91" s="31"/>
      <x:c r="D91" s="31"/>
      <x:c r="E91" s="31"/>
      <x:c r="F91" s="31"/>
      <x:c r="G91" s="31"/>
      <x:c r="H91" s="31"/>
      <x:c r="I91" s="31"/>
      <x:c r="J91" s="31"/>
      <x:c r="K91" s="32"/>
      <x:c r="L91" s="32"/>
      <x:c r="M91" s="32"/>
      <x:c r="N91" s="31"/>
      <x:c r="O91" s="31"/>
      <x:c r="P91" s="31"/>
      <x:c r="Q91" s="31"/>
      <x:c r="R91" s="31"/>
      <x:c r="S91" s="32"/>
      <x:c r="T91" s="31"/>
    </x:row>
    <x:row r="92">
      <x:c r="A92" s="79"/>
      <x:c r="B92" s="31"/>
      <x:c r="C92" s="31"/>
      <x:c r="D92" s="31"/>
      <x:c r="E92" s="31"/>
      <x:c r="F92" s="31"/>
      <x:c r="G92" s="31"/>
      <x:c r="H92" s="31"/>
      <x:c r="I92" s="31"/>
      <x:c r="J92" s="31"/>
      <x:c r="K92" s="32"/>
      <x:c r="L92" s="32"/>
      <x:c r="M92" s="32"/>
      <x:c r="N92" s="31"/>
      <x:c r="O92" s="31"/>
      <x:c r="P92" s="31"/>
      <x:c r="Q92" s="31"/>
      <x:c r="R92" s="31"/>
      <x:c r="S92" s="32"/>
      <x:c r="T92" s="31"/>
    </x:row>
    <x:row r="93">
      <x:c r="A93" s="79"/>
      <x:c r="B93" s="31"/>
      <x:c r="C93" s="31"/>
      <x:c r="D93" s="31"/>
      <x:c r="E93" s="31"/>
      <x:c r="F93" s="31"/>
      <x:c r="G93" s="31"/>
      <x:c r="H93" s="31"/>
      <x:c r="I93" s="31"/>
      <x:c r="J93" s="31"/>
      <x:c r="K93" s="32"/>
      <x:c r="L93" s="32"/>
      <x:c r="M93" s="32"/>
      <x:c r="N93" s="31"/>
      <x:c r="O93" s="31"/>
      <x:c r="P93" s="31"/>
      <x:c r="Q93" s="31"/>
      <x:c r="R93" s="31"/>
      <x:c r="S93" s="32"/>
      <x:c r="T93" s="31"/>
    </x:row>
    <x:row r="94">
      <x:c r="A94" s="79"/>
      <x:c r="B94" s="31"/>
      <x:c r="C94" s="31"/>
      <x:c r="D94" s="31"/>
      <x:c r="E94" s="31"/>
      <x:c r="F94" s="31"/>
      <x:c r="G94" s="31"/>
      <x:c r="H94" s="31"/>
      <x:c r="I94" s="31"/>
      <x:c r="J94" s="31"/>
      <x:c r="K94" s="32"/>
      <x:c r="L94" s="32"/>
      <x:c r="M94" s="32"/>
      <x:c r="N94" s="31"/>
      <x:c r="O94" s="31"/>
      <x:c r="P94" s="31"/>
      <x:c r="Q94" s="31"/>
      <x:c r="R94" s="31"/>
      <x:c r="S94" s="32"/>
      <x:c r="T94" s="31"/>
    </x:row>
    <x:row r="95">
      <x:c r="A95" s="79"/>
      <x:c r="B95" s="31"/>
      <x:c r="C95" s="31"/>
      <x:c r="D95" s="31"/>
      <x:c r="E95" s="31"/>
      <x:c r="F95" s="31"/>
      <x:c r="G95" s="31"/>
      <x:c r="H95" s="31"/>
      <x:c r="I95" s="31"/>
      <x:c r="J95" s="31"/>
      <x:c r="K95" s="32"/>
      <x:c r="L95" s="32"/>
      <x:c r="M95" s="32"/>
      <x:c r="N95" s="31"/>
      <x:c r="O95" s="31"/>
      <x:c r="P95" s="31"/>
      <x:c r="Q95" s="31"/>
      <x:c r="R95" s="31"/>
      <x:c r="S95" s="32"/>
      <x:c r="T95" s="31"/>
    </x:row>
    <x:row r="96">
      <x:c r="A96" s="79"/>
      <x:c r="B96" s="31"/>
      <x:c r="C96" s="31"/>
      <x:c r="D96" s="31"/>
      <x:c r="E96" s="31"/>
      <x:c r="F96" s="31"/>
      <x:c r="G96" s="31"/>
      <x:c r="H96" s="31"/>
      <x:c r="I96" s="31"/>
      <x:c r="J96" s="31"/>
      <x:c r="K96" s="32"/>
      <x:c r="L96" s="32"/>
      <x:c r="M96" s="32"/>
      <x:c r="N96" s="31"/>
      <x:c r="O96" s="31"/>
      <x:c r="P96" s="31"/>
      <x:c r="Q96" s="31"/>
      <x:c r="R96" s="31"/>
      <x:c r="S96" s="32"/>
      <x:c r="T96" s="31"/>
    </x:row>
    <x:row r="97">
      <x:c r="A97" s="79"/>
      <x:c r="B97" s="31"/>
      <x:c r="C97" s="31"/>
      <x:c r="D97" s="31"/>
      <x:c r="E97" s="31"/>
      <x:c r="F97" s="31"/>
      <x:c r="G97" s="31"/>
      <x:c r="H97" s="31"/>
      <x:c r="I97" s="31"/>
      <x:c r="J97" s="31"/>
      <x:c r="K97" s="32"/>
      <x:c r="L97" s="32"/>
      <x:c r="M97" s="32"/>
      <x:c r="N97" s="31"/>
      <x:c r="O97" s="31"/>
      <x:c r="P97" s="31"/>
      <x:c r="Q97" s="31"/>
      <x:c r="R97" s="31"/>
      <x:c r="S97" s="32"/>
      <x:c r="T97" s="31"/>
    </x:row>
    <x:row r="98">
      <x:c r="A98" s="79"/>
      <x:c r="B98" s="31"/>
      <x:c r="C98" s="31"/>
      <x:c r="D98" s="31"/>
      <x:c r="E98" s="31"/>
      <x:c r="F98" s="31"/>
      <x:c r="G98" s="31"/>
      <x:c r="H98" s="31"/>
      <x:c r="I98" s="31"/>
      <x:c r="J98" s="31"/>
      <x:c r="K98" s="32"/>
      <x:c r="L98" s="32"/>
      <x:c r="M98" s="32"/>
      <x:c r="N98" s="31"/>
      <x:c r="O98" s="31"/>
      <x:c r="P98" s="31"/>
      <x:c r="Q98" s="31"/>
      <x:c r="R98" s="31"/>
      <x:c r="S98" s="32"/>
      <x:c r="T98" s="31"/>
    </x:row>
    <x:row r="99">
      <x:c r="A99" s="79"/>
      <x:c r="B99" s="31"/>
      <x:c r="C99" s="31"/>
      <x:c r="D99" s="31"/>
      <x:c r="E99" s="31"/>
      <x:c r="F99" s="31"/>
      <x:c r="G99" s="31"/>
      <x:c r="H99" s="31"/>
      <x:c r="I99" s="31"/>
      <x:c r="J99" s="31"/>
      <x:c r="K99" s="32"/>
      <x:c r="L99" s="32"/>
      <x:c r="M99" s="32"/>
      <x:c r="N99" s="31"/>
      <x:c r="O99" s="31"/>
      <x:c r="P99" s="31"/>
      <x:c r="Q99" s="31"/>
      <x:c r="R99" s="31"/>
      <x:c r="S99" s="32"/>
      <x:c r="T99" s="31"/>
    </x:row>
    <x:row r="100">
      <x:c r="A100" s="79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2"/>
      <x:c r="L100" s="32"/>
      <x:c r="M100" s="32"/>
      <x:c r="N100" s="31"/>
      <x:c r="O100" s="31"/>
      <x:c r="P100" s="31"/>
      <x:c r="Q100" s="31"/>
      <x:c r="R100" s="31"/>
      <x:c r="S100" s="32"/>
      <x:c r="T100" s="31"/>
    </x:row>
    <x:row r="101">
      <x:c r="A101" s="79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2"/>
      <x:c r="L101" s="32"/>
      <x:c r="M101" s="32"/>
      <x:c r="N101" s="31"/>
      <x:c r="O101" s="31"/>
      <x:c r="P101" s="31"/>
      <x:c r="Q101" s="31"/>
      <x:c r="R101" s="31"/>
      <x:c r="S101" s="32"/>
      <x:c r="T101" s="31"/>
    </x:row>
    <x:row r="102">
      <x:c r="A102" s="79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2"/>
      <x:c r="L102" s="32"/>
      <x:c r="M102" s="32"/>
      <x:c r="N102" s="31"/>
      <x:c r="O102" s="31"/>
      <x:c r="P102" s="31"/>
      <x:c r="Q102" s="31"/>
      <x:c r="R102" s="31"/>
      <x:c r="S102" s="32"/>
      <x:c r="T102" s="31"/>
    </x:row>
    <x:row r="103">
      <x:c r="A103" s="79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2"/>
      <x:c r="L103" s="32"/>
      <x:c r="M103" s="32"/>
      <x:c r="N103" s="31"/>
      <x:c r="O103" s="31"/>
      <x:c r="P103" s="31"/>
      <x:c r="Q103" s="31"/>
      <x:c r="R103" s="31"/>
      <x:c r="S103" s="32"/>
      <x:c r="T103" s="31"/>
    </x:row>
    <x:row r="104">
      <x:c r="A104" s="79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2"/>
      <x:c r="L104" s="32"/>
      <x:c r="M104" s="32"/>
      <x:c r="N104" s="31"/>
      <x:c r="O104" s="31"/>
      <x:c r="P104" s="31"/>
      <x:c r="Q104" s="31"/>
      <x:c r="R104" s="31"/>
      <x:c r="S104" s="32"/>
      <x:c r="T104" s="31"/>
    </x:row>
    <x:row r="105">
      <x:c r="A105" s="79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2"/>
      <x:c r="L105" s="32"/>
      <x:c r="M105" s="32"/>
      <x:c r="N105" s="31"/>
      <x:c r="O105" s="31"/>
      <x:c r="P105" s="31"/>
      <x:c r="Q105" s="31"/>
      <x:c r="R105" s="31"/>
      <x:c r="S105" s="32"/>
      <x:c r="T105" s="31"/>
    </x:row>
    <x:row r="106">
      <x:c r="A106" s="79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2"/>
      <x:c r="L106" s="32"/>
      <x:c r="M106" s="32"/>
      <x:c r="N106" s="31"/>
      <x:c r="O106" s="31"/>
      <x:c r="P106" s="31"/>
      <x:c r="Q106" s="31"/>
      <x:c r="R106" s="31"/>
      <x:c r="S106" s="32"/>
      <x:c r="T106" s="31"/>
    </x:row>
    <x:row r="107">
      <x:c r="A107" s="79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2"/>
      <x:c r="L107" s="32"/>
      <x:c r="M107" s="32"/>
      <x:c r="N107" s="31"/>
      <x:c r="O107" s="31"/>
      <x:c r="P107" s="31"/>
      <x:c r="Q107" s="31"/>
      <x:c r="R107" s="31"/>
      <x:c r="S107" s="32"/>
      <x:c r="T107" s="31"/>
    </x:row>
    <x:row r="108">
      <x:c r="A108" s="79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2"/>
      <x:c r="L108" s="32"/>
      <x:c r="M108" s="32"/>
      <x:c r="N108" s="31"/>
      <x:c r="O108" s="31"/>
      <x:c r="P108" s="31"/>
      <x:c r="Q108" s="31"/>
      <x:c r="R108" s="31"/>
      <x:c r="S108" s="32"/>
      <x:c r="T108" s="31"/>
    </x:row>
    <x:row r="109">
      <x:c r="A109" s="79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2"/>
      <x:c r="L109" s="32"/>
      <x:c r="M109" s="32"/>
      <x:c r="N109" s="31"/>
      <x:c r="O109" s="31"/>
      <x:c r="P109" s="31"/>
      <x:c r="Q109" s="31"/>
      <x:c r="R109" s="31"/>
      <x:c r="S109" s="32"/>
      <x:c r="T109" s="31"/>
    </x:row>
    <x:row r="110">
      <x:c r="A110" s="79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2"/>
      <x:c r="L110" s="32"/>
      <x:c r="M110" s="32"/>
      <x:c r="N110" s="31"/>
      <x:c r="O110" s="31"/>
      <x:c r="P110" s="31"/>
      <x:c r="Q110" s="31"/>
      <x:c r="R110" s="31"/>
      <x:c r="S110" s="32"/>
      <x:c r="T110" s="31"/>
    </x:row>
    <x:row r="111">
      <x:c r="A111" s="79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2"/>
      <x:c r="L111" s="32"/>
      <x:c r="M111" s="32"/>
      <x:c r="N111" s="31"/>
      <x:c r="O111" s="31"/>
      <x:c r="P111" s="31"/>
      <x:c r="Q111" s="31"/>
      <x:c r="R111" s="31"/>
      <x:c r="S111" s="32"/>
      <x:c r="T111" s="31"/>
    </x:row>
    <x:row r="112">
      <x:c r="A112" s="79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2"/>
      <x:c r="L112" s="32"/>
      <x:c r="M112" s="32"/>
      <x:c r="N112" s="31"/>
      <x:c r="O112" s="31"/>
      <x:c r="P112" s="31"/>
      <x:c r="Q112" s="31"/>
      <x:c r="R112" s="31"/>
      <x:c r="S112" s="32"/>
      <x:c r="T112" s="31"/>
    </x:row>
    <x:row r="113">
      <x:c r="A113" s="79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2"/>
      <x:c r="L113" s="32"/>
      <x:c r="M113" s="32"/>
      <x:c r="N113" s="31"/>
      <x:c r="O113" s="31"/>
      <x:c r="P113" s="31"/>
      <x:c r="Q113" s="31"/>
      <x:c r="R113" s="31"/>
      <x:c r="S113" s="32"/>
      <x:c r="T113" s="31"/>
    </x:row>
    <x:row r="114">
      <x:c r="A114" s="79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2"/>
      <x:c r="L114" s="32"/>
      <x:c r="M114" s="32"/>
      <x:c r="N114" s="31"/>
      <x:c r="O114" s="31"/>
      <x:c r="P114" s="31"/>
      <x:c r="Q114" s="31"/>
      <x:c r="R114" s="31"/>
      <x:c r="S114" s="32"/>
      <x:c r="T114" s="31"/>
    </x:row>
    <x:row r="115">
      <x:c r="A115" s="79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2"/>
      <x:c r="L115" s="32"/>
      <x:c r="M115" s="32"/>
      <x:c r="N115" s="31"/>
      <x:c r="O115" s="31"/>
      <x:c r="P115" s="31"/>
      <x:c r="Q115" s="31"/>
      <x:c r="R115" s="31"/>
      <x:c r="S115" s="32"/>
      <x:c r="T115" s="31"/>
    </x:row>
    <x:row r="116">
      <x:c r="A116" s="79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2"/>
      <x:c r="L116" s="32"/>
      <x:c r="M116" s="32"/>
      <x:c r="N116" s="31"/>
      <x:c r="O116" s="31"/>
      <x:c r="P116" s="31"/>
      <x:c r="Q116" s="31"/>
      <x:c r="R116" s="31"/>
      <x:c r="S116" s="32"/>
      <x:c r="T116" s="31"/>
    </x:row>
    <x:row r="117">
      <x:c r="A117" s="79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2"/>
      <x:c r="L117" s="32"/>
      <x:c r="M117" s="32"/>
      <x:c r="N117" s="31"/>
      <x:c r="O117" s="31"/>
      <x:c r="P117" s="31"/>
      <x:c r="Q117" s="31"/>
      <x:c r="R117" s="31"/>
      <x:c r="S117" s="32"/>
      <x:c r="T117" s="31"/>
    </x:row>
    <x:row r="118">
      <x:c r="A118" s="79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2"/>
      <x:c r="L118" s="32"/>
      <x:c r="M118" s="32"/>
      <x:c r="N118" s="31"/>
      <x:c r="O118" s="31"/>
      <x:c r="P118" s="31"/>
      <x:c r="Q118" s="31"/>
      <x:c r="R118" s="31"/>
      <x:c r="S118" s="32"/>
      <x:c r="T118" s="31"/>
    </x:row>
    <x:row r="119">
      <x:c r="A119" s="79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2"/>
      <x:c r="L119" s="32"/>
      <x:c r="M119" s="32"/>
      <x:c r="N119" s="31"/>
      <x:c r="O119" s="31"/>
      <x:c r="P119" s="31"/>
      <x:c r="Q119" s="31"/>
      <x:c r="R119" s="31"/>
      <x:c r="S119" s="32"/>
      <x:c r="T119" s="31"/>
    </x:row>
    <x:row r="120">
      <x:c r="A120" s="79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2"/>
      <x:c r="L120" s="32"/>
      <x:c r="M120" s="32"/>
      <x:c r="N120" s="31"/>
      <x:c r="O120" s="31"/>
      <x:c r="P120" s="31"/>
      <x:c r="Q120" s="31"/>
      <x:c r="R120" s="31"/>
      <x:c r="S120" s="32"/>
      <x:c r="T120" s="31"/>
    </x:row>
    <x:row r="121">
      <x:c r="A121" s="79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2"/>
      <x:c r="L121" s="32"/>
      <x:c r="M121" s="32"/>
      <x:c r="N121" s="31"/>
      <x:c r="O121" s="31"/>
      <x:c r="P121" s="31"/>
      <x:c r="Q121" s="31"/>
      <x:c r="R121" s="31"/>
      <x:c r="S121" s="32"/>
      <x:c r="T121" s="31"/>
    </x:row>
    <x:row r="122">
      <x:c r="A122" s="79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2"/>
      <x:c r="L122" s="32"/>
      <x:c r="M122" s="32"/>
      <x:c r="N122" s="31"/>
      <x:c r="O122" s="31"/>
      <x:c r="P122" s="31"/>
      <x:c r="Q122" s="31"/>
      <x:c r="R122" s="31"/>
      <x:c r="S122" s="32"/>
      <x:c r="T122" s="31"/>
    </x:row>
    <x:row r="123">
      <x:c r="A123" s="79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2"/>
      <x:c r="L123" s="32"/>
      <x:c r="M123" s="32"/>
      <x:c r="N123" s="31"/>
      <x:c r="O123" s="31"/>
      <x:c r="P123" s="31"/>
      <x:c r="Q123" s="31"/>
      <x:c r="R123" s="31"/>
      <x:c r="S123" s="32"/>
      <x:c r="T123" s="31"/>
    </x:row>
    <x:row r="124">
      <x:c r="A124" s="79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2"/>
      <x:c r="L124" s="32"/>
      <x:c r="M124" s="32"/>
      <x:c r="N124" s="31"/>
      <x:c r="O124" s="31"/>
      <x:c r="P124" s="31"/>
      <x:c r="Q124" s="31"/>
      <x:c r="R124" s="31"/>
      <x:c r="S124" s="32"/>
      <x:c r="T124" s="31"/>
    </x:row>
    <x:row r="125">
      <x:c r="A125" s="79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2"/>
      <x:c r="L125" s="32"/>
      <x:c r="M125" s="32"/>
      <x:c r="N125" s="31"/>
      <x:c r="O125" s="31"/>
      <x:c r="P125" s="31"/>
      <x:c r="Q125" s="31"/>
      <x:c r="R125" s="31"/>
      <x:c r="S125" s="32"/>
      <x:c r="T125" s="31"/>
    </x:row>
    <x:row r="126">
      <x:c r="A126" s="79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2"/>
      <x:c r="L126" s="32"/>
      <x:c r="M126" s="32"/>
      <x:c r="N126" s="31"/>
      <x:c r="O126" s="31"/>
      <x:c r="P126" s="31"/>
      <x:c r="Q126" s="31"/>
      <x:c r="R126" s="31"/>
      <x:c r="S126" s="32"/>
      <x:c r="T126" s="31"/>
    </x:row>
    <x:row r="127">
      <x:c r="A127" s="79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2"/>
      <x:c r="L127" s="32"/>
      <x:c r="M127" s="32"/>
      <x:c r="N127" s="31"/>
      <x:c r="O127" s="31"/>
      <x:c r="P127" s="31"/>
      <x:c r="Q127" s="31"/>
      <x:c r="R127" s="31"/>
      <x:c r="S127" s="32"/>
      <x:c r="T127" s="31"/>
    </x:row>
    <x:row r="128">
      <x:c r="A128" s="79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2"/>
      <x:c r="L128" s="32"/>
      <x:c r="M128" s="32"/>
      <x:c r="N128" s="31"/>
      <x:c r="O128" s="31"/>
      <x:c r="P128" s="31"/>
      <x:c r="Q128" s="31"/>
      <x:c r="R128" s="31"/>
      <x:c r="S128" s="32"/>
      <x:c r="T128" s="31"/>
    </x:row>
    <x:row r="129">
      <x:c r="A129" s="79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2"/>
      <x:c r="L129" s="32"/>
      <x:c r="M129" s="32"/>
      <x:c r="N129" s="31"/>
      <x:c r="O129" s="31"/>
      <x:c r="P129" s="31"/>
      <x:c r="Q129" s="31"/>
      <x:c r="R129" s="31"/>
      <x:c r="S129" s="32"/>
      <x:c r="T129" s="31"/>
    </x:row>
    <x:row r="130">
      <x:c r="A130" s="79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2"/>
      <x:c r="L130" s="32"/>
      <x:c r="M130" s="32"/>
      <x:c r="N130" s="31"/>
      <x:c r="O130" s="31"/>
      <x:c r="P130" s="31"/>
      <x:c r="Q130" s="31"/>
      <x:c r="R130" s="31"/>
      <x:c r="S130" s="32"/>
      <x:c r="T130" s="31"/>
    </x:row>
    <x:row r="131">
      <x:c r="A131" s="79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2"/>
      <x:c r="L131" s="32"/>
      <x:c r="M131" s="32"/>
      <x:c r="N131" s="31"/>
      <x:c r="O131" s="31"/>
      <x:c r="P131" s="31"/>
      <x:c r="Q131" s="31"/>
      <x:c r="R131" s="31"/>
      <x:c r="S131" s="32"/>
      <x:c r="T131" s="31"/>
    </x:row>
    <x:row r="132">
      <x:c r="A132" s="79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2"/>
      <x:c r="L132" s="32"/>
      <x:c r="M132" s="32"/>
      <x:c r="N132" s="31"/>
      <x:c r="O132" s="31"/>
      <x:c r="P132" s="31"/>
      <x:c r="Q132" s="31"/>
      <x:c r="R132" s="31"/>
      <x:c r="S132" s="32"/>
      <x:c r="T132" s="31"/>
    </x:row>
    <x:row r="133">
      <x:c r="A133" s="79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2"/>
      <x:c r="L133" s="32"/>
      <x:c r="M133" s="32"/>
      <x:c r="N133" s="31"/>
      <x:c r="O133" s="31"/>
      <x:c r="P133" s="31"/>
      <x:c r="Q133" s="31"/>
      <x:c r="R133" s="31"/>
      <x:c r="S133" s="32"/>
      <x:c r="T133" s="31"/>
    </x:row>
    <x:row r="134">
      <x:c r="A134" s="79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2"/>
      <x:c r="L134" s="32"/>
      <x:c r="M134" s="32"/>
      <x:c r="N134" s="31"/>
      <x:c r="O134" s="31"/>
      <x:c r="P134" s="31"/>
      <x:c r="Q134" s="31"/>
      <x:c r="R134" s="31"/>
      <x:c r="S134" s="32"/>
      <x:c r="T134" s="31"/>
    </x:row>
    <x:row r="135">
      <x:c r="A135" s="79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2"/>
      <x:c r="L135" s="32"/>
      <x:c r="M135" s="32"/>
      <x:c r="N135" s="31"/>
      <x:c r="O135" s="31"/>
      <x:c r="P135" s="31"/>
      <x:c r="Q135" s="31"/>
      <x:c r="R135" s="31"/>
      <x:c r="S135" s="32"/>
      <x:c r="T135" s="31"/>
    </x:row>
    <x:row r="136">
      <x:c r="A136" s="79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2"/>
      <x:c r="L136" s="32"/>
      <x:c r="M136" s="32"/>
      <x:c r="N136" s="31"/>
      <x:c r="O136" s="31"/>
      <x:c r="P136" s="31"/>
      <x:c r="Q136" s="31"/>
      <x:c r="R136" s="31"/>
      <x:c r="S136" s="32"/>
      <x:c r="T136" s="31"/>
    </x:row>
    <x:row r="137">
      <x:c r="A137" s="79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2"/>
      <x:c r="L137" s="32"/>
      <x:c r="M137" s="32"/>
      <x:c r="N137" s="31"/>
      <x:c r="O137" s="31"/>
      <x:c r="P137" s="31"/>
      <x:c r="Q137" s="31"/>
      <x:c r="R137" s="31"/>
      <x:c r="S137" s="32"/>
      <x:c r="T137" s="31"/>
    </x:row>
    <x:row r="138">
      <x:c r="A138" s="79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2"/>
      <x:c r="L138" s="32"/>
      <x:c r="M138" s="32"/>
      <x:c r="N138" s="31"/>
      <x:c r="O138" s="31"/>
      <x:c r="P138" s="31"/>
      <x:c r="Q138" s="31"/>
      <x:c r="R138" s="31"/>
      <x:c r="S138" s="32"/>
      <x:c r="T138" s="31"/>
    </x:row>
    <x:row r="139">
      <x:c r="A139" s="79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2"/>
      <x:c r="L139" s="32"/>
      <x:c r="M139" s="32"/>
      <x:c r="N139" s="31"/>
      <x:c r="O139" s="31"/>
      <x:c r="P139" s="31"/>
      <x:c r="Q139" s="31"/>
      <x:c r="R139" s="31"/>
      <x:c r="S139" s="32"/>
      <x:c r="T139" s="31"/>
    </x:row>
    <x:row r="140">
      <x:c r="A140" s="79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2"/>
      <x:c r="L140" s="32"/>
      <x:c r="M140" s="32"/>
      <x:c r="N140" s="31"/>
      <x:c r="O140" s="31"/>
      <x:c r="P140" s="31"/>
      <x:c r="Q140" s="31"/>
      <x:c r="R140" s="31"/>
      <x:c r="S140" s="32"/>
      <x:c r="T140" s="31"/>
    </x:row>
    <x:row r="141">
      <x:c r="A141" s="79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2"/>
      <x:c r="L141" s="32"/>
      <x:c r="M141" s="32"/>
      <x:c r="N141" s="31"/>
      <x:c r="O141" s="31"/>
      <x:c r="P141" s="31"/>
      <x:c r="Q141" s="31"/>
      <x:c r="R141" s="31"/>
      <x:c r="S141" s="32"/>
      <x:c r="T141" s="31"/>
    </x:row>
    <x:row r="142">
      <x:c r="A142" s="79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2"/>
      <x:c r="L142" s="32"/>
      <x:c r="M142" s="32"/>
      <x:c r="N142" s="31"/>
      <x:c r="O142" s="31"/>
      <x:c r="P142" s="31"/>
      <x:c r="Q142" s="31"/>
      <x:c r="R142" s="31"/>
      <x:c r="S142" s="32"/>
      <x:c r="T142" s="31"/>
    </x:row>
    <x:row r="143">
      <x:c r="A143" s="79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2"/>
      <x:c r="L143" s="32"/>
      <x:c r="M143" s="32"/>
      <x:c r="N143" s="31"/>
      <x:c r="O143" s="31"/>
      <x:c r="P143" s="31"/>
      <x:c r="Q143" s="31"/>
      <x:c r="R143" s="31"/>
      <x:c r="S143" s="32"/>
      <x:c r="T143" s="31"/>
    </x:row>
    <x:row r="144">
      <x:c r="A144" s="79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2"/>
      <x:c r="L144" s="32"/>
      <x:c r="M144" s="32"/>
      <x:c r="N144" s="31"/>
      <x:c r="O144" s="31"/>
      <x:c r="P144" s="31"/>
      <x:c r="Q144" s="31"/>
      <x:c r="R144" s="31"/>
      <x:c r="S144" s="32"/>
      <x:c r="T144" s="31"/>
    </x:row>
    <x:row r="145">
      <x:c r="A145" s="79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2"/>
      <x:c r="L145" s="32"/>
      <x:c r="M145" s="32"/>
      <x:c r="N145" s="31"/>
      <x:c r="O145" s="31"/>
      <x:c r="P145" s="31"/>
      <x:c r="Q145" s="31"/>
      <x:c r="R145" s="31"/>
      <x:c r="S145" s="32"/>
      <x:c r="T145" s="31"/>
    </x:row>
    <x:row r="146">
      <x:c r="A146" s="79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2"/>
      <x:c r="L146" s="32"/>
      <x:c r="M146" s="32"/>
      <x:c r="N146" s="31"/>
      <x:c r="O146" s="31"/>
      <x:c r="P146" s="31"/>
      <x:c r="Q146" s="31"/>
      <x:c r="R146" s="31"/>
      <x:c r="S146" s="32"/>
      <x:c r="T146" s="31"/>
    </x:row>
    <x:row r="147">
      <x:c r="A147" s="79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2"/>
      <x:c r="L147" s="32"/>
      <x:c r="M147" s="32"/>
      <x:c r="N147" s="31"/>
      <x:c r="O147" s="31"/>
      <x:c r="P147" s="31"/>
      <x:c r="Q147" s="31"/>
      <x:c r="R147" s="31"/>
      <x:c r="S147" s="32"/>
      <x:c r="T147" s="31"/>
    </x:row>
    <x:row r="148">
      <x:c r="A148" s="79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2"/>
      <x:c r="L148" s="32"/>
      <x:c r="M148" s="32"/>
      <x:c r="N148" s="31"/>
      <x:c r="O148" s="31"/>
      <x:c r="P148" s="31"/>
      <x:c r="Q148" s="31"/>
      <x:c r="R148" s="31"/>
      <x:c r="S148" s="32"/>
      <x:c r="T148" s="31"/>
    </x:row>
    <x:row r="149">
      <x:c r="A149" s="79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2"/>
      <x:c r="L149" s="32"/>
      <x:c r="M149" s="32"/>
      <x:c r="N149" s="31"/>
      <x:c r="O149" s="31"/>
      <x:c r="P149" s="31"/>
      <x:c r="Q149" s="31"/>
      <x:c r="R149" s="31"/>
      <x:c r="S149" s="32"/>
      <x:c r="T149" s="31"/>
    </x:row>
    <x:row r="150">
      <x:c r="A150" s="79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2"/>
      <x:c r="L150" s="32"/>
      <x:c r="M150" s="32"/>
      <x:c r="N150" s="31"/>
      <x:c r="O150" s="31"/>
      <x:c r="P150" s="31"/>
      <x:c r="Q150" s="31"/>
      <x:c r="R150" s="31"/>
      <x:c r="S150" s="32"/>
      <x:c r="T150" s="31"/>
    </x:row>
    <x:row r="151">
      <x:c r="A151" s="79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2"/>
      <x:c r="L151" s="32"/>
      <x:c r="M151" s="32"/>
      <x:c r="N151" s="31"/>
      <x:c r="O151" s="31"/>
      <x:c r="P151" s="31"/>
      <x:c r="Q151" s="31"/>
      <x:c r="R151" s="31"/>
      <x:c r="S151" s="32"/>
      <x:c r="T151" s="31"/>
    </x:row>
    <x:row r="152">
      <x:c r="A152" s="79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2"/>
      <x:c r="L152" s="32"/>
      <x:c r="M152" s="32"/>
      <x:c r="N152" s="31"/>
      <x:c r="O152" s="31"/>
      <x:c r="P152" s="31"/>
      <x:c r="Q152" s="31"/>
      <x:c r="R152" s="31"/>
      <x:c r="S152" s="32"/>
      <x:c r="T152" s="31"/>
    </x:row>
    <x:row r="153">
      <x:c r="A153" s="79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2"/>
      <x:c r="L153" s="32"/>
      <x:c r="M153" s="32"/>
      <x:c r="N153" s="31"/>
      <x:c r="O153" s="31"/>
      <x:c r="P153" s="31"/>
      <x:c r="Q153" s="31"/>
      <x:c r="R153" s="31"/>
      <x:c r="S153" s="32"/>
      <x:c r="T153" s="31"/>
    </x:row>
    <x:row r="154">
      <x:c r="A154" s="79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2"/>
      <x:c r="L154" s="32"/>
      <x:c r="M154" s="32"/>
      <x:c r="N154" s="31"/>
      <x:c r="O154" s="31"/>
      <x:c r="P154" s="31"/>
      <x:c r="Q154" s="31"/>
      <x:c r="R154" s="31"/>
      <x:c r="S154" s="32"/>
      <x:c r="T154" s="31"/>
    </x:row>
    <x:row r="155">
      <x:c r="A155" s="79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2"/>
      <x:c r="L155" s="32"/>
      <x:c r="M155" s="32"/>
      <x:c r="N155" s="31"/>
      <x:c r="O155" s="31"/>
      <x:c r="P155" s="31"/>
      <x:c r="Q155" s="31"/>
      <x:c r="R155" s="31"/>
      <x:c r="S155" s="32"/>
      <x:c r="T155" s="31"/>
    </x:row>
    <x:row r="156">
      <x:c r="A156" s="79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2"/>
      <x:c r="L156" s="32"/>
      <x:c r="M156" s="32"/>
      <x:c r="N156" s="31"/>
      <x:c r="O156" s="31"/>
      <x:c r="P156" s="31"/>
      <x:c r="Q156" s="31"/>
      <x:c r="R156" s="31"/>
      <x:c r="S156" s="32"/>
      <x:c r="T156" s="31"/>
    </x:row>
    <x:row r="157">
      <x:c r="A157" s="79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2"/>
      <x:c r="L157" s="32"/>
      <x:c r="M157" s="32"/>
      <x:c r="N157" s="31"/>
      <x:c r="O157" s="31"/>
      <x:c r="P157" s="31"/>
      <x:c r="Q157" s="31"/>
      <x:c r="R157" s="31"/>
      <x:c r="S157" s="32"/>
      <x:c r="T157" s="31"/>
    </x:row>
    <x:row r="158">
      <x:c r="A158" s="79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2"/>
      <x:c r="L158" s="32"/>
      <x:c r="M158" s="32"/>
      <x:c r="N158" s="31"/>
      <x:c r="O158" s="31"/>
      <x:c r="P158" s="31"/>
      <x:c r="Q158" s="31"/>
      <x:c r="R158" s="31"/>
      <x:c r="S158" s="32"/>
      <x:c r="T158" s="31"/>
    </x:row>
    <x:row r="159">
      <x:c r="A159" s="79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2"/>
      <x:c r="L159" s="32"/>
      <x:c r="M159" s="32"/>
      <x:c r="N159" s="31"/>
      <x:c r="O159" s="31"/>
      <x:c r="P159" s="31"/>
      <x:c r="Q159" s="31"/>
      <x:c r="R159" s="31"/>
      <x:c r="S159" s="32"/>
      <x:c r="T159" s="31"/>
    </x:row>
    <x:row r="160">
      <x:c r="A160" s="79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2"/>
      <x:c r="L160" s="32"/>
      <x:c r="M160" s="32"/>
      <x:c r="N160" s="31"/>
      <x:c r="O160" s="31"/>
      <x:c r="P160" s="31"/>
      <x:c r="Q160" s="31"/>
      <x:c r="R160" s="31"/>
      <x:c r="S160" s="32"/>
      <x:c r="T160" s="31"/>
    </x:row>
    <x:row r="161">
      <x:c r="A161" s="79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2"/>
      <x:c r="L161" s="32"/>
      <x:c r="M161" s="32"/>
      <x:c r="N161" s="31"/>
      <x:c r="O161" s="31"/>
      <x:c r="P161" s="31"/>
      <x:c r="Q161" s="31"/>
      <x:c r="R161" s="31"/>
      <x:c r="S161" s="32"/>
      <x:c r="T161" s="31"/>
    </x:row>
    <x:row r="162">
      <x:c r="A162" s="79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2"/>
      <x:c r="L162" s="32"/>
      <x:c r="M162" s="32"/>
      <x:c r="N162" s="31"/>
      <x:c r="O162" s="31"/>
      <x:c r="P162" s="31"/>
      <x:c r="Q162" s="31"/>
      <x:c r="R162" s="31"/>
      <x:c r="S162" s="32"/>
      <x:c r="T162" s="31"/>
    </x:row>
    <x:row r="163">
      <x:c r="A163" s="79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2"/>
      <x:c r="L163" s="32"/>
      <x:c r="M163" s="32"/>
      <x:c r="N163" s="31"/>
      <x:c r="O163" s="31"/>
      <x:c r="P163" s="31"/>
      <x:c r="Q163" s="31"/>
      <x:c r="R163" s="31"/>
      <x:c r="S163" s="32"/>
      <x:c r="T163" s="31"/>
    </x:row>
    <x:row r="164">
      <x:c r="A164" s="79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2"/>
      <x:c r="L164" s="32"/>
      <x:c r="M164" s="32"/>
      <x:c r="N164" s="31"/>
      <x:c r="O164" s="31"/>
      <x:c r="P164" s="31"/>
      <x:c r="Q164" s="31"/>
      <x:c r="R164" s="31"/>
      <x:c r="S164" s="32"/>
      <x:c r="T164" s="31"/>
    </x:row>
    <x:row r="165">
      <x:c r="A165" s="79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2"/>
      <x:c r="L165" s="32"/>
      <x:c r="M165" s="32"/>
      <x:c r="N165" s="31"/>
      <x:c r="O165" s="31"/>
      <x:c r="P165" s="31"/>
      <x:c r="Q165" s="31"/>
      <x:c r="R165" s="31"/>
      <x:c r="S165" s="32"/>
      <x:c r="T165" s="31"/>
    </x:row>
    <x:row r="166">
      <x:c r="A166" s="79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2"/>
      <x:c r="L166" s="32"/>
      <x:c r="M166" s="32"/>
      <x:c r="N166" s="31"/>
      <x:c r="O166" s="31"/>
      <x:c r="P166" s="31"/>
      <x:c r="Q166" s="31"/>
      <x:c r="R166" s="31"/>
      <x:c r="S166" s="32"/>
      <x:c r="T166" s="31"/>
    </x:row>
    <x:row r="167">
      <x:c r="A167" s="79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2"/>
      <x:c r="L167" s="32"/>
      <x:c r="M167" s="32"/>
      <x:c r="N167" s="31"/>
      <x:c r="O167" s="31"/>
      <x:c r="P167" s="31"/>
      <x:c r="Q167" s="31"/>
      <x:c r="R167" s="31"/>
      <x:c r="S167" s="32"/>
      <x:c r="T167" s="31"/>
    </x:row>
    <x:row r="168">
      <x:c r="A168" s="79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2"/>
      <x:c r="L168" s="32"/>
      <x:c r="M168" s="32"/>
      <x:c r="N168" s="31"/>
      <x:c r="O168" s="31"/>
      <x:c r="P168" s="31"/>
      <x:c r="Q168" s="31"/>
      <x:c r="R168" s="31"/>
      <x:c r="S168" s="32"/>
      <x:c r="T168" s="31"/>
    </x:row>
    <x:row r="169">
      <x:c r="A169" s="79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2"/>
      <x:c r="L169" s="32"/>
      <x:c r="M169" s="32"/>
      <x:c r="N169" s="31"/>
      <x:c r="O169" s="31"/>
      <x:c r="P169" s="31"/>
      <x:c r="Q169" s="31"/>
      <x:c r="R169" s="31"/>
      <x:c r="S169" s="32"/>
      <x:c r="T169" s="31"/>
    </x:row>
    <x:row r="170">
      <x:c r="A170" s="79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2"/>
      <x:c r="L170" s="32"/>
      <x:c r="M170" s="32"/>
      <x:c r="N170" s="31"/>
      <x:c r="O170" s="31"/>
      <x:c r="P170" s="31"/>
      <x:c r="Q170" s="31"/>
      <x:c r="R170" s="31"/>
      <x:c r="S170" s="32"/>
      <x:c r="T170" s="31"/>
    </x:row>
    <x:row r="171">
      <x:c r="A171" s="79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2"/>
      <x:c r="L171" s="32"/>
      <x:c r="M171" s="32"/>
      <x:c r="N171" s="31"/>
      <x:c r="O171" s="31"/>
      <x:c r="P171" s="31"/>
      <x:c r="Q171" s="31"/>
      <x:c r="R171" s="31"/>
      <x:c r="S171" s="32"/>
      <x:c r="T171" s="31"/>
    </x:row>
    <x:row r="172">
      <x:c r="A172" s="79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2"/>
      <x:c r="L172" s="32"/>
      <x:c r="M172" s="32"/>
      <x:c r="N172" s="31"/>
      <x:c r="O172" s="31"/>
      <x:c r="P172" s="31"/>
      <x:c r="Q172" s="31"/>
      <x:c r="R172" s="31"/>
      <x:c r="S172" s="32"/>
      <x:c r="T172" s="31"/>
    </x:row>
    <x:row r="173">
      <x:c r="A173" s="79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2"/>
      <x:c r="L173" s="32"/>
      <x:c r="M173" s="32"/>
      <x:c r="N173" s="31"/>
      <x:c r="O173" s="31"/>
      <x:c r="P173" s="31"/>
      <x:c r="Q173" s="31"/>
      <x:c r="R173" s="31"/>
      <x:c r="S173" s="32"/>
      <x:c r="T173" s="31"/>
    </x:row>
    <x:row r="174">
      <x:c r="A174" s="79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2"/>
      <x:c r="L174" s="32"/>
      <x:c r="M174" s="32"/>
      <x:c r="N174" s="31"/>
      <x:c r="O174" s="31"/>
      <x:c r="P174" s="31"/>
      <x:c r="Q174" s="31"/>
      <x:c r="R174" s="31"/>
      <x:c r="S174" s="32"/>
      <x:c r="T174" s="31"/>
    </x:row>
    <x:row r="175">
      <x:c r="A175" s="79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2"/>
      <x:c r="L175" s="32"/>
      <x:c r="M175" s="32"/>
      <x:c r="N175" s="31"/>
      <x:c r="O175" s="31"/>
      <x:c r="P175" s="31"/>
      <x:c r="Q175" s="31"/>
      <x:c r="R175" s="31"/>
      <x:c r="S175" s="32"/>
      <x:c r="T175" s="31"/>
    </x:row>
    <x:row r="176">
      <x:c r="A176" s="79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2"/>
      <x:c r="L176" s="32"/>
      <x:c r="M176" s="32"/>
      <x:c r="N176" s="31"/>
      <x:c r="O176" s="31"/>
      <x:c r="P176" s="31"/>
      <x:c r="Q176" s="31"/>
      <x:c r="R176" s="31"/>
      <x:c r="S176" s="32"/>
      <x:c r="T176" s="31"/>
    </x:row>
    <x:row r="177">
      <x:c r="A177" s="79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2"/>
      <x:c r="L177" s="32"/>
      <x:c r="M177" s="32"/>
      <x:c r="N177" s="31"/>
      <x:c r="O177" s="31"/>
      <x:c r="P177" s="31"/>
      <x:c r="Q177" s="31"/>
      <x:c r="R177" s="31"/>
      <x:c r="S177" s="32"/>
      <x:c r="T177" s="31"/>
    </x:row>
    <x:row r="178">
      <x:c r="A178" s="79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2"/>
      <x:c r="L178" s="32"/>
      <x:c r="M178" s="32"/>
      <x:c r="N178" s="31"/>
      <x:c r="O178" s="31"/>
      <x:c r="P178" s="31"/>
      <x:c r="Q178" s="31"/>
      <x:c r="R178" s="31"/>
      <x:c r="S178" s="32"/>
      <x:c r="T178" s="31"/>
    </x:row>
    <x:row r="179">
      <x:c r="A179" s="79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2"/>
      <x:c r="L179" s="32"/>
      <x:c r="M179" s="32"/>
      <x:c r="N179" s="31"/>
      <x:c r="O179" s="31"/>
      <x:c r="P179" s="31"/>
      <x:c r="Q179" s="31"/>
      <x:c r="R179" s="31"/>
      <x:c r="S179" s="32"/>
      <x:c r="T179" s="31"/>
    </x:row>
    <x:row r="180">
      <x:c r="A180" s="79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2"/>
      <x:c r="L180" s="32"/>
      <x:c r="M180" s="32"/>
      <x:c r="N180" s="31"/>
      <x:c r="O180" s="31"/>
      <x:c r="P180" s="31"/>
      <x:c r="Q180" s="31"/>
      <x:c r="R180" s="31"/>
      <x:c r="S180" s="32"/>
      <x:c r="T180" s="31"/>
    </x:row>
    <x:row r="181">
      <x:c r="A181" s="79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2"/>
      <x:c r="L181" s="32"/>
      <x:c r="M181" s="32"/>
      <x:c r="N181" s="31"/>
      <x:c r="O181" s="31"/>
      <x:c r="P181" s="31"/>
      <x:c r="Q181" s="31"/>
      <x:c r="R181" s="31"/>
      <x:c r="S181" s="32"/>
      <x:c r="T181" s="31"/>
    </x:row>
    <x:row r="182">
      <x:c r="A182" s="79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2"/>
      <x:c r="L182" s="32"/>
      <x:c r="M182" s="32"/>
      <x:c r="N182" s="31"/>
      <x:c r="O182" s="31"/>
      <x:c r="P182" s="31"/>
      <x:c r="Q182" s="31"/>
      <x:c r="R182" s="31"/>
      <x:c r="S182" s="32"/>
      <x:c r="T182" s="31"/>
    </x:row>
    <x:row r="183">
      <x:c r="A183" s="79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2"/>
      <x:c r="L183" s="32"/>
      <x:c r="M183" s="32"/>
      <x:c r="N183" s="31"/>
      <x:c r="O183" s="31"/>
      <x:c r="P183" s="31"/>
      <x:c r="Q183" s="31"/>
      <x:c r="R183" s="31"/>
      <x:c r="S183" s="32"/>
      <x:c r="T183" s="31"/>
    </x:row>
    <x:row r="184">
      <x:c r="A184" s="79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2"/>
      <x:c r="L184" s="32"/>
      <x:c r="M184" s="32"/>
      <x:c r="N184" s="31"/>
      <x:c r="O184" s="31"/>
      <x:c r="P184" s="31"/>
      <x:c r="Q184" s="31"/>
      <x:c r="R184" s="31"/>
      <x:c r="S184" s="32"/>
      <x:c r="T184" s="31"/>
    </x:row>
    <x:row r="185">
      <x:c r="A185" s="79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2"/>
      <x:c r="L185" s="32"/>
      <x:c r="M185" s="32"/>
      <x:c r="N185" s="31"/>
      <x:c r="O185" s="31"/>
      <x:c r="P185" s="31"/>
      <x:c r="Q185" s="31"/>
      <x:c r="R185" s="31"/>
      <x:c r="S185" s="32"/>
      <x:c r="T185" s="31"/>
    </x:row>
    <x:row r="186">
      <x:c r="A186" s="79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2"/>
      <x:c r="L186" s="32"/>
      <x:c r="M186" s="32"/>
      <x:c r="N186" s="31"/>
      <x:c r="O186" s="31"/>
      <x:c r="P186" s="31"/>
      <x:c r="Q186" s="31"/>
      <x:c r="R186" s="31"/>
      <x:c r="S186" s="32"/>
      <x:c r="T186" s="31"/>
    </x:row>
    <x:row r="187">
      <x:c r="A187" s="79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2"/>
      <x:c r="L187" s="32"/>
      <x:c r="M187" s="32"/>
      <x:c r="N187" s="31"/>
      <x:c r="O187" s="31"/>
      <x:c r="P187" s="31"/>
      <x:c r="Q187" s="31"/>
      <x:c r="R187" s="31"/>
      <x:c r="S187" s="32"/>
      <x:c r="T187" s="31"/>
    </x:row>
    <x:row r="188">
      <x:c r="A188" s="79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2"/>
      <x:c r="L188" s="32"/>
      <x:c r="M188" s="32"/>
      <x:c r="N188" s="31"/>
      <x:c r="O188" s="31"/>
      <x:c r="P188" s="31"/>
      <x:c r="Q188" s="31"/>
      <x:c r="R188" s="31"/>
      <x:c r="S188" s="32"/>
      <x:c r="T188" s="31"/>
    </x:row>
    <x:row r="189">
      <x:c r="A189" s="79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2"/>
      <x:c r="L189" s="32"/>
      <x:c r="M189" s="32"/>
      <x:c r="N189" s="31"/>
      <x:c r="O189" s="31"/>
      <x:c r="P189" s="31"/>
      <x:c r="Q189" s="31"/>
      <x:c r="R189" s="31"/>
      <x:c r="S189" s="32"/>
      <x:c r="T189" s="31"/>
    </x:row>
    <x:row r="190">
      <x:c r="A190" s="79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2"/>
      <x:c r="L190" s="32"/>
      <x:c r="M190" s="32"/>
      <x:c r="N190" s="31"/>
      <x:c r="O190" s="31"/>
      <x:c r="P190" s="31"/>
      <x:c r="Q190" s="31"/>
      <x:c r="R190" s="31"/>
      <x:c r="S190" s="32"/>
      <x:c r="T190" s="31"/>
    </x:row>
    <x:row r="191">
      <x:c r="A191" s="79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2"/>
      <x:c r="L191" s="32"/>
      <x:c r="M191" s="32"/>
      <x:c r="N191" s="31"/>
      <x:c r="O191" s="31"/>
      <x:c r="P191" s="31"/>
      <x:c r="Q191" s="31"/>
      <x:c r="R191" s="31"/>
      <x:c r="S191" s="32"/>
      <x:c r="T191" s="31"/>
    </x:row>
    <x:row r="192">
      <x:c r="A192" s="79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2"/>
      <x:c r="L192" s="32"/>
      <x:c r="M192" s="32"/>
      <x:c r="N192" s="31"/>
      <x:c r="O192" s="31"/>
      <x:c r="P192" s="31"/>
      <x:c r="Q192" s="31"/>
      <x:c r="R192" s="31"/>
      <x:c r="S192" s="32"/>
      <x:c r="T192" s="31"/>
    </x:row>
    <x:row r="193">
      <x:c r="A193" s="79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2"/>
      <x:c r="L193" s="32"/>
      <x:c r="M193" s="32"/>
      <x:c r="N193" s="31"/>
      <x:c r="O193" s="31"/>
      <x:c r="P193" s="31"/>
      <x:c r="Q193" s="31"/>
      <x:c r="R193" s="31"/>
      <x:c r="S193" s="32"/>
      <x:c r="T193" s="31"/>
    </x:row>
    <x:row r="194">
      <x:c r="A194" s="79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2"/>
      <x:c r="L194" s="32"/>
      <x:c r="M194" s="32"/>
      <x:c r="N194" s="31"/>
      <x:c r="O194" s="31"/>
      <x:c r="P194" s="31"/>
      <x:c r="Q194" s="31"/>
      <x:c r="R194" s="31"/>
      <x:c r="S194" s="32"/>
      <x:c r="T194" s="31"/>
    </x:row>
    <x:row r="195">
      <x:c r="A195" s="79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2"/>
      <x:c r="L195" s="32"/>
      <x:c r="M195" s="32"/>
      <x:c r="N195" s="31"/>
      <x:c r="O195" s="31"/>
      <x:c r="P195" s="31"/>
      <x:c r="Q195" s="31"/>
      <x:c r="R195" s="31"/>
      <x:c r="S195" s="32"/>
      <x:c r="T195" s="31"/>
    </x:row>
    <x:row r="196">
      <x:c r="A196" s="79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2"/>
      <x:c r="L196" s="32"/>
      <x:c r="M196" s="32"/>
      <x:c r="N196" s="31"/>
      <x:c r="O196" s="31"/>
      <x:c r="P196" s="31"/>
      <x:c r="Q196" s="31"/>
      <x:c r="R196" s="31"/>
      <x:c r="S196" s="32"/>
      <x:c r="T196" s="31"/>
    </x:row>
    <x:row r="197">
      <x:c r="A197" s="79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2"/>
      <x:c r="L197" s="32"/>
      <x:c r="M197" s="32"/>
      <x:c r="N197" s="31"/>
      <x:c r="O197" s="31"/>
      <x:c r="P197" s="31"/>
      <x:c r="Q197" s="31"/>
      <x:c r="R197" s="31"/>
      <x:c r="S197" s="32"/>
      <x:c r="T197" s="31"/>
    </x:row>
    <x:row r="198">
      <x:c r="A198" s="79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2"/>
      <x:c r="L198" s="32"/>
      <x:c r="M198" s="32"/>
      <x:c r="N198" s="31"/>
      <x:c r="O198" s="31"/>
      <x:c r="P198" s="31"/>
      <x:c r="Q198" s="31"/>
      <x:c r="R198" s="31"/>
      <x:c r="S198" s="32"/>
      <x:c r="T198" s="31"/>
    </x:row>
    <x:row r="199">
      <x:c r="A199" s="79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2"/>
      <x:c r="L199" s="32"/>
      <x:c r="M199" s="32"/>
      <x:c r="N199" s="31"/>
      <x:c r="O199" s="31"/>
      <x:c r="P199" s="31"/>
      <x:c r="Q199" s="31"/>
      <x:c r="R199" s="31"/>
      <x:c r="S199" s="32"/>
      <x:c r="T199" s="31"/>
    </x:row>
    <x:row r="200">
      <x:c r="A200" s="79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2"/>
      <x:c r="L200" s="32"/>
      <x:c r="M200" s="32"/>
      <x:c r="N200" s="31"/>
      <x:c r="O200" s="31"/>
      <x:c r="P200" s="31"/>
      <x:c r="Q200" s="31"/>
      <x:c r="R200" s="31"/>
      <x:c r="S200" s="32"/>
      <x:c r="T200" s="31"/>
    </x:row>
    <x:row r="201">
      <x:c r="A201" s="79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2"/>
      <x:c r="L201" s="32"/>
      <x:c r="M201" s="32"/>
      <x:c r="N201" s="31"/>
      <x:c r="O201" s="31"/>
      <x:c r="P201" s="31"/>
      <x:c r="Q201" s="31"/>
      <x:c r="R201" s="31"/>
      <x:c r="S201" s="32"/>
      <x:c r="T201" s="31"/>
    </x:row>
    <x:row r="202">
      <x:c r="A202" s="79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2"/>
      <x:c r="L202" s="32"/>
      <x:c r="M202" s="32"/>
      <x:c r="N202" s="31"/>
      <x:c r="O202" s="31"/>
      <x:c r="P202" s="31"/>
      <x:c r="Q202" s="31"/>
      <x:c r="R202" s="31"/>
      <x:c r="S202" s="32"/>
      <x:c r="T202" s="31"/>
    </x:row>
    <x:row r="203">
      <x:c r="A203" s="79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2"/>
      <x:c r="L203" s="32"/>
      <x:c r="M203" s="32"/>
      <x:c r="N203" s="31"/>
      <x:c r="O203" s="31"/>
      <x:c r="P203" s="31"/>
      <x:c r="Q203" s="31"/>
      <x:c r="R203" s="31"/>
      <x:c r="S203" s="32"/>
      <x:c r="T203" s="31"/>
    </x:row>
    <x:row r="204">
      <x:c r="A204" s="79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2"/>
      <x:c r="L204" s="32"/>
      <x:c r="M204" s="32"/>
      <x:c r="N204" s="31"/>
      <x:c r="O204" s="31"/>
      <x:c r="P204" s="31"/>
      <x:c r="Q204" s="31"/>
      <x:c r="R204" s="31"/>
      <x:c r="S204" s="32"/>
      <x:c r="T204" s="31"/>
    </x:row>
    <x:row r="205">
      <x:c r="A205" s="79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2"/>
      <x:c r="L205" s="32"/>
      <x:c r="M205" s="32"/>
      <x:c r="N205" s="31"/>
      <x:c r="O205" s="31"/>
      <x:c r="P205" s="31"/>
      <x:c r="Q205" s="31"/>
      <x:c r="R205" s="31"/>
      <x:c r="S205" s="32"/>
      <x:c r="T205" s="31"/>
    </x:row>
    <x:row r="206">
      <x:c r="A206" s="79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2"/>
      <x:c r="L206" s="32"/>
      <x:c r="M206" s="32"/>
      <x:c r="N206" s="31"/>
      <x:c r="O206" s="31"/>
      <x:c r="P206" s="31"/>
      <x:c r="Q206" s="31"/>
      <x:c r="R206" s="31"/>
      <x:c r="S206" s="32"/>
      <x:c r="T206" s="31"/>
    </x:row>
    <x:row r="207">
      <x:c r="A207" s="79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2"/>
      <x:c r="L207" s="32"/>
      <x:c r="M207" s="32"/>
      <x:c r="N207" s="31"/>
      <x:c r="O207" s="31"/>
      <x:c r="P207" s="31"/>
      <x:c r="Q207" s="31"/>
      <x:c r="R207" s="31"/>
      <x:c r="S207" s="32"/>
      <x:c r="T207" s="31"/>
    </x:row>
    <x:row r="208">
      <x:c r="A208" s="79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2"/>
      <x:c r="L208" s="32"/>
      <x:c r="M208" s="32"/>
      <x:c r="N208" s="31"/>
      <x:c r="O208" s="31"/>
      <x:c r="P208" s="31"/>
      <x:c r="Q208" s="31"/>
      <x:c r="R208" s="31"/>
      <x:c r="S208" s="32"/>
      <x:c r="T208" s="31"/>
    </x:row>
    <x:row r="209">
      <x:c r="A209" s="79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2"/>
      <x:c r="L209" s="32"/>
      <x:c r="M209" s="32"/>
      <x:c r="N209" s="31"/>
      <x:c r="O209" s="31"/>
      <x:c r="P209" s="31"/>
      <x:c r="Q209" s="31"/>
      <x:c r="R209" s="31"/>
      <x:c r="S209" s="32"/>
      <x:c r="T209" s="31"/>
    </x:row>
    <x:row r="210">
      <x:c r="A210" s="79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2"/>
      <x:c r="L210" s="32"/>
      <x:c r="M210" s="32"/>
      <x:c r="N210" s="31"/>
      <x:c r="O210" s="31"/>
      <x:c r="P210" s="31"/>
      <x:c r="Q210" s="31"/>
      <x:c r="R210" s="31"/>
      <x:c r="S210" s="32"/>
      <x:c r="T210" s="31"/>
    </x:row>
    <x:row r="211">
      <x:c r="A211" s="79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2"/>
      <x:c r="L211" s="32"/>
      <x:c r="M211" s="32"/>
      <x:c r="N211" s="31"/>
      <x:c r="O211" s="31"/>
      <x:c r="P211" s="31"/>
      <x:c r="Q211" s="31"/>
      <x:c r="R211" s="31"/>
      <x:c r="S211" s="32"/>
      <x:c r="T211" s="31"/>
    </x:row>
    <x:row r="212">
      <x:c r="A212" s="79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2"/>
      <x:c r="L212" s="32"/>
      <x:c r="M212" s="32"/>
      <x:c r="N212" s="31"/>
      <x:c r="O212" s="31"/>
      <x:c r="P212" s="31"/>
      <x:c r="Q212" s="31"/>
      <x:c r="R212" s="31"/>
      <x:c r="S212" s="32"/>
      <x:c r="T212" s="31"/>
    </x:row>
    <x:row r="213">
      <x:c r="A213" s="79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2"/>
      <x:c r="L213" s="32"/>
      <x:c r="M213" s="32"/>
      <x:c r="N213" s="31"/>
      <x:c r="O213" s="31"/>
      <x:c r="P213" s="31"/>
      <x:c r="Q213" s="31"/>
      <x:c r="R213" s="31"/>
      <x:c r="S213" s="32"/>
      <x:c r="T213" s="31"/>
    </x:row>
    <x:row r="214">
      <x:c r="A214" s="79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2"/>
      <x:c r="L214" s="32"/>
      <x:c r="M214" s="32"/>
      <x:c r="N214" s="31"/>
      <x:c r="O214" s="31"/>
      <x:c r="P214" s="31"/>
      <x:c r="Q214" s="31"/>
      <x:c r="R214" s="31"/>
      <x:c r="S214" s="32"/>
      <x:c r="T214" s="31"/>
    </x:row>
    <x:row r="215">
      <x:c r="A215" s="79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2"/>
      <x:c r="L215" s="32"/>
      <x:c r="M215" s="32"/>
      <x:c r="N215" s="31"/>
      <x:c r="O215" s="31"/>
      <x:c r="P215" s="31"/>
      <x:c r="Q215" s="31"/>
      <x:c r="R215" s="31"/>
      <x:c r="S215" s="32"/>
      <x:c r="T215" s="31"/>
    </x:row>
    <x:row r="216">
      <x:c r="A216" s="79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2"/>
      <x:c r="L216" s="32"/>
      <x:c r="M216" s="32"/>
      <x:c r="N216" s="31"/>
      <x:c r="O216" s="31"/>
      <x:c r="P216" s="31"/>
      <x:c r="Q216" s="31"/>
      <x:c r="R216" s="31"/>
      <x:c r="S216" s="32"/>
      <x:c r="T216" s="31"/>
    </x:row>
    <x:row r="217">
      <x:c r="A217" s="79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2"/>
      <x:c r="L217" s="32"/>
      <x:c r="M217" s="32"/>
      <x:c r="N217" s="31"/>
      <x:c r="O217" s="31"/>
      <x:c r="P217" s="31"/>
      <x:c r="Q217" s="31"/>
      <x:c r="R217" s="31"/>
      <x:c r="S217" s="32"/>
      <x:c r="T217" s="31"/>
    </x:row>
    <x:row r="218">
      <x:c r="A218" s="79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2"/>
      <x:c r="L218" s="32"/>
      <x:c r="M218" s="32"/>
      <x:c r="N218" s="31"/>
      <x:c r="O218" s="31"/>
      <x:c r="P218" s="31"/>
      <x:c r="Q218" s="31"/>
      <x:c r="R218" s="31"/>
      <x:c r="S218" s="32"/>
      <x:c r="T218" s="31"/>
    </x:row>
    <x:row r="219">
      <x:c r="A219" s="79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2"/>
      <x:c r="L219" s="32"/>
      <x:c r="M219" s="32"/>
      <x:c r="N219" s="31"/>
      <x:c r="O219" s="31"/>
      <x:c r="P219" s="31"/>
      <x:c r="Q219" s="31"/>
      <x:c r="R219" s="31"/>
      <x:c r="S219" s="32"/>
      <x:c r="T219" s="31"/>
    </x:row>
    <x:row r="220">
      <x:c r="A220" s="79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2"/>
      <x:c r="L220" s="32"/>
      <x:c r="M220" s="32"/>
      <x:c r="N220" s="31"/>
      <x:c r="O220" s="31"/>
      <x:c r="P220" s="31"/>
      <x:c r="Q220" s="31"/>
      <x:c r="R220" s="31"/>
      <x:c r="S220" s="32"/>
      <x:c r="T220" s="31"/>
    </x:row>
    <x:row r="221">
      <x:c r="A221" s="79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2"/>
      <x:c r="L221" s="32"/>
      <x:c r="M221" s="32"/>
      <x:c r="N221" s="31"/>
      <x:c r="O221" s="31"/>
      <x:c r="P221" s="31"/>
      <x:c r="Q221" s="31"/>
      <x:c r="R221" s="31"/>
      <x:c r="S221" s="32"/>
      <x:c r="T221" s="31"/>
    </x:row>
    <x:row r="222">
      <x:c r="A222" s="79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2"/>
      <x:c r="L222" s="32"/>
      <x:c r="M222" s="32"/>
      <x:c r="N222" s="31"/>
      <x:c r="O222" s="31"/>
      <x:c r="P222" s="31"/>
      <x:c r="Q222" s="31"/>
      <x:c r="R222" s="31"/>
      <x:c r="S222" s="32"/>
      <x:c r="T222" s="31"/>
    </x:row>
    <x:row r="223">
      <x:c r="A223" s="79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2"/>
      <x:c r="L223" s="32"/>
      <x:c r="M223" s="32"/>
      <x:c r="N223" s="31"/>
      <x:c r="O223" s="31"/>
      <x:c r="P223" s="31"/>
      <x:c r="Q223" s="31"/>
      <x:c r="R223" s="31"/>
      <x:c r="S223" s="32"/>
      <x:c r="T223" s="31"/>
    </x:row>
    <x:row r="224">
      <x:c r="A224" s="79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2"/>
      <x:c r="L224" s="32"/>
      <x:c r="M224" s="32"/>
      <x:c r="N224" s="31"/>
      <x:c r="O224" s="31"/>
      <x:c r="P224" s="31"/>
      <x:c r="Q224" s="31"/>
      <x:c r="R224" s="31"/>
      <x:c r="S224" s="32"/>
      <x:c r="T224" s="31"/>
    </x:row>
    <x:row r="225">
      <x:c r="A225" s="79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2"/>
      <x:c r="L225" s="32"/>
      <x:c r="M225" s="32"/>
      <x:c r="N225" s="31"/>
      <x:c r="O225" s="31"/>
      <x:c r="P225" s="31"/>
      <x:c r="Q225" s="31"/>
      <x:c r="R225" s="31"/>
      <x:c r="S225" s="32"/>
      <x:c r="T225" s="31"/>
    </x:row>
    <x:row r="226">
      <x:c r="A226" s="79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2"/>
      <x:c r="L226" s="32"/>
      <x:c r="M226" s="32"/>
      <x:c r="N226" s="31"/>
      <x:c r="O226" s="31"/>
      <x:c r="P226" s="31"/>
      <x:c r="Q226" s="31"/>
      <x:c r="R226" s="31"/>
      <x:c r="S226" s="32"/>
      <x:c r="T226" s="31"/>
    </x:row>
    <x:row r="227">
      <x:c r="A227" s="79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2"/>
      <x:c r="L227" s="32"/>
      <x:c r="M227" s="32"/>
      <x:c r="N227" s="31"/>
      <x:c r="O227" s="31"/>
      <x:c r="P227" s="31"/>
      <x:c r="Q227" s="31"/>
      <x:c r="R227" s="31"/>
      <x:c r="S227" s="32"/>
      <x:c r="T227" s="31"/>
    </x:row>
    <x:row r="228">
      <x:c r="A228" s="79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2"/>
      <x:c r="L228" s="32"/>
      <x:c r="M228" s="32"/>
      <x:c r="N228" s="31"/>
      <x:c r="O228" s="31"/>
      <x:c r="P228" s="31"/>
      <x:c r="Q228" s="31"/>
      <x:c r="R228" s="31"/>
      <x:c r="S228" s="32"/>
      <x:c r="T228" s="31"/>
    </x:row>
    <x:row r="229">
      <x:c r="A229" s="79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2"/>
      <x:c r="L229" s="32"/>
      <x:c r="M229" s="32"/>
      <x:c r="N229" s="31"/>
      <x:c r="O229" s="31"/>
      <x:c r="P229" s="31"/>
      <x:c r="Q229" s="31"/>
      <x:c r="R229" s="31"/>
      <x:c r="S229" s="32"/>
      <x:c r="T229" s="31"/>
    </x:row>
    <x:row r="230">
      <x:c r="A230" s="79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2"/>
      <x:c r="L230" s="32"/>
      <x:c r="M230" s="32"/>
      <x:c r="N230" s="31"/>
      <x:c r="O230" s="31"/>
      <x:c r="P230" s="31"/>
      <x:c r="Q230" s="31"/>
      <x:c r="R230" s="31"/>
      <x:c r="S230" s="32"/>
      <x:c r="T230" s="31"/>
    </x:row>
    <x:row r="231">
      <x:c r="A231" s="79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2"/>
      <x:c r="L231" s="32"/>
      <x:c r="M231" s="32"/>
      <x:c r="N231" s="31"/>
      <x:c r="O231" s="31"/>
      <x:c r="P231" s="31"/>
      <x:c r="Q231" s="31"/>
      <x:c r="R231" s="31"/>
      <x:c r="S231" s="32"/>
      <x:c r="T231" s="31"/>
    </x:row>
    <x:row r="232">
      <x:c r="A232" s="79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2"/>
      <x:c r="L232" s="32"/>
      <x:c r="M232" s="32"/>
      <x:c r="N232" s="31"/>
      <x:c r="O232" s="31"/>
      <x:c r="P232" s="31"/>
      <x:c r="Q232" s="31"/>
      <x:c r="R232" s="31"/>
      <x:c r="S232" s="32"/>
      <x:c r="T232" s="31"/>
    </x:row>
    <x:row r="233">
      <x:c r="A233" s="79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2"/>
      <x:c r="L233" s="32"/>
      <x:c r="M233" s="32"/>
      <x:c r="N233" s="31"/>
      <x:c r="O233" s="31"/>
      <x:c r="P233" s="31"/>
      <x:c r="Q233" s="31"/>
      <x:c r="R233" s="31"/>
      <x:c r="S233" s="32"/>
      <x:c r="T233" s="31"/>
    </x:row>
    <x:row r="234">
      <x:c r="A234" s="79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2"/>
      <x:c r="L234" s="32"/>
      <x:c r="M234" s="32"/>
      <x:c r="N234" s="31"/>
      <x:c r="O234" s="31"/>
      <x:c r="P234" s="31"/>
      <x:c r="Q234" s="31"/>
      <x:c r="R234" s="31"/>
      <x:c r="S234" s="32"/>
      <x:c r="T234" s="31"/>
    </x:row>
    <x:row r="235">
      <x:c r="A235" s="79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2"/>
      <x:c r="L235" s="32"/>
      <x:c r="M235" s="32"/>
      <x:c r="N235" s="31"/>
      <x:c r="O235" s="31"/>
      <x:c r="P235" s="31"/>
      <x:c r="Q235" s="31"/>
      <x:c r="R235" s="31"/>
      <x:c r="S235" s="32"/>
      <x:c r="T235" s="31"/>
    </x:row>
    <x:row r="236">
      <x:c r="A236" s="79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2"/>
      <x:c r="L236" s="32"/>
      <x:c r="M236" s="32"/>
      <x:c r="N236" s="31"/>
      <x:c r="O236" s="31"/>
      <x:c r="P236" s="31"/>
      <x:c r="Q236" s="31"/>
      <x:c r="R236" s="31"/>
      <x:c r="S236" s="32"/>
      <x:c r="T236" s="31"/>
    </x:row>
    <x:row r="237">
      <x:c r="A237" s="79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2"/>
      <x:c r="L237" s="32"/>
      <x:c r="M237" s="32"/>
      <x:c r="N237" s="31"/>
      <x:c r="O237" s="31"/>
      <x:c r="P237" s="31"/>
      <x:c r="Q237" s="31"/>
      <x:c r="R237" s="31"/>
      <x:c r="S237" s="32"/>
      <x:c r="T237" s="31"/>
    </x:row>
    <x:row r="238">
      <x:c r="A238" s="79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2"/>
      <x:c r="L238" s="32"/>
      <x:c r="M238" s="32"/>
      <x:c r="N238" s="31"/>
      <x:c r="O238" s="31"/>
      <x:c r="P238" s="31"/>
      <x:c r="Q238" s="31"/>
      <x:c r="R238" s="31"/>
      <x:c r="S238" s="32"/>
      <x:c r="T238" s="31"/>
    </x:row>
    <x:row r="239">
      <x:c r="A239" s="79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2"/>
      <x:c r="L239" s="32"/>
      <x:c r="M239" s="32"/>
      <x:c r="N239" s="31"/>
      <x:c r="O239" s="31"/>
      <x:c r="P239" s="31"/>
      <x:c r="Q239" s="31"/>
      <x:c r="R239" s="31"/>
      <x:c r="S239" s="32"/>
      <x:c r="T239" s="31"/>
    </x:row>
    <x:row r="240">
      <x:c r="A240" s="79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2"/>
      <x:c r="L240" s="32"/>
      <x:c r="M240" s="32"/>
      <x:c r="N240" s="31"/>
      <x:c r="O240" s="31"/>
      <x:c r="P240" s="31"/>
      <x:c r="Q240" s="31"/>
      <x:c r="R240" s="31"/>
      <x:c r="S240" s="32"/>
      <x:c r="T240" s="31"/>
    </x:row>
    <x:row r="241">
      <x:c r="A241" s="79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2"/>
      <x:c r="L241" s="32"/>
      <x:c r="M241" s="32"/>
      <x:c r="N241" s="31"/>
      <x:c r="O241" s="31"/>
      <x:c r="P241" s="31"/>
      <x:c r="Q241" s="31"/>
      <x:c r="R241" s="31"/>
      <x:c r="S241" s="32"/>
      <x:c r="T241" s="31"/>
    </x:row>
    <x:row r="242">
      <x:c r="A242" s="79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2"/>
      <x:c r="L242" s="32"/>
      <x:c r="M242" s="32"/>
      <x:c r="N242" s="31"/>
      <x:c r="O242" s="31"/>
      <x:c r="P242" s="31"/>
      <x:c r="Q242" s="31"/>
      <x:c r="R242" s="31"/>
      <x:c r="S242" s="32"/>
      <x:c r="T242" s="31"/>
    </x:row>
    <x:row r="243">
      <x:c r="A243" s="79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2"/>
      <x:c r="L243" s="32"/>
      <x:c r="M243" s="32"/>
      <x:c r="N243" s="31"/>
      <x:c r="O243" s="31"/>
      <x:c r="P243" s="31"/>
      <x:c r="Q243" s="31"/>
      <x:c r="R243" s="31"/>
      <x:c r="S243" s="32"/>
      <x:c r="T243" s="31"/>
    </x:row>
    <x:row r="244">
      <x:c r="A244" s="79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2"/>
      <x:c r="L244" s="32"/>
      <x:c r="M244" s="32"/>
      <x:c r="N244" s="31"/>
      <x:c r="O244" s="31"/>
      <x:c r="P244" s="31"/>
      <x:c r="Q244" s="31"/>
      <x:c r="R244" s="31"/>
      <x:c r="S244" s="32"/>
      <x:c r="T244" s="31"/>
    </x:row>
    <x:row r="245">
      <x:c r="A245" s="79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2"/>
      <x:c r="L245" s="32"/>
      <x:c r="M245" s="32"/>
      <x:c r="N245" s="31"/>
      <x:c r="O245" s="31"/>
      <x:c r="P245" s="31"/>
      <x:c r="Q245" s="31"/>
      <x:c r="R245" s="31"/>
      <x:c r="S245" s="32"/>
      <x:c r="T245" s="31"/>
    </x:row>
    <x:row r="246">
      <x:c r="A246" s="79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2"/>
      <x:c r="L246" s="32"/>
      <x:c r="M246" s="32"/>
      <x:c r="N246" s="31"/>
      <x:c r="O246" s="31"/>
      <x:c r="P246" s="31"/>
      <x:c r="Q246" s="31"/>
      <x:c r="R246" s="31"/>
      <x:c r="S246" s="32"/>
      <x:c r="T246" s="31"/>
    </x:row>
    <x:row r="247">
      <x:c r="A247" s="79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2"/>
      <x:c r="L247" s="32"/>
      <x:c r="M247" s="32"/>
      <x:c r="N247" s="31"/>
      <x:c r="O247" s="31"/>
      <x:c r="P247" s="31"/>
      <x:c r="Q247" s="31"/>
      <x:c r="R247" s="31"/>
      <x:c r="S247" s="32"/>
      <x:c r="T247" s="31"/>
    </x:row>
    <x:row r="248">
      <x:c r="A248" s="79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2"/>
      <x:c r="L248" s="32"/>
      <x:c r="M248" s="32"/>
      <x:c r="N248" s="31"/>
      <x:c r="O248" s="31"/>
      <x:c r="P248" s="31"/>
      <x:c r="Q248" s="31"/>
      <x:c r="R248" s="31"/>
      <x:c r="S248" s="32"/>
      <x:c r="T248" s="31"/>
    </x:row>
    <x:row r="249">
      <x:c r="A249" s="79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2"/>
      <x:c r="L249" s="32"/>
      <x:c r="M249" s="32"/>
      <x:c r="N249" s="31"/>
      <x:c r="O249" s="31"/>
      <x:c r="P249" s="31"/>
      <x:c r="Q249" s="31"/>
      <x:c r="R249" s="31"/>
      <x:c r="S249" s="32"/>
      <x:c r="T249" s="31"/>
    </x:row>
    <x:row r="250">
      <x:c r="A250" s="79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2"/>
      <x:c r="L250" s="32"/>
      <x:c r="M250" s="32"/>
      <x:c r="N250" s="31"/>
      <x:c r="O250" s="31"/>
      <x:c r="P250" s="31"/>
      <x:c r="Q250" s="31"/>
      <x:c r="R250" s="31"/>
      <x:c r="S250" s="32"/>
      <x:c r="T250" s="31"/>
    </x:row>
    <x:row r="251">
      <x:c r="A251" s="79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2"/>
      <x:c r="L251" s="32"/>
      <x:c r="M251" s="32"/>
      <x:c r="N251" s="31"/>
      <x:c r="O251" s="31"/>
      <x:c r="P251" s="31"/>
      <x:c r="Q251" s="31"/>
      <x:c r="R251" s="31"/>
      <x:c r="S251" s="32"/>
      <x:c r="T251" s="31"/>
    </x:row>
    <x:row r="252">
      <x:c r="A252" s="79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2"/>
      <x:c r="L252" s="32"/>
      <x:c r="M252" s="32"/>
      <x:c r="N252" s="31"/>
      <x:c r="O252" s="31"/>
      <x:c r="P252" s="31"/>
      <x:c r="Q252" s="31"/>
      <x:c r="R252" s="31"/>
      <x:c r="S252" s="32"/>
      <x:c r="T252" s="31"/>
    </x:row>
    <x:row r="253">
      <x:c r="A253" s="79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2"/>
      <x:c r="L253" s="32"/>
      <x:c r="M253" s="32"/>
      <x:c r="N253" s="31"/>
      <x:c r="O253" s="31"/>
      <x:c r="P253" s="31"/>
      <x:c r="Q253" s="31"/>
      <x:c r="R253" s="31"/>
      <x:c r="S253" s="32"/>
      <x:c r="T253" s="31"/>
    </x:row>
    <x:row r="254">
      <x:c r="A254" s="79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2"/>
      <x:c r="L254" s="32"/>
      <x:c r="M254" s="32"/>
      <x:c r="N254" s="31"/>
      <x:c r="O254" s="31"/>
      <x:c r="P254" s="31"/>
      <x:c r="Q254" s="31"/>
      <x:c r="R254" s="31"/>
      <x:c r="S254" s="32"/>
      <x:c r="T254" s="31"/>
    </x:row>
    <x:row r="255">
      <x:c r="A255" s="79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2"/>
      <x:c r="L255" s="32"/>
      <x:c r="M255" s="32"/>
      <x:c r="N255" s="31"/>
      <x:c r="O255" s="31"/>
      <x:c r="P255" s="31"/>
      <x:c r="Q255" s="31"/>
      <x:c r="R255" s="31"/>
      <x:c r="S255" s="32"/>
      <x:c r="T255" s="31"/>
    </x:row>
    <x:row r="256">
      <x:c r="A256" s="79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2"/>
      <x:c r="L256" s="32"/>
      <x:c r="M256" s="32"/>
      <x:c r="N256" s="31"/>
      <x:c r="O256" s="31"/>
      <x:c r="P256" s="31"/>
      <x:c r="Q256" s="31"/>
      <x:c r="R256" s="31"/>
      <x:c r="S256" s="32"/>
      <x:c r="T256" s="31"/>
    </x:row>
    <x:row r="257">
      <x:c r="A257" s="79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2"/>
      <x:c r="L257" s="32"/>
      <x:c r="M257" s="32"/>
      <x:c r="N257" s="31"/>
      <x:c r="O257" s="31"/>
      <x:c r="P257" s="31"/>
      <x:c r="Q257" s="31"/>
      <x:c r="R257" s="31"/>
      <x:c r="S257" s="32"/>
      <x:c r="T257" s="31"/>
    </x:row>
    <x:row r="258">
      <x:c r="A258" s="79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2"/>
      <x:c r="L258" s="32"/>
      <x:c r="M258" s="32"/>
      <x:c r="N258" s="31"/>
      <x:c r="O258" s="31"/>
      <x:c r="P258" s="31"/>
      <x:c r="Q258" s="31"/>
      <x:c r="R258" s="31"/>
      <x:c r="S258" s="32"/>
      <x:c r="T258" s="31"/>
    </x:row>
    <x:row r="259">
      <x:c r="A259" s="79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2"/>
      <x:c r="L259" s="32"/>
      <x:c r="M259" s="32"/>
      <x:c r="N259" s="31"/>
      <x:c r="O259" s="31"/>
      <x:c r="P259" s="31"/>
      <x:c r="Q259" s="31"/>
      <x:c r="R259" s="31"/>
      <x:c r="S259" s="32"/>
      <x:c r="T259" s="31"/>
    </x:row>
    <x:row r="260">
      <x:c r="A260" s="79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2"/>
      <x:c r="L260" s="32"/>
      <x:c r="M260" s="32"/>
      <x:c r="N260" s="31"/>
      <x:c r="O260" s="31"/>
      <x:c r="P260" s="31"/>
      <x:c r="Q260" s="31"/>
      <x:c r="R260" s="31"/>
      <x:c r="S260" s="32"/>
      <x:c r="T260" s="31"/>
    </x:row>
    <x:row r="261">
      <x:c r="A261" s="79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2"/>
      <x:c r="L261" s="32"/>
      <x:c r="M261" s="32"/>
      <x:c r="N261" s="31"/>
      <x:c r="O261" s="31"/>
      <x:c r="P261" s="31"/>
      <x:c r="Q261" s="31"/>
      <x:c r="R261" s="31"/>
      <x:c r="S261" s="32"/>
      <x:c r="T261" s="31"/>
    </x:row>
    <x:row r="262">
      <x:c r="A262" s="79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2"/>
      <x:c r="L262" s="32"/>
      <x:c r="M262" s="32"/>
      <x:c r="N262" s="31"/>
      <x:c r="O262" s="31"/>
      <x:c r="P262" s="31"/>
      <x:c r="Q262" s="31"/>
      <x:c r="R262" s="31"/>
      <x:c r="S262" s="32"/>
      <x:c r="T262" s="31"/>
    </x:row>
    <x:row r="263">
      <x:c r="A263" s="79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2"/>
      <x:c r="L263" s="32"/>
      <x:c r="M263" s="32"/>
      <x:c r="N263" s="31"/>
      <x:c r="O263" s="31"/>
      <x:c r="P263" s="31"/>
      <x:c r="Q263" s="31"/>
      <x:c r="R263" s="31"/>
      <x:c r="S263" s="32"/>
      <x:c r="T263" s="31"/>
    </x:row>
    <x:row r="264">
      <x:c r="A264" s="79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2"/>
      <x:c r="L264" s="32"/>
      <x:c r="M264" s="32"/>
      <x:c r="N264" s="31"/>
      <x:c r="O264" s="31"/>
      <x:c r="P264" s="31"/>
      <x:c r="Q264" s="31"/>
      <x:c r="R264" s="31"/>
      <x:c r="S264" s="32"/>
      <x:c r="T264" s="31"/>
    </x:row>
    <x:row r="265">
      <x:c r="A265" s="79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2"/>
      <x:c r="L265" s="32"/>
      <x:c r="M265" s="32"/>
      <x:c r="N265" s="31"/>
      <x:c r="O265" s="31"/>
      <x:c r="P265" s="31"/>
      <x:c r="Q265" s="31"/>
      <x:c r="R265" s="31"/>
      <x:c r="S265" s="32"/>
      <x:c r="T265" s="31"/>
    </x:row>
    <x:row r="266">
      <x:c r="A266" s="79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2"/>
      <x:c r="L266" s="32"/>
      <x:c r="M266" s="32"/>
      <x:c r="N266" s="31"/>
      <x:c r="O266" s="31"/>
      <x:c r="P266" s="31"/>
      <x:c r="Q266" s="31"/>
      <x:c r="R266" s="31"/>
      <x:c r="S266" s="32"/>
      <x:c r="T266" s="31"/>
    </x:row>
    <x:row r="267">
      <x:c r="A267" s="79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2"/>
      <x:c r="L267" s="32"/>
      <x:c r="M267" s="32"/>
      <x:c r="N267" s="31"/>
      <x:c r="O267" s="31"/>
      <x:c r="P267" s="31"/>
      <x:c r="Q267" s="31"/>
      <x:c r="R267" s="31"/>
      <x:c r="S267" s="32"/>
      <x:c r="T267" s="31"/>
    </x:row>
    <x:row r="268">
      <x:c r="A268" s="79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2"/>
      <x:c r="L268" s="32"/>
      <x:c r="M268" s="32"/>
      <x:c r="N268" s="31"/>
      <x:c r="O268" s="31"/>
      <x:c r="P268" s="31"/>
      <x:c r="Q268" s="31"/>
      <x:c r="R268" s="31"/>
      <x:c r="S268" s="32"/>
      <x:c r="T268" s="31"/>
    </x:row>
    <x:row r="269">
      <x:c r="A269" s="79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2"/>
      <x:c r="L269" s="32"/>
      <x:c r="M269" s="32"/>
      <x:c r="N269" s="31"/>
      <x:c r="O269" s="31"/>
      <x:c r="P269" s="31"/>
      <x:c r="Q269" s="31"/>
      <x:c r="R269" s="31"/>
      <x:c r="S269" s="32"/>
      <x:c r="T269" s="31"/>
    </x:row>
    <x:row r="270">
      <x:c r="A270" s="79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2"/>
      <x:c r="L270" s="32"/>
      <x:c r="M270" s="32"/>
      <x:c r="N270" s="31"/>
      <x:c r="O270" s="31"/>
      <x:c r="P270" s="31"/>
      <x:c r="Q270" s="31"/>
      <x:c r="R270" s="31"/>
      <x:c r="S270" s="32"/>
      <x:c r="T270" s="31"/>
    </x:row>
    <x:row r="271">
      <x:c r="A271" s="79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2"/>
      <x:c r="L271" s="32"/>
      <x:c r="M271" s="32"/>
      <x:c r="N271" s="31"/>
      <x:c r="O271" s="31"/>
      <x:c r="P271" s="31"/>
      <x:c r="Q271" s="31"/>
      <x:c r="R271" s="31"/>
      <x:c r="S271" s="32"/>
      <x:c r="T271" s="31"/>
    </x:row>
    <x:row r="272">
      <x:c r="A272" s="79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2"/>
      <x:c r="L272" s="32"/>
      <x:c r="M272" s="32"/>
      <x:c r="N272" s="31"/>
      <x:c r="O272" s="31"/>
      <x:c r="P272" s="31"/>
      <x:c r="Q272" s="31"/>
      <x:c r="R272" s="31"/>
      <x:c r="S272" s="32"/>
      <x:c r="T272" s="31"/>
    </x:row>
    <x:row r="273">
      <x:c r="A273" s="79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2"/>
      <x:c r="L273" s="32"/>
      <x:c r="M273" s="32"/>
      <x:c r="N273" s="31"/>
      <x:c r="O273" s="31"/>
      <x:c r="P273" s="31"/>
      <x:c r="Q273" s="31"/>
      <x:c r="R273" s="31"/>
      <x:c r="S273" s="32"/>
      <x:c r="T273" s="31"/>
    </x:row>
    <x:row r="274">
      <x:c r="A274" s="79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2"/>
      <x:c r="L274" s="32"/>
      <x:c r="M274" s="32"/>
      <x:c r="N274" s="31"/>
      <x:c r="O274" s="31"/>
      <x:c r="P274" s="31"/>
      <x:c r="Q274" s="31"/>
      <x:c r="R274" s="31"/>
      <x:c r="S274" s="32"/>
      <x:c r="T274" s="31"/>
    </x:row>
    <x:row r="275">
      <x:c r="A275" s="79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2"/>
      <x:c r="L275" s="32"/>
      <x:c r="M275" s="32"/>
      <x:c r="N275" s="31"/>
      <x:c r="O275" s="31"/>
      <x:c r="P275" s="31"/>
      <x:c r="Q275" s="31"/>
      <x:c r="R275" s="31"/>
      <x:c r="S275" s="32"/>
      <x:c r="T275" s="31"/>
    </x:row>
    <x:row r="276">
      <x:c r="A276" s="79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2"/>
      <x:c r="L276" s="32"/>
      <x:c r="M276" s="32"/>
      <x:c r="N276" s="31"/>
      <x:c r="O276" s="31"/>
      <x:c r="P276" s="31"/>
      <x:c r="Q276" s="31"/>
      <x:c r="R276" s="31"/>
      <x:c r="S276" s="32"/>
      <x:c r="T276" s="31"/>
    </x:row>
    <x:row r="277">
      <x:c r="A277" s="79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2"/>
      <x:c r="L277" s="32"/>
      <x:c r="M277" s="32"/>
      <x:c r="N277" s="31"/>
      <x:c r="O277" s="31"/>
      <x:c r="P277" s="31"/>
      <x:c r="Q277" s="31"/>
      <x:c r="R277" s="31"/>
      <x:c r="S277" s="32"/>
      <x:c r="T277" s="31"/>
    </x:row>
    <x:row r="278">
      <x:c r="A278" s="79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2"/>
      <x:c r="L278" s="32"/>
      <x:c r="M278" s="32"/>
      <x:c r="N278" s="31"/>
      <x:c r="O278" s="31"/>
      <x:c r="P278" s="31"/>
      <x:c r="Q278" s="31"/>
      <x:c r="R278" s="31"/>
      <x:c r="S278" s="32"/>
      <x:c r="T278" s="31"/>
    </x:row>
    <x:row r="279">
      <x:c r="A279" s="79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2"/>
      <x:c r="L279" s="32"/>
      <x:c r="M279" s="32"/>
      <x:c r="N279" s="31"/>
      <x:c r="O279" s="31"/>
      <x:c r="P279" s="31"/>
      <x:c r="Q279" s="31"/>
      <x:c r="R279" s="31"/>
      <x:c r="S279" s="32"/>
      <x:c r="T279" s="31"/>
    </x:row>
    <x:row r="280">
      <x:c r="A280" s="79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2"/>
      <x:c r="L280" s="32"/>
      <x:c r="M280" s="32"/>
      <x:c r="N280" s="31"/>
      <x:c r="O280" s="31"/>
      <x:c r="P280" s="31"/>
      <x:c r="Q280" s="31"/>
      <x:c r="R280" s="31"/>
      <x:c r="S280" s="32"/>
      <x:c r="T280" s="31"/>
    </x:row>
    <x:row r="281">
      <x:c r="A281" s="79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2"/>
      <x:c r="L281" s="32"/>
      <x:c r="M281" s="32"/>
      <x:c r="N281" s="31"/>
      <x:c r="O281" s="31"/>
      <x:c r="P281" s="31"/>
      <x:c r="Q281" s="31"/>
      <x:c r="R281" s="31"/>
      <x:c r="S281" s="32"/>
      <x:c r="T281" s="31"/>
    </x:row>
    <x:row r="282">
      <x:c r="A282" s="79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2"/>
      <x:c r="L282" s="32"/>
      <x:c r="M282" s="32"/>
      <x:c r="N282" s="31"/>
      <x:c r="O282" s="31"/>
      <x:c r="P282" s="31"/>
      <x:c r="Q282" s="31"/>
      <x:c r="R282" s="31"/>
      <x:c r="S282" s="32"/>
      <x:c r="T282" s="31"/>
    </x:row>
    <x:row r="283">
      <x:c r="A283" s="79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2"/>
      <x:c r="L283" s="32"/>
      <x:c r="M283" s="32"/>
      <x:c r="N283" s="31"/>
      <x:c r="O283" s="31"/>
      <x:c r="P283" s="31"/>
      <x:c r="Q283" s="31"/>
      <x:c r="R283" s="31"/>
      <x:c r="S283" s="32"/>
      <x:c r="T283" s="31"/>
    </x:row>
    <x:row r="284">
      <x:c r="A284" s="79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2"/>
      <x:c r="L284" s="32"/>
      <x:c r="M284" s="32"/>
      <x:c r="N284" s="31"/>
      <x:c r="O284" s="31"/>
      <x:c r="P284" s="31"/>
      <x:c r="Q284" s="31"/>
      <x:c r="R284" s="31"/>
      <x:c r="S284" s="32"/>
      <x:c r="T284" s="31"/>
    </x:row>
    <x:row r="285">
      <x:c r="A285" s="79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2"/>
      <x:c r="L285" s="32"/>
      <x:c r="M285" s="32"/>
      <x:c r="N285" s="31"/>
      <x:c r="O285" s="31"/>
      <x:c r="P285" s="31"/>
      <x:c r="Q285" s="31"/>
      <x:c r="R285" s="31"/>
      <x:c r="S285" s="32"/>
      <x:c r="T285" s="31"/>
    </x:row>
    <x:row r="286">
      <x:c r="A286" s="79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2"/>
      <x:c r="L286" s="32"/>
      <x:c r="M286" s="32"/>
      <x:c r="N286" s="31"/>
      <x:c r="O286" s="31"/>
      <x:c r="P286" s="31"/>
      <x:c r="Q286" s="31"/>
      <x:c r="R286" s="31"/>
      <x:c r="S286" s="32"/>
      <x:c r="T286" s="31"/>
    </x:row>
    <x:row r="287">
      <x:c r="A287" s="79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2"/>
      <x:c r="L287" s="32"/>
      <x:c r="M287" s="32"/>
      <x:c r="N287" s="31"/>
      <x:c r="O287" s="31"/>
      <x:c r="P287" s="31"/>
      <x:c r="Q287" s="31"/>
      <x:c r="R287" s="31"/>
      <x:c r="S287" s="32"/>
      <x:c r="T287" s="31"/>
    </x:row>
    <x:row r="288">
      <x:c r="A288" s="79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2"/>
      <x:c r="L288" s="32"/>
      <x:c r="M288" s="32"/>
      <x:c r="N288" s="31"/>
      <x:c r="O288" s="31"/>
      <x:c r="P288" s="31"/>
      <x:c r="Q288" s="31"/>
      <x:c r="R288" s="31"/>
      <x:c r="S288" s="32"/>
      <x:c r="T288" s="31"/>
    </x:row>
    <x:row r="289">
      <x:c r="A289" s="79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2"/>
      <x:c r="L289" s="32"/>
      <x:c r="M289" s="32"/>
      <x:c r="N289" s="31"/>
      <x:c r="O289" s="31"/>
      <x:c r="P289" s="31"/>
      <x:c r="Q289" s="31"/>
      <x:c r="R289" s="31"/>
      <x:c r="S289" s="32"/>
      <x:c r="T289" s="31"/>
    </x:row>
    <x:row r="290">
      <x:c r="A290" s="79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2"/>
      <x:c r="L290" s="32"/>
      <x:c r="M290" s="32"/>
      <x:c r="N290" s="31"/>
      <x:c r="O290" s="31"/>
      <x:c r="P290" s="31"/>
      <x:c r="Q290" s="31"/>
      <x:c r="R290" s="31"/>
      <x:c r="S290" s="32"/>
      <x:c r="T290" s="31"/>
    </x:row>
    <x:row r="291">
      <x:c r="A291" s="79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2"/>
      <x:c r="L291" s="32"/>
      <x:c r="M291" s="32"/>
      <x:c r="N291" s="31"/>
      <x:c r="O291" s="31"/>
      <x:c r="P291" s="31"/>
      <x:c r="Q291" s="31"/>
      <x:c r="R291" s="31"/>
      <x:c r="S291" s="32"/>
      <x:c r="T291" s="31"/>
    </x:row>
    <x:row r="292">
      <x:c r="A292" s="79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2"/>
      <x:c r="L292" s="32"/>
      <x:c r="M292" s="32"/>
      <x:c r="N292" s="31"/>
      <x:c r="O292" s="31"/>
      <x:c r="P292" s="31"/>
      <x:c r="Q292" s="31"/>
      <x:c r="R292" s="31"/>
      <x:c r="S292" s="32"/>
      <x:c r="T292" s="31"/>
    </x:row>
    <x:row r="293">
      <x:c r="A293" s="79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2"/>
      <x:c r="L293" s="32"/>
      <x:c r="M293" s="32"/>
      <x:c r="N293" s="31"/>
      <x:c r="O293" s="31"/>
      <x:c r="P293" s="31"/>
      <x:c r="Q293" s="31"/>
      <x:c r="R293" s="31"/>
      <x:c r="S293" s="32"/>
      <x:c r="T293" s="31"/>
    </x:row>
    <x:row r="294">
      <x:c r="A294" s="79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2"/>
      <x:c r="L294" s="32"/>
      <x:c r="M294" s="32"/>
      <x:c r="N294" s="31"/>
      <x:c r="O294" s="31"/>
      <x:c r="P294" s="31"/>
      <x:c r="Q294" s="31"/>
      <x:c r="R294" s="31"/>
      <x:c r="S294" s="32"/>
      <x:c r="T294" s="31"/>
    </x:row>
    <x:row r="295">
      <x:c r="A295" s="79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2"/>
      <x:c r="L295" s="32"/>
      <x:c r="M295" s="32"/>
      <x:c r="N295" s="31"/>
      <x:c r="O295" s="31"/>
      <x:c r="P295" s="31"/>
      <x:c r="Q295" s="31"/>
      <x:c r="R295" s="31"/>
      <x:c r="S295" s="32"/>
      <x:c r="T295" s="31"/>
    </x:row>
    <x:row r="296">
      <x:c r="A296" s="79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2"/>
      <x:c r="L296" s="32"/>
      <x:c r="M296" s="32"/>
      <x:c r="N296" s="31"/>
      <x:c r="O296" s="31"/>
      <x:c r="P296" s="31"/>
      <x:c r="Q296" s="31"/>
      <x:c r="R296" s="31"/>
      <x:c r="S296" s="32"/>
      <x:c r="T296" s="31"/>
    </x:row>
    <x:row r="297">
      <x:c r="A297" s="79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2"/>
      <x:c r="L297" s="32"/>
      <x:c r="M297" s="32"/>
      <x:c r="N297" s="31"/>
      <x:c r="O297" s="31"/>
      <x:c r="P297" s="31"/>
      <x:c r="Q297" s="31"/>
      <x:c r="R297" s="31"/>
      <x:c r="S297" s="32"/>
      <x:c r="T297" s="31"/>
    </x:row>
    <x:row r="298">
      <x:c r="A298" s="79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2"/>
      <x:c r="L298" s="32"/>
      <x:c r="M298" s="32"/>
      <x:c r="N298" s="31"/>
      <x:c r="O298" s="31"/>
      <x:c r="P298" s="31"/>
      <x:c r="Q298" s="31"/>
      <x:c r="R298" s="31"/>
      <x:c r="S298" s="32"/>
      <x:c r="T298" s="31"/>
    </x:row>
    <x:row r="299">
      <x:c r="A299" s="79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2"/>
      <x:c r="L299" s="32"/>
      <x:c r="M299" s="32"/>
      <x:c r="N299" s="31"/>
      <x:c r="O299" s="31"/>
      <x:c r="P299" s="31"/>
      <x:c r="Q299" s="31"/>
      <x:c r="R299" s="31"/>
      <x:c r="S299" s="32"/>
      <x:c r="T299" s="31"/>
    </x:row>
    <x:row r="300">
      <x:c r="A300" s="79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2"/>
      <x:c r="L300" s="32"/>
      <x:c r="M300" s="32"/>
      <x:c r="N300" s="31"/>
      <x:c r="O300" s="31"/>
      <x:c r="P300" s="31"/>
      <x:c r="Q300" s="31"/>
      <x:c r="R300" s="31"/>
      <x:c r="S300" s="32"/>
      <x:c r="T300" s="31"/>
    </x:row>
  </x:sheetData>
  <x:dataValidations count="2">
    <x:dataValidation type="list" sqref="H2:H300">
      <x:formula1>"BET,PAPER,REJECTED"</x:formula1>
    </x:dataValidation>
    <x:dataValidation type="list" sqref="I2:I300">
      <x:formula1>"Win,Loss,Push,Pending"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50" hidden="0" customWidth="1"/>
    <x:col min="5" max="5" width="22" hidden="0" customWidth="1"/>
    <x:col min="6" max="6" width="14" hidden="0" customWidth="1"/>
    <x:col min="7" max="7" width="14" hidden="0" customWidth="1"/>
    <x:col min="8" max="8" width="48" hidden="0" customWidth="1"/>
    <x:col min="9" max="9" width="42" hidden="0" customWidth="1"/>
  </x:cols>
  <x:sheetData>
    <x:row r="1">
      <x:c r="A1" s="78" t="str">
        <x:v>Experiment ID</x:v>
      </x:c>
      <x:c r="B1" s="78" t="str">
        <x:v>Hypothesis</x:v>
      </x:c>
      <x:c r="C1" s="78" t="str">
        <x:v>Primary Market(s)</x:v>
      </x:c>
      <x:c r="D1" s="78" t="str">
        <x:v>Test Design</x:v>
      </x:c>
      <x:c r="E1" s="78" t="str">
        <x:v>Main Metric</x:v>
      </x:c>
      <x:c r="F1" s="78" t="str">
        <x:v>Minimum Sample</x:v>
      </x:c>
      <x:c r="G1" s="78" t="str">
        <x:v>Current Status</x:v>
      </x:c>
      <x:c r="H1" s="78" t="str">
        <x:v>Decision Rule</x:v>
      </x:c>
      <x:c r="I1" s="78" t="str">
        <x:v>Notes</x:v>
      </x:c>
    </x:row>
    <x:row r="2">
      <x:c r="A2" s="31" t="str">
        <x:v>EXP-01</x:v>
      </x:c>
      <x:c r="B2" s="31" t="str">
        <x:v>Pitcher outs outperform K props when workload signal is strong</x:v>
      </x:c>
      <x:c r="C2" s="31" t="str">
        <x:v>Pitcher Outs</x:v>
      </x:c>
      <x:c r="D2" s="31" t="str">
        <x:v>Compare A-tier workload-score candidates vs similar K markets on same pitcher</x:v>
      </x:c>
      <x:c r="E2" s="31" t="str">
        <x:v>ROI + hit rate</x:v>
      </x:c>
      <x:c r="F2" s="31" t="n">
        <x:v>50</x:v>
      </x:c>
      <x:c r="G2" s="31" t="str">
        <x:v>ACTIVE - paper test required</x:v>
      </x:c>
      <x:c r="H2" s="31" t="str">
        <x:v>Keep if ROI positive and lower daily variance after 50+</x:v>
      </x:c>
      <x:c r="I2" s="31" t="str">
        <x:v>Pecko/King are motivating examples.</x:v>
      </x:c>
    </x:row>
    <x:row r="3">
      <x:c r="A3" s="31" t="str">
        <x:v>EXP-02</x:v>
      </x:c>
      <x:c r="B3" s="31" t="str">
        <x:v>K overs outperform K unders under normal starter workloads</x:v>
      </x:c>
      <x:c r="C3" s="31" t="str">
        <x:v>Pitcher K</x:v>
      </x:c>
      <x:c r="D3" s="31" t="str">
        <x:v>Track overs and unders separately; control for projected BF and opponent K%</x:v>
      </x:c>
      <x:c r="E3" s="31" t="str">
        <x:v>ROI</x:v>
      </x:c>
      <x:c r="F3" s="31" t="n">
        <x:v>50</x:v>
      </x:c>
      <x:c r="G3" s="31" t="str">
        <x:v>ACTIVE - paper test required</x:v>
      </x:c>
      <x:c r="H3" s="31" t="str">
        <x:v>Suspend routine K unders if gap persists at 50+</x:v>
      </x:c>
      <x:c r="I3" s="31" t="str">
        <x:v>Current verified K unders are 0-3.</x:v>
      </x:c>
    </x:row>
    <x:row r="4">
      <x:c r="A4" s="31" t="str">
        <x:v>EXP-03</x:v>
      </x:c>
      <x:c r="B4" s="31" t="str">
        <x:v>H+R+RBI is a better expression than 2+ TB for broad offensive edges</x:v>
      </x:c>
      <x:c r="C4" s="31" t="str">
        <x:v>H+R+RBI / 2+ TB</x:v>
      </x:c>
      <x:c r="D4" s="31" t="str">
        <x:v>For qualified hitters, paper-track both markets when available</x:v>
      </x:c>
      <x:c r="E4" s="31" t="str">
        <x:v>ROI + hit rate</x:v>
      </x:c>
      <x:c r="F4" s="31" t="n">
        <x:v>75</x:v>
      </x:c>
      <x:c r="G4" s="31" t="str">
        <x:v>ACTIVE - paper test required</x:v>
      </x:c>
      <x:c r="H4" s="31" t="str">
        <x:v>Promote whichever has higher ROI with acceptable variance</x:v>
      </x:c>
      <x:c r="I4" s="31" t="str">
        <x:v>Tests market conversion directly.</x:v>
      </x:c>
    </x:row>
    <x:row r="5">
      <x:c r="A5" s="31" t="str">
        <x:v>EXP-04</x:v>
      </x:c>
      <x:c r="B5" s="31" t="str">
        <x:v>Recent raw L7/L10 result rate is less predictive than recent underlying contact metrics</x:v>
      </x:c>
      <x:c r="C5" s="31" t="str">
        <x:v>Hitters</x:v>
      </x:c>
      <x:c r="D5" s="31" t="str">
        <x:v>Record raw recent hit rate and EV/barrel trend; compare out-of-sample predictive power</x:v>
      </x:c>
      <x:c r="E5" s="31" t="str">
        <x:v>Brier score / correlation</x:v>
      </x:c>
      <x:c r="F5" s="31" t="n">
        <x:v>100</x:v>
      </x:c>
      <x:c r="G5" s="31" t="str">
        <x:v>ACTIVE - paper test required</x:v>
      </x:c>
      <x:c r="H5" s="31" t="str">
        <x:v>Reduce raw-recency weight if underlying metric wins</x:v>
      </x:c>
      <x:c r="I5" s="31" t="str">
        <x:v>Avoid hindsight-driven '6 of last 7' anchoring.</x:v>
      </x:c>
    </x:row>
    <x:row r="6">
      <x:c r="A6" s="31" t="str">
        <x:v>EXP-05</x:v>
      </x:c>
      <x:c r="B6" s="31" t="str">
        <x:v>Price deterioration &gt;5 implied-probability points removes much of the edge</x:v>
      </x:c>
      <x:c r="C6" s="31" t="str">
        <x:v>All</x:v>
      </x:c>
      <x:c r="D6" s="31" t="str">
        <x:v>Track research price, entry price, close; bucket by movement</x:v>
      </x:c>
      <x:c r="E6" s="31" t="str">
        <x:v>ROI + CLV</x:v>
      </x:c>
      <x:c r="F6" s="31" t="n">
        <x:v>75</x:v>
      </x:c>
      <x:c r="G6" s="31" t="str">
        <x:v>ACTIVE - paper test required</x:v>
      </x:c>
      <x:c r="H6" s="31" t="str">
        <x:v>Mandatory re-evaluation if &gt;5pp deterioration</x:v>
      </x:c>
      <x:c r="I6" s="31" t="str">
        <x:v>PCA +122 to -126 is motivating example.</x:v>
      </x:c>
    </x:row>
    <x:row r="7">
      <x:c r="A7" s="31" t="str">
        <x:v>EXP-06</x:v>
      </x:c>
      <x:c r="B7" s="31" t="str">
        <x:v>One-rung safer alternate thresholds improve bankroll growth</x:v>
      </x:c>
      <x:c r="C7" s="31" t="str">
        <x:v>All props</x:v>
      </x:c>
      <x:c r="D7" s="31" t="str">
        <x:v>Paper-track standard line and one safer alt line on same candidate</x:v>
      </x:c>
      <x:c r="E7" s="31" t="str">
        <x:v>ROI + max drawdown</x:v>
      </x:c>
      <x:c r="F7" s="31" t="n">
        <x:v>100</x:v>
      </x:c>
      <x:c r="G7" s="31" t="str">
        <x:v>ACTIVE - paper test required</x:v>
      </x:c>
      <x:c r="H7" s="31" t="str">
        <x:v>Use alt if lower variance offsets price loss</x:v>
      </x:c>
      <x:c r="I7" s="31" t="str">
        <x:v>Targets frequent one-unit threshold misses.</x:v>
      </x:c>
    </x:row>
    <x:row r="8">
      <x:c r="A8" s="31" t="str">
        <x:v>EXP-07</x:v>
      </x:c>
      <x:c r="B8" s="31" t="str">
        <x:v>Independent discoveries add incremental value beyond sourced candidates</x:v>
      </x:c>
      <x:c r="C8" s="31" t="str">
        <x:v>All</x:v>
      </x:c>
      <x:c r="D8" s="31" t="str">
        <x:v>Compare SOURCED vs DISCOVERED vs HYBRID prospectively</x:v>
      </x:c>
      <x:c r="E8" s="31" t="str">
        <x:v>ROI + CLV</x:v>
      </x:c>
      <x:c r="F8" s="31" t="n">
        <x:v>100</x:v>
      </x:c>
      <x:c r="G8" s="31" t="str">
        <x:v>ACTIVE - paper test required</x:v>
      </x:c>
      <x:c r="H8" s="31" t="str">
        <x:v>Weight discovery/convergence only if out-of-sample edge persists</x:v>
      </x:c>
      <x:c r="I8" s="31" t="str">
        <x:v>Must avoid retrospective shadow-board bias.</x:v>
      </x:c>
    </x:row>
    <x:row r="9">
      <x:c r="A9" s="31" t="str">
        <x:v>EXP-08</x:v>
      </x:c>
      <x:c r="B9" s="31" t="str">
        <x:v>Top paper-ranked candidates outperform actual selected bets when card slots are limited</x:v>
      </x:c>
      <x:c r="C9" s="31" t="str">
        <x:v>All</x:v>
      </x:c>
      <x:c r="D9" s="31" t="str">
        <x:v>Rank all qualified candidates before betting; compare top unbet paper plays vs actual card</x:v>
      </x:c>
      <x:c r="E9" s="31" t="str">
        <x:v>ROI + hit rate</x:v>
      </x:c>
      <x:c r="F9" s="31" t="n">
        <x:v>100</x:v>
      </x:c>
      <x:c r="G9" s="31" t="str">
        <x:v>ACTIVE - paper test required</x:v>
      </x:c>
      <x:c r="H9" s="31" t="str">
        <x:v>Revise ranking algorithm if shadow top-N wins</x:v>
      </x:c>
      <x:c r="I9" s="31" t="str">
        <x:v>Direct missed-opportunity test.</x:v>
      </x:c>
    </x:row>
    <x:row r="10">
      <x:c r="A10" s="31" t="str">
        <x:v>EXP-09</x:v>
      </x:c>
      <x:c r="B10" s="31" t="str">
        <x:v>3-leg normal parlays underperform singles/2-legs after controlling for leg quality</x:v>
      </x:c>
      <x:c r="C10" s="31" t="str">
        <x:v>Ticket Construction</x:v>
      </x:c>
      <x:c r="D10" s="31" t="str">
        <x:v>Track expected leg quality, correlation, odds and realized P&amp;L by ticket size</x:v>
      </x:c>
      <x:c r="E10" s="31" t="str">
        <x:v>ROI + drawdown</x:v>
      </x:c>
      <x:c r="F10" s="31" t="n">
        <x:v>50</x:v>
      </x:c>
      <x:c r="G10" s="31" t="str">
        <x:v>ACTIVE - paper test required</x:v>
      </x:c>
      <x:c r="H10" s="31" t="str">
        <x:v>Reserve 3-legs mainly for promo if underperformance persists</x:v>
      </x:c>
      <x:c r="I10" s="31" t="str">
        <x:v>Current settled 3-leg sample has been poor.</x:v>
      </x:c>
    </x:row>
    <x:row r="11">
      <x:c r="A11" s="31" t="str">
        <x:v>EXP-10</x:v>
      </x:c>
      <x:c r="B11" s="31" t="str">
        <x:v>NRFI edge is better expressed as singles/2-legs than 3-leg cards</x:v>
      </x:c>
      <x:c r="C11" s="31" t="str">
        <x:v>NRFI</x:v>
      </x:c>
      <x:c r="D11" s="31" t="str">
        <x:v>Track same NRFI candidates as singles and simulated 2/3-leg combinations</x:v>
      </x:c>
      <x:c r="E11" s="31" t="str">
        <x:v>ROI + hit rate</x:v>
      </x:c>
      <x:c r="F11" s="31" t="n">
        <x:v>50</x:v>
      </x:c>
      <x:c r="G11" s="31" t="str">
        <x:v>ACTIVE - paper test required</x:v>
      </x:c>
      <x:c r="H11" s="31" t="str">
        <x:v>Avoid 3-leg NRFI backbone if variance remains high</x:v>
      </x:c>
      <x:c r="I11" s="31" t="str">
        <x:v>One-pitch losses are structurally common.</x:v>
      </x:c>
    </x:row>
    <x:row r="12">
      <x:c r="A12" s="31" t="str">
        <x:v>EXP-11</x:v>
      </x:c>
      <x:c r="B12" s="31" t="str">
        <x:v>Strong first-five team edges identify better Early Win 2-runs-up ML candidates</x:v>
      </x:c>
      <x:c r="C12" s="31" t="str">
        <x:v>F5 ML / Full Game ML</x:v>
      </x:c>
      <x:c r="D12" s="31" t="str">
        <x:v>Track source/independent F5 edge, full-game ML price, whether team led by 2, and final result</x:v>
      </x:c>
      <x:c r="E12" s="31" t="str">
        <x:v>Early-win trigger rate + ROI</x:v>
      </x:c>
      <x:c r="F12" s="31" t="n">
        <x:v>50</x:v>
      </x:c>
      <x:c r="G12" s="31" t="str">
        <x:v>ACTIVE - paper test required</x:v>
      </x:c>
      <x:c r="H12" s="31" t="str">
        <x:v>Use F5 edge as promo input only if trigger rate/ROI beats generic ML ranking</x:v>
      </x:c>
      <x:c r="I12" s="31" t="str">
        <x:v>Today’s Giants/Guardians/Red Sox/Dodgers F5 card creates first prospective test set.</x:v>
      </x:c>
    </x:row>
    <x:row r="13">
      <x:c r="A13" s="31" t="str">
        <x:v>EXP-12</x:v>
      </x:c>
      <x:c r="B13" s="31" t="str">
        <x:v>Opponent rebound allowance plus frontcourt absences improves WNBA rebound-prop hit rate beyond recent-game hit rates</x:v>
      </x:c>
      <x:c r="C13" s="31" t="str">
        <x:v>WNBA Rebounds</x:v>
      </x:c>
      <x:c r="D13" s="31" t="str">
        <x:v>Track projected minutes, rebound chances, opponent rebound rate, frontcourt injuries and recent raw hit rate</x:v>
      </x:c>
      <x:c r="E13" s="31" t="str">
        <x:v>ROI + prediction error</x:v>
      </x:c>
      <x:c r="F13" s="31" t="n">
        <x:v>50</x:v>
      </x:c>
      <x:c r="G13" s="31" t="str">
        <x:v>ACTIVE - paper test required</x:v>
      </x:c>
      <x:c r="H13" s="31" t="str">
        <x:v>Increase matchup/injury weights if they outperform raw recent-form signal</x:v>
      </x:c>
      <x:c r="I13" s="31" t="str">
        <x:v>Dominique Malonga O9.5 is first explicit test candidate.</x:v>
      </x:c>
    </x:row>
    <x:row r="14">
      <x:c r="A14" t="str">
        <x:v>EXP-13</x:v>
      </x:c>
      <x:c r="B14" t="str">
        <x:v>Total corners are more robust than favorite-team corners in strong-favorite game scripts</x:v>
      </x:c>
      <x:c r="C14" t="str">
        <x:v>Soccer corners</x:v>
      </x:c>
      <x:c r="D14" t="str">
        <x:v>When both markets are available pregame, paper-track total corners and favorite-team corners on the same match</x:v>
      </x:c>
      <x:c r="E14" t="str">
        <x:v>ROI + hit rate + margin to line</x:v>
      </x:c>
      <x:c r="F14" t="n">
        <x:v>50</x:v>
      </x:c>
      <x:c r="G14" t="str">
        <x:v>ACTIVE - paper test required</x:v>
      </x:c>
      <x:c r="H14" t="str">
        <x:v>Prefer the market with better price-adjusted ROI after 50+ paired matches</x:v>
      </x:c>
      <x:c r="I14" t="str">
        <x:v>First paired observation: RMA/RSO O10.5 total corners would have cashed; RMA O6.5 team corners failed.</x:v>
      </x:c>
    </x:row>
    <x:row r="15">
      <x:c r="A15" s="31" t="str">
        <x:v>EXP-14</x:v>
      </x:c>
      <x:c r="B15" s="31" t="str">
        <x:v>For point-forward WNBA players, non-scoring composites can be more stable than PRA</x:v>
      </x:c>
      <x:c r="C15" s="31" t="str">
        <x:v>WNBA PRA / R+A / P+A</x:v>
      </x:c>
      <x:c r="D15" s="31" t="str">
        <x:v>Pair PRA with R+A/P+A on same player when available; capture minutes/usage and scoring volatility</x:v>
      </x:c>
      <x:c r="E15" s="31" t="str">
        <x:v>ROI + prediction error</x:v>
      </x:c>
      <x:c r="F15" s="31" t="n">
        <x:v>50</x:v>
      </x:c>
      <x:c r="G15" s="31" t="str">
        <x:v>ACTIVE - paper test required</x:v>
      </x:c>
      <x:c r="H15" s="31" t="str">
        <x:v>Prefer non-scoring composite if it delivers better price-adjusted stability</x:v>
      </x:c>
      <x:c r="I15" s="31" t="str">
        <x:v>Alyssa Thomas is first prospective paired test.</x:v>
      </x:c>
    </x:row>
    <x:row r="16">
      <x:c r="A16" s="31" t="str">
        <x:v>EXP-15</x:v>
      </x:c>
      <x:c r="B16" s="31" t="str">
        <x:v>High-run MLB environments are better expressed with broad F5 totals than both-teams minimum-run conditions</x:v>
      </x:c>
      <x:c r="C16" s="31" t="str">
        <x:v>F5 totals / team runs</x:v>
      </x:c>
      <x:c r="D16" s="31" t="str">
        <x:v>Pair both-teams 2+ F5 with F5 over/team totals in same game</x:v>
      </x:c>
      <x:c r="E16" s="31" t="str">
        <x:v>ROI + hit rate</x:v>
      </x:c>
      <x:c r="F16" s="31" t="n">
        <x:v>50</x:v>
      </x:c>
      <x:c r="G16" s="31" t="str">
        <x:v>ACTIVE - paper test required</x:v>
      </x:c>
      <x:c r="H16" s="31" t="str">
        <x:v>Use broad total if restrictive each-team condition underperforms</x:v>
      </x:c>
      <x:c r="I16" s="31" t="str">
        <x:v>COL/WSH is first prospective test.</x:v>
      </x:c>
    </x:row>
    <x:row r="17">
      <x:c r="A17" s="31" t="str">
        <x:v>EXP-16</x:v>
      </x:c>
      <x:c r="B17" s="31" t="str">
        <x:v>Raw HR model-vs-market probability gaps need matchup and lineup adjustment before betting</x:v>
      </x:c>
      <x:c r="C17" s="31" t="str">
        <x:v>HR</x:v>
      </x:c>
      <x:c r="D17" s="31" t="str">
        <x:v>Track source model probability, listed odds, current odds, pitcher/park/lineup adjustment and outcome</x:v>
      </x:c>
      <x:c r="E17" s="31" t="str">
        <x:v>ROI + CLV</x:v>
      </x:c>
      <x:c r="F17" s="31" t="n">
        <x:v>100</x:v>
      </x:c>
      <x:c r="G17" s="31" t="str">
        <x:v>ACTIVE - paper test required</x:v>
      </x:c>
      <x:c r="H17" s="31" t="str">
        <x:v>Promote only gaps that survive matchup/lineup adjustment</x:v>
      </x:c>
      <x:c r="I17" s="31" t="str">
        <x:v>Today's HR board provides multiple price-gap examples.</x:v>
      </x:c>
    </x:row>
    <x:row r="18">
      <x:c r="A18" t="str">
        <x:v>EXP-18</x:v>
      </x:c>
      <x:c r="B18" t="str">
        <x:v>A 3-leg cross-game HRR promo can outperform filler-heavy promo constructions</x:v>
      </x:c>
      <x:c r="C18" t="str">
        <x:v>MLB SGPx / HRR</x:v>
      </x:c>
      <x:c r="D18" t="str">
        <x:v>When promo requires 3+ legs +300, compare exactly-3 independently qualified HRR legs against mixed-market/filler alternatives</x:v>
      </x:c>
      <x:c r="E18" t="str">
        <x:v>Ticket ROI + individual-leg hit rate</x:v>
      </x:c>
      <x:c r="F18" t="n">
        <x:v>50</x:v>
      </x:c>
      <x:c r="G18" t="str">
        <x:v>ACTIVE - prospective</x:v>
      </x:c>
      <x:c r="H18" t="str">
        <x:v>Keep HRR construction if it beats mixed/filler tickets after 50 samples</x:v>
      </x:c>
      <x:c r="I18" t="str">
        <x:v>First candidate: Walker/Vaughn/Moreno on Aug. 27.</x:v>
      </x:c>
    </x:row>
    <x:row r="19">
      <x:c r="A19" t="str">
        <x:v>EXP-17</x:v>
      </x:c>
      <x:c r="B19" t="str">
        <x:v>Team shots-on-target thresholds require matchup-adjusted volume, not favorite strength alone</x:v>
      </x:c>
      <x:c r="C19" t="str">
        <x:v>Soccer SOT</x:v>
      </x:c>
      <x:c r="D19" t="str">
        <x:v>Track favorite team SOT lines against projected shot volume, opponent suppression and game state</x:v>
      </x:c>
      <x:c r="E19" t="str">
        <x:v>ROI + hit rate + margin to line</x:v>
      </x:c>
      <x:c r="F19" t="n">
        <x:v>50</x:v>
      </x:c>
      <x:c r="G19" t="str">
        <x:v>ACTIVE - paper test required</x:v>
      </x:c>
      <x:c r="H19" t="str">
        <x:v>Use team SOT only if matchup-adjusted volume clears implied threshold over sample</x:v>
      </x:c>
      <x:c r="I19" t="str">
        <x:v>Restores previously referenced experiment; Barcelona 7+ SOT was an early positive observation.</x:v>
      </x:c>
    </x:row>
    <x:row r="20">
      <x:c r="A20" t="str">
        <x:v>EXP-19</x:v>
      </x:c>
      <x:c r="B20" t="str">
        <x:v>Promo parlays improve when the harder threshold is assigned to the strongest underlying thesis</x:v>
      </x:c>
      <x:c r="C20" t="str">
        <x:v>Promo parlays / alternate thresholds</x:v>
      </x:c>
      <x:c r="D20" t="str">
        <x:v>For the same 3 players, prospectively compare threshold allocations that all meet or approach promo qualification</x:v>
      </x:c>
      <x:c r="E20" t="str">
        <x:v>Ticket ROI + component margin + drawdown</x:v>
      </x:c>
      <x:c r="F20" t="n">
        <x:v>50</x:v>
      </x:c>
      <x:c r="G20" t="str">
        <x:v>ACTIVE - prospective</x:v>
      </x:c>
      <x:c r="H20" t="str">
        <x:v>Prefer threshold allocation with best price-adjusted component quality, not merely closest raw odds to promo minimum</x:v>
      </x:c>
      <x:c r="I20" t="str">
        <x:v>First set: Aug. 28 WNBA +595 aggressive, +313 harder-Hamby, +173 safe control, real +355 harder-Hillmon.</x:v>
      </x:c>
    </x:row>
    <x:row r="21">
      <x:c r="A21" t="str">
        <x:v>EXP-20</x:v>
      </x:c>
      <x:c r="B21" t="str">
        <x:v>Qualified parlay legs may be more profitable and lower-variance as singles than when packaged into multi-leg tickets</x:v>
      </x:c>
      <x:c r="C21" t="str">
        <x:v>Singles / parlay components</x:v>
      </x:c>
      <x:c r="D21" t="str">
        <x:v>For every real parlay, prospectively shadow-track each component as a standalone single; compare hit rate, ROI where exact leg price is known, and drawdown against the actual ticket</x:v>
      </x:c>
      <x:c r="E21" t="str">
        <x:v>ROI + hit rate + max drawdown</x:v>
      </x:c>
      <x:c r="F21" t="n">
        <x:v>100</x:v>
      </x:c>
      <x:c r="G21" t="str">
        <x:v>ACTIVE - prospective</x:v>
      </x:c>
      <x:c r="H21" t="str">
        <x:v>Increase singles allocation if component singles materially outperform combined-ticket ROI after 100+ leg observations</x:v>
      </x:c>
      <x:c r="I21" t="str">
        <x:v>Aug. 28 is the first fully systematic shadow-single day: all 9 real parlay legs are logged as standalone controls.</x:v>
      </x:c>
    </x:row>
    <x:row r="22">
      <x:c r="A22" t="str">
        <x:v>EXP-21</x:v>
      </x:c>
      <x:c r="B22" t="str">
        <x:v>Early-season CFB props are better predicted by role continuity, returning production, opponent personnel changes and coaching scheme than by raw prior-year per-game averages</x:v>
      </x:c>
      <x:c r="C22" t="str">
        <x:v>CFB player props</x:v>
      </x:c>
      <x:c r="D22" t="str">
        <x:v>Prospectively record role/depth, returning production, coaching changes, opponent unit attrition and prior-year production for every paper/real CFB prop</x:v>
      </x:c>
      <x:c r="E22" t="str">
        <x:v>ROI + prediction error + feature correlation</x:v>
      </x:c>
      <x:c r="F22" t="n">
        <x:v>100</x:v>
      </x:c>
      <x:c r="G22" t="str">
        <x:v>ACTIVE - prospective</x:v>
      </x:c>
      <x:c r="H22" t="str">
        <x:v>Increase feature weights only after out-of-sample correlation and ROI are stable across 100+ props</x:v>
      </x:c>
      <x:c r="I22" t="str">
        <x:v>Starts Week 0 Aug. 29 with Shipp/Miller/Ford.</x:v>
      </x:c>
    </x:row>
    <x:row r="23">
      <x:c r="A23" t="str">
        <x:v>EXP-22</x:v>
      </x:c>
      <x:c r="B23" t="str">
        <x:v>Heavy-favorite CFB rushing props can still clear on explosive efficiency even when blowout script reduces total carries</x:v>
      </x:c>
      <x:c r="C23" t="str">
        <x:v>CFB rushing yards</x:v>
      </x:c>
      <x:c r="D23" t="str">
        <x:v>Track spread, projected carries, yards after contact, explosive-run rate, co-starter health, and time-to-blowout for favorite RB props</x:v>
      </x:c>
      <x:c r="E23" t="str">
        <x:v>Hit rate + yards/carry + carry count</x:v>
      </x:c>
      <x:c r="F23" t="n">
        <x:v>50</x:v>
      </x:c>
      <x:c r="G23" t="str">
        <x:v>ACTIVE - prospective</x:v>
      </x:c>
      <x:c r="H23" t="str">
        <x:v>Use favorite-RB overs only if efficiency/role edge offsets expected second-half volume loss</x:v>
      </x:c>
      <x:c r="I23" t="str">
        <x:v>First test: King Miller O65.5 vs SJSU with USC near 40-point favorite.</x:v>
      </x:c>
    </x:row>
    <x:row r="24">
      <x:c r="A24" t="str">
        <x:v>EXP-23</x:v>
      </x:c>
      <x:c r="B24" t="str">
        <x:v>When credible CFB sources disagree on the same matchup, preserving opposing spread/ML arms and market projections improves calibration versus choosing a source by reputation</x:v>
      </x:c>
      <x:c r="C24" t="str">
        <x:v>CFB source disagreement / threshold</x:v>
      </x:c>
      <x:c r="D24" t="str">
        <x:v>Prospectively log both source sides, current market, model projection and safer/aggressive thresholds; compare result margin, closing line and standardized ROI</x:v>
      </x:c>
      <x:c r="E24" t="str">
        <x:v>ATS hit rate + margin to line + CLV + ROI</x:v>
      </x:c>
      <x:c r="F24" t="n">
        <x:v>100</x:v>
      </x:c>
      <x:c r="G24" t="str">
        <x:v>ACTIVE - prospective</x:v>
      </x:c>
      <x:c r="H24" t="str">
        <x:v>Prefer the market expression supported by cross-source/model convergence only after enough out-of-sample observations</x:v>
      </x:c>
      <x:c r="I24" t="str">
        <x:v>First cluster Aug. 29: JAX +10.5 vs NDSU -6.5; UNLV ML/-6.5 vs Memphis +4.5; Hawaii +3.5 vs Hawaii -6.5.</x:v>
      </x:c>
    </x:row>
    <x:row r="25">
      <x:c r="A25" t="str">
        <x:v>EXP-24</x:v>
      </x:c>
      <x:c r="B25" t="str">
        <x:v>Natural +100 promo qualifiers outperform threshold-raised qualifiers because the underlying bet already has acceptable standalone value</x:v>
      </x:c>
      <x:c r="C25" t="str">
        <x:v>Promo / all sports</x:v>
      </x:c>
      <x:c r="D25" t="str">
        <x:v>For every broad +100-min boost, compare the best naturally +100 qualified candidate with threshold-raised versions of otherwise strong minus-money candidates; retain unboosted control</x:v>
      </x:c>
      <x:c r="E25" t="str">
        <x:v>Boosted ROI + unboosted ROI + threshold miss rate</x:v>
      </x:c>
      <x:c r="F25" t="n">
        <x:v>50</x:v>
      </x:c>
      <x:c r="G25" t="str">
        <x:v>ACTIVE - prospective</x:v>
      </x:c>
      <x:c r="H25" t="str">
        <x:v>Prefer naturally qualifying +100 edges if unboosted ROI is non-negative and threshold-miss rate is lower</x:v>
      </x:c>
      <x:c r="I25" t="str">
        <x:v>Sep. 2 first clean test: Caminero 2+ TB +101 natural qualifier vs higher K/TB thresholds that would be raised only for promo eligibility.</x:v>
      </x:c>
    </x:row>
    <x:row r="26">
      <x:c r="A26" t="str">
        <x:v>EXP-25</x:v>
      </x:c>
      <x:c r="B26" t="str">
        <x:v>Lottery-style Grand Slam qualifiers should be used only when the base HR bet independently qualifies and bankroll share is acceptable</x:v>
      </x:c>
      <x:c r="C26" t="str">
        <x:v>HR promo / bankroll</x:v>
      </x:c>
      <x:c r="D26" t="str">
        <x:v>Track base HR price, estimated matchup quality, mandatory stake as % of bankroll, whether HR hit, whether grand slam hit, and bonus payout separately</x:v>
      </x:c>
      <x:c r="E26" t="str">
        <x:v>Base HR ROI + promo overlay + bankroll drawdown</x:v>
      </x:c>
      <x:c r="F26" t="n">
        <x:v>30</x:v>
      </x:c>
      <x:c r="G26" t="str">
        <x:v>ACTIVE - prospective</x:v>
      </x:c>
      <x:c r="H26" t="str">
        <x:v>Skip qualifier when mandatory stake is disproportionate or base HR bet is not independently qualified</x:v>
      </x:c>
      <x:c r="I26" t="str">
        <x:v>Sep. 2 minimum $5 is 23.7% of $21.06 bankroll, making the promo a strong skip candidate despite the jackpot overlay.</x:v>
      </x:c>
    </x:row>
    <x:row r="27">
      <x:c r="A27" t="str">
        <x:v>EXP-26</x:v>
      </x:c>
      <x:c r="B27" t="str">
        <x:v>Expensive 1+ hit glue underperforms plus-money TB/HRR expressions after adjusting for hit probability</x:v>
      </x:c>
      <x:c r="C27" t="str">
        <x:v>1+ Hit / 2+ TB / H+R+RBI</x:v>
      </x:c>
      <x:c r="D27" t="str">
        <x:v>For strong hitters with all three markets available, record 1+ hit price and paired TB/HRR prices; compare ROI, miss type and portfolio utility</x:v>
      </x:c>
      <x:c r="E27" t="str">
        <x:v>ROI + drawdown + price-adjusted hit rate</x:v>
      </x:c>
      <x:c r="F27" t="n">
        <x:v>75</x:v>
      </x:c>
      <x:c r="G27" t="str">
        <x:v>ACTIVE - prospective</x:v>
      </x:c>
      <x:c r="H27" t="str">
        <x:v>Reduce 1+ hit glue usage if higher raw hit rate does not offset price and parlay payout drag</x:v>
      </x:c>
      <x:c r="I27" t="str">
        <x:v>Sep. 2 Caminero -264 hit vs +101 TB and -150 HRR is first explicit prospective cluster.</x:v>
      </x:c>
    </x:row>
    <x:row r="28">
      <x:c r="A28" t="str">
        <x:v>EXP-27</x:v>
      </x:c>
      <x:c r="B28" t="str">
        <x:v>High-confidence source moneyline probabilities can add useful slate-ranking signal if they are prospectively calibrated against results and market price</x:v>
      </x:c>
      <x:c r="C28" t="str">
        <x:v>MLB Moneyline</x:v>
      </x:c>
      <x:c r="D28" t="str">
        <x:v>Prospectively log source-reported win probability before game start, exact sportsbook price when later captured, closing price/CLV where available, and result; compare calibration by confidence bucket</x:v>
      </x:c>
      <x:c r="E28" t="str">
        <x:v>Calibration + ROI + CLV</x:v>
      </x:c>
      <x:c r="F28" t="n">
        <x:v>50</x:v>
      </x:c>
      <x:c r="G28" t="str">
        <x:v>ACTIVE - prospective</x:v>
      </x:c>
      <x:c r="H28" t="str">
        <x:v>Retain as a ranking feature only if 60–69%, 70–79%, etc. confidence buckets show sensible calibration and positive price-adjusted value</x:v>
      </x:c>
      <x:c r="I28" t="str">
        <x:v>Sep. 2 first source-only cluster: LAD 67%, MIL 66%, ARI 65%. Exact prices not supplied, so no ROI inference until prices are captured.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6" hidden="0" customWidth="1"/>
    <x:col min="4" max="4" width="20" hidden="0" customWidth="1"/>
    <x:col min="5" max="5" width="20" hidden="0" customWidth="1"/>
    <x:col min="6" max="6" width="40" hidden="0" customWidth="1"/>
    <x:col min="7" max="7" width="20" hidden="0" customWidth="1"/>
    <x:col min="8" max="8" width="38" hidden="0" customWidth="1"/>
  </x:cols>
  <x:sheetData>
    <x:row r="1">
      <x:c r="A1" s="138" t="str">
        <x:v>Date</x:v>
      </x:c>
      <x:c r="B1" s="138" t="str">
        <x:v>Player</x:v>
      </x:c>
      <x:c r="C1" s="138" t="str">
        <x:v>Observed Outcome</x:v>
      </x:c>
      <x:c r="D1" s="138" t="str">
        <x:v>Was Pregame Paper Pick?</x:v>
      </x:c>
      <x:c r="E1" s="138" t="str">
        <x:v>Can Count in Paper ROI?</x:v>
      </x:c>
      <x:c r="F1" s="138" t="str">
        <x:v>Why Logged</x:v>
      </x:c>
      <x:c r="G1" s="138" t="str">
        <x:v>Category</x:v>
      </x:c>
      <x:c r="H1" s="138" t="str">
        <x:v>Notes</x:v>
      </x:c>
    </x:row>
    <x:row r="2">
      <x:c r="A2" s="31" t="str">
        <x:v>2026-08-26</x:v>
      </x:c>
      <x:c r="B2" s="31" t="str">
        <x:v>Shohei Ohtani</x:v>
      </x:c>
      <x:c r="C2" s="31" t="str">
        <x:v>2+ TB</x:v>
      </x:c>
      <x:c r="D2" s="31" t="str">
        <x:v>No</x:v>
      </x:c>
      <x:c r="E2" s="31" t="str">
        <x:v>No</x:v>
      </x:c>
      <x:c r="F2" s="31" t="str">
        <x:v>Popular hitter outcome noted after games started</x:v>
      </x:c>
      <x:c r="G2" s="31" t="str">
        <x:v>Postgame benchmark</x:v>
      </x:c>
      <x:c r="H2" s="31" t="str">
        <x:v>Do not retroactively claim as a paper win.</x:v>
      </x:c>
    </x:row>
    <x:row r="3">
      <x:c r="A3" s="31" t="str">
        <x:v>2026-08-26</x:v>
      </x:c>
      <x:c r="B3" s="31" t="str">
        <x:v>Freddie Freeman</x:v>
      </x:c>
      <x:c r="C3" s="31" t="str">
        <x:v>2+ TB</x:v>
      </x:c>
      <x:c r="D3" s="31" t="str">
        <x:v>No</x:v>
      </x:c>
      <x:c r="E3" s="31" t="str">
        <x:v>No</x:v>
      </x:c>
      <x:c r="F3" s="31" t="str">
        <x:v>Popular hitter outcome noted after games started</x:v>
      </x:c>
      <x:c r="G3" s="31" t="str">
        <x:v>Postgame benchmark</x:v>
      </x:c>
      <x:c r="H3" s="31" t="str">
        <x:v>Do not retroactively claim as a paper win.</x:v>
      </x:c>
    </x:row>
    <x:row r="4">
      <x:c r="A4" s="31" t="str">
        <x:v>2026-08-26</x:v>
      </x:c>
      <x:c r="B4" s="31" t="str">
        <x:v>Mookie Betts</x:v>
      </x:c>
      <x:c r="C4" s="31" t="str">
        <x:v>2+ H+R+RBI</x:v>
      </x:c>
      <x:c r="D4" s="31" t="str">
        <x:v>No</x:v>
      </x:c>
      <x:c r="E4" s="31" t="str">
        <x:v>No</x:v>
      </x:c>
      <x:c r="F4" s="31" t="str">
        <x:v>Popular hitter outcome noted after games started</x:v>
      </x:c>
      <x:c r="G4" s="31" t="str">
        <x:v>Postgame benchmark</x:v>
      </x:c>
      <x:c r="H4" s="31" t="str">
        <x:v>Do not retroactively claim as a paper win.</x:v>
      </x:c>
    </x:row>
    <x:row r="5">
      <x:c r="A5" s="31" t="str">
        <x:v>2026-08-26</x:v>
      </x:c>
      <x:c r="B5" s="31" t="str">
        <x:v>Tommy Edman</x:v>
      </x:c>
      <x:c r="C5" s="31" t="str">
        <x:v>6 TB and 2+ H+R+RBI</x:v>
      </x:c>
      <x:c r="D5" s="31" t="str">
        <x:v>No</x:v>
      </x:c>
      <x:c r="E5" s="31" t="str">
        <x:v>No</x:v>
      </x:c>
      <x:c r="F5" s="31" t="str">
        <x:v>Popular hitter outcome noted after games started</x:v>
      </x:c>
      <x:c r="G5" s="31" t="str">
        <x:v>Postgame benchmark</x:v>
      </x:c>
      <x:c r="H5" s="31" t="str">
        <x:v>Extreme offensive performance; benchmark slate environment.</x:v>
      </x:c>
    </x:row>
    <x:row r="6">
      <x:c r="A6" s="31" t="str">
        <x:v>2026-08-26</x:v>
      </x:c>
      <x:c r="B6" s="31" t="str">
        <x:v>Drake Baldwin</x:v>
      </x:c>
      <x:c r="C6" s="31" t="str">
        <x:v>2+ TB and 2+ H+R+RBI</x:v>
      </x:c>
      <x:c r="D6" s="31" t="str">
        <x:v>No</x:v>
      </x:c>
      <x:c r="E6" s="31" t="str">
        <x:v>No</x:v>
      </x:c>
      <x:c r="F6" s="31" t="str">
        <x:v>Popular hitter outcome noted after games started</x:v>
      </x:c>
      <x:c r="G6" s="31" t="str">
        <x:v>Postgame benchmark</x:v>
      </x:c>
      <x:c r="H6" s="31" t="str">
        <x:v>Do not retroactively claim as a paper win.</x:v>
      </x:c>
    </x:row>
    <x:row r="7">
      <x:c r="A7" s="31" t="str">
        <x:v>2026-08-26</x:v>
      </x:c>
      <x:c r="B7" s="31" t="str">
        <x:v>Alec Burleson</x:v>
      </x:c>
      <x:c r="C7" s="31" t="str">
        <x:v>2+ H+R+RBI</x:v>
      </x:c>
      <x:c r="D7" s="31" t="str">
        <x:v>Yes</x:v>
      </x:c>
      <x:c r="E7" s="31" t="str">
        <x:v>Yes</x:v>
      </x:c>
      <x:c r="F7" s="31" t="str">
        <x:v>Prospectively logged EXP-03 paper pick</x:v>
      </x:c>
      <x:c r="G7" s="31" t="str">
        <x:v>Paper win</x:v>
      </x:c>
      <x:c r="H7" s="31" t="str">
        <x:v>Counts.</x:v>
      </x:c>
    </x:row>
    <x:row r="8">
      <x:c r="A8" s="31" t="str">
        <x:v>2026-08-26</x:v>
      </x:c>
      <x:c r="B8" s="31" t="str">
        <x:v>Jordan Walker</x:v>
      </x:c>
      <x:c r="C8" s="31" t="str">
        <x:v>2+ H+R+RBI and 2+ TB</x:v>
      </x:c>
      <x:c r="D8" s="31" t="str">
        <x:v>Yes (HRR)</x:v>
      </x:c>
      <x:c r="E8" s="31" t="str">
        <x:v>Yes for HRR only</x:v>
      </x:c>
      <x:c r="F8" s="31" t="str">
        <x:v>Prospectively logged EXP-03 HRR paper pick</x:v>
      </x:c>
      <x:c r="G8" s="31" t="str">
        <x:v>Paper win</x:v>
      </x:c>
      <x:c r="H8" s="31" t="str">
        <x:v>TB outcome is informative but not a pregame paper bet unless priced/logged.</x:v>
      </x:c>
    </x:row>
    <x:row r="9">
      <x:c r="A9" t="str">
        <x:v>2026-08-27</x:v>
      </x:c>
      <x:c r="B9" t="str">
        <x:v>Alyssa Thomas</x:v>
      </x:c>
      <x:c r="C9" t="str">
        <x:v>4 PTS / 10 REB / 8 AST = 22 PRA</x:v>
      </x:c>
      <x:c r="D9" t="str">
        <x:v>Yes (PRA + AST)</x:v>
      </x:c>
      <x:c r="E9" t="str">
        <x:v>Yes</x:v>
      </x:c>
      <x:c r="F9" t="str">
        <x:v>Paired market-expression result</x:v>
      </x:c>
      <x:c r="G9" t="str">
        <x:v>Paper split</x:v>
      </x:c>
      <x:c r="H9" t="str">
        <x:v>PRA O30.5 lost; AST O7.5 won exactly. Strong EXP-14 evidence.</x:v>
      </x:c>
    </x:row>
    <x:row r="10">
      <x:c r="A10" t="str">
        <x:v>2026-08-27</x:v>
      </x:c>
      <x:c r="B10" t="str">
        <x:v>Andrew Vaughn</x:v>
      </x:c>
      <x:c r="C10" t="str">
        <x:v>2 H / 0 R / 1 RBI = 3 HRR</x:v>
      </x:c>
      <x:c r="D10" t="str">
        <x:v>Yes</x:v>
      </x:c>
      <x:c r="E10" t="str">
        <x:v>Yes</x:v>
      </x:c>
      <x:c r="F10" t="str">
        <x:v>Original promo-control leg</x:v>
      </x:c>
      <x:c r="G10" t="str">
        <x:v>Paper win</x:v>
      </x:c>
      <x:c r="H10" t="str">
        <x:v>2+ HRR and 1+ hit both cleared.</x:v>
      </x:c>
    </x:row>
    <x:row r="11">
      <x:c r="A11" t="str">
        <x:v>2026-08-27</x:v>
      </x:c>
      <x:c r="B11" t="str">
        <x:v>Gabriel Moreno</x:v>
      </x:c>
      <x:c r="C11" t="str">
        <x:v>1 H / 1 R / 1 RBI = 3 HRR; HR</x:v>
      </x:c>
      <x:c r="D11" t="str">
        <x:v>Yes</x:v>
      </x:c>
      <x:c r="E11" t="str">
        <x:v>Yes</x:v>
      </x:c>
      <x:c r="F11" t="str">
        <x:v>Original promo-control leg</x:v>
      </x:c>
      <x:c r="G11" t="str">
        <x:v>Paper win</x:v>
      </x:c>
      <x:c r="H11" t="str">
        <x:v>2+ HRR cleared; original Walker/Vaughn/Moreno control went 3/3.</x:v>
      </x:c>
    </x:row>
    <x:row r="12">
      <x:c r="A12" t="str">
        <x:v>2026-08-27</x:v>
      </x:c>
      <x:c r="B12" t="str">
        <x:v>Alec Burleson</x:v>
      </x:c>
      <x:c r="C12" t="str">
        <x:v>2-for-4, 2 R, 1 RBI</x:v>
      </x:c>
      <x:c r="D12" t="str">
        <x:v>Yes</x:v>
      </x:c>
      <x:c r="E12" t="str">
        <x:v>Yes</x:v>
      </x:c>
      <x:c r="F12" t="str">
        <x:v>Platoon-vs-recent-form benchmark</x:v>
      </x:c>
      <x:c r="G12" t="str">
        <x:v>Paper win</x:v>
      </x:c>
      <x:c r="H12" t="str">
        <x:v>Downgrade was not a binary veto; source hit leg won.</x:v>
      </x:c>
    </x:row>
    <x:row r="13">
      <x:c r="A13" t="str">
        <x:v>2026-08-27</x:v>
      </x:c>
      <x:c r="B13" t="str">
        <x:v>Jeremy Peña</x:v>
      </x:c>
      <x:c r="C13" t="str">
        <x:v>HR</x:v>
      </x:c>
      <x:c r="D13" t="str">
        <x:v>Yes</x:v>
      </x:c>
      <x:c r="E13" t="str">
        <x:v>Yes</x:v>
      </x:c>
      <x:c r="F13" t="str">
        <x:v>Longshot source-model benchmark</x:v>
      </x:c>
      <x:c r="G13" t="str">
        <x:v>Paper win</x:v>
      </x:c>
      <x:c r="H13" t="str">
        <x:v>+591 source-model arm hit despite Gerrit Cole matchup downgrade.</x:v>
      </x:c>
    </x:row>
    <x:row r="14">
      <x:c r="A14" t="str">
        <x:v>2026-08-27</x:v>
      </x:c>
      <x:c r="B14" t="str">
        <x:v>Jacob Misiorowski</x:v>
      </x:c>
      <x:c r="C14" t="str">
        <x:v>6 Ks in 6 IP</x:v>
      </x:c>
      <x:c r="D14" t="str">
        <x:v>Yes (both sides)</x:v>
      </x:c>
      <x:c r="E14" t="str">
        <x:v>Yes</x:v>
      </x:c>
      <x:c r="F14" t="str">
        <x:v>Threshold ladder benchmark</x:v>
      </x:c>
      <x:c r="G14" t="str">
        <x:v>Paired split</x:v>
      </x:c>
      <x:c r="H14" t="str">
        <x:v>O8.5 lost; U8.5 won. 6+ floor cleared but was unusably expensive.</x:v>
      </x:c>
    </x:row>
    <x:row r="15">
      <x:c r="A15" t="str">
        <x:v>2026-08-27</x:v>
      </x:c>
      <x:c r="B15" t="str">
        <x:v>Spencer Arrighetti</x:v>
      </x:c>
      <x:c r="C15" t="str">
        <x:v>4 IP / 12 outs / 79 pitches / 4 R</x:v>
      </x:c>
      <x:c r="D15" t="str">
        <x:v>Yes</x:v>
      </x:c>
      <x:c r="E15" t="str">
        <x:v>Yes</x:v>
      </x:c>
      <x:c r="F15" t="str">
        <x:v>Soft-workload benchmark</x:v>
      </x:c>
      <x:c r="G15" t="str">
        <x:v>Paper win</x:v>
      </x:c>
      <x:c r="H15" t="str">
        <x:v>Under 13.5 outs won, but removal also reflected performance; no hard-cap conclusion.</x:v>
      </x:c>
    </x:row>
    <x:row r="16">
      <x:c r="A16" t="str">
        <x:v>2026-08-27</x:v>
      </x:c>
      <x:c r="B16" t="str">
        <x:v>Landen Roupp</x:v>
      </x:c>
      <x:c r="C16" t="str">
        <x:v>5 IP / 3 Ks</x:v>
      </x:c>
      <x:c r="D16" t="str">
        <x:v>Yes</x:v>
      </x:c>
      <x:c r="E16" t="str">
        <x:v>Yes</x:v>
      </x:c>
      <x:c r="F16" t="str">
        <x:v>Opponent-K-profile benchmark</x:v>
      </x:c>
      <x:c r="G16" t="str">
        <x:v>Paper loss</x:v>
      </x:c>
      <x:c r="H16" t="str">
        <x:v>O4.5 K lost; supports respecting low-K opponent context.</x:v>
      </x:c>
    </x:row>
    <x:row r="17">
      <x:c r="A17" t="str">
        <x:v>2026-08-27</x:v>
      </x:c>
      <x:c r="B17" t="str">
        <x:v>COL/WSH F5</x:v>
      </x:c>
      <x:c r="C17" t="str">
        <x:v>WSH 4 - COL 1 after 5</x:v>
      </x:c>
      <x:c r="D17" t="str">
        <x:v>Yes (paired markets)</x:v>
      </x:c>
      <x:c r="E17" t="str">
        <x:v>Yes</x:v>
      </x:c>
      <x:c r="F17" t="str">
        <x:v>Market-expression benchmark</x:v>
      </x:c>
      <x:c r="G17" t="str">
        <x:v>Paired split</x:v>
      </x:c>
      <x:c r="H17" t="str">
        <x:v>F5 O4.5 won; both teams 2+ F5 lost.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24" hidden="0" customWidth="1"/>
    <x:col min="4" max="4" width="48" hidden="0" customWidth="1"/>
    <x:col min="5" max="5" width="16" hidden="0" customWidth="1"/>
    <x:col min="6" max="6" width="36" hidden="0" customWidth="1"/>
  </x:cols>
  <x:sheetData>
    <x:row r="1">
      <x:c r="A1" s="149" t="str">
        <x:v>Aug. 26, 2026 — EOD Analytical Review</x:v>
      </x:c>
      <x:c r="B1" s="31" t="str"/>
      <x:c r="C1" s="31" t="str"/>
      <x:c r="D1" s="31" t="str"/>
      <x:c r="E1" s="31" t="str"/>
      <x:c r="F1" s="31" t="str"/>
    </x:row>
    <x:row r="2">
      <x:c r="A2" s="150" t="str">
        <x:v>Finding</x:v>
      </x:c>
      <x:c r="B2" s="150" t="str">
        <x:v>Evidence</x:v>
      </x:c>
      <x:c r="C2" s="150" t="str">
        <x:v>Classification</x:v>
      </x:c>
      <x:c r="D2" s="150" t="str">
        <x:v>System Change</x:v>
      </x:c>
      <x:c r="E2" s="150" t="str">
        <x:v>Confidence</x:v>
      </x:c>
      <x:c r="F2" s="150" t="str">
        <x:v>Next Test</x:v>
      </x:c>
    </x:row>
    <x:row r="3">
      <x:c r="A3" s="31" t="str">
        <x:v>Singles materially outperformed parlays</x:v>
      </x:c>
      <x:c r="B3" s="31" t="str">
        <x:v>Singles 3-1, +$1.51; parlays 0-2, -$2.00</x:v>
      </x:c>
      <x:c r="C3" s="31" t="str">
        <x:v>Ticket construction</x:v>
      </x:c>
      <x:c r="D3" s="31" t="str">
        <x:v>Keep normal card concentrated in singles/2-legs; promo parlays only when required</x:v>
      </x:c>
      <x:c r="E3" s="31" t="str">
        <x:v>High</x:v>
      </x:c>
      <x:c r="F3" s="31" t="str">
        <x:v>Track 50+ tickets by leg count</x:v>
      </x:c>
    </x:row>
    <x:row r="4">
      <x:c r="A4" s="31" t="str">
        <x:v>Market expression remains a bigger issue than player thesis</x:v>
      </x:c>
      <x:c r="B4" s="31" t="str">
        <x:v>Yordan got a hit but missed 2+ TB by one base; Sal HRR cleared</x:v>
      </x:c>
      <x:c r="C4" s="31" t="str">
        <x:v>Threshold / market conversion</x:v>
      </x:c>
      <x:c r="D4" s="31" t="str">
        <x:v>For broad hitter edges compare 1+ hit, 1+/2+ HRR, 2+ TB before selection</x:v>
      </x:c>
      <x:c r="E4" s="31" t="str">
        <x:v>Medium-High</x:v>
      </x:c>
      <x:c r="F4" s="31" t="str">
        <x:v>EXP-03/06 paired markets</x:v>
      </x:c>
    </x:row>
    <x:row r="5">
      <x:c r="A5" s="31" t="str">
        <x:v>Composite HRR produced clean hitter wins</x:v>
      </x:c>
      <x:c r="B5" s="31" t="str">
        <x:v>Sal real 1+ HRR; Burleson and Walker paper 2+ HRR all cleared</x:v>
      </x:c>
      <x:c r="C5" s="31" t="str">
        <x:v>Market family</x:v>
      </x:c>
      <x:c r="D5" s="31" t="str">
        <x:v>Increase HRR testing; do not assume TB is best hitter expression</x:v>
      </x:c>
      <x:c r="E5" s="31" t="str">
        <x:v>Medium</x:v>
      </x:c>
      <x:c r="F5" s="31" t="str">
        <x:v>Build 75+ paired HRR/TB observations</x:v>
      </x:c>
    </x:row>
    <x:row r="6">
      <x:c r="A6" s="31" t="str">
        <x:v>Workload model can distinguish strong vs weak signals</x:v>
      </x:c>
      <x:c r="B6" s="31" t="str">
        <x:v>Woo U17.5 won at 12 outs; Dobnak under lost at 18</x:v>
      </x:c>
      <x:c r="C6" s="31" t="str">
        <x:v>Feature weighting</x:v>
      </x:c>
      <x:c r="D6" s="31" t="str">
        <x:v>Weight explicit injury/leash/return context above generic recent IP/pitch-count trends</x:v>
      </x:c>
      <x:c r="E6" s="31" t="str">
        <x:v>Medium</x:v>
      </x:c>
      <x:c r="F6" s="31" t="str">
        <x:v>Separate 'hard leash' vs 'soft historical workload' features</x:v>
      </x:c>
    </x:row>
    <x:row r="7">
      <x:c r="A7" s="31" t="str">
        <x:v>Tighter Dobnak threshold was not the mistake</x:v>
      </x:c>
      <x:c r="B7" s="31" t="str">
        <x:v>U15.5 and paper U16.5 both lost because Dobnak got 18 outs</x:v>
      </x:c>
      <x:c r="C7" s="31" t="str">
        <x:v>Handicap error</x:v>
      </x:c>
      <x:c r="D7" s="31" t="str">
        <x:v>Do not blame price/threshold when adjacent safer line also loses</x:v>
      </x:c>
      <x:c r="E7" s="31" t="str">
        <x:v>High</x:v>
      </x:c>
      <x:c r="F7" s="31" t="str">
        <x:v>Maintain paired threshold counterfactuals</x:v>
      </x:c>
    </x:row>
    <x:row r="8">
      <x:c r="A8" s="31" t="str">
        <x:v>Soccer corner market selection missed</x:v>
      </x:c>
      <x:c r="B8" s="31" t="str">
        <x:v>RMA team O6.5 corners lost; O10.5 total corners pregame alt won</x:v>
      </x:c>
      <x:c r="C8" s="31" t="str">
        <x:v>Market conversion</x:v>
      </x:c>
      <x:c r="D8" s="31" t="str">
        <x:v>Test total corners vs favorite-team corners instead of assuming favorite control = team corners</x:v>
      </x:c>
      <x:c r="E8" s="31" t="str">
        <x:v>Low-Medium</x:v>
      </x:c>
      <x:c r="F8" s="31" t="str">
        <x:v>EXP-13 paired corner markets</x:v>
      </x:c>
    </x:row>
    <x:row r="9">
      <x:c r="A9" s="31" t="str">
        <x:v>Boosts added value when attached to good underlying bet</x:v>
      </x:c>
      <x:c r="B9" s="31" t="str">
        <x:v>Luzardo 8+ won at boosted -114; CLE promo ML won without trigger</x:v>
      </x:c>
      <x:c r="C9" s="31" t="str">
        <x:v>Promo usage</x:v>
      </x:c>
      <x:c r="D9" s="31" t="str">
        <x:v>Grade underlying bet and promo benefit separately</x:v>
      </x:c>
      <x:c r="E9" s="31" t="str">
        <x:v>Medium</x:v>
      </x:c>
      <x:c r="F9" s="31" t="str">
        <x:v>Track promo incremental P&amp;L / trigger rates</x:v>
      </x:c>
    </x:row>
    <x:row r="10">
      <x:c r="A10" s="31" t="str">
        <x:v>Paper results must be benchmarked against slate environment</x:v>
      </x:c>
      <x:c r="B10" s="31" t="str">
        <x:v>Several pregame hitter papers won on an extremely hitter-friendly day</x:v>
      </x:c>
      <x:c r="C10" s="31" t="str">
        <x:v>Backtest control</x:v>
      </x:c>
      <x:c r="D10" s="31" t="str">
        <x:v>Compare paper hit rate to slate/popular-hitter baseline, not raw hit rate alone</x:v>
      </x:c>
      <x:c r="E10" s="31" t="str">
        <x:v>High</x:v>
      </x:c>
      <x:c r="F10" s="31" t="str">
        <x:v>Postgame Universe benchmark</x:v>
      </x:c>
    </x:row>
    <x:row r="11">
      <x:c r="A11" t="str">
        <x:v>Aug. 27, 2026 — EOD Analytical Review</x:v>
      </x:c>
      <x:c r="B11"/>
      <x:c r="C11"/>
      <x:c r="D11"/>
      <x:c r="E11"/>
      <x:c r="F11"/>
    </x:row>
    <x:row r="12">
      <x:c r="A12" t="str">
        <x:v>Finding</x:v>
      </x:c>
      <x:c r="B12" t="str">
        <x:v>Evidence</x:v>
      </x:c>
      <x:c r="C12" t="str">
        <x:v>Classification</x:v>
      </x:c>
      <x:c r="D12" t="str">
        <x:v>System Change</x:v>
      </x:c>
      <x:c r="E12" t="str">
        <x:v>Confidence</x:v>
      </x:c>
      <x:c r="F12" t="str">
        <x:v>Next Test</x:v>
      </x:c>
    </x:row>
    <x:row r="13">
      <x:c r="A13" t="str">
        <x:v>Perfect ticket day was driven by perfect leg selection</x:v>
      </x:c>
      <x:c r="B13" t="str">
        <x:v>4-0 tickets and 8-0 legs; both parlays won because every component won</x:v>
      </x:c>
      <x:c r="C13" t="str">
        <x:v>Process / construction</x:v>
      </x:c>
      <x:c r="D13" t="str">
        <x:v>Do not infer that parlays are now superior; keep grading legs independently</x:v>
      </x:c>
      <x:c r="E13" t="str">
        <x:v>High</x:v>
      </x:c>
      <x:c r="F13" t="str">
        <x:v>Track next 50+ tickets by leg count and component hit rate</x:v>
      </x:c>
    </x:row>
    <x:row r="14">
      <x:c r="A14" t="str">
        <x:v>Threshold discipline directly saved a real bet</x:v>
      </x:c>
      <x:c r="B14" t="str">
        <x:v>Thomas finished exactly 8 AST: real 8+ won, paper 9+ +112 lost</x:v>
      </x:c>
      <x:c r="C14" t="str">
        <x:v>Threshold selection</x:v>
      </x:c>
      <x:c r="D14" t="str">
        <x:v>Prefer the lowest threshold that preserves edge/boost utility; do not chase plus money</x:v>
      </x:c>
      <x:c r="E14" t="str">
        <x:v>High</x:v>
      </x:c>
      <x:c r="F14" t="str">
        <x:v>EXP-06 paired thresholds</x:v>
      </x:c>
    </x:row>
    <x:row r="15">
      <x:c r="A15" t="str">
        <x:v>HRR continues to be a strong broad-edge expression</x:v>
      </x:c>
      <x:c r="B15" t="str">
        <x:v>Walker=2 HRR exactly; Witt=6; Caglianone=14; Vaughn=3; Moreno=3</x:v>
      </x:c>
      <x:c r="C15" t="str">
        <x:v>Market conversion</x:v>
      </x:c>
      <x:c r="D15" t="str">
        <x:v>Keep HRR high in hitter-market comparison, but price against hit/TB each time</x:v>
      </x:c>
      <x:c r="E15" t="str">
        <x:v>Medium-High</x:v>
      </x:c>
      <x:c r="F15" t="str">
        <x:v>EXP-03 75+ paired observations</x:v>
      </x:c>
    </x:row>
    <x:row r="16">
      <x:c r="A16" t="str">
        <x:v>Original MLB selection quality was also strong</x:v>
      </x:c>
      <x:c r="B16" t="str">
        <x:v>Walker/Vaughn/Moreno control went 3/3; actual Walker/Witt/Caglianone went 3/3</x:v>
      </x:c>
      <x:c r="C16" t="str">
        <x:v>Adjustment audit</x:v>
      </x:c>
      <x:c r="D16" t="str">
        <x:v>Credit the change for promo-valid SGPx structure, not for improving the result</x:v>
      </x:c>
      <x:c r="E16" t="str">
        <x:v>High</x:v>
      </x:c>
      <x:c r="F16" t="str">
        <x:v>Preserve ORIGINAL vs ADJUSTED controls every day</x:v>
      </x:c>
    </x:row>
    <x:row r="17">
      <x:c r="A17" t="str">
        <x:v>Pitcher outs thesis worked, but margin matters</x:v>
      </x:c>
      <x:c r="B17" t="str">
        <x:v>Hughes ended at exactly 15 outs on 95 pitches; Arrighetti paper ended at 12 outs on 79 pitches</x:v>
      </x:c>
      <x:c r="C17" t="str">
        <x:v>Workload / threshold</x:v>
      </x:c>
      <x:c r="D17" t="str">
        <x:v>Separate five-inning ceiling and pitch-cost signals from explicit hard caps</x:v>
      </x:c>
      <x:c r="E17" t="str">
        <x:v>Medium</x:v>
      </x:c>
      <x:c r="F17" t="str">
        <x:v>EXP-01 hard vs soft workload buckets</x:v>
      </x:c>
    </x:row>
    <x:row r="18">
      <x:c r="A18" t="str">
        <x:v>Aggressive K thresholds were correctly avoided</x:v>
      </x:c>
      <x:c r="B18" t="str">
        <x:v>Misiorowski finished 6 K: O8.5 lost/U8.5 won; Roupp O4.5 lost with 3 K</x:v>
      </x:c>
      <x:c r="C18" t="str">
        <x:v>Pitcher K / threshold</x:v>
      </x:c>
      <x:c r="D18" t="str">
        <x:v>Keep high-threshold K overs price-sensitive; do not use tiny-payout K floors as glue</x:v>
      </x:c>
      <x:c r="E18" t="str">
        <x:v>Medium-High</x:v>
      </x:c>
      <x:c r="F18" t="str">
        <x:v>EXP-02 threshold ladder</x:v>
      </x:c>
    </x:row>
    <x:row r="19">
      <x:c r="A19" t="str">
        <x:v>Broader F5 environment expression beat restrictive condition</x:v>
      </x:c>
      <x:c r="B19" t="str">
        <x:v>COL/WSH F5 ended 4-1: O4.5 won, both teams 2+ lost</x:v>
      </x:c>
      <x:c r="C19" t="str">
        <x:v>Market expression</x:v>
      </x:c>
      <x:c r="D19" t="str">
        <x:v>Prefer broad F5 total when thesis is 'runs' unless both offenses independently qualify</x:v>
      </x:c>
      <x:c r="E19" t="str">
        <x:v>Medium</x:v>
      </x:c>
      <x:c r="F19" t="str">
        <x:v>EXP-15 paired F5 markets</x:v>
      </x:c>
    </x:row>
    <x:row r="20">
      <x:c r="A20" t="str">
        <x:v>Independent audit must not become automatic source rejection</x:v>
      </x:c>
      <x:c r="B20" t="str">
        <x:v>Burleson 1+ hit, Barcelona 7+ SOT and Peña HR all won despite our downgrades</x:v>
      </x:c>
      <x:c r="C20" t="str">
        <x:v>Source evaluation</x:v>
      </x:c>
      <x:c r="D20" t="str">
        <x:v>Use source ideas as priors; downgrade probability/price, preserve original control</x:v>
      </x:c>
      <x:c r="E20" t="str">
        <x:v>High</x:v>
      </x:c>
      <x:c r="F20" t="str">
        <x:v>Track sourced vs discovered vs hybrid with closing prices</x:v>
      </x:c>
    </x:row>
    <x:row r="21">
      <x:c r="A21" t="str">
        <x:v>Total-corners approach produced another clean win</x:v>
      </x:c>
      <x:c r="B21" t="str">
        <x:v>Barcelona/Athletic had 17 corners (12-5); O9.5 cleared by 7.5</x:v>
      </x:c>
      <x:c r="C21" t="str">
        <x:v>Soccer market conversion</x:v>
      </x:c>
      <x:c r="D21" t="str">
        <x:v>Continue testing total corners vs favorite-team corners; do not claim superiority yet</x:v>
      </x:c>
      <x:c r="E21" t="str">
        <x:v>Medium</x:v>
      </x:c>
      <x:c r="F21" t="str">
        <x:v>EXP-13 paired corner markets</x:v>
      </x:c>
    </x:row>
    <x:row r="22">
      <x:c r="A22" t="str">
        <x:v>Boosts amplified qualified bets instead of creating filler</x:v>
      </x:c>
      <x:c r="B22" t="str">
        <x:v>Incremental boost value ≈ $2.93 on the day; MLB +378→+568, Barca +325→+407, Thomas -147→-112</x:v>
      </x:c>
      <x:c r="C22" t="str">
        <x:v>Promo usage</x:v>
      </x:c>
      <x:c r="D22" t="str">
        <x:v>Continue minimum-leg, pre-qualified promo construction</x:v>
      </x:c>
      <x:c r="E22" t="str">
        <x:v>High</x:v>
      </x:c>
      <x:c r="F22" t="str">
        <x:v>Track raw-vs-boost incremental P/L</x:v>
      </x:c>
    </x:row>
    <x:row r="23">
      <x:c r="A23" t="str">
        <x:v>Bankroll should not scale after one perfect day</x:v>
      </x:c>
      <x:c r="B23" t="str">
        <x:v>Bankroll 6.65→18.09 (+11.44); one-day ROI on $4 risk was 286%</x:v>
      </x:c>
      <x:c r="C23" t="str">
        <x:v>Bankroll control</x:v>
      </x:c>
      <x:c r="D23" t="str">
        <x:v>Keep $1 base unit today; no win-chasing or automatic stake increase</x:v>
      </x:c>
      <x:c r="E23" t="str">
        <x:v>High</x:v>
      </x:c>
      <x:c r="F23" t="str">
        <x:v>Only revisit unit sizing after larger sample / bankroll milestone</x:v>
      </x:c>
    </x:row>
    <x:row r="24">
      <x:c r="A24" s="228" t="str">
        <x:v>Aug. 28, 2026 — EOD Analytical Review</x:v>
      </x:c>
      <x:c r="B24" s="228"/>
      <x:c r="C24" s="228"/>
      <x:c r="D24" s="228"/>
      <x:c r="E24" s="228"/>
      <x:c r="F24" s="228"/>
    </x:row>
    <x:row r="25">
      <x:c r="A25" s="227" t="str">
        <x:v>Finding</x:v>
      </x:c>
      <x:c r="B25" s="227" t="str">
        <x:v>Evidence</x:v>
      </x:c>
      <x:c r="C25" s="227" t="str">
        <x:v>Classification</x:v>
      </x:c>
      <x:c r="D25" s="227" t="str">
        <x:v>System Change</x:v>
      </x:c>
      <x:c r="E25" s="227" t="str">
        <x:v>Confidence</x:v>
      </x:c>
      <x:c r="F25" s="227" t="str">
        <x:v>Next Test</x:v>
      </x:c>
    </x:row>
    <x:row r="26">
      <x:c r="A26" s="31" t="str">
        <x:v>Good leg rate did not translate to ticket rate</x:v>
      </x:c>
      <x:c r="B26" s="31" t="str">
        <x:v>Real legs 6-4 (60%), tickets 1-3 (25%)</x:v>
      </x:c>
      <x:c r="C26" s="31" t="str">
        <x:v>Ticket construction</x:v>
      </x:c>
      <x:c r="D26" s="31" t="str">
        <x:v>Continue shadow singles and all 2-leg subsets; compare ROI/drawdown to 3-leg tickets</x:v>
      </x:c>
      <x:c r="E26" s="31" t="str">
        <x:v>High</x:v>
      </x:c>
      <x:c r="F26" s="31" t="str">
        <x:v>EXP-09 / EXP-20</x:v>
      </x:c>
    </x:row>
    <x:row r="27">
      <x:c r="A27" s="31" t="str">
        <x:v>Soccer market conversion directly added value</x:v>
      </x:c>
      <x:c r="B27" s="31" t="str">
        <x:v>Actual Lille/PSG BTTS won in 2-2; original PSG ML control lost</x:v>
      </x:c>
      <x:c r="C27" s="31" t="str">
        <x:v>Market expression / adjustment audit</x:v>
      </x:c>
      <x:c r="D27" s="31" t="str">
        <x:v>Preserve originals and credit changes only when replaced market is actually inferior</x:v>
      </x:c>
      <x:c r="E27" s="31" t="str">
        <x:v>High</x:v>
      </x:c>
      <x:c r="F27" s="31" t="str">
        <x:v>Original-vs-adjusted controls</x:v>
      </x:c>
    </x:row>
    <x:row r="28">
      <x:c r="A28" s="31" t="str">
        <x:v>Broad Braves contact thesis was right; Olson concentration was wrong</x:v>
      </x:c>
      <x:c r="B28" s="31" t="str">
        <x:v>Sugano allowed 10 hits; Olson had only 1 TB/no HR</x:v>
      </x:c>
      <x:c r="C28" s="31" t="str">
        <x:v>Player concentration / market expression</x:v>
      </x:c>
      <x:c r="D28" s="31" t="str">
        <x:v>Prefer broad pitcher/team-fade expressions when team evidence is stronger than one hitter's edge</x:v>
      </x:c>
      <x:c r="E28" s="31" t="str">
        <x:v>High</x:v>
      </x:c>
      <x:c r="F28" s="31" t="str">
        <x:v>EXP-03 / EXP-20</x:v>
      </x:c>
    </x:row>
    <x:row r="29">
      <x:c r="A29" s="31" t="str">
        <x:v>Cease and Sugano show why shadow singles matter</x:v>
      </x:c>
      <x:c r="B29" s="31" t="str">
        <x:v>Both standalone legs won; actual MLB 3-leg lost on Olson TB</x:v>
      </x:c>
      <x:c r="C29" s="31" t="str">
        <x:v>Singles vs parlay</x:v>
      </x:c>
      <x:c r="D29" s="31" t="str">
        <x:v>Use shadow singles to measure construction loss without doubling real exposure</x:v>
      </x:c>
      <x:c r="E29" s="31" t="str">
        <x:v>High</x:v>
      </x:c>
      <x:c r="F29" s="31" t="str">
        <x:v>EXP-20</x:v>
      </x:c>
    </x:row>
    <x:row r="30">
      <x:c r="A30" s="31" t="str">
        <x:v>WNBA final-status gate failed</x:v>
      </x:c>
      <x:c r="B30" s="31" t="str">
        <x:v>Young finished 4 REB; Wilson was active after vacancy-based thesis</x:v>
      </x:c>
      <x:c r="C30" s="31" t="str">
        <x:v>Availability / role</x:v>
      </x:c>
      <x:c r="D30" s="31" t="str">
        <x:v>Mandatory final injury-status re-grade when prop edge depends on another player's absence</x:v>
      </x:c>
      <x:c r="E30" s="31" t="str">
        <x:v>High</x:v>
      </x:c>
      <x:c r="F30" s="31" t="str">
        <x:v>EXP-12</x:v>
      </x:c>
    </x:row>
    <x:row r="31">
      <x:c r="A31" s="31" t="str">
        <x:v>Expensive floor glue is not free safety</x:v>
      </x:c>
      <x:c r="B31" s="31" t="str">
        <x:v>Hamby 15+ P+R at -498 lost with 13; Nneka 6+ REB paper lost</x:v>
      </x:c>
      <x:c r="C31" s="31" t="str">
        <x:v>Threshold / glue risk</x:v>
      </x:c>
      <x:c r="D31" s="31" t="str">
        <x:v>Evaluate low floors on role/EV, not safety appearance</x:v>
      </x:c>
      <x:c r="E31" s="31" t="str">
        <x:v>High</x:v>
      </x:c>
      <x:c r="F31" s="31" t="str">
        <x:v>EXP-06 / EXP-19</x:v>
      </x:c>
    </x:row>
    <x:row r="32">
      <x:c r="A32" s="31" t="str">
        <x:v>Raw recent streaks were mixed</x:v>
      </x:c>
      <x:c r="B32" s="31" t="str">
        <x:v>Peters 2+ TB lost; Nneka 6+ REB lost; Howard 15+ PTS and Gray 2+ AST won</x:v>
      </x:c>
      <x:c r="C32" s="31" t="str">
        <x:v>Recent-form weighting</x:v>
      </x:c>
      <x:c r="D32" s="31" t="str">
        <x:v>Keep L5/L10 as a feature, not a decision rule</x:v>
      </x:c>
      <x:c r="E32" s="31" t="str">
        <x:v>Medium-High</x:v>
      </x:c>
      <x:c r="F32" s="31" t="str">
        <x:v>EXP-04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34" hidden="0" customWidth="1"/>
    <x:col min="4" max="4" width="14" hidden="0" customWidth="1"/>
    <x:col min="5" max="5" width="42" hidden="0" customWidth="1"/>
    <x:col min="6" max="6" width="18" hidden="0" customWidth="1"/>
    <x:col min="7" max="7" width="48" hidden="0" customWidth="1"/>
    <x:col min="8" max="8" width="12" hidden="0" customWidth="1"/>
  </x:cols>
  <x:sheetData>
    <x:row r="1">
      <x:c r="A1" s="162" t="str">
        <x:v>Aug. 26 Prospective Paper Audit — settled through ~10:20 PM ET</x:v>
      </x:c>
      <x:c r="B1" s="162" t="str"/>
      <x:c r="C1" s="162" t="str"/>
      <x:c r="D1" s="162" t="str"/>
      <x:c r="E1" s="162" t="str"/>
      <x:c r="F1" s="162" t="str"/>
      <x:c r="G1" s="162" t="str"/>
      <x:c r="H1" s="162" t="str"/>
    </x:row>
    <x:row r="2">
      <x:c r="A2" s="163" t="str">
        <x:v>Paper Test</x:v>
      </x:c>
      <x:c r="B2" s="163" t="str">
        <x:v>Result</x:v>
      </x:c>
      <x:c r="C2" s="163" t="str">
        <x:v>Outcome Detail</x:v>
      </x:c>
      <x:c r="D2" s="163" t="str">
        <x:v>Experiment</x:v>
      </x:c>
      <x:c r="E2" s="163" t="str">
        <x:v>What It Says</x:v>
      </x:c>
      <x:c r="F2" s="163" t="str">
        <x:v>Counts in Paper Record?</x:v>
      </x:c>
      <x:c r="G2" s="163" t="str">
        <x:v>Source</x:v>
      </x:c>
      <x:c r="H2" s="163" t="str">
        <x:v>Status</x:v>
      </x:c>
    </x:row>
    <x:row r="3">
      <x:c r="A3" s="31" t="str">
        <x:v>Eduardo Rodríguez U4.5 Ks</x:v>
      </x:c>
      <x:c r="B3" s="31" t="str">
        <x:v>Loss</x:v>
      </x:c>
      <x:c r="C3" s="31" t="str">
        <x:v>9 Ks in 7.0 IP</x:v>
      </x:c>
      <x:c r="D3" s="31" t="str">
        <x:v>EXP-02</x:v>
      </x:c>
      <x:c r="E3" s="31" t="str">
        <x:v>Strong negative for routine K unders</x:v>
      </x:c>
      <x:c r="F3" s="31" t="str">
        <x:v>Yes</x:v>
      </x:c>
      <x:c r="G3" s="31" t="str">
        <x:v>https://www.reuters.com/sports/baseball/eduardo-rodriguez-helps-diamondbacks-blank-cubs--flm-2026-08-26/</x:v>
      </x:c>
      <x:c r="H3" s="31" t="str">
        <x:v>Settled</x:v>
      </x:c>
    </x:row>
    <x:row r="4">
      <x:c r="A4" s="31" t="str">
        <x:v>Burleson 2+ HRR</x:v>
      </x:c>
      <x:c r="B4" s="31" t="str">
        <x:v>Win</x:v>
      </x:c>
      <x:c r="C4" s="31" t="str">
        <x:v>Cleared 2+ H+R+RBI</x:v>
      </x:c>
      <x:c r="D4" s="31" t="str">
        <x:v>EXP-03</x:v>
      </x:c>
      <x:c r="E4" s="31" t="str">
        <x:v>Positive HRR/composite-market observation</x:v>
      </x:c>
      <x:c r="F4" s="31" t="str">
        <x:v>Yes</x:v>
      </x:c>
      <x:c r="G4" s="31" t="str">
        <x:v>User-confirmed live result</x:v>
      </x:c>
      <x:c r="H4" s="31" t="str">
        <x:v>Settled</x:v>
      </x:c>
    </x:row>
    <x:row r="5">
      <x:c r="A5" s="31" t="str">
        <x:v>Source 3-leg NRFI</x:v>
      </x:c>
      <x:c r="B5" s="31" t="str">
        <x:v>Loss</x:v>
      </x:c>
      <x:c r="C5" s="31" t="str">
        <x:v>CIN/SF W; PHI/SEA L; BOS/MIA L</x:v>
      </x:c>
      <x:c r="D5" s="31" t="str">
        <x:v>EXP-10</x:v>
      </x:c>
      <x:c r="E5" s="31" t="str">
        <x:v>3-leg NRFI construction again fragile</x:v>
      </x:c>
      <x:c r="F5" s="31" t="str">
        <x:v>Yes</x:v>
      </x:c>
      <x:c r="G5" s="31" t="str">
        <x:v>MLB game stories for CIN/SF, PHI/SEA, BOS/MIA</x:v>
      </x:c>
      <x:c r="H5" s="31" t="str">
        <x:v>Settled</x:v>
      </x:c>
    </x:row>
    <x:row r="6">
      <x:c r="A6" s="31" t="str">
        <x:v>Jordan Walker 2+ HRR</x:v>
      </x:c>
      <x:c r="B6" s="31" t="str">
        <x:v>Win</x:v>
      </x:c>
      <x:c r="C6" s="31" t="str">
        <x:v>Cleared 2+ HRR; also 2+ TB</x:v>
      </x:c>
      <x:c r="D6" s="31" t="str">
        <x:v>EXP-03</x:v>
      </x:c>
      <x:c r="E6" s="31" t="str">
        <x:v>Positive HRR market-conversion observation</x:v>
      </x:c>
      <x:c r="F6" s="31" t="str">
        <x:v>Yes</x:v>
      </x:c>
      <x:c r="G6" s="31" t="str">
        <x:v>User-confirmed live result</x:v>
      </x:c>
      <x:c r="H6" s="31" t="str">
        <x:v>Settled</x:v>
      </x:c>
    </x:row>
    <x:row r="7">
      <x:c r="A7" s="31" t="str">
        <x:v>Pete Alonso 2+ TB</x:v>
      </x:c>
      <x:c r="B7" s="31" t="str">
        <x:v>Win</x:v>
      </x:c>
      <x:c r="C7" s="31" t="str">
        <x:v>Homer cleared TB</x:v>
      </x:c>
      <x:c r="D7" s="31" t="str">
        <x:v>EXP-04</x:v>
      </x:c>
      <x:c r="E7" s="31" t="str">
        <x:v>Recent-form arm wins one observation</x:v>
      </x:c>
      <x:c r="F7" s="31" t="str">
        <x:v>Yes</x:v>
      </x:c>
      <x:c r="G7" s="31" t="str">
        <x:v>User-confirmed live result</x:v>
      </x:c>
      <x:c r="H7" s="31" t="str">
        <x:v>Settled</x:v>
      </x:c>
    </x:row>
    <x:row r="8">
      <x:c r="A8" s="31" t="str">
        <x:v>F5 source quartet</x:v>
      </x:c>
      <x:c r="B8" s="31" t="str">
        <x:v>Loss</x:v>
      </x:c>
      <x:c r="C8" s="31" t="str">
        <x:v>SF W; CLE L; BOS L; LAD L</x:v>
      </x:c>
      <x:c r="D8" s="31" t="str">
        <x:v>EXP-11</x:v>
      </x:c>
      <x:c r="E8" s="31" t="str">
        <x:v>Source F5 construction was poor despite one good SF leg</x:v>
      </x:c>
      <x:c r="F8" s="31" t="str">
        <x:v>Yes</x:v>
      </x:c>
      <x:c r="G8" s="31" t="str">
        <x:v>MLB/box-score inning lines</x:v>
      </x:c>
      <x:c r="H8" s="31" t="str">
        <x:v>Settled</x:v>
      </x:c>
    </x:row>
    <x:row r="9">
      <x:c r="A9" s="31" t="str">
        <x:v>Luzardo 9+ Ks +116</x:v>
      </x:c>
      <x:c r="B9" s="31" t="str">
        <x:v>Win</x:v>
      </x:c>
      <x:c r="C9" s="31" t="str">
        <x:v>Exactly 9 Ks</x:v>
      </x:c>
      <x:c r="D9" s="31" t="str">
        <x:v>EXP-05/06</x:v>
      </x:c>
      <x:c r="E9" s="31" t="str">
        <x:v>Moved threshold still would have cashed today</x:v>
      </x:c>
      <x:c r="F9" s="31" t="str">
        <x:v>Yes</x:v>
      </x:c>
      <x:c r="G9" s="31" t="str">
        <x:v>https://www.reuters.com/sports/baseball/kyle-schwarber-hits-mlb-leading-40th-homer-phillies-blank-mariners--flm-2026-08-26/</x:v>
      </x:c>
      <x:c r="H9" s="31" t="str">
        <x:v>Settled</x:v>
      </x:c>
    </x:row>
    <x:row r="10">
      <x:c r="A10" s="31" t="str">
        <x:v>Bubba Chandler 5+ Ks</x:v>
      </x:c>
      <x:c r="B10" s="31" t="str">
        <x:v>Loss</x:v>
      </x:c>
      <x:c r="C10" s="31" t="str">
        <x:v>3 Ks in 5.2 IP</x:v>
      </x:c>
      <x:c r="D10" s="31" t="str">
        <x:v>EXP-02</x:v>
      </x:c>
      <x:c r="E10" s="31" t="str">
        <x:v>Safer threshold did not beat Luzardo alternative</x:v>
      </x:c>
      <x:c r="F10" s="31" t="str">
        <x:v>Yes</x:v>
      </x:c>
      <x:c r="G10" s="31" t="str">
        <x:v>https://www.espn.com/mlb/recap?gameId=401816694</x:v>
      </x:c>
      <x:c r="H10" s="31" t="str">
        <x:v>Settled</x:v>
      </x:c>
    </x:row>
    <x:row r="11">
      <x:c r="A11" s="31" t="str">
        <x:v>Dobnak U16.5 outs</x:v>
      </x:c>
      <x:c r="B11" s="31" t="str">
        <x:v>Loss</x:v>
      </x:c>
      <x:c r="C11" s="31" t="str">
        <x:v>18 outs / 6.0 IP</x:v>
      </x:c>
      <x:c r="D11" s="31" t="str">
        <x:v>EXP-06</x:v>
      </x:c>
      <x:c r="E11" s="31" t="str">
        <x:v>Both real and safer paper line lost; handicap error</x:v>
      </x:c>
      <x:c r="F11" s="31" t="str">
        <x:v>Yes</x:v>
      </x:c>
      <x:c r="G11" s="31" t="str">
        <x:v>User-confirmed / real ticket result</x:v>
      </x:c>
      <x:c r="H11" s="31" t="str">
        <x:v>Settled</x:v>
      </x:c>
    </x:row>
    <x:row r="12">
      <x:c r="A12" s="31" t="str">
        <x:v>RMA/RSO O10.5 total corners alt</x:v>
      </x:c>
      <x:c r="B12" s="31" t="str">
        <x:v>Win</x:v>
      </x:c>
      <x:c r="C12" s="31" t="str">
        <x:v>Total corners cleared while RMA O6.5 team corners failed</x:v>
      </x:c>
      <x:c r="D12" s="31" t="str">
        <x:v>EXP-13</x:v>
      </x:c>
      <x:c r="E12" s="31" t="str">
        <x:v>Positive first observation for total-vs-team corner test</x:v>
      </x:c>
      <x:c r="F12" s="31" t="str">
        <x:v>Yes</x:v>
      </x:c>
      <x:c r="G12" s="31" t="str">
        <x:v>User-confirmed result</x:v>
      </x:c>
      <x:c r="H12" s="31" t="str">
        <x:v>Settled</x:v>
      </x:c>
    </x:row>
    <x:row r="13">
      <x:c r="A13" s="31" t="str">
        <x:v>Still pending</x:v>
      </x:c>
      <x:c r="B13" s="31" t="str">
        <x:v>—</x:v>
      </x:c>
      <x:c r="C13" s="31" t="str">
        <x:v>Sean Burke outs; Malonga rebounds; Gore Ks; TOR/SEA under</x:v>
      </x:c>
      <x:c r="D13" s="31" t="str">
        <x:v>Multiple</x:v>
      </x:c>
      <x:c r="E13" s="31" t="str">
        <x:v>Do not grade until final</x:v>
      </x:c>
      <x:c r="F13" s="31" t="str">
        <x:v>No</x:v>
      </x:c>
      <x:c r="G13" s="31" t="str">
        <x:v>—</x:v>
      </x:c>
      <x:c r="H13" s="31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24" hidden="0" customWidth="1"/>
    <x:col min="6" max="6" width="34" hidden="0" customWidth="1"/>
    <x:col min="7" max="7" width="36" hidden="0" customWidth="1"/>
    <x:col min="8" max="8" width="14" hidden="0" customWidth="1"/>
    <x:col min="9" max="9" width="44" hidden="0" customWidth="1"/>
    <x:col min="10" max="10" width="40" hidden="0" customWidth="1"/>
  </x:cols>
  <x:sheetData>
    <x:row r="1">
      <x:c r="A1" s="176" t="str">
        <x:v>Date</x:v>
      </x:c>
      <x:c r="B1" s="176" t="str">
        <x:v>Promo ID</x:v>
      </x:c>
      <x:c r="C1" s="176" t="str">
        <x:v>Sport</x:v>
      </x:c>
      <x:c r="D1" s="176" t="str">
        <x:v>Boost</x:v>
      </x:c>
      <x:c r="E1" s="176" t="str">
        <x:v>Eligible Bet Type</x:v>
      </x:c>
      <x:c r="F1" s="176" t="str">
        <x:v>Known Terms</x:v>
      </x:c>
      <x:c r="G1" s="176" t="str">
        <x:v>Planned Use</x:v>
      </x:c>
      <x:c r="H1" s="176" t="str">
        <x:v>Status</x:v>
      </x:c>
      <x:c r="I1" s="176" t="str">
        <x:v>Notes</x:v>
      </x:c>
      <x:c r="J1" s="176" t="str">
        <x:v>Final Bet</x:v>
      </x:c>
    </x:row>
    <x:row r="2">
      <x:c r="A2" s="31" t="str">
        <x:v>2026-08-27</x:v>
      </x:c>
      <x:c r="B2" s="31" t="str">
        <x:v>A27-PROMO01</x:v>
      </x:c>
      <x:c r="C2" s="31" t="str">
        <x:v>WNBA</x:v>
      </x:c>
      <x:c r="D2" s="31" t="str">
        <x:v>30%</x:v>
      </x:c>
      <x:c r="E2" s="31" t="str">
        <x:v>AP / player prop</x:v>
      </x:c>
      <x:c r="F2" s="31" t="str">
        <x:v>No restrictions beyond eligible WNBA player prop.</x:v>
      </x:c>
      <x:c r="G2" s="31" t="str">
        <x:v>Use on best standalone WNBA prop; current leader Alyssa Thomas O7.5 AST if DK price remains around -112.</x:v>
      </x:c>
      <x:c r="H2" s="31" t="str">
        <x:v>USED</x:v>
      </x:c>
      <x:c r="I2" s="31" t="str">
        <x:v>Price moved to -147 before placement; 30% boost restored effective final price to -112. Single remained preferred over a parlay.</x:v>
      </x:c>
      <x:c r="J2" s="31" t="str">
        <x:v>Alyssa Thomas 8+ assists — raw -147, boosted -112, $1</x:v>
      </x:c>
    </x:row>
    <x:row r="3">
      <x:c r="A3" s="31" t="str">
        <x:v>2026-08-27</x:v>
      </x:c>
      <x:c r="B3" s="31" t="str">
        <x:v>A27-PROMO02</x:v>
      </x:c>
      <x:c r="C3" s="31" t="str">
        <x:v>MLB</x:v>
      </x:c>
      <x:c r="D3" s="31" t="str">
        <x:v>50%</x:v>
      </x:c>
      <x:c r="E3" s="31" t="str">
        <x:v>SGP / SGPx</x:v>
      </x:c>
      <x:c r="F3" s="31" t="str">
        <x:v>Must be 3+ legs and +300 or longer; SGP/SGPx.</x:v>
      </x:c>
      <x:c r="G3" s="31" t="str">
        <x:v>PROVISIONAL: Jordan Walker 2+ HRR -115 + Andrew Vaughn 2+ HRR -108 + Gabriel Moreno 2+ HRR -150.</x:v>
      </x:c>
      <x:c r="H3" s="31" t="str">
        <x:v>USED</x:v>
      </x:c>
      <x:c r="I3" s="31" t="str">
        <x:v>Original provisional Walker/Vaughn/Moreno idea did not meet the clarified SGPx structure because it lacked a 2-leg same-game core. Final build used KC/TOR Witt+Caglianone SGP core plus Walker outside. Raw +378; boosted +568.</x:v>
      </x:c>
      <x:c r="J3" s="31" t="str">
        <x:v>Walker 2+ HRR + Witt 2+ HRR + Caglianone 2+ HRR — raw +378, boosted +568, $1</x:v>
      </x:c>
    </x:row>
    <x:row r="4">
      <x:c r="A4" s="31" t="str">
        <x:v>2026-08-27</x:v>
      </x:c>
      <x:c r="B4" s="31" t="str">
        <x:v>A27-PROMO03</x:v>
      </x:c>
      <x:c r="C4" s="31" t="str">
        <x:v>Soccer</x:v>
      </x:c>
      <x:c r="D4" s="31" t="str">
        <x:v>25%</x:v>
      </x:c>
      <x:c r="E4" s="31" t="str">
        <x:v>Barcelona game</x:v>
      </x:c>
      <x:c r="F4" s="31" t="str">
        <x:v>Must be 3+ legs and +300 or longer in Barcelona game.</x:v>
      </x:c>
      <x:c r="G4" s="31" t="str">
        <x:v>Construct exactly 3 legs around one coherent Barcelona script after confirmed XI.</x:v>
      </x:c>
      <x:c r="H4" s="31" t="str">
        <x:v>USED</x:v>
      </x:c>
      <x:c r="I4" s="31" t="str">
        <x:v>Final construction used total corners instead of Barcelona team corners to avoid repeating the prior market-expression miss. Raw +325; boosted +407.</x:v>
      </x:c>
      <x:c r="J4" s="31" t="str">
        <x:v>Barcelona -1.5 + BTTS No + O9.5 total corners — raw +325, boosted +407, $1</x:v>
      </x:c>
    </x:row>
    <x:row r="5">
      <x:c r="A5" s="31" t="str">
        <x:v>2026-08-28</x:v>
      </x:c>
      <x:c r="B5" s="31" t="str">
        <x:v>A28-PROMO01</x:v>
      </x:c>
      <x:c r="C5" s="31" t="str">
        <x:v>MLB</x:v>
      </x:c>
      <x:c r="D5" s="31" t="str">
        <x:v>50%</x:v>
      </x:c>
      <x:c r="E5" s="31" t="str">
        <x:v>Home Run</x:v>
      </x:c>
      <x:c r="F5" s="31" t="str">
        <x:v>50% home run profit boost.</x:v>
      </x:c>
      <x:c r="G5" s="31" t="str">
        <x:v>Use on best independently audited HR candidate; compare full slate and source HR model.</x:v>
      </x:c>
      <x:c r="H5" s="31" t="str">
        <x:v>USED</x:v>
      </x:c>
      <x:c r="I5" s="31" t="str">
        <x:v>Olson won the multi-source + independent matchup screen. No HR parlay; single only.</x:v>
      </x:c>
      <x:c r="J5" s="31" t="str">
        <x:v>Matt Olson HR — raw +237, boosted +356, $1</x:v>
      </x:c>
    </x:row>
    <x:row r="6">
      <x:c r="A6" s="31" t="str">
        <x:v>2026-08-28</x:v>
      </x:c>
      <x:c r="B6" s="31" t="str">
        <x:v>A28-PROMO02</x:v>
      </x:c>
      <x:c r="C6" s="31" t="str">
        <x:v>MLB</x:v>
      </x:c>
      <x:c r="D6" s="31" t="str">
        <x:v>50%</x:v>
      </x:c>
      <x:c r="E6" s="31" t="str">
        <x:v>SGP / SGPx</x:v>
      </x:c>
      <x:c r="F6" s="31" t="str">
        <x:v>Must be 3+ legs and +300 or longer; SGP/SGPx.</x:v>
      </x:c>
      <x:c r="G6" s="31" t="str">
        <x:v>Exactly 3 legs. Build valid same-game core first, then strongest outside leg.</x:v>
      </x:c>
      <x:c r="H6" s="31" t="str">
        <x:v>USED</x:v>
      </x:c>
      <x:c r="I6" s="31" t="str">
        <x:v>COL/ATL core: Olson 2+ TB + Sugano O5.5 HA; outside Cease O7.5 K. No filler fourth leg.</x:v>
      </x:c>
      <x:c r="J6" s="31" t="str">
        <x:v>Cease O7.5 K + Olson 2+ TB + Sugano O5.5 HA — raw +362, boosted +545, $1</x:v>
      </x:c>
    </x:row>
    <x:row r="7">
      <x:c r="A7" s="31" t="str">
        <x:v>2026-08-28</x:v>
      </x:c>
      <x:c r="B7" s="31" t="str">
        <x:v>A28-PROMO03</x:v>
      </x:c>
      <x:c r="C7" s="31" t="str">
        <x:v>WNBA</x:v>
      </x:c>
      <x:c r="D7" s="31" t="str">
        <x:v>30%</x:v>
      </x:c>
      <x:c r="E7" s="31" t="str">
        <x:v>3-leg parlay</x:v>
      </x:c>
      <x:c r="F7" s="31" t="str">
        <x:v>Must be 3 legs and +300 or longer.</x:v>
      </x:c>
      <x:c r="G7" s="31" t="str">
        <x:v>Use the lowest viable thresholds while allocating the harder threshold to the strongest thesis.</x:v>
      </x:c>
      <x:c r="H7" s="31" t="str">
        <x:v>USED</x:v>
      </x:c>
      <x:c r="I7" s="31" t="str">
        <x:v>Original +595 build was too aggressive; all-lowered +173 failed promo. Final +355 placed after threshold optimization.</x:v>
      </x:c>
      <x:c r="J7" s="31" t="str">
        <x:v>Young 5+ REB + Hillmon O14.5 P+R + Hamby 15+ P+R — raw +355, boosted +463, $1</x:v>
      </x:c>
    </x:row>
    <x:row r="8">
      <x:c r="A8" s="31" t="str">
        <x:v>2026-08-29</x:v>
      </x:c>
      <x:c r="B8" s="31" t="str">
        <x:v>A29-PROMO01</x:v>
      </x:c>
      <x:c r="C8" s="31" t="str">
        <x:v>CFB</x:v>
      </x:c>
      <x:c r="D8" s="31" t="str">
        <x:v>50%</x:v>
      </x:c>
      <x:c r="E8" s="31" t="str">
        <x:v>Week 0 Boost</x:v>
      </x:c>
      <x:c r="F8" s="31" t="str">
        <x:v>50% profit boost; max $10 wager per screenshot.</x:v>
      </x:c>
      <x:c r="G8" s="31" t="str">
        <x:v>Use on strongest threshold-value CFB card without forcing a filler leg.</x:v>
      </x:c>
      <x:c r="H8" s="31" t="str">
        <x:v>USED</x:v>
      </x:c>
      <x:c r="I8" s="31" t="str">
        <x:v>Primary card used three favorable alternate spreads; raw +299 accepted by token.</x:v>
      </x:c>
      <x:c r="J8" s="31" t="str">
        <x:v>TCU -6.5 + EMU -6.5 + JAX ST +10.5 — $1</x:v>
      </x:c>
    </x:row>
    <x:row r="9">
      <x:c r="A9" s="31" t="str">
        <x:v>2026-08-29</x:v>
      </x:c>
      <x:c r="B9" s="31" t="str">
        <x:v>A29-PROMO02</x:v>
      </x:c>
      <x:c r="C9" s="31" t="str">
        <x:v>CFB</x:v>
      </x:c>
      <x:c r="D9" s="31" t="str">
        <x:v>50%</x:v>
      </x:c>
      <x:c r="E9" s="31" t="str">
        <x:v>Week 0 Parlay Boost</x:v>
      </x:c>
      <x:c r="F9" s="31" t="str">
        <x:v>50% profit boost; max $20 wager per screenshot.</x:v>
      </x:c>
      <x:c r="G9" s="31" t="str">
        <x:v>Use on a differentiated CFB card with no repeated legs from primary.</x:v>
      </x:c>
      <x:c r="H9" s="31" t="str">
        <x:v>USED</x:v>
      </x:c>
      <x:c r="I9" s="31" t="str">
        <x:v>Miller threshold lowered to 60+; Hawaii used +4.5 instead of aggressive -6.5; MEM/UNLV total avoids contested side.</x:v>
      </x:c>
      <x:c r="J9" s="31" t="str">
        <x:v>Miller 60+ + Hawaii +4.5 + MEM/UNLV O56.5 — $1</x:v>
      </x:c>
    </x:row>
    <x:row r="10">
      <x:c r="A10" s="31" t="str">
        <x:v>2026-09-01</x:v>
      </x:c>
      <x:c r="B10" s="31" t="str">
        <x:v>S01-PROMO01</x:v>
      </x:c>
      <x:c r="C10" s="31" t="str">
        <x:v>MLB</x:v>
      </x:c>
      <x:c r="D10" s="31" t="str">
        <x:v>50%</x:v>
      </x:c>
      <x:c r="E10" s="31" t="str">
        <x:v>SGP / SGPx</x:v>
      </x:c>
      <x:c r="F10" s="31" t="str">
        <x:v>50% MLB SGP(x) profit boost; final ticket raw +302.</x:v>
      </x:c>
      <x:c r="G10" s="31" t="str">
        <x:v>Use strongest valid 2-leg same-game core + best outside leg.</x:v>
      </x:c>
      <x:c r="H10" s="31" t="str">
        <x:v>USED</x:v>
      </x:c>
      <x:c r="I10" s="31" t="str">
        <x:v>No filler; structure followed SGPx rule.</x:v>
      </x:c>
      <x:c r="J10" s="31" t="str">
        <x:v>Woo 5+ K + Peralta 5+ K + Caminero 2+ HRR — raw +302, boosted +454, $1; WON</x:v>
      </x:c>
    </x:row>
    <x:row r="11">
      <x:c r="A11" s="31" t="str">
        <x:v>2026-09-01</x:v>
      </x:c>
      <x:c r="B11" s="31" t="str">
        <x:v>S01-PROMO02</x:v>
      </x:c>
      <x:c r="C11" s="31" t="str">
        <x:v>MLB</x:v>
      </x:c>
      <x:c r="D11" s="31" t="str">
        <x:v>50%</x:v>
      </x:c>
      <x:c r="E11" s="31" t="str">
        <x:v>Home Run</x:v>
      </x:c>
      <x:c r="F11" s="31" t="str">
        <x:v>50% HR profit boost.</x:v>
      </x:c>
      <x:c r="G11" s="31" t="str">
        <x:v>Use only on independently qualified HR single.</x:v>
      </x:c>
      <x:c r="H11" s="31" t="str">
        <x:v>USED</x:v>
      </x:c>
      <x:c r="I11" s="31" t="str">
        <x:v>High variance accepted as satellite because matchup + boost justified it.</x:v>
      </x:c>
      <x:c r="J11" s="31" t="str">
        <x:v>Jordan Walker HR — raw +294, boosted +441, $1; WON</x:v>
      </x:c>
    </x:row>
    <x:row r="12">
      <x:c r="A12" s="31" t="str">
        <x:v>2026-09-02</x:v>
      </x:c>
      <x:c r="B12" s="31" t="str">
        <x:v>S02-PROMO01</x:v>
      </x:c>
      <x:c r="C12" s="31" t="str">
        <x:v>Any Sport</x:v>
      </x:c>
      <x:c r="D12" s="31" t="str">
        <x:v>50%</x:v>
      </x:c>
      <x:c r="E12" s="31" t="str">
        <x:v>+100 minimum odds</x:v>
      </x:c>
      <x:c r="F12" s="31" t="str">
        <x:v>50% profit boost; qualifying bet must be +100 or longer.</x:v>
      </x:c>
      <x:c r="G12" s="31" t="str">
        <x:v>PRELIMINARY: Junior Caminero 2+ TB +101 if lineup and price hold.</x:v>
      </x:c>
      <x:c r="H12" s="31" t="str">
        <x:v>USED — LOST</x:v>
      </x:c>
      <x:c r="I12" s="31" t="str">
        <x:v>Natural +100 qualifier preserved; no threshold inflation. Underlying Caminero proposition lost, so boost did not rescue the bet.</x:v>
      </x:c>
      <x:c r="J12" s="31" t="str">
        <x:v>Junior Caminero 2+ TB — raw +101, boosted +152, $1; LOST</x:v>
      </x:c>
    </x:row>
    <x:row r="13">
      <x:c r="A13" s="31" t="str">
        <x:v>2026-09-02</x:v>
      </x:c>
      <x:c r="B13" s="31" t="str">
        <x:v>S02-PROMO02</x:v>
      </x:c>
      <x:c r="C13" s="31" t="str">
        <x:v>MLB</x:v>
      </x:c>
      <x:c r="D13" s="31" t="str">
        <x:v>Grand Slam Qualifier</x:v>
      </x:c>
      <x:c r="E13" s="31" t="str">
        <x:v>HR bet; $5 minimum; max 3 legs</x:v>
      </x:c>
      <x:c r="F13" s="31" t="str">
        <x:v>Qualifying HR bet must use cash/DK Dollars. Bonus only if selected HR hitter hits a grand slam; $750k bonus-bet pool split among qualifying winners; pool rolls if no grand slams.</x:v>
      </x:c>
      <x:c r="G13" s="31" t="str">
        <x:v>SKIP at current bankroll unless user explicitly overrides after final HR review.</x:v>
      </x:c>
      <x:c r="H13" s="31" t="str">
        <x:v>SKIPPED</x:v>
      </x:c>
      <x:c r="I13" s="31" t="str">
        <x:v>Skipped at $21.06 starting bankroll because $5 minimum represented 23.7% bankroll and bonus required selected HR hitter to hit a grand slam.</x:v>
      </x:c>
      <x:c r="J13" s="31" t="str">
        <x:v>No qualifying bet planned.</x:v>
      </x:c>
    </x:row>
    <x:row r="14">
      <x:c r="A14" s="31" t="str">
        <x:v>2026-09-02</x:v>
      </x:c>
      <x:c r="B14" s="31" t="str">
        <x:v>S02-PROMO03</x:v>
      </x:c>
      <x:c r="C14" s="31" t="str">
        <x:v>MLB</x:v>
      </x:c>
      <x:c r="D14" s="31" t="str">
        <x:v>50%</x:v>
      </x:c>
      <x:c r="E14" s="31" t="str">
        <x:v>Home Run — games starting 2–4 PM ET</x:v>
      </x:c>
      <x:c r="F14" s="31" t="str">
        <x:v>50% HR profit boost; eligible only for MLB games with scheduled start between 2:00 and 4:00 PM ET.</x:v>
      </x:c>
      <x:c r="G14" s="31" t="str">
        <x:v>Audit ATH@TEX, BAL@COL, PHI@ARI; select strongest independently qualified HR single.</x:v>
      </x:c>
      <x:c r="H14" s="31" t="str">
        <x:v>USED — LOST</x:v>
      </x:c>
      <x:c r="I14" s="31" t="str">
        <x:v>Alonso recorded an RBI single but no HR. Boost improved payout only; HR variance remained.</x:v>
      </x:c>
      <x:c r="J14" s="31" t="str">
        <x:v>Pete Alonso HR — raw +251, boosted +377, $1; LOST</x:v>
      </x:c>
    </x:row>
    <x:row r="15">
      <x:c r="A15" s="31" t="str">
        <x:v>2026-09-02</x:v>
      </x:c>
      <x:c r="B15" s="31" t="str">
        <x:v>S02-PROMO04</x:v>
      </x:c>
      <x:c r="C15" s="31" t="str">
        <x:v>MLB</x:v>
      </x:c>
      <x:c r="D15" s="31" t="str">
        <x:v>50%</x:v>
      </x:c>
      <x:c r="E15" s="31" t="str">
        <x:v>3-leg SGP(x), +300 minimum; eligible game start window 6–8 PM ET</x:v>
      </x:c>
      <x:c r="F15" s="31" t="str">
        <x:v>3 legs; +300 or longer raw; valid SGPx same-game core; eligible games starting 6–8 PM ET.</x:v>
      </x:c>
      <x:c r="G15" s="31" t="str">
        <x:v>Use independently explainable non-duplicated legs; 2-leg MIL@CHC HRR core + strongest outside leg.</x:v>
      </x:c>
      <x:c r="H15" s="31" t="str">
        <x:v>USED — WON</x:v>
      </x:c>
      <x:c r="I15" s="31" t="str">
        <x:v>Avoided duplicating Misiorowski real exposure. Chourio HRR + Contreras HRR formed same-game core; Cameron 5+ K outside. All three independently qualified and all three won.</x:v>
      </x:c>
      <x:c r="J15" s="31" t="str">
        <x:v>Chourio 2+ HRR + Contreras 2+ HRR + Cameron 5+ K — raw +325, boosted +489, $1; WON</x:v>
      </x:c>
    </x:row>
    <x:row r="16">
      <x:c r="A16" s="31" t="str">
        <x:v>2026-09-03</x:v>
      </x:c>
      <x:c r="B16" s="31" t="str">
        <x:v>S03-PROMO01</x:v>
      </x:c>
      <x:c r="C16" s="31" t="str">
        <x:v>MLB</x:v>
      </x:c>
      <x:c r="D16" s="31" t="str">
        <x:v>50%</x:v>
      </x:c>
      <x:c r="E16" s="31" t="str">
        <x:v>Batter Prop</x:v>
      </x:c>
      <x:c r="F16" s="31" t="str">
        <x:v>Minimum odds -200; eligible batter prop.</x:v>
      </x:c>
      <x:c r="G16" s="31" t="str">
        <x:v>Use on strongest independently qualified batter prop without threshold inflation.</x:v>
      </x:c>
      <x:c r="H16" s="31" t="str">
        <x:v>USED</x:v>
      </x:c>
      <x:c r="I16" s="31" t="str">
        <x:v>Applied to Yordan 2+ TB. Mechanism/price qualified before promo.</x:v>
      </x:c>
      <x:c r="J16" s="31" t="str">
        <x:v>Yordan Alvarez 2+ TB — raw -138, boosted +109, $1</x:v>
      </x:c>
    </x:row>
    <x:row r="17">
      <x:c r="A17" s="31" t="str">
        <x:v>2026-09-03</x:v>
      </x:c>
      <x:c r="B17" s="31" t="str">
        <x:v>S03-PROMO02</x:v>
      </x:c>
      <x:c r="C17" s="31" t="str">
        <x:v>MLB</x:v>
      </x:c>
      <x:c r="D17" s="31" t="str">
        <x:v>20%</x:v>
      </x:c>
      <x:c r="E17" s="31" t="str">
        <x:v>SGP / SGPx</x:v>
      </x:c>
      <x:c r="F17" s="31" t="str">
        <x:v>Eligible SGP or SGPx; max $10 wager per token screenshot.</x:v>
      </x:c>
      <x:c r="G17" s="31" t="str">
        <x:v>Compare best pure SGP against best 2+1 SGPx; no forced outside leg.</x:v>
      </x:c>
      <x:c r="H17" s="31" t="str">
        <x:v>USED</x:v>
      </x:c>
      <x:c r="I17" s="31" t="str">
        <x:v>Selected diversified 2+1 SGPx over triple-concentrated MIL contact SGP. Raw +397 -&gt; +477.</x:v>
      </x:c>
      <x:c r="J17" s="31" t="str">
        <x:v>Chourio 2+ HRR + Contreras 2+ HRR + Kade Anderson U16.5 outs — raw +397, boosted +477, $1</x:v>
      </x:c>
    </x:row>
    <x:row r="18">
      <x:c r="A18" s="31" t="str">
        <x:v>2026-09-03</x:v>
      </x:c>
      <x:c r="B18" s="31" t="str">
        <x:v>S03-PROMO03</x:v>
      </x:c>
      <x:c r="C18" s="31" t="str">
        <x:v>MLB</x:v>
      </x:c>
      <x:c r="D18" s="31" t="str">
        <x:v>Grand Slam Qualifier</x:v>
      </x:c>
      <x:c r="E18" s="31" t="str">
        <x:v>Pregame HR; $5 minimum; max 3 legs</x:v>
      </x:c>
      <x:c r="F18" s="31" t="str">
        <x:v>Selected player must hit a grand slam to share bonus-bet pool; cash/DK dollars only; void/cashout invalidates.</x:v>
      </x:c>
      <x:c r="G18" s="31" t="str">
        <x:v>Skip unless base HR wager independently justifies $5.</x:v>
      </x:c>
      <x:c r="H18" s="31" t="str">
        <x:v>SKIPPED</x:v>
      </x:c>
      <x:c r="I18" s="31" t="str">
        <x:v>At $22.90 starting bankroll, $5 = 21.8% of bankroll. Jackpot overlay did not justify stake concentration.</x:v>
      </x:c>
      <x:c r="J18" s="31" t="str">
        <x:v>No qualifying wager.</x:v>
      </x:c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0" hidden="0" customWidth="1"/>
    <x:col min="4" max="4" width="27" hidden="0" customWidth="1"/>
    <x:col min="5" max="5" width="12" hidden="0" customWidth="1"/>
    <x:col min="6" max="6" width="13" hidden="0" customWidth="1"/>
    <x:col min="7" max="7" width="13" hidden="0" customWidth="1"/>
    <x:col min="8" max="8" width="27" hidden="0" customWidth="1"/>
    <x:col min="9" max="9" width="12" hidden="0" customWidth="1"/>
    <x:col min="10" max="10" width="44" hidden="0" customWidth="1"/>
  </x:cols>
  <x:sheetData>
    <x:row r="1">
      <x:c r="A1" s="189" t="str">
        <x:v>Aug. 27 Prospective Paper Audit — Complete</x:v>
      </x:c>
      <x:c r="B1" s="189"/>
      <x:c r="C1" s="189"/>
      <x:c r="D1" s="189"/>
      <x:c r="E1" s="189"/>
      <x:c r="F1" s="189"/>
      <x:c r="G1" s="189"/>
      <x:c r="H1" s="189"/>
      <x:c r="I1" s="189"/>
      <x:c r="J1" s="189"/>
    </x:row>
    <x:row r="2">
      <x:c r="A2" s="193" t="str">
        <x:v>22 prospectively declared tests settled: 14-8 overall (63.6%); pure unbet paper 12-8 (60.0%). 15 rows had valid exact prices suitable for standardized $1 ROI: +$10.49 total, but this is heavily skewed by Jeremy Peña HR +591 and Jac Caglianone HR +390. Treat hit rate, market-pair outcomes, and experiment direction as more informative than raw paper ROI at this sample size.</x:v>
      </x:c>
      <x:c r="B2" s="193"/>
      <x:c r="C2" s="193"/>
      <x:c r="D2" s="193"/>
      <x:c r="E2" s="193"/>
      <x:c r="F2" s="193"/>
      <x:c r="G2" s="193"/>
      <x:c r="H2" s="193"/>
      <x:c r="I2" s="193"/>
      <x:c r="J2" s="193"/>
    </x:row>
    <x:row r="3">
      <x:c r="A3" s="198" t="str">
        <x:v>Paper ID</x:v>
      </x:c>
      <x:c r="B3" s="198" t="str">
        <x:v>Paper Test</x:v>
      </x:c>
      <x:c r="C3" s="198" t="str">
        <x:v>Result</x:v>
      </x:c>
      <x:c r="D3" s="198" t="str">
        <x:v>Actual Outcome</x:v>
      </x:c>
      <x:c r="E3" s="198" t="str">
        <x:v>Experiment</x:v>
      </x:c>
      <x:c r="F3" s="198" t="str">
        <x:v>Origin</x:v>
      </x:c>
      <x:c r="G3" s="198" t="str">
        <x:v>Actually Bet?</x:v>
      </x:c>
      <x:c r="H3" s="198" t="str">
        <x:v>Paper-Record Use</x:v>
      </x:c>
      <x:c r="I3" s="198" t="str">
        <x:v>Std $1 P/L</x:v>
      </x:c>
      <x:c r="J3" s="198" t="str">
        <x:v>Primary Learning</x:v>
      </x:c>
    </x:row>
    <x:row r="4">
      <x:c r="A4" s="31" t="str">
        <x:v>P27-001</x:v>
      </x:c>
      <x:c r="B4" s="31" t="str">
        <x:v>Alyssa Thomas O30.5 PRA</x:v>
      </x:c>
      <x:c r="C4" s="31" t="str">
        <x:v>Loss</x:v>
      </x:c>
      <x:c r="D4" s="31" t="str">
        <x:v>22 PRA (4 PTS, 10 REB, 8 AST)</x:v>
      </x:c>
      <x:c r="E4" s="31" t="str">
        <x:v>EXP-14</x:v>
      </x:c>
      <x:c r="F4" s="31" t="str">
        <x:v>SOURCED</x:v>
      </x:c>
      <x:c r="G4" s="31" t="str">
        <x:v>N</x:v>
      </x:c>
      <x:c r="H4" s="31" t="str">
        <x:v>Pure paper / ROI</x:v>
      </x:c>
      <x:c r="I4" s="199" t="n">
        <x:v>-1</x:v>
      </x:c>
      <x:c r="J4" s="31" t="str">
        <x:v>Assist-only expression won while PRA failed; supports isolating the more stable role component.</x:v>
      </x:c>
    </x:row>
    <x:row r="5">
      <x:c r="A5" s="31" t="str">
        <x:v>P27-002</x:v>
      </x:c>
      <x:c r="B5" s="31" t="str">
        <x:v>COL/WSH both teams 2+ runs F5</x:v>
      </x:c>
      <x:c r="C5" s="31" t="str">
        <x:v>Loss</x:v>
      </x:c>
      <x:c r="D5" s="31" t="str">
        <x:v>F5 score WSH 4, COL 1</x:v>
      </x:c>
      <x:c r="E5" s="31" t="str">
        <x:v>EXP-15</x:v>
      </x:c>
      <x:c r="F5" s="31" t="str">
        <x:v>SOURCED</x:v>
      </x:c>
      <x:c r="G5" s="31" t="str">
        <x:v>N</x:v>
      </x:c>
      <x:c r="H5" s="31" t="str">
        <x:v>Pure paper / hit-rate only</x:v>
      </x:c>
      <x:c r="I5" s="199"/>
      <x:c r="J5" s="31" t="str">
        <x:v>Restrictive each-team condition failed despite the game producing five F5 runs.</x:v>
      </x:c>
    </x:row>
    <x:row r="6">
      <x:c r="A6" s="31" t="str">
        <x:v>P27-003</x:v>
      </x:c>
      <x:c r="B6" s="31" t="str">
        <x:v>COL/WSH F5 Over 4.5</x:v>
      </x:c>
      <x:c r="C6" s="31" t="str">
        <x:v>Win</x:v>
      </x:c>
      <x:c r="D6" s="31" t="str">
        <x:v>5 F5 runs</x:v>
      </x:c>
      <x:c r="E6" s="31" t="str">
        <x:v>EXP-15</x:v>
      </x:c>
      <x:c r="F6" s="31" t="str">
        <x:v>DISCOVERED</x:v>
      </x:c>
      <x:c r="G6" s="31" t="str">
        <x:v>N</x:v>
      </x:c>
      <x:c r="H6" s="31" t="str">
        <x:v>Pure paper / hit-rate only</x:v>
      </x:c>
      <x:c r="I6" s="199"/>
      <x:c r="J6" s="31" t="str">
        <x:v>Broad run-environment expression beat the restrictive both-teams condition.</x:v>
      </x:c>
    </x:row>
    <x:row r="7">
      <x:c r="A7" s="31" t="str">
        <x:v>P27-004</x:v>
      </x:c>
      <x:c r="B7" s="31" t="str">
        <x:v>Hunter Goodman HR +256</x:v>
      </x:c>
      <x:c r="C7" s="31" t="str">
        <x:v>Loss</x:v>
      </x:c>
      <x:c r="D7" s="31" t="str">
        <x:v>No HR</x:v>
      </x:c>
      <x:c r="E7" s="31" t="str">
        <x:v>EXP-07</x:v>
      </x:c>
      <x:c r="F7" s="31" t="str">
        <x:v>DISCOVERED</x:v>
      </x:c>
      <x:c r="G7" s="31" t="str">
        <x:v>N</x:v>
      </x:c>
      <x:c r="H7" s="31" t="str">
        <x:v>Pure paper / ROI</x:v>
      </x:c>
      <x:c r="I7" s="199" t="n">
        <x:v>-1</x:v>
      </x:c>
      <x:c r="J7" s="31" t="str">
        <x:v>Independent HR discovery missed; one result does not invalidate the discovery process.</x:v>
      </x:c>
    </x:row>
    <x:row r="8">
      <x:c r="A8" s="31" t="str">
        <x:v>P27-005</x:v>
      </x:c>
      <x:c r="B8" s="31" t="str">
        <x:v>CJ Abrams HR +345</x:v>
      </x:c>
      <x:c r="C8" s="31" t="str">
        <x:v>Loss</x:v>
      </x:c>
      <x:c r="D8" s="31" t="str">
        <x:v>No HR</x:v>
      </x:c>
      <x:c r="E8" s="31" t="str">
        <x:v>EXP-16</x:v>
      </x:c>
      <x:c r="F8" s="31" t="str">
        <x:v>SOURCED</x:v>
      </x:c>
      <x:c r="G8" s="31" t="str">
        <x:v>N</x:v>
      </x:c>
      <x:c r="H8" s="31" t="str">
        <x:v>Pure paper / ROI</x:v>
      </x:c>
      <x:c r="I8" s="199" t="n">
        <x:v>-1</x:v>
      </x:c>
      <x:c r="J8" s="31" t="str">
        <x:v>Raw model-price gap did not convert in this observation.</x:v>
      </x:c>
    </x:row>
    <x:row r="9">
      <x:c r="A9" s="31" t="str">
        <x:v>P27-006</x:v>
      </x:c>
      <x:c r="B9" s="31" t="str">
        <x:v>Shohei Ohtani HR +439</x:v>
      </x:c>
      <x:c r="C9" s="31" t="str">
        <x:v>Loss</x:v>
      </x:c>
      <x:c r="D9" s="31" t="str">
        <x:v>No HR</x:v>
      </x:c>
      <x:c r="E9" s="31" t="str">
        <x:v>EXP-16</x:v>
      </x:c>
      <x:c r="F9" s="31" t="str">
        <x:v>SOURCED</x:v>
      </x:c>
      <x:c r="G9" s="31" t="str">
        <x:v>N</x:v>
      </x:c>
      <x:c r="H9" s="31" t="str">
        <x:v>Pure paper / ROI</x:v>
      </x:c>
      <x:c r="I9" s="199" t="n">
        <x:v>-1</x:v>
      </x:c>
      <x:c r="J9" s="31" t="str">
        <x:v>Large raw model gap still needs matchup/lineup adjustment.</x:v>
      </x:c>
    </x:row>
    <x:row r="10">
      <x:c r="A10" s="31" t="str">
        <x:v>P27-007</x:v>
      </x:c>
      <x:c r="B10" s="31" t="str">
        <x:v>Jeremy Peña HR +591</x:v>
      </x:c>
      <x:c r="C10" s="31" t="str">
        <x:v>Win</x:v>
      </x:c>
      <x:c r="D10" s="31" t="str">
        <x:v>Home run</x:v>
      </x:c>
      <x:c r="E10" s="31" t="str">
        <x:v>EXP-16</x:v>
      </x:c>
      <x:c r="F10" s="31" t="str">
        <x:v>SOURCED</x:v>
      </x:c>
      <x:c r="G10" s="31" t="str">
        <x:v>N</x:v>
      </x:c>
      <x:c r="H10" s="31" t="str">
        <x:v>Pure paper / ROI</x:v>
      </x:c>
      <x:c r="I10" s="199" t="n">
        <x:v>5.91</x:v>
      </x:c>
      <x:c r="J10" s="31" t="str">
        <x:v>Source longshot survived despite our pitcher-quality downgrade; preserve source controls rather than auto-rejecting them.</x:v>
      </x:c>
    </x:row>
    <x:row r="11">
      <x:c r="A11" s="31" t="str">
        <x:v>P27-008</x:v>
      </x:c>
      <x:c r="B11" s="31" t="str">
        <x:v>Alec Burleson 1+ hit -195</x:v>
      </x:c>
      <x:c r="C11" s="31" t="str">
        <x:v>Win</x:v>
      </x:c>
      <x:c r="D11" s="31" t="str">
        <x:v>2-for-4</x:v>
      </x:c>
      <x:c r="E11" s="31" t="str">
        <x:v>EXP-08</x:v>
      </x:c>
      <x:c r="F11" s="31" t="str">
        <x:v>SOURCED</x:v>
      </x:c>
      <x:c r="G11" s="31" t="str">
        <x:v>N</x:v>
      </x:c>
      <x:c r="H11" s="31" t="str">
        <x:v>Pure paper / ROI</x:v>
      </x:c>
      <x:c r="I11" s="199" t="n">
        <x:v>0.5128205128</x:v>
      </x:c>
      <x:c r="J11" s="31" t="str">
        <x:v>Platoon downgrade should adjust probability, not become a binary veto.</x:v>
      </x:c>
    </x:row>
    <x:row r="12">
      <x:c r="A12" s="31" t="str">
        <x:v>P27-009</x:v>
      </x:c>
      <x:c r="B12" s="31" t="str">
        <x:v>Barcelona 7+ team SOT -125</x:v>
      </x:c>
      <x:c r="C12" s="31" t="str">
        <x:v>Win</x:v>
      </x:c>
      <x:c r="D12" s="31" t="str">
        <x:v>10 shots on target</x:v>
      </x:c>
      <x:c r="E12" s="31" t="str">
        <x:v>EXP-17</x:v>
      </x:c>
      <x:c r="F12" s="31" t="str">
        <x:v>SOURCED</x:v>
      </x:c>
      <x:c r="G12" s="31" t="str">
        <x:v>N</x:v>
      </x:c>
      <x:c r="H12" s="31" t="str">
        <x:v>Pure paper / ROI</x:v>
      </x:c>
      <x:c r="I12" s="199" t="n">
        <x:v>0.8</x:v>
      </x:c>
      <x:c r="J12" s="31" t="str">
        <x:v>Source SOT threshold cleared comfortably; continue matchup-adjusted SOT testing.</x:v>
      </x:c>
    </x:row>
    <x:row r="13">
      <x:c r="A13" s="31" t="str">
        <x:v>P27-010</x:v>
      </x:c>
      <x:c r="B13" s="31" t="str">
        <x:v>Misiorowski O8.5 Ks -115</x:v>
      </x:c>
      <x:c r="C13" s="31" t="str">
        <x:v>Loss</x:v>
      </x:c>
      <x:c r="D13" s="31" t="str">
        <x:v>6 Ks</x:v>
      </x:c>
      <x:c r="E13" s="31" t="str">
        <x:v>EXP-02</x:v>
      </x:c>
      <x:c r="F13" s="31" t="str">
        <x:v>SOURCED</x:v>
      </x:c>
      <x:c r="G13" s="31" t="str">
        <x:v>N</x:v>
      </x:c>
      <x:c r="H13" s="31" t="str">
        <x:v>Pure paper / ROI</x:v>
      </x:c>
      <x:c r="I13" s="199" t="n">
        <x:v>-1</x:v>
      </x:c>
      <x:c r="J13" s="31" t="str">
        <x:v>Aggressive K threshold failed even though the low K floor cleared; recent floor streak did not justify 9+.</x:v>
      </x:c>
    </x:row>
    <x:row r="14">
      <x:c r="A14" s="31" t="str">
        <x:v>P27-011</x:v>
      </x:c>
      <x:c r="B14" s="31" t="str">
        <x:v>Misiorowski U8.5 Ks -108</x:v>
      </x:c>
      <x:c r="C14" s="31" t="str">
        <x:v>Win</x:v>
      </x:c>
      <x:c r="D14" s="31" t="str">
        <x:v>6 Ks</x:v>
      </x:c>
      <x:c r="E14" s="31" t="str">
        <x:v>EXP-02</x:v>
      </x:c>
      <x:c r="F14" s="31" t="str">
        <x:v>DISCOVERED</x:v>
      </x:c>
      <x:c r="G14" s="31" t="str">
        <x:v>N</x:v>
      </x:c>
      <x:c r="H14" s="31" t="str">
        <x:v>Pure paper / ROI</x:v>
      </x:c>
      <x:c r="I14" s="199" t="n">
        <x:v>0.9259259259</x:v>
      </x:c>
      <x:c r="J14" s="31" t="str">
        <x:v>Opposing projection/workload thesis beat the aggressive source over in this paired test.</x:v>
      </x:c>
    </x:row>
    <x:row r="15">
      <x:c r="A15" s="31" t="str">
        <x:v>P27-012</x:v>
      </x:c>
      <x:c r="B15" s="31" t="str">
        <x:v>Alyssa Thomas O7.5 AST -147</x:v>
      </x:c>
      <x:c r="C15" s="31" t="str">
        <x:v>Win</x:v>
      </x:c>
      <x:c r="D15" s="31" t="str">
        <x:v>8 assists</x:v>
      </x:c>
      <x:c r="E15" s="31" t="str">
        <x:v>EXP-14</x:v>
      </x:c>
      <x:c r="F15" s="31" t="str">
        <x:v>SOURCED</x:v>
      </x:c>
      <x:c r="G15" s="31" t="str">
        <x:v>Y</x:v>
      </x:c>
      <x:c r="H15" s="31" t="str">
        <x:v>Real + experiment; exclude pure-paper ROI</x:v>
      </x:c>
      <x:c r="I15" s="199" t="n">
        <x:v>0.6802721088</x:v>
      </x:c>
      <x:c r="J15" s="31" t="str">
        <x:v>Real 8+ threshold won exactly; strong evidence for assist market over PRA on this game.</x:v>
      </x:c>
    </x:row>
    <x:row r="16">
      <x:c r="A16" s="31" t="str">
        <x:v>P27-013</x:v>
      </x:c>
      <x:c r="B16" s="31" t="str">
        <x:v>Gabriel Moreno 2+ HRR</x:v>
      </x:c>
      <x:c r="C16" s="31" t="str">
        <x:v>Win</x:v>
      </x:c>
      <x:c r="D16" s="31" t="str">
        <x:v>3 HRR (1 H, 1 R, 1 RBI)</x:v>
      </x:c>
      <x:c r="E16" s="31" t="str">
        <x:v>EXP-03</x:v>
      </x:c>
      <x:c r="F16" s="31" t="str">
        <x:v>SOURCED</x:v>
      </x:c>
      <x:c r="G16" s="31" t="str">
        <x:v>N</x:v>
      </x:c>
      <x:c r="H16" s="31" t="str">
        <x:v>Pure paper / hit-rate only</x:v>
      </x:c>
      <x:c r="I16" s="199"/>
      <x:c r="J16" s="31" t="str">
        <x:v>HRR control cleared; supports continued composite-market testing.</x:v>
      </x:c>
    </x:row>
    <x:row r="17">
      <x:c r="A17" s="31" t="str">
        <x:v>P27-014</x:v>
      </x:c>
      <x:c r="B17" s="31" t="str">
        <x:v>Andrew Vaughn 2+ HRR</x:v>
      </x:c>
      <x:c r="C17" s="31" t="str">
        <x:v>Win</x:v>
      </x:c>
      <x:c r="D17" s="31" t="str">
        <x:v>3 HRR (2 H, 0 R, 1 RBI)</x:v>
      </x:c>
      <x:c r="E17" s="31" t="str">
        <x:v>EXP-03</x:v>
      </x:c>
      <x:c r="F17" s="31" t="str">
        <x:v>SOURCED</x:v>
      </x:c>
      <x:c r="G17" s="31" t="str">
        <x:v>N</x:v>
      </x:c>
      <x:c r="H17" s="31" t="str">
        <x:v>Pure paper / hit-rate only</x:v>
      </x:c>
      <x:c r="I17" s="199"/>
      <x:c r="J17" s="31" t="str">
        <x:v>Original promo-control leg cleared; selection quality was strong even though ticket structure changed.</x:v>
      </x:c>
    </x:row>
    <x:row r="18">
      <x:c r="A18" s="31" t="str">
        <x:v>P27-015</x:v>
      </x:c>
      <x:c r="B18" s="31" t="str">
        <x:v>Andrew Vaughn 1+ hit</x:v>
      </x:c>
      <x:c r="C18" s="31" t="str">
        <x:v>Win</x:v>
      </x:c>
      <x:c r="D18" s="31" t="str">
        <x:v>2 hits</x:v>
      </x:c>
      <x:c r="E18" s="31" t="str">
        <x:v>EXP-03</x:v>
      </x:c>
      <x:c r="F18" s="31" t="str">
        <x:v>SOURCED</x:v>
      </x:c>
      <x:c r="G18" s="31" t="str">
        <x:v>N</x:v>
      </x:c>
      <x:c r="H18" s="31" t="str">
        <x:v>Pure paper / hit-rate only</x:v>
      </x:c>
      <x:c r="I18" s="199"/>
      <x:c r="J18" s="31" t="str">
        <x:v>Both hit and HRR arms won; exact pricing is needed to decide superior expression.</x:v>
      </x:c>
    </x:row>
    <x:row r="19">
      <x:c r="A19" s="31" t="str">
        <x:v>P27-016</x:v>
      </x:c>
      <x:c r="B19" s="31" t="str">
        <x:v>Alec Burleson 1+ hit recent-form arm</x:v>
      </x:c>
      <x:c r="C19" s="31" t="str">
        <x:v>Win</x:v>
      </x:c>
      <x:c r="D19" s="31" t="str">
        <x:v>2 hits</x:v>
      </x:c>
      <x:c r="E19" s="31" t="str">
        <x:v>EXP-08</x:v>
      </x:c>
      <x:c r="F19" s="31" t="str">
        <x:v>SOURCED</x:v>
      </x:c>
      <x:c r="G19" s="31" t="str">
        <x:v>N</x:v>
      </x:c>
      <x:c r="H19" s="31" t="str">
        <x:v>Pure paper / hit-rate only</x:v>
      </x:c>
      <x:c r="I19" s="199"/>
      <x:c r="J19" s="31" t="str">
        <x:v>Hot-form source candidate won despite platoon concern; do not over-penalize one feature.</x:v>
      </x:c>
    </x:row>
    <x:row r="20">
      <x:c r="A20" s="31" t="str">
        <x:v>P27-017</x:v>
      </x:c>
      <x:c r="B20" s="31" t="str">
        <x:v>Walker + Vaughn + Moreno 2+ HRR each</x:v>
      </x:c>
      <x:c r="C20" s="31" t="str">
        <x:v>Win</x:v>
      </x:c>
      <x:c r="D20" s="31" t="str">
        <x:v>All 3 HRR legs cleared</x:v>
      </x:c>
      <x:c r="E20" s="31" t="str">
        <x:v>EXP-18</x:v>
      </x:c>
      <x:c r="F20" s="31" t="str">
        <x:v>HYBRID</x:v>
      </x:c>
      <x:c r="G20" s="31" t="str">
        <x:v>N</x:v>
      </x:c>
      <x:c r="H20" s="31" t="str">
        <x:v>Outcome/leg-quality only; no ROI</x:v>
      </x:c>
      <x:c r="I20" s="199"/>
      <x:c r="J20" s="31" t="str">
        <x:v>Analytical selection was 3/3, but the proposed ticket was not a valid DK SGPx structure; useful for leg quality, not ticket ROI.</x:v>
      </x:c>
    </x:row>
    <x:row r="21">
      <x:c r="A21" s="31" t="str">
        <x:v>P27-018</x:v>
      </x:c>
      <x:c r="B21" s="31" t="str">
        <x:v>Spencer Arrighetti U13.5 outs -102</x:v>
      </x:c>
      <x:c r="C21" s="31" t="str">
        <x:v>Win</x:v>
      </x:c>
      <x:c r="D21" s="31" t="str">
        <x:v>12 outs / 4.0 IP</x:v>
      </x:c>
      <x:c r="E21" s="31" t="str">
        <x:v>EXP-01</x:v>
      </x:c>
      <x:c r="F21" s="31" t="str">
        <x:v>DISCOVERED</x:v>
      </x:c>
      <x:c r="G21" s="31" t="str">
        <x:v>N</x:v>
      </x:c>
      <x:c r="H21" s="31" t="str">
        <x:v>Pure paper / ROI</x:v>
      </x:c>
      <x:c r="I21" s="199" t="n">
        <x:v>0.9803921569</x:v>
      </x:c>
      <x:c r="J21" s="31" t="str">
        <x:v>Soft-workload/performance under won, but removal reflected performance too; do not relabel it as a hard cap.</x:v>
      </x:c>
    </x:row>
    <x:row r="22">
      <x:c r="A22" s="31" t="str">
        <x:v>P27-019</x:v>
      </x:c>
      <x:c r="B22" s="31" t="str">
        <x:v>Alyssa Thomas 9+ assists +112</x:v>
      </x:c>
      <x:c r="C22" s="31" t="str">
        <x:v>Loss</x:v>
      </x:c>
      <x:c r="D22" s="31" t="str">
        <x:v>8 assists</x:v>
      </x:c>
      <x:c r="E22" s="31" t="str">
        <x:v>EXP-06</x:v>
      </x:c>
      <x:c r="F22" s="31" t="str">
        <x:v>DISCOVERED</x:v>
      </x:c>
      <x:c r="G22" s="31" t="str">
        <x:v>N</x:v>
      </x:c>
      <x:c r="H22" s="31" t="str">
        <x:v>Pure paper / ROI</x:v>
      </x:c>
      <x:c r="I22" s="199" t="n">
        <x:v>-1</x:v>
      </x:c>
      <x:c r="J22" s="31" t="str">
        <x:v>Lower real threshold directly saved the ticket; strong one-game threshold-selection evidence.</x:v>
      </x:c>
    </x:row>
    <x:row r="23">
      <x:c r="A23" s="31" t="str">
        <x:v>P27-020</x:v>
      </x:c>
      <x:c r="B23" s="31" t="str">
        <x:v>Jac Caglianone HR +390</x:v>
      </x:c>
      <x:c r="C23" s="31" t="str">
        <x:v>Win</x:v>
      </x:c>
      <x:c r="D23" s="31" t="str">
        <x:v>Home run</x:v>
      </x:c>
      <x:c r="E23" s="31" t="str">
        <x:v>EXP-03</x:v>
      </x:c>
      <x:c r="F23" s="31" t="str">
        <x:v>HYBRID</x:v>
      </x:c>
      <x:c r="G23" s="31" t="str">
        <x:v>N</x:v>
      </x:c>
      <x:c r="H23" s="31" t="str">
        <x:v>Pure paper / ROI</x:v>
      </x:c>
      <x:c r="I23" s="199" t="n">
        <x:v>3.9</x:v>
      </x:c>
      <x:c r="J23" s="31" t="str">
        <x:v>HR and real HRR both won, so this observation cannot distinguish the better market expression.</x:v>
      </x:c>
    </x:row>
    <x:row r="24">
      <x:c r="A24" s="31" t="str">
        <x:v>P27-021</x:v>
      </x:c>
      <x:c r="B24" s="31" t="str">
        <x:v>Landen Roupp O4.5 Ks +116</x:v>
      </x:c>
      <x:c r="C24" s="31" t="str">
        <x:v>Loss</x:v>
      </x:c>
      <x:c r="D24" s="31" t="str">
        <x:v>3 Ks</x:v>
      </x:c>
      <x:c r="E24" s="31" t="str">
        <x:v>EXP-02</x:v>
      </x:c>
      <x:c r="F24" s="31" t="str">
        <x:v>DISCOVERED</x:v>
      </x:c>
      <x:c r="G24" s="31" t="str">
        <x:v>N</x:v>
      </x:c>
      <x:c r="H24" s="31" t="str">
        <x:v>Pure paper / ROI</x:v>
      </x:c>
      <x:c r="I24" s="199" t="n">
        <x:v>-1</x:v>
      </x:c>
      <x:c r="J24" s="31" t="str">
        <x:v>Opponent low-K/contact profile correctly argued against the pitcher-specific K-over thesis.</x:v>
      </x:c>
    </x:row>
    <x:row r="25">
      <x:c r="A25" s="31" t="str">
        <x:v>P27-022</x:v>
      </x:c>
      <x:c r="B25" s="31" t="str">
        <x:v>Walker + Witt + Caglianone 2+ HRR SGPx +378 raw</x:v>
      </x:c>
      <x:c r="C25" s="31" t="str">
        <x:v>Win</x:v>
      </x:c>
      <x:c r="D25" s="31" t="str">
        <x:v>All 3 legs cleared</x:v>
      </x:c>
      <x:c r="E25" s="31" t="str">
        <x:v>EXP-18</x:v>
      </x:c>
      <x:c r="F25" s="31" t="str">
        <x:v>HYBRID</x:v>
      </x:c>
      <x:c r="G25" s="31" t="str">
        <x:v>Y</x:v>
      </x:c>
      <x:c r="H25" s="31" t="str">
        <x:v>Real + experiment; exclude pure-paper ROI</x:v>
      </x:c>
      <x:c r="I25" s="199" t="n">
        <x:v>3.78</x:v>
      </x:c>
      <x:c r="J25" s="31" t="str">
        <x:v>Actual valid SGPx construction won 3/3; promo structure fixed legality without requiring a filler leg.</x:v>
      </x:c>
    </x:row>
    <x:row r="27" ht="15" hidden="0" customHeight="1">
      <x:c r="A27" s="201" t="str">
        <x:v>Aug. 27 Paper Summary</x:v>
      </x:c>
      <x:c r="B27" s="201"/>
      <x:c r="C27" s="201"/>
      <x:c r="D27" s="201"/>
    </x:row>
    <x:row r="28" ht="26.399999618530273" hidden="0" customHeight="1">
      <x:c r="A28" s="203" t="str">
        <x:v>Metric</x:v>
      </x:c>
      <x:c r="B28" s="203" t="str">
        <x:v>Value</x:v>
      </x:c>
      <x:c r="C28" s="203" t="str">
        <x:v>Interpretation</x:v>
      </x:c>
      <x:c r="D28" s="203" t="str">
        <x:v>Caution</x:v>
      </x:c>
    </x:row>
    <x:row r="29" ht="52.79999923706055" hidden="0" customHeight="1">
      <x:c r="A29" s="31" t="str">
        <x:v>All prospective tests</x:v>
      </x:c>
      <x:c r="B29" s="31" t="str">
        <x:v>14-8 (63.6%)</x:v>
      </x:c>
      <x:c r="C29" s="31" t="str">
        <x:v>Strong day across paper/control universe</x:v>
      </x:c>
      <x:c r="D29" s="31" t="str">
        <x:v>One day; correlated observations</x:v>
      </x:c>
    </x:row>
    <x:row r="30" ht="66" hidden="0" customHeight="1">
      <x:c r="A30" s="31" t="str">
        <x:v>Pure unbet paper</x:v>
      </x:c>
      <x:c r="B30" s="31" t="str">
        <x:v>12-8 (60.0%)</x:v>
      </x:c>
      <x:c r="C30" s="31" t="str">
        <x:v>Unbet research also performed well</x:v>
      </x:c>
      <x:c r="D30" s="31" t="str">
        <x:v>Includes outcome-only rows without prices</x:v>
      </x:c>
    </x:row>
    <x:row r="31" ht="66" hidden="0" customHeight="1">
      <x:c r="A31" s="31" t="str">
        <x:v>Valid exact-price rows</x:v>
      </x:c>
      <x:c r="B31" s="31" t="str">
        <x:v>15</x:v>
      </x:c>
      <x:c r="C31" s="31" t="str">
        <x:v>Enough for a standardized snapshot, not inference</x:v>
      </x:c>
      <x:c r="D31" s="31" t="str">
        <x:v>Mixed markets and correlated games</x:v>
      </x:c>
    </x:row>
    <x:row r="32" ht="39.599998474121094" hidden="0" customHeight="1">
      <x:c r="A32" s="31" t="str">
        <x:v>Std $1 P/L on exact-price rows</x:v>
      </x:c>
      <x:c r="B32" s="199" t="n">
        <x:v>10.4894107044</x:v>
      </x:c>
      <x:c r="C32" s="31" t="str">
        <x:v>Positive paper ROI snapshot</x:v>
      </x:c>
      <x:c r="D32" s="31" t="str">
        <x:v>Dominated by Peña +591 and Caglianone +390</x:v>
      </x:c>
    </x:row>
    <x:row r="33" ht="52.79999923706055" hidden="0" customHeight="1">
      <x:c r="A33" s="31" t="str">
        <x:v>Key paired wins</x:v>
      </x:c>
      <x:c r="B33" s="31" t="str">
        <x:v>F5 O4.5 &gt; both-teams 2+; AST 8+ &gt; PRA/9+; Mis U8.5 &gt; O8.5</x:v>
      </x:c>
      <x:c r="C33" s="31" t="str">
        <x:v>Market/threshold selection mattered</x:v>
      </x:c>
      <x:c r="D33" s="31" t="str">
        <x:v>Need many more paired observations</x:v>
      </x:c>
    </x:row>
  </x:sheetData>
  <x:mergeCells>
    <x:mergeCell ref="A1:J1"/>
    <x:mergeCell ref="A2:J2"/>
    <x:mergeCell ref="A27:D27"/>
  </x:mergeCells>
  <x:conditionalFormatting sqref="C4:C25">
    <x:cfRule type="expression" dxfId="6" priority="1">
      <x:formula>C4="Win"</x:formula>
    </x:cfRule>
    <x:cfRule type="expression" dxfId="7" priority="2">
      <x:formula>C4="Loss"</x:formula>
    </x:cfRule>
  </x:conditionalFormatting>
  <x:conditionalFormatting sqref="I4:I25">
    <x:cfRule type="cellIs" dxfId="8" priority="3" operator="greaterThan">
      <x:formula>0</x:formula>
    </x:cfRule>
    <x:cfRule type="cellIs" dxfId="9" priority="4" operator="lessThan">
      <x:formula>0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0" hidden="0" customWidth="1"/>
    <x:col min="4" max="4" width="38" hidden="0" customWidth="1"/>
    <x:col min="5" max="5" width="12" hidden="0" customWidth="1"/>
    <x:col min="6" max="6" width="13" hidden="0" customWidth="1"/>
    <x:col min="7" max="7" width="13" hidden="0" customWidth="1"/>
    <x:col min="8" max="8" width="12" hidden="0" customWidth="1"/>
    <x:col min="9" max="9" width="26" hidden="0" customWidth="1"/>
    <x:col min="10" max="10" width="46" hidden="0" customWidth="1"/>
  </x:cols>
  <x:sheetData>
    <x:row r="1">
      <x:c r="A1" s="216" t="str">
        <x:v>Aug. 28 Prospective Paper / Shadow Audit — EOD Snapshot</x:v>
      </x:c>
      <x:c r="B1" s="216"/>
      <x:c r="C1" s="216"/>
      <x:c r="D1" s="216"/>
      <x:c r="E1" s="216"/>
      <x:c r="F1" s="216"/>
      <x:c r="G1" s="216"/>
      <x:c r="H1" s="216"/>
      <x:c r="I1" s="216"/>
      <x:c r="J1" s="216"/>
    </x:row>
    <x:row r="2">
      <x:c r="A2" s="219" t="str">
        <x:v>45 controls were declared before results. 43 are settled at this snapshot: 17-26 (39.5%); two late MLB controls remain pending because those games were still live. Among 19 settled rows with exact captured prices, standardized $1 P/L is -$6.97 (7-12). Correlated rows share players/games/theses, so they are not 43 independent samples.</x:v>
      </x:c>
      <x:c r="B2" s="219"/>
      <x:c r="C2" s="219"/>
      <x:c r="D2" s="219"/>
      <x:c r="E2" s="219"/>
      <x:c r="F2" s="219"/>
      <x:c r="G2" s="219"/>
      <x:c r="H2" s="219"/>
      <x:c r="I2" s="219"/>
      <x:c r="J2" s="219"/>
    </x:row>
    <x:row r="3">
      <x:c r="A3" s="223" t="str">
        <x:v>Paper ID</x:v>
      </x:c>
      <x:c r="B3" s="223" t="str">
        <x:v>Test / Arm</x:v>
      </x:c>
      <x:c r="C3" s="223" t="str">
        <x:v>Result</x:v>
      </x:c>
      <x:c r="D3" s="223" t="str">
        <x:v>Actual Outcome</x:v>
      </x:c>
      <x:c r="E3" s="223" t="str">
        <x:v>Experiment</x:v>
      </x:c>
      <x:c r="F3" s="223" t="str">
        <x:v>Source Bucket</x:v>
      </x:c>
      <x:c r="G3" s="223" t="str">
        <x:v>Price Capture</x:v>
      </x:c>
      <x:c r="H3" s="223" t="str">
        <x:v>Std $1 P/L</x:v>
      </x:c>
      <x:c r="I3" s="223" t="str">
        <x:v>Cluster</x:v>
      </x:c>
      <x:c r="J3" s="223" t="str">
        <x:v>Primary Learning</x:v>
      </x:c>
    </x:row>
    <x:row r="4">
      <x:c r="A4" s="31" t="str">
        <x:v>P28-001</x:v>
      </x:c>
      <x:c r="B4" s="31" t="str">
        <x:v>Young + Hillmon + Hamby — Young 5+ REB + Hillmon O14.5 P+R + Hamby 20+ P+R</x:v>
      </x:c>
      <x:c r="C4" s="31" t="str">
        <x:v>Loss</x:v>
      </x:c>
      <x:c r="D4" s="31" t="str">
        <x:v>Young 4 REB; Hillmon 19 P+R; Hamby 13 P+R</x:v>
      </x:c>
      <x:c r="E4" s="31" t="str">
        <x:v>EXP-06</x:v>
      </x:c>
      <x:c r="F4" s="31" t="str">
        <x:v>HYBRID</x:v>
      </x:c>
      <x:c r="G4" s="31" t="str">
        <x:v>Exact</x:v>
      </x:c>
      <x:c r="H4" s="199" t="n">
        <x:v>-1</x:v>
      </x:c>
      <x:c r="I4" s="31" t="str">
        <x:v>WNBA correlated set</x:v>
      </x:c>
      <x:c r="J4" s="31" t="str">
        <x:v>Aggressive +595 arm failed on Young and Hamby. More payout did not compensate for weak thresholds.</x:v>
      </x:c>
    </x:row>
    <x:row r="5">
      <x:c r="A5" s="31" t="str">
        <x:v>P28-002</x:v>
      </x:c>
      <x:c r="B5" s="31" t="str">
        <x:v>Young + Hillmon + Hamby — Young 5+ REB + Hillmon 10+ P+R + Hamby 20+ P+R</x:v>
      </x:c>
      <x:c r="C5" s="31" t="str">
        <x:v>Loss</x:v>
      </x:c>
      <x:c r="D5" s="31" t="str">
        <x:v>Young 4 REB; Hillmon cleared 10+; Hamby missed 20+ P+R</x:v>
      </x:c>
      <x:c r="E5" s="31" t="str">
        <x:v>EXP-19</x:v>
      </x:c>
      <x:c r="F5" s="31" t="str">
        <x:v>HYBRID</x:v>
      </x:c>
      <x:c r="G5" s="31" t="str">
        <x:v>Exact</x:v>
      </x:c>
      <x:c r="H5" s="199" t="n">
        <x:v>-1</x:v>
      </x:c>
      <x:c r="I5" s="31" t="str">
        <x:v>WNBA correlated set</x:v>
      </x:c>
      <x:c r="J5" s="31" t="str">
        <x:v>Harder-Hamby +313 arm also failed. Young failed in every construction.</x:v>
      </x:c>
    </x:row>
    <x:row r="6">
      <x:c r="A6" s="31" t="str">
        <x:v>P28-003</x:v>
      </x:c>
      <x:c r="B6" s="31" t="str">
        <x:v>Young + Hillmon + Hamby — Young 5+ REB + Hillmon 10+ P+R + Hamby 15+ P+R</x:v>
      </x:c>
      <x:c r="C6" s="31" t="str">
        <x:v>Loss</x:v>
      </x:c>
      <x:c r="D6" s="31" t="str">
        <x:v>Young 4 REB; Hillmon cleared 10+; Hamby 13 P+R</x:v>
      </x:c>
      <x:c r="E6" s="31" t="str">
        <x:v>EXP-19</x:v>
      </x:c>
      <x:c r="F6" s="31" t="str">
        <x:v>HYBRID</x:v>
      </x:c>
      <x:c r="G6" s="31" t="str">
        <x:v>Exact</x:v>
      </x:c>
      <x:c r="H6" s="199" t="n">
        <x:v>-1</x:v>
      </x:c>
      <x:c r="I6" s="31" t="str">
        <x:v>WNBA correlated set</x:v>
      </x:c>
      <x:c r="J6" s="31" t="str">
        <x:v>Even the +173 safest control failed; this was not only a promo-threshold problem.</x:v>
      </x:c>
    </x:row>
    <x:row r="7">
      <x:c r="A7" s="31" t="str">
        <x:v>P28-004</x:v>
      </x:c>
      <x:c r="B7" s="31" t="str">
        <x:v>Dearica Hamby — Over 21.5 PRA</x:v>
      </x:c>
      <x:c r="C7" s="31" t="str">
        <x:v>Loss</x:v>
      </x:c>
      <x:c r="D7" s="31" t="str">
        <x:v>Hamby had 13 P+R and did not reach 22 PRA</x:v>
      </x:c>
      <x:c r="E7" s="31" t="str">
        <x:v>EXP-14</x:v>
      </x:c>
      <x:c r="F7" s="31" t="str">
        <x:v>SOURCED</x:v>
      </x:c>
      <x:c r="G7" s="31" t="str">
        <x:v>Exact</x:v>
      </x:c>
      <x:c r="H7" s="199" t="n">
        <x:v>-1</x:v>
      </x:c>
      <x:c r="I7" s="31" t="str">
        <x:v>WNBA correlated set</x:v>
      </x:c>
      <x:c r="J7" s="31" t="str">
        <x:v>PRA arm failed along with P+R. The broad Hamby thesis was poor today, not merely the selected market.</x:v>
      </x:c>
    </x:row>
    <x:row r="8">
      <x:c r="A8" s="31" t="str">
        <x:v>P28-005</x:v>
      </x:c>
      <x:c r="B8" s="31" t="str">
        <x:v>Kelsey Mitchell — 25+ points</x:v>
      </x:c>
      <x:c r="C8" s="31" t="str">
        <x:v>Win</x:v>
      </x:c>
      <x:c r="D8" s="31" t="str">
        <x:v>Kelsey Mitchell scored 34 points</x:v>
      </x:c>
      <x:c r="E8" s="31" t="str">
        <x:v>EXP-08</x:v>
      </x:c>
      <x:c r="F8" s="31" t="str">
        <x:v>SOURCED</x:v>
      </x:c>
      <x:c r="G8" s="31" t="str">
        <x:v>Outcome only</x:v>
      </x:c>
      <x:c r="H8" s="199"/>
      <x:c r="I8" s="31" t="str">
        <x:v>WNBA correlated set</x:v>
      </x:c>
      <x:c r="J8" s="31" t="str">
        <x:v>Unavailable-on-DK A-tier source control won; platform eligibility should stay separate from source-quality grading.</x:v>
      </x:c>
    </x:row>
    <x:row r="9">
      <x:c r="A9" s="31" t="str">
        <x:v>P28-006</x:v>
      </x:c>
      <x:c r="B9" s="31" t="str">
        <x:v>LAD/DET + HOU/NYM + SEA/TOR — Three NRFI legs</x:v>
      </x:c>
      <x:c r="C9" s="31" t="str">
        <x:v>Loss</x:v>
      </x:c>
      <x:c r="D9" s="31" t="str">
        <x:v>SEA/TOR NRFI failed after Toronto scored 3 in the 1st inning</x:v>
      </x:c>
      <x:c r="E9" s="31" t="str">
        <x:v>EXP-10</x:v>
      </x:c>
      <x:c r="F9" s="31" t="str">
        <x:v>SOURCED</x:v>
      </x:c>
      <x:c r="G9" s="31" t="str">
        <x:v>Exact</x:v>
      </x:c>
      <x:c r="H9" s="199" t="n">
        <x:v>-1</x:v>
      </x:c>
      <x:c r="I9" s="31" t="str">
        <x:v>MLB player/game cluster</x:v>
      </x:c>
      <x:c r="J9" s="31" t="str">
        <x:v>Three-leg NRFI source card lost; one inning failure again killed the entire construction.</x:v>
      </x:c>
    </x:row>
    <x:row r="10">
      <x:c r="A10" s="31" t="str">
        <x:v>P28-007</x:v>
      </x:c>
      <x:c r="B10" s="31" t="str">
        <x:v>Devers + Witt + Hancock — Devers O1.5 TB + Witt O1.5 HRR + Hancock O3.5 K</x:v>
      </x:c>
      <x:c r="C10" s="31" t="str">
        <x:v>Loss</x:v>
      </x:c>
      <x:c r="D10" s="31" t="str">
        <x:v>Hancock O3.5 K failed with 1 K</x:v>
      </x:c>
      <x:c r="E10" s="31" t="str">
        <x:v>EXP-08</x:v>
      </x:c>
      <x:c r="F10" s="31" t="str">
        <x:v>SOURCED</x:v>
      </x:c>
      <x:c r="G10" s="31" t="str">
        <x:v>Outcome only</x:v>
      </x:c>
      <x:c r="H10" s="199"/>
      <x:c r="I10" s="31" t="str">
        <x:v>MLB player/game cluster</x:v>
      </x:c>
      <x:c r="J10" s="31" t="str">
        <x:v>Intact UDLR source ticket lost; preserving it avoids hindsight when comparing source vs adjusted cards.</x:v>
      </x:c>
    </x:row>
    <x:row r="11">
      <x:c r="A11" s="31" t="str">
        <x:v>P28-008</x:v>
      </x:c>
      <x:c r="B11" s="31" t="str">
        <x:v>Jac Caglianone — Home Run</x:v>
      </x:c>
      <x:c r="C11" s="31" t="str">
        <x:v>Loss</x:v>
      </x:c>
      <x:c r="D11" s="31" t="str">
        <x:v>Caglianone had no HR</x:v>
      </x:c>
      <x:c r="E11" s="31" t="str">
        <x:v>EXP-16</x:v>
      </x:c>
      <x:c r="F11" s="31" t="str">
        <x:v>SOURCED</x:v>
      </x:c>
      <x:c r="G11" s="31" t="str">
        <x:v>Exact</x:v>
      </x:c>
      <x:c r="H11" s="199" t="n">
        <x:v>-1</x:v>
      </x:c>
      <x:c r="I11" s="31" t="str">
        <x:v>MLB player/game cluster</x:v>
      </x:c>
      <x:c r="J11" s="31" t="str">
        <x:v>Repeat-HR alternative lost; avoiding yesterday-winner recency chasing was correct on this observation.</x:v>
      </x:c>
    </x:row>
    <x:row r="12">
      <x:c r="A12" s="31" t="str">
        <x:v>P28-009</x:v>
      </x:c>
      <x:c r="B12" s="31" t="str">
        <x:v>Pete Crow-Armstrong — Home Run</x:v>
      </x:c>
      <x:c r="C12" s="31" t="str">
        <x:v>Loss</x:v>
      </x:c>
      <x:c r="D12" s="31" t="str">
        <x:v>PCA had no HR</x:v>
      </x:c>
      <x:c r="E12" s="31" t="str">
        <x:v>EXP-16</x:v>
      </x:c>
      <x:c r="F12" s="31" t="str">
        <x:v>SOURCED</x:v>
      </x:c>
      <x:c r="G12" s="31" t="str">
        <x:v>Exact</x:v>
      </x:c>
      <x:c r="H12" s="199" t="n">
        <x:v>-1</x:v>
      </x:c>
      <x:c r="I12" s="31" t="str">
        <x:v>MLB player/game cluster</x:v>
      </x:c>
      <x:c r="J12" s="31" t="str">
        <x:v>High raw HR-model probability did not convert; continue matchup/price adjustment.</x:v>
      </x:c>
    </x:row>
    <x:row r="13">
      <x:c r="A13" s="31" t="str">
        <x:v>P28-010</x:v>
      </x:c>
      <x:c r="B13" s="31" t="str">
        <x:v>Hunter Goodman — Home Run</x:v>
      </x:c>
      <x:c r="C13" s="31" t="str">
        <x:v>Loss</x:v>
      </x:c>
      <x:c r="D13" s="31" t="str">
        <x:v>Goodman had no HR</x:v>
      </x:c>
      <x:c r="E13" s="31" t="str">
        <x:v>EXP-07</x:v>
      </x:c>
      <x:c r="F13" s="31" t="str">
        <x:v>SOURCED</x:v>
      </x:c>
      <x:c r="G13" s="31" t="str">
        <x:v>Exact</x:v>
      </x:c>
      <x:c r="H13" s="199" t="n">
        <x:v>-1</x:v>
      </x:c>
      <x:c r="I13" s="31" t="str">
        <x:v>MLB player/game cluster</x:v>
      </x:c>
      <x:c r="J13" s="31" t="str">
        <x:v>Goodman HR arm lost again; keep process-based grading rather than outcome-chasing.</x:v>
      </x:c>
    </x:row>
    <x:row r="14">
      <x:c r="A14" s="31" t="str">
        <x:v>P28-011</x:v>
      </x:c>
      <x:c r="B14" s="31" t="str">
        <x:v>Blade Tidwell — Over 15.5 outs</x:v>
      </x:c>
      <x:c r="C14" s="31" t="str">
        <x:v>Pending</x:v>
      </x:c>
      <x:c r="D14" s="31" t="str"/>
      <x:c r="E14" s="31" t="str">
        <x:v>EXP-01</x:v>
      </x:c>
      <x:c r="F14" s="31" t="str">
        <x:v>SOURCED</x:v>
      </x:c>
      <x:c r="G14" s="31" t="str">
        <x:v>Outcome only</x:v>
      </x:c>
      <x:c r="H14" s="199"/>
      <x:c r="I14" s="31" t="str">
        <x:v>MLB player/game cluster</x:v>
      </x:c>
      <x:c r="J14" s="31" t="str">
        <x:v>PENDING: ARI/SF was still live when the EOD snapshot was frozen. Do not grade until final.</x:v>
      </x:c>
    </x:row>
    <x:row r="15">
      <x:c r="A15" s="31" t="str">
        <x:v>P28-012</x:v>
      </x:c>
      <x:c r="B15" s="31" t="str">
        <x:v>Tristan Peters — 2+ total bases</x:v>
      </x:c>
      <x:c r="C15" s="31" t="str">
        <x:v>Loss</x:v>
      </x:c>
      <x:c r="D15" s="31" t="str">
        <x:v>Tristan Peters had one single = 1 TB</x:v>
      </x:c>
      <x:c r="E15" s="31" t="str">
        <x:v>EXP-04</x:v>
      </x:c>
      <x:c r="F15" s="31" t="str">
        <x:v>SOURCED</x:v>
      </x:c>
      <x:c r="G15" s="31" t="str">
        <x:v>Outcome only</x:v>
      </x:c>
      <x:c r="H15" s="199"/>
      <x:c r="I15" s="31" t="str">
        <x:v>MLB player/game cluster</x:v>
      </x:c>
      <x:c r="J15" s="31" t="str">
        <x:v>Extreme five-game heater regressed immediately; useful EXP-04 evidence against overweighting raw recency.</x:v>
      </x:c>
    </x:row>
    <x:row r="16">
      <x:c r="A16" s="31" t="str">
        <x:v>P28-013</x:v>
      </x:c>
      <x:c r="B16" s="31" t="str">
        <x:v>Lawrence Butler — 2+ H+R+RBI</x:v>
      </x:c>
      <x:c r="C16" s="31" t="str">
        <x:v>Pending</x:v>
      </x:c>
      <x:c r="D16" s="31" t="str"/>
      <x:c r="E16" s="31" t="str">
        <x:v>EXP-08</x:v>
      </x:c>
      <x:c r="F16" s="31" t="str">
        <x:v>SOURCED</x:v>
      </x:c>
      <x:c r="G16" s="31" t="str">
        <x:v>Outcome only</x:v>
      </x:c>
      <x:c r="H16" s="199"/>
      <x:c r="I16" s="31" t="str">
        <x:v>MLB player/game cluster</x:v>
      </x:c>
      <x:c r="J16" s="31" t="str">
        <x:v>PENDING: BAL/ATH was still live when the EOD snapshot was frozen. Do not grade until final.</x:v>
      </x:c>
    </x:row>
    <x:row r="17">
      <x:c r="A17" s="31" t="str">
        <x:v>P28-014</x:v>
      </x:c>
      <x:c r="B17" s="31" t="str">
        <x:v>Bayern/Stuttgart — 10+ total corners</x:v>
      </x:c>
      <x:c r="C17" s="31" t="str">
        <x:v>Win</x:v>
      </x:c>
      <x:c r="D17" s="31" t="str">
        <x:v>Bayern/Stuttgart produced 12 total corners</x:v>
      </x:c>
      <x:c r="E17" s="31" t="str">
        <x:v>EXP-13</x:v>
      </x:c>
      <x:c r="F17" s="31" t="str">
        <x:v>SOURCED</x:v>
      </x:c>
      <x:c r="G17" s="31" t="str">
        <x:v>Exact</x:v>
      </x:c>
      <x:c r="H17" s="199" t="n">
        <x:v>0.8849557522123894</x:v>
      </x:c>
      <x:c r="I17" s="31" t="str">
        <x:v>Soccer 3-match cluster</x:v>
      </x:c>
      <x:c r="J17" s="31" t="str">
        <x:v>Total-corners arm cleared; another positive EXP-13 observation.</x:v>
      </x:c>
    </x:row>
    <x:row r="18">
      <x:c r="A18" s="31" t="str">
        <x:v>P28-015</x:v>
      </x:c>
      <x:c r="B18" s="31" t="str">
        <x:v>Erling Haaland — Anytime scorer</x:v>
      </x:c>
      <x:c r="C18" s="31" t="str">
        <x:v>Win</x:v>
      </x:c>
      <x:c r="D18" s="31" t="str">
        <x:v>Haaland scored twice</x:v>
      </x:c>
      <x:c r="E18" s="31" t="str">
        <x:v>EXP-09</x:v>
      </x:c>
      <x:c r="F18" s="31" t="str">
        <x:v>SOURCED</x:v>
      </x:c>
      <x:c r="G18" s="31" t="str">
        <x:v>Exact</x:v>
      </x:c>
      <x:c r="H18" s="199" t="n">
        <x:v>0.9523809523809523</x:v>
      </x:c>
      <x:c r="I18" s="31" t="str">
        <x:v>Soccer 3-match cluster</x:v>
      </x:c>
      <x:c r="J18" s="31" t="str">
        <x:v>Qualified City scorer satellite won; paper-only still avoided duplicate real City exposure.</x:v>
      </x:c>
    </x:row>
    <x:row r="19">
      <x:c r="A19" s="31" t="str">
        <x:v>P28-016</x:v>
      </x:c>
      <x:c r="B19" s="31" t="str">
        <x:v>PSG — PSG ML</x:v>
      </x:c>
      <x:c r="C19" s="31" t="str">
        <x:v>Loss</x:v>
      </x:c>
      <x:c r="D19" s="31" t="str">
        <x:v>PSG drew Lille 2-2</x:v>
      </x:c>
      <x:c r="E19" s="31" t="str">
        <x:v>EXP-08</x:v>
      </x:c>
      <x:c r="F19" s="31" t="str">
        <x:v>SOURCED</x:v>
      </x:c>
      <x:c r="G19" s="31" t="str">
        <x:v>Outcome only</x:v>
      </x:c>
      <x:c r="H19" s="199"/>
      <x:c r="I19" s="31" t="str">
        <x:v>Soccer 3-match cluster</x:v>
      </x:c>
      <x:c r="J19" s="31" t="str">
        <x:v>Original PSG ML lost while actual BTTS won — clear market-conversion win.</x:v>
      </x:c>
    </x:row>
    <x:row r="20">
      <x:c r="A20" s="31" t="str">
        <x:v>P28-017</x:v>
      </x:c>
      <x:c r="B20" s="31" t="str">
        <x:v>Bayern/STU + PSG + City — Bayern/STU 10+ corners + PSG ML + Haaland anytime</x:v>
      </x:c>
      <x:c r="C20" s="31" t="str">
        <x:v>Loss</x:v>
      </x:c>
      <x:c r="D20" s="31" t="str">
        <x:v>Corners W; Haaland scorer W; PSG ML L</x:v>
      </x:c>
      <x:c r="E20" s="31" t="str">
        <x:v>EXP-09</x:v>
      </x:c>
      <x:c r="F20" s="31" t="str">
        <x:v>HYBRID</x:v>
      </x:c>
      <x:c r="G20" s="31" t="str">
        <x:v>Outcome only</x:v>
      </x:c>
      <x:c r="H20" s="199"/>
      <x:c r="I20" s="31" t="str">
        <x:v>Soccer 3-match cluster</x:v>
      </x:c>
      <x:c r="J20" s="31" t="str">
        <x:v>Secondary soccer ticket went 2/3 and died only on PSG ML. Not placing it saved $1.</x:v>
      </x:c>
    </x:row>
    <x:row r="21">
      <x:c r="A21" s="31" t="str">
        <x:v>P28-018</x:v>
      </x:c>
      <x:c r="B21" s="31" t="str">
        <x:v>Matt Olson — 2+ TB real leg + HR real single</x:v>
      </x:c>
      <x:c r="C21" s="31" t="str">
        <x:v>Loss</x:v>
      </x:c>
      <x:c r="D21" s="31" t="str">
        <x:v>Olson 1 TB and no HR</x:v>
      </x:c>
      <x:c r="E21" s="31" t="str">
        <x:v>EXP-03</x:v>
      </x:c>
      <x:c r="F21" s="31" t="str">
        <x:v>HYBRID</x:v>
      </x:c>
      <x:c r="G21" s="31" t="str">
        <x:v>Outcome only</x:v>
      </x:c>
      <x:c r="H21" s="199"/>
      <x:c r="I21" s="31" t="str">
        <x:v>MLB player/game cluster</x:v>
      </x:c>
      <x:c r="J21" s="31" t="str">
        <x:v>Both Olson-specific expressions failed while broad Sugano/Atlanta contact thesis won.</x:v>
      </x:c>
    </x:row>
    <x:row r="22">
      <x:c r="A22" s="31" t="str">
        <x:v>P28-019</x:v>
      </x:c>
      <x:c r="B22" s="31" t="str">
        <x:v>Jackie Young — 5+ rebounds</x:v>
      </x:c>
      <x:c r="C22" s="31" t="str">
        <x:v>Loss</x:v>
      </x:c>
      <x:c r="D22" s="31" t="str">
        <x:v>Jackie Young 4 rebounds</x:v>
      </x:c>
      <x:c r="E22" s="31" t="str">
        <x:v>EXP-20</x:v>
      </x:c>
      <x:c r="F22" s="31" t="str">
        <x:v>DISCOVERED</x:v>
      </x:c>
      <x:c r="G22" s="31" t="str">
        <x:v>Exact</x:v>
      </x:c>
      <x:c r="H22" s="199" t="n">
        <x:v>-1</x:v>
      </x:c>
      <x:c r="I22" s="31" t="str">
        <x:v>WNBA correlated set</x:v>
      </x:c>
      <x:c r="J22" s="31" t="str">
        <x:v>Shadow single confirms Young was a bad leg, not merely a parlay casualty; availability gating must improve.</x:v>
      </x:c>
    </x:row>
    <x:row r="23">
      <x:c r="A23" s="31" t="str">
        <x:v>P28-020</x:v>
      </x:c>
      <x:c r="B23" s="31" t="str">
        <x:v>Naz Hillmon — Over 14.5 P+R</x:v>
      </x:c>
      <x:c r="C23" s="31" t="str">
        <x:v>Win</x:v>
      </x:c>
      <x:c r="D23" s="31" t="str">
        <x:v>Naz Hillmon 10 PTS + 9 REB = 19 P+R</x:v>
      </x:c>
      <x:c r="E23" s="31" t="str">
        <x:v>EXP-20</x:v>
      </x:c>
      <x:c r="F23" s="31" t="str">
        <x:v>HYBRID</x:v>
      </x:c>
      <x:c r="G23" s="31" t="str">
        <x:v>Exact</x:v>
      </x:c>
      <x:c r="H23" s="199" t="n">
        <x:v>0.9615384615384616</x:v>
      </x:c>
      <x:c r="I23" s="31" t="str">
        <x:v>WNBA correlated set</x:v>
      </x:c>
      <x:c r="J23" s="31" t="str">
        <x:v>Shadow single won; role/injury thesis held independently of failed promo ticket.</x:v>
      </x:c>
    </x:row>
    <x:row r="24">
      <x:c r="A24" s="31" t="str">
        <x:v>P28-021</x:v>
      </x:c>
      <x:c r="B24" s="31" t="str">
        <x:v>Dearica Hamby — 15+ P+R</x:v>
      </x:c>
      <x:c r="C24" s="31" t="str">
        <x:v>Loss</x:v>
      </x:c>
      <x:c r="D24" s="31" t="str">
        <x:v>Dearica Hamby 13 P+R</x:v>
      </x:c>
      <x:c r="E24" s="31" t="str">
        <x:v>EXP-20</x:v>
      </x:c>
      <x:c r="F24" s="31" t="str">
        <x:v>HYBRID</x:v>
      </x:c>
      <x:c r="G24" s="31" t="str">
        <x:v>Exact</x:v>
      </x:c>
      <x:c r="H24" s="199" t="n">
        <x:v>-1</x:v>
      </x:c>
      <x:c r="I24" s="31" t="str">
        <x:v>WNBA correlated set</x:v>
      </x:c>
      <x:c r="J24" s="31" t="str">
        <x:v>Even -498 floor glue failed. Safe-looking alternates still add real failure risk.</x:v>
      </x:c>
    </x:row>
    <x:row r="25">
      <x:c r="A25" s="31" t="str">
        <x:v>P28-022</x:v>
      </x:c>
      <x:c r="B25" s="31" t="str">
        <x:v>Manchester City — Man City ML</x:v>
      </x:c>
      <x:c r="C25" s="31" t="str">
        <x:v>Win</x:v>
      </x:c>
      <x:c r="D25" s="31" t="str">
        <x:v>Manchester City won 4-1</x:v>
      </x:c>
      <x:c r="E25" s="31" t="str">
        <x:v>EXP-20</x:v>
      </x:c>
      <x:c r="F25" s="31" t="str">
        <x:v>HYBRID</x:v>
      </x:c>
      <x:c r="G25" s="31" t="str">
        <x:v>Exact</x:v>
      </x:c>
      <x:c r="H25" s="199" t="n">
        <x:v>0.6451612903225806</x:v>
      </x:c>
      <x:c r="I25" s="31" t="str">
        <x:v>Soccer 3-match cluster</x:v>
      </x:c>
      <x:c r="J25" s="31" t="str">
        <x:v>City ML shadow won; standalone leg had merit.</x:v>
      </x:c>
    </x:row>
    <x:row r="26">
      <x:c r="A26" s="31" t="str">
        <x:v>P28-023</x:v>
      </x:c>
      <x:c r="B26" s="31" t="str">
        <x:v>Bayern Munich — Bayern ML</x:v>
      </x:c>
      <x:c r="C26" s="31" t="str">
        <x:v>Win</x:v>
      </x:c>
      <x:c r="D26" s="31" t="str">
        <x:v>Bayern won 5-1</x:v>
      </x:c>
      <x:c r="E26" s="31" t="str">
        <x:v>EXP-20</x:v>
      </x:c>
      <x:c r="F26" s="31" t="str">
        <x:v>HYBRID</x:v>
      </x:c>
      <x:c r="G26" s="31" t="str">
        <x:v>Exact</x:v>
      </x:c>
      <x:c r="H26" s="199" t="n">
        <x:v>0.21052631578947367</x:v>
      </x:c>
      <x:c r="I26" s="31" t="str">
        <x:v>Soccer 3-match cluster</x:v>
      </x:c>
      <x:c r="J26" s="31" t="str">
        <x:v>Bayern ML shadow won; price efficiency remains separate from handicap quality.</x:v>
      </x:c>
    </x:row>
    <x:row r="27">
      <x:c r="A27" s="31" t="str">
        <x:v>P28-024</x:v>
      </x:c>
      <x:c r="B27" s="31" t="str">
        <x:v>Lille/PSG — BTTS Yes</x:v>
      </x:c>
      <x:c r="C27" s="31" t="str">
        <x:v>Win</x:v>
      </x:c>
      <x:c r="D27" s="31" t="str">
        <x:v>Lille/PSG finished 2-2</x:v>
      </x:c>
      <x:c r="E27" s="31" t="str">
        <x:v>EXP-20</x:v>
      </x:c>
      <x:c r="F27" s="31" t="str">
        <x:v>HYBRID</x:v>
      </x:c>
      <x:c r="G27" s="31" t="str">
        <x:v>Exact</x:v>
      </x:c>
      <x:c r="H27" s="199" t="n">
        <x:v>0.6896551724137931</x:v>
      </x:c>
      <x:c r="I27" s="31" t="str">
        <x:v>Soccer 3-match cluster</x:v>
      </x:c>
      <x:c r="J27" s="31" t="str">
        <x:v>BTTS shadow won while PSG ML control lost — clean adjustment evidence.</x:v>
      </x:c>
    </x:row>
    <x:row r="28">
      <x:c r="A28" s="31" t="str">
        <x:v>P28-025</x:v>
      </x:c>
      <x:c r="B28" s="31" t="str">
        <x:v>Dylan Cease — Over 7.5 Ks</x:v>
      </x:c>
      <x:c r="C28" s="31" t="str">
        <x:v>Win</x:v>
      </x:c>
      <x:c r="D28" s="31" t="str">
        <x:v>Dylan Cease recorded 8 strikeouts</x:v>
      </x:c>
      <x:c r="E28" s="31" t="str">
        <x:v>EXP-20</x:v>
      </x:c>
      <x:c r="F28" s="31" t="str">
        <x:v>HYBRID</x:v>
      </x:c>
      <x:c r="G28" s="31" t="str">
        <x:v>Exact</x:v>
      </x:c>
      <x:c r="H28" s="199" t="n">
        <x:v>0.6896551724137931</x:v>
      </x:c>
      <x:c r="I28" s="31" t="str">
        <x:v>MLB player/game cluster</x:v>
      </x:c>
      <x:c r="J28" s="31" t="str">
        <x:v>Cease shadow single won exactly over the line; strong EXP-20 construction evidence.</x:v>
      </x:c>
    </x:row>
    <x:row r="29">
      <x:c r="A29" s="31" t="str">
        <x:v>P28-026</x:v>
      </x:c>
      <x:c r="B29" s="31" t="str">
        <x:v>Matt Olson — 2+ total bases</x:v>
      </x:c>
      <x:c r="C29" s="31" t="str">
        <x:v>Loss</x:v>
      </x:c>
      <x:c r="D29" s="31" t="str">
        <x:v>Matt Olson had 1 total base</x:v>
      </x:c>
      <x:c r="E29" s="31" t="str">
        <x:v>EXP-20</x:v>
      </x:c>
      <x:c r="F29" s="31" t="str">
        <x:v>HYBRID</x:v>
      </x:c>
      <x:c r="G29" s="31" t="str">
        <x:v>Outcome only</x:v>
      </x:c>
      <x:c r="H29" s="199"/>
      <x:c r="I29" s="31" t="str">
        <x:v>MLB player/game cluster</x:v>
      </x:c>
      <x:c r="J29" s="31" t="str">
        <x:v>Olson TB shadow lost; player-specific selection was the failure.</x:v>
      </x:c>
    </x:row>
    <x:row r="30">
      <x:c r="A30" s="31" t="str">
        <x:v>P28-027</x:v>
      </x:c>
      <x:c r="B30" s="31" t="str">
        <x:v>Tomoyuki Sugano — Over 5.5 hits allowed</x:v>
      </x:c>
      <x:c r="C30" s="31" t="str">
        <x:v>Win</x:v>
      </x:c>
      <x:c r="D30" s="31" t="str">
        <x:v>Sugano allowed 10 hits in 4.0 IP</x:v>
      </x:c>
      <x:c r="E30" s="31" t="str">
        <x:v>EXP-20</x:v>
      </x:c>
      <x:c r="F30" s="31" t="str">
        <x:v>HYBRID</x:v>
      </x:c>
      <x:c r="G30" s="31" t="str">
        <x:v>Outcome only</x:v>
      </x:c>
      <x:c r="H30" s="199"/>
      <x:c r="I30" s="31" t="str">
        <x:v>MLB player/game cluster</x:v>
      </x:c>
      <x:c r="J30" s="31" t="str">
        <x:v>Sugano hits-allowed shadow won comfortably and best captured the team-contact thesis.</x:v>
      </x:c>
    </x:row>
    <x:row r="31">
      <x:c r="A31" s="31" t="str">
        <x:v>P28-028</x:v>
      </x:c>
      <x:c r="B31" s="31" t="str">
        <x:v>Shakira Austin — 8+ rebounds</x:v>
      </x:c>
      <x:c r="C31" s="31" t="str">
        <x:v>Win</x:v>
      </x:c>
      <x:c r="D31" s="31" t="str">
        <x:v>Shakira Austin recorded a double-double and cleared 8+ rebounds</x:v>
      </x:c>
      <x:c r="E31" s="31" t="str">
        <x:v>EXP-12</x:v>
      </x:c>
      <x:c r="F31" s="31" t="str">
        <x:v>SOURCED</x:v>
      </x:c>
      <x:c r="G31" s="31" t="str">
        <x:v>Outcome only</x:v>
      </x:c>
      <x:c r="H31" s="199"/>
      <x:c r="I31" s="31" t="str">
        <x:v>WNBA correlated set</x:v>
      </x:c>
      <x:c r="J31" s="31" t="str">
        <x:v>Austin backup won; compare directly with failed Young rebound under EXP-12.</x:v>
      </x:c>
    </x:row>
    <x:row r="32">
      <x:c r="A32" s="31" t="str">
        <x:v>P28-029</x:v>
      </x:c>
      <x:c r="B32" s="31" t="str">
        <x:v>Nneka Ogwumike — 6+ rebounds</x:v>
      </x:c>
      <x:c r="C32" s="31" t="str">
        <x:v>Loss</x:v>
      </x:c>
      <x:c r="D32" s="31" t="str">
        <x:v>Nneka Ogwumike had 3 rebounds</x:v>
      </x:c>
      <x:c r="E32" s="31" t="str">
        <x:v>EXP-12</x:v>
      </x:c>
      <x:c r="F32" s="31" t="str">
        <x:v>SOURCED</x:v>
      </x:c>
      <x:c r="G32" s="31" t="str">
        <x:v>Outcome only</x:v>
      </x:c>
      <x:c r="H32" s="199"/>
      <x:c r="I32" s="31" t="str">
        <x:v>WNBA correlated set</x:v>
      </x:c>
      <x:c r="J32" s="31" t="str">
        <x:v>Recent-floor control failed badly; strong evidence against treating streak hit rates as automatic glue.</x:v>
      </x:c>
    </x:row>
    <x:row r="33">
      <x:c r="A33" s="31" t="str">
        <x:v>P28-030</x:v>
      </x:c>
      <x:c r="B33" s="31" t="str">
        <x:v>Rhyne Howard — 15+ points</x:v>
      </x:c>
      <x:c r="C33" s="31" t="str">
        <x:v>Win</x:v>
      </x:c>
      <x:c r="D33" s="31" t="str">
        <x:v>Rhyne Howard scored 26 points</x:v>
      </x:c>
      <x:c r="E33" s="31" t="str">
        <x:v>EXP-04</x:v>
      </x:c>
      <x:c r="F33" s="31" t="str">
        <x:v>SOURCED</x:v>
      </x:c>
      <x:c r="G33" s="31" t="str">
        <x:v>Outcome only</x:v>
      </x:c>
      <x:c r="H33" s="199"/>
      <x:c r="I33" s="31" t="str">
        <x:v>WNBA correlated set</x:v>
      </x:c>
      <x:c r="J33" s="31" t="str">
        <x:v>15+ scoring control won comfortably; keep pairing recent form with role and price.</x:v>
      </x:c>
    </x:row>
    <x:row r="34">
      <x:c r="A34" s="31" t="str">
        <x:v>P28-031</x:v>
      </x:c>
      <x:c r="B34" s="31" t="str">
        <x:v>Allisha Gray — 2+ assists</x:v>
      </x:c>
      <x:c r="C34" s="31" t="str">
        <x:v>Win</x:v>
      </x:c>
      <x:c r="D34" s="31" t="str">
        <x:v>Allisha Gray recorded 3 assists</x:v>
      </x:c>
      <x:c r="E34" s="31" t="str">
        <x:v>EXP-04</x:v>
      </x:c>
      <x:c r="F34" s="31" t="str">
        <x:v>SOURCED</x:v>
      </x:c>
      <x:c r="G34" s="31" t="str">
        <x:v>Outcome only</x:v>
      </x:c>
      <x:c r="H34" s="199"/>
      <x:c r="I34" s="31" t="str">
        <x:v>WNBA correlated set</x:v>
      </x:c>
      <x:c r="J34" s="31" t="str">
        <x:v>2+ assist control won; keep testing whether short floors add enough payout for their extra leg risk.</x:v>
      </x:c>
    </x:row>
    <x:row r="35">
      <x:c r="A35" s="31" t="str">
        <x:v>P28-032</x:v>
      </x:c>
      <x:c r="B35" s="31" t="str">
        <x:v>Hunter Goodman — 2+ total bases</x:v>
      </x:c>
      <x:c r="C35" s="31" t="str">
        <x:v>Loss</x:v>
      </x:c>
      <x:c r="D35" s="31" t="str">
        <x:v>Goodman did not reach 2+ total bases</x:v>
      </x:c>
      <x:c r="E35" s="31" t="str">
        <x:v>EXP-03</x:v>
      </x:c>
      <x:c r="F35" s="31" t="str">
        <x:v>HYBRID</x:v>
      </x:c>
      <x:c r="G35" s="31" t="str">
        <x:v>Outcome only</x:v>
      </x:c>
      <x:c r="H35" s="199"/>
      <x:c r="I35" s="31" t="str">
        <x:v>MLB player/game cluster</x:v>
      </x:c>
      <x:c r="J35" s="31" t="str">
        <x:v>Lower-variance TB expression also failed; hitter-specific miss, not only HR variance.</x:v>
      </x:c>
    </x:row>
    <x:row r="36">
      <x:c r="A36" s="31" t="str">
        <x:v>P28-033</x:v>
      </x:c>
      <x:c r="B36" s="31" t="str">
        <x:v>Caminero + Vaughn + Vargas — Caminero 1+ H + Vaughn 1+ H + Vargas 1+ H</x:v>
      </x:c>
      <x:c r="C36" s="31" t="str">
        <x:v>Loss</x:v>
      </x:c>
      <x:c r="D36" s="31" t="str">
        <x:v>Caminero 1+ H W; Vargas 1+ H W; Vaughn 1+ H L (0-for-1 PH)</x:v>
      </x:c>
      <x:c r="E36" s="31" t="str">
        <x:v>EXP-08</x:v>
      </x:c>
      <x:c r="F36" s="31" t="str">
        <x:v>SOURCED</x:v>
      </x:c>
      <x:c r="G36" s="31" t="str">
        <x:v>Exact</x:v>
      </x:c>
      <x:c r="H36" s="199" t="n">
        <x:v>-1</x:v>
      </x:c>
      <x:c r="I36" s="31" t="str">
        <x:v>MLB player/game cluster</x:v>
      </x:c>
      <x:c r="J36" s="31" t="str">
        <x:v>Expensive 1+ hit source parlay went 2/3 and lost; high-juice glue still creates full-ticket failure points.</x:v>
      </x:c>
    </x:row>
    <x:row r="37">
      <x:c r="A37" s="31" t="str">
        <x:v>P28-034</x:v>
      </x:c>
      <x:c r="B37" s="31" t="str">
        <x:v>Bayern + PSG + Man City — Bayern ML + PSG ML + Man City ML</x:v>
      </x:c>
      <x:c r="C37" s="31" t="str">
        <x:v>Loss</x:v>
      </x:c>
      <x:c r="D37" s="31" t="str">
        <x:v>Bayern ML W; City ML W; PSG ML L</x:v>
      </x:c>
      <x:c r="E37" s="31" t="str">
        <x:v>EXP-08</x:v>
      </x:c>
      <x:c r="F37" s="31" t="str">
        <x:v>HYBRID</x:v>
      </x:c>
      <x:c r="G37" s="31" t="str">
        <x:v>Outcome only</x:v>
      </x:c>
      <x:c r="H37" s="199"/>
      <x:c r="I37" s="31" t="str">
        <x:v>Soccer 3-match cluster</x:v>
      </x:c>
      <x:c r="J37" s="31" t="str">
        <x:v>Three-favorite ML control lost solely on PSG; replacing PSG ML with BTTS added value.</x:v>
      </x:c>
    </x:row>
    <x:row r="38">
      <x:c r="A38" s="31" t="str">
        <x:v>P28-035</x:v>
      </x:c>
      <x:c r="B38" s="31" t="str">
        <x:v>Bayern/STU + Lille/PSG + City — Bayern/STU BTTS + Lille/PSG BTTS + Man City ML</x:v>
      </x:c>
      <x:c r="C38" s="31" t="str">
        <x:v>Win</x:v>
      </x:c>
      <x:c r="D38" s="31" t="str">
        <x:v>Bayern/STU BTTS W; Lille/PSG BTTS W; City ML W</x:v>
      </x:c>
      <x:c r="E38" s="31" t="str">
        <x:v>EXP-09</x:v>
      </x:c>
      <x:c r="F38" s="31" t="str">
        <x:v>SOURCED</x:v>
      </x:c>
      <x:c r="G38" s="31" t="str">
        <x:v>Outcome only</x:v>
      </x:c>
      <x:c r="H38" s="199"/>
      <x:c r="I38" s="31" t="str">
        <x:v>Soccer 3-match cluster</x:v>
      </x:c>
      <x:c r="J38" s="31" t="str">
        <x:v>Double-BTTS game-script alternative went 3/3; valuable prospective soccer control.</x:v>
      </x:c>
    </x:row>
    <x:row r="39">
      <x:c r="A39" s="31" t="str">
        <x:v>P28-036</x:v>
      </x:c>
      <x:c r="B39" s="31" t="str">
        <x:v>Bayern + PSG + Man City — Bayern 2+ team goals + PSG ML + Man City 2+ team goals</x:v>
      </x:c>
      <x:c r="C39" s="31" t="str">
        <x:v>Loss</x:v>
      </x:c>
      <x:c r="D39" s="31" t="str">
        <x:v>Bayern 2+ goals W; City 2+ goals W; PSG ML L</x:v>
      </x:c>
      <x:c r="E39" s="31" t="str">
        <x:v>EXP-08</x:v>
      </x:c>
      <x:c r="F39" s="31" t="str">
        <x:v>DISCOVERED</x:v>
      </x:c>
      <x:c r="G39" s="31" t="str">
        <x:v>Outcome only</x:v>
      </x:c>
      <x:c r="H39" s="199"/>
      <x:c r="I39" s="31" t="str">
        <x:v>Soccer 3-match cluster</x:v>
      </x:c>
      <x:c r="J39" s="31" t="str">
        <x:v>Team-goals alternative also died on PSG ML, isolating PSG market selection as weak link.</x:v>
      </x:c>
    </x:row>
    <x:row r="40">
      <x:c r="A40" s="31" t="str">
        <x:v>P28-037</x:v>
      </x:c>
      <x:c r="B40" s="31" t="str">
        <x:v>Young + Hillmon — Young 5+ REB + Hillmon O14.5 P+R</x:v>
      </x:c>
      <x:c r="C40" s="31" t="str">
        <x:v>Loss</x:v>
      </x:c>
      <x:c r="D40" s="31" t="str">
        <x:v>Young L; Hillmon W</x:v>
      </x:c>
      <x:c r="E40" s="31" t="str">
        <x:v>EXP-09</x:v>
      </x:c>
      <x:c r="F40" s="31" t="str">
        <x:v>HYBRID</x:v>
      </x:c>
      <x:c r="G40" s="31" t="str">
        <x:v>Outcome only</x:v>
      </x:c>
      <x:c r="H40" s="199"/>
      <x:c r="I40" s="31" t="str">
        <x:v>WNBA correlated set</x:v>
      </x:c>
      <x:c r="J40" s="31" t="str">
        <x:v>Young+Hillmon subset lost; removing Hamby would not have saved it.</x:v>
      </x:c>
    </x:row>
    <x:row r="41">
      <x:c r="A41" s="31" t="str">
        <x:v>P28-038</x:v>
      </x:c>
      <x:c r="B41" s="31" t="str">
        <x:v>Young + Hamby — Young 5+ REB + Hamby 15+ P+R</x:v>
      </x:c>
      <x:c r="C41" s="31" t="str">
        <x:v>Loss</x:v>
      </x:c>
      <x:c r="D41" s="31" t="str">
        <x:v>Young L; Hamby L</x:v>
      </x:c>
      <x:c r="E41" s="31" t="str">
        <x:v>EXP-09</x:v>
      </x:c>
      <x:c r="F41" s="31" t="str">
        <x:v>HYBRID</x:v>
      </x:c>
      <x:c r="G41" s="31" t="str">
        <x:v>Outcome only</x:v>
      </x:c>
      <x:c r="H41" s="199"/>
      <x:c r="I41" s="31" t="str">
        <x:v>WNBA correlated set</x:v>
      </x:c>
      <x:c r="J41" s="31" t="str">
        <x:v>Young+Hamby subset lost both legs; WNBA issue was selection quality, not merely 3-leg construction.</x:v>
      </x:c>
    </x:row>
    <x:row r="42">
      <x:c r="A42" s="31" t="str">
        <x:v>P28-039</x:v>
      </x:c>
      <x:c r="B42" s="31" t="str">
        <x:v>Hillmon + Hamby — Hillmon O14.5 P+R + Hamby 15+ P+R</x:v>
      </x:c>
      <x:c r="C42" s="31" t="str">
        <x:v>Loss</x:v>
      </x:c>
      <x:c r="D42" s="31" t="str">
        <x:v>Hillmon W; Hamby L</x:v>
      </x:c>
      <x:c r="E42" s="31" t="str">
        <x:v>EXP-09</x:v>
      </x:c>
      <x:c r="F42" s="31" t="str">
        <x:v>HYBRID</x:v>
      </x:c>
      <x:c r="G42" s="31" t="str">
        <x:v>Outcome only</x:v>
      </x:c>
      <x:c r="H42" s="199"/>
      <x:c r="I42" s="31" t="str">
        <x:v>WNBA correlated set</x:v>
      </x:c>
      <x:c r="J42" s="31" t="str">
        <x:v>Hillmon+Hamby subset lost on Hamby; Hillmon was the only winning WNBA real leg.</x:v>
      </x:c>
    </x:row>
    <x:row r="43">
      <x:c r="A43" s="31" t="str">
        <x:v>P28-040</x:v>
      </x:c>
      <x:c r="B43" s="31" t="str">
        <x:v>City + Bayern — Man City ML + Bayern ML</x:v>
      </x:c>
      <x:c r="C43" s="31" t="str">
        <x:v>Win</x:v>
      </x:c>
      <x:c r="D43" s="31" t="str">
        <x:v>City ML W; Bayern ML W</x:v>
      </x:c>
      <x:c r="E43" s="31" t="str">
        <x:v>EXP-09</x:v>
      </x:c>
      <x:c r="F43" s="31" t="str">
        <x:v>HYBRID</x:v>
      </x:c>
      <x:c r="G43" s="31" t="str">
        <x:v>Outcome only</x:v>
      </x:c>
      <x:c r="H43" s="199"/>
      <x:c r="I43" s="31" t="str">
        <x:v>Soccer 3-match cluster</x:v>
      </x:c>
      <x:c r="J43" s="31" t="str">
        <x:v>City+Bayern 2-leg subset won; useful lower-variance benchmark.</x:v>
      </x:c>
    </x:row>
    <x:row r="44">
      <x:c r="A44" s="31" t="str">
        <x:v>P28-041</x:v>
      </x:c>
      <x:c r="B44" s="31" t="str">
        <x:v>City + Lille/PSG — Man City ML + Lille/PSG BTTS</x:v>
      </x:c>
      <x:c r="C44" s="31" t="str">
        <x:v>Win</x:v>
      </x:c>
      <x:c r="D44" s="31" t="str">
        <x:v>City ML W; Lille/PSG BTTS W</x:v>
      </x:c>
      <x:c r="E44" s="31" t="str">
        <x:v>EXP-09</x:v>
      </x:c>
      <x:c r="F44" s="31" t="str">
        <x:v>HYBRID</x:v>
      </x:c>
      <x:c r="G44" s="31" t="str">
        <x:v>Outcome only</x:v>
      </x:c>
      <x:c r="H44" s="199"/>
      <x:c r="I44" s="31" t="str">
        <x:v>Soccer 3-match cluster</x:v>
      </x:c>
      <x:c r="J44" s="31" t="str">
        <x:v>City+BTTS 2-leg subset won.</x:v>
      </x:c>
    </x:row>
    <x:row r="45">
      <x:c r="A45" s="31" t="str">
        <x:v>P28-042</x:v>
      </x:c>
      <x:c r="B45" s="31" t="str">
        <x:v>Bayern + Lille/PSG — Bayern ML + Lille/PSG BTTS</x:v>
      </x:c>
      <x:c r="C45" s="31" t="str">
        <x:v>Win</x:v>
      </x:c>
      <x:c r="D45" s="31" t="str">
        <x:v>Bayern ML W; Lille/PSG BTTS W</x:v>
      </x:c>
      <x:c r="E45" s="31" t="str">
        <x:v>EXP-09</x:v>
      </x:c>
      <x:c r="F45" s="31" t="str">
        <x:v>HYBRID</x:v>
      </x:c>
      <x:c r="G45" s="31" t="str">
        <x:v>Outcome only</x:v>
      </x:c>
      <x:c r="H45" s="199"/>
      <x:c r="I45" s="31" t="str">
        <x:v>Soccer 3-match cluster</x:v>
      </x:c>
      <x:c r="J45" s="31" t="str">
        <x:v>Bayern+BTTS 2-leg subset won.</x:v>
      </x:c>
    </x:row>
    <x:row r="46">
      <x:c r="A46" s="31" t="str">
        <x:v>P28-043</x:v>
      </x:c>
      <x:c r="B46" s="31" t="str">
        <x:v>Olson + Sugano — Olson 2+ TB + Sugano O5.5 hits allowed</x:v>
      </x:c>
      <x:c r="C46" s="31" t="str">
        <x:v>Loss</x:v>
      </x:c>
      <x:c r="D46" s="31" t="str">
        <x:v>Olson 2+ TB L; Sugano O5.5 HA W</x:v>
      </x:c>
      <x:c r="E46" s="31" t="str">
        <x:v>EXP-09</x:v>
      </x:c>
      <x:c r="F46" s="31" t="str">
        <x:v>HYBRID</x:v>
      </x:c>
      <x:c r="G46" s="31" t="str">
        <x:v>Exact</x:v>
      </x:c>
      <x:c r="H46" s="199" t="n">
        <x:v>-1</x:v>
      </x:c>
      <x:c r="I46" s="31" t="str">
        <x:v>MLB player/game cluster</x:v>
      </x:c>
      <x:c r="J46" s="31" t="str">
        <x:v>ATL SGP core lost because Olson failed; team thesis correct, hitter concentration hurt robustness.</x:v>
      </x:c>
    </x:row>
    <x:row r="47">
      <x:c r="A47" s="31" t="str">
        <x:v>P28-044</x:v>
      </x:c>
      <x:c r="B47" s="31" t="str">
        <x:v>Cease + Olson — Cease O7.5 K + Olson 2+ TB</x:v>
      </x:c>
      <x:c r="C47" s="31" t="str">
        <x:v>Loss</x:v>
      </x:c>
      <x:c r="D47" s="31" t="str">
        <x:v>Cease W; Olson TB L</x:v>
      </x:c>
      <x:c r="E47" s="31" t="str">
        <x:v>EXP-09</x:v>
      </x:c>
      <x:c r="F47" s="31" t="str">
        <x:v>HYBRID</x:v>
      </x:c>
      <x:c r="G47" s="31" t="str">
        <x:v>Outcome only</x:v>
      </x:c>
      <x:c r="H47" s="199"/>
      <x:c r="I47" s="31" t="str">
        <x:v>MLB player/game cluster</x:v>
      </x:c>
      <x:c r="J47" s="31" t="str">
        <x:v>Cease+Olson subset lost on Olson.</x:v>
      </x:c>
    </x:row>
    <x:row r="48">
      <x:c r="A48" s="31" t="str">
        <x:v>P28-045</x:v>
      </x:c>
      <x:c r="B48" s="31" t="str">
        <x:v>Cease + Sugano — Cease O7.5 K + Sugano O5.5 hits allowed</x:v>
      </x:c>
      <x:c r="C48" s="31" t="str">
        <x:v>Win</x:v>
      </x:c>
      <x:c r="D48" s="31" t="str">
        <x:v>Cease W; Sugano HA W</x:v>
      </x:c>
      <x:c r="E48" s="31" t="str">
        <x:v>EXP-09</x:v>
      </x:c>
      <x:c r="F48" s="31" t="str">
        <x:v>HYBRID</x:v>
      </x:c>
      <x:c r="G48" s="31" t="str">
        <x:v>Outcome only</x:v>
      </x:c>
      <x:c r="H48" s="199"/>
      <x:c r="I48" s="31" t="str">
        <x:v>MLB player/game cluster</x:v>
      </x:c>
      <x:c r="J48" s="31" t="str">
        <x:v>Cease+Sugano 2-leg subset won — cleanest alternate MLB construction.</x:v>
      </x:c>
    </x:row>
    <x:row r="50">
      <x:c r="A50" s="225" t="str">
        <x:v>Aug. 28 Research-Lab Summary</x:v>
      </x:c>
      <x:c r="B50" s="225"/>
      <x:c r="C50" s="225"/>
      <x:c r="D50" s="225"/>
    </x:row>
    <x:row r="51">
      <x:c r="A51" s="227" t="str">
        <x:v>Metric</x:v>
      </x:c>
      <x:c r="B51" s="227" t="str">
        <x:v>Result</x:v>
      </x:c>
      <x:c r="C51" s="227" t="str">
        <x:v>Interpretation</x:v>
      </x:c>
      <x:c r="D51" s="227" t="str">
        <x:v>Action</x:v>
      </x:c>
    </x:row>
    <x:row r="52">
      <x:c r="A52" s="31" t="str">
        <x:v>Real money</x:v>
      </x:c>
      <x:c r="B52" s="31" t="str">
        <x:v>1-3 tickets; 6-4 legs; -$0.64</x:v>
      </x:c>
      <x:c r="C52" s="31" t="str">
        <x:v>Leg quality materially exceeded ticket conversion</x:v>
      </x:c>
      <x:c r="D52" s="31" t="str">
        <x:v>Keep EXP-20 single-vs-parlay tracking</x:v>
      </x:c>
    </x:row>
    <x:row r="53">
      <x:c r="A53" s="31" t="str">
        <x:v>Paper settled</x:v>
      </x:c>
      <x:c r="B53" s="31" t="str">
        <x:v>17-26 across 43 settled</x:v>
      </x:c>
      <x:c r="C53" s="31" t="str">
        <x:v>Shadow dataset captured failures too</x:v>
      </x:c>
      <x:c r="D53" s="31" t="str">
        <x:v>Do not prune hypotheses after one result</x:v>
      </x:c>
    </x:row>
    <x:row r="54">
      <x:c r="A54" s="31" t="str">
        <x:v>Exact-price paper</x:v>
      </x:c>
      <x:c r="B54" s="31" t="str">
        <x:v>7-12; -$6.97 on 19 rows</x:v>
      </x:c>
      <x:c r="C54" s="31" t="str">
        <x:v>Negative price-adjusted snapshot</x:v>
      </x:c>
      <x:c r="D54" s="31" t="str">
        <x:v>Prioritize price-aware paired tests</x:v>
      </x:c>
    </x:row>
    <x:row r="55">
      <x:c r="A55" s="31" t="str">
        <x:v>Best soccer adjustment</x:v>
      </x:c>
      <x:c r="B55" s="31" t="str">
        <x:v>BTTS won; PSG ML lost</x:v>
      </x:c>
      <x:c r="C55" s="31" t="str">
        <x:v>Market conversion added real value</x:v>
      </x:c>
      <x:c r="D55" s="31" t="str">
        <x:v>Keep originals as controls</x:v>
      </x:c>
    </x:row>
    <x:row r="56">
      <x:c r="A56" s="31" t="str">
        <x:v>Best MLB alternate</x:v>
      </x:c>
      <x:c r="B56" s="31" t="str">
        <x:v>Cease + Sugano 2-leg won</x:v>
      </x:c>
      <x:c r="C56" s="31" t="str">
        <x:v>Good legs were packaged with losing Olson leg</x:v>
      </x:c>
      <x:c r="D56" s="31" t="str">
        <x:v>Compare A-tier 2-legs/singles to promo 3-legs</x:v>
      </x:c>
    </x:row>
    <x:row r="57">
      <x:c r="A57" s="31" t="str">
        <x:v>WNBA lesson</x:v>
      </x:c>
      <x:c r="B57" s="31" t="str">
        <x:v>Hillmon only real WNBA leg to win</x:v>
      </x:c>
      <x:c r="C57" s="31" t="str">
        <x:v>Availability gate + safe-glue assumptions failed</x:v>
      </x:c>
      <x:c r="D57" s="31" t="str">
        <x:v>Hard final-status re-grade before tip</x:v>
      </x:c>
    </x:row>
  </x:sheetData>
  <x:mergeCells>
    <x:mergeCell ref="A1:J1"/>
    <x:mergeCell ref="A2:J2"/>
    <x:mergeCell ref="A50:D50"/>
  </x:mergeCells>
  <x:conditionalFormatting sqref="C4:C48">
    <x:cfRule type="expression" dxfId="10" priority="1">
      <x:formula>C4="Win"</x:formula>
    </x:cfRule>
    <x:cfRule type="expression" dxfId="11" priority="2">
      <x:formula>C4="Loss"</x:formula>
    </x:cfRule>
    <x:cfRule type="expression" dxfId="12" priority="3">
      <x:formula>C4="Pending"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234" t="str">
        <x:v>Date</x:v>
      </x:c>
      <x:c r="B1" s="234" t="str">
        <x:v>Candidate ID</x:v>
      </x:c>
      <x:c r="C1" s="234" t="str">
        <x:v>Game</x:v>
      </x:c>
      <x:c r="D1" s="234" t="str">
        <x:v>Team</x:v>
      </x:c>
      <x:c r="E1" s="234" t="str">
        <x:v>Player</x:v>
      </x:c>
      <x:c r="F1" s="234" t="str">
        <x:v>Market</x:v>
      </x:c>
      <x:c r="G1" s="234" t="str">
        <x:v>Line</x:v>
      </x:c>
      <x:c r="H1" s="234" t="str">
        <x:v>Odds</x:v>
      </x:c>
      <x:c r="I1" s="234" t="str">
        <x:v>Spread</x:v>
      </x:c>
      <x:c r="J1" s="234" t="str">
        <x:v>Game Total</x:v>
      </x:c>
      <x:c r="K1" s="234" t="str">
        <x:v>Home/Away/Neutral</x:v>
      </x:c>
      <x:c r="L1" s="234" t="str">
        <x:v>Starter/Depth Role</x:v>
      </x:c>
      <x:c r="M1" s="234" t="str">
        <x:v>Returning Production / Prior Role</x:v>
      </x:c>
      <x:c r="N1" s="234" t="str">
        <x:v>Coaching / Scheme Continuity</x:v>
      </x:c>
      <x:c r="O1" s="234" t="str">
        <x:v>Opponent Unit Attrition</x:v>
      </x:c>
      <x:c r="P1" s="234" t="str">
        <x:v>Projected Volume</x:v>
      </x:c>
      <x:c r="Q1" s="234" t="str">
        <x:v>Prior-Year Avg</x:v>
      </x:c>
      <x:c r="R1" s="234" t="str">
        <x:v>Explosive Rate / YAC-YCO</x:v>
      </x:c>
      <x:c r="S1" s="234" t="str">
        <x:v>Opponent Efficiency</x:v>
      </x:c>
      <x:c r="T1" s="234" t="str">
        <x:v>Injury / Availability</x:v>
      </x:c>
      <x:c r="U1" s="234" t="str">
        <x:v>Weather</x:v>
      </x:c>
      <x:c r="V1" s="234" t="str">
        <x:v>Travel / Venue</x:v>
      </x:c>
      <x:c r="W1" s="234" t="str">
        <x:v>Source Bucket</x:v>
      </x:c>
      <x:c r="X1" s="234" t="str">
        <x:v>Result</x:v>
      </x:c>
      <x:c r="Y1" s="234" t="str">
        <x:v>Actual Value</x:v>
      </x:c>
      <x:c r="Z1" s="234" t="str">
        <x:v>Notes</x:v>
      </x:c>
    </x:row>
    <x:row r="2">
      <x:c r="A2" s="31" t="str">
        <x:v>2026-08-29</x:v>
      </x:c>
      <x:c r="B2" s="31" t="str">
        <x:v>A29-D02</x:v>
      </x:c>
      <x:c r="C2" s="31" t="str">
        <x:v>SJSU @ USC</x:v>
      </x:c>
      <x:c r="D2" s="31" t="str">
        <x:v>USC</x:v>
      </x:c>
      <x:c r="E2" s="31" t="str">
        <x:v>King Miller</x:v>
      </x:c>
      <x:c r="F2" s="31" t="str">
        <x:v>Rush Yards</x:v>
      </x:c>
      <x:c r="G2" s="31" t="n">
        <x:v>65.5</x:v>
      </x:c>
      <x:c r="H2" s="31" t="n">
        <x:v>-114</x:v>
      </x:c>
      <x:c r="I2" s="31" t="n">
        <x:v>-38.5</x:v>
      </x:c>
      <x:c r="J2" s="31" t="n">
        <x:v>60.5</x:v>
      </x:c>
      <x:c r="K2" s="31" t="str">
        <x:v>Home</x:v>
      </x:c>
      <x:c r="L2" s="31" t="str">
        <x:v>Co-starter; expected elevated role with Waymond Jordan returning from ankle injury</x:v>
      </x:c>
      <x:c r="M2" s="31" t="str">
        <x:v>972 rush yds in 2025; explosive backup/rotation history</x:v>
      </x:c>
      <x:c r="N2" s="31" t="str">
        <x:v>Lincoln Riley offense continuity</x:v>
      </x:c>
      <x:c r="O2" s="31" t="str">
        <x:v>SJSU clearly overmatched; specific front-seven return data pending</x:v>
      </x:c>
      <x:c r="P2" s="31" t="str">
        <x:v>Projected ~10+ meaningful carries before reserves</x:v>
      </x:c>
      <x:c r="Q2" s="31"/>
      <x:c r="R2" s="31" t="str">
        <x:v>5 runs of 40+ yards in 2025; top-10 B1G YAC/missed tackles forced</x:v>
      </x:c>
      <x:c r="S2" s="31"/>
      <x:c r="T2" s="31" t="str">
        <x:v>Jordan cleared but likely managed</x:v>
      </x:c>
      <x:c r="U2" s="31" t="str">
        <x:v>Pending</x:v>
      </x:c>
      <x:c r="V2" s="31" t="str">
        <x:v>Los Angeles Memorial Coliseum</x:v>
      </x:c>
      <x:c r="W2" s="31" t="str">
        <x:v>HYBRID</x:v>
      </x:c>
      <x:c r="X2" s="31" t="str">
        <x:v>Pending</x:v>
      </x:c>
      <x:c r="Y2" s="31"/>
      <x:c r="Z2" s="31" t="str">
        <x:v>First EXP-22 blowout-efficiency test.</x:v>
      </x:c>
    </x:row>
    <x:row r="3">
      <x:c r="A3" s="31" t="str">
        <x:v>2026-08-29</x:v>
      </x:c>
      <x:c r="B3" s="31" t="str">
        <x:v>A29-D01</x:v>
      </x:c>
      <x:c r="C3" s="31" t="str">
        <x:v>UNC vs TCU</x:v>
      </x:c>
      <x:c r="D3" s="31" t="str">
        <x:v>UNC</x:v>
      </x:c>
      <x:c r="E3" s="31" t="str">
        <x:v>Jordan Shipp</x:v>
      </x:c>
      <x:c r="F3" s="31" t="str">
        <x:v>Rec Yards</x:v>
      </x:c>
      <x:c r="G3" s="31" t="n">
        <x:v>60</x:v>
      </x:c>
      <x:c r="H3" s="31" t="n">
        <x:v>120</x:v>
      </x:c>
      <x:c r="I3" s="31"/>
      <x:c r="J3" s="31"/>
      <x:c r="K3" s="31" t="str">
        <x:v>Neutral</x:v>
      </x:c>
      <x:c r="L3" s="31" t="str">
        <x:v>Returning featured WR</x:v>
      </x:c>
      <x:c r="M3" s="31" t="str">
        <x:v>60 catches, 671 yards, 6 TD in 2025</x:v>
      </x:c>
      <x:c r="N3" s="31" t="str">
        <x:v>New OC Bobby Petrino expected to expand usage creativity</x:v>
      </x:c>
      <x:c r="O3" s="31" t="str">
        <x:v>TCU secondary quality/turnover to be finalized</x:v>
      </x:c>
      <x:c r="P3" s="31" t="str">
        <x:v>Normal starting-WR route volume</x:v>
      </x:c>
      <x:c r="Q3" s="31"/>
      <x:c r="R3" s="31"/>
      <x:c r="S3" s="31"/>
      <x:c r="T3" s="31"/>
      <x:c r="U3" s="31"/>
      <x:c r="V3" s="31" t="str">
        <x:v>Dublin / neutral</x:v>
      </x:c>
      <x:c r="W3" s="31" t="str">
        <x:v>DISCOVERED</x:v>
      </x:c>
      <x:c r="X3" s="31" t="str">
        <x:v>Pending</x:v>
      </x:c>
      <x:c r="Y3" s="31"/>
      <x:c r="Z3" s="31" t="str">
        <x:v>EXP-21 role/scheme continuity test.</x:v>
      </x:c>
    </x:row>
    <x:row r="4">
      <x:c r="A4" s="31" t="str">
        <x:v>2026-08-29</x:v>
      </x:c>
      <x:c r="B4" s="31" t="str">
        <x:v>A29-D03</x:v>
      </x:c>
      <x:c r="C4" s="31" t="str">
        <x:v>Hawaii @ Stanford</x:v>
      </x:c>
      <x:c r="D4" s="31" t="str">
        <x:v>Stanford</x:v>
      </x:c>
      <x:c r="E4" s="31" t="str">
        <x:v>Micah Ford</x:v>
      </x:c>
      <x:c r="F4" s="31" t="str">
        <x:v>Rush Yards</x:v>
      </x:c>
      <x:c r="G4" s="31" t="n">
        <x:v>100</x:v>
      </x:c>
      <x:c r="H4" s="31" t="n">
        <x:v>158</x:v>
      </x:c>
      <x:c r="I4" s="31"/>
      <x:c r="J4" s="31"/>
      <x:c r="K4" s="31" t="str">
        <x:v>Home</x:v>
      </x:c>
      <x:c r="L4" s="31" t="str">
        <x:v>Starting RB / full workload assumption</x:v>
      </x:c>
      <x:c r="M4" s="31" t="str">
        <x:v>113 rush yds vs Hawaii in 2025; three 100-yard games</x:v>
      </x:c>
      <x:c r="N4" s="31" t="str">
        <x:v>Scheme continuity to finalize</x:v>
      </x:c>
      <x:c r="O4" s="31" t="str">
        <x:v>Hawaii lost top 2 tacklers and key interior run defenders</x:v>
      </x:c>
      <x:c r="P4" s="31" t="str">
        <x:v>Full workload required for 100+ alt</x:v>
      </x:c>
      <x:c r="Q4" s="31" t="str">
        <x:v>Prior matchup 26 carries, 113 yards</x:v>
      </x:c>
      <x:c r="R4" s="31" t="str">
        <x:v>Top-10 ACC yards after contact; top-15 missed tackles forced</x:v>
      </x:c>
      <x:c r="S4" s="31"/>
      <x:c r="T4" s="31"/>
      <x:c r="U4" s="31"/>
      <x:c r="V4" s="31" t="str">
        <x:v>Stanford Stadium</x:v>
      </x:c>
      <x:c r="W4" s="31" t="str">
        <x:v>DISCOVERED</x:v>
      </x:c>
      <x:c r="X4" s="31" t="str">
        <x:v>Pending</x:v>
      </x:c>
      <x:c r="Y4" s="31"/>
      <x:c r="Z4" s="31" t="str">
        <x:v>EXP-21 opponent-attrition test.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18" hidden="0" customWidth="1"/>
    <x:col min="11" max="11" width="18" hidden="0" customWidth="1"/>
    <x:col min="12" max="12" width="28" hidden="0" customWidth="1"/>
    <x:col min="13" max="13" width="28" hidden="0" customWidth="1"/>
    <x:col min="14" max="14" width="28" hidden="0" customWidth="1"/>
    <x:col min="15" max="15" width="18" hidden="0" customWidth="1"/>
    <x:col min="16" max="16" width="18" hidden="0" customWidth="1"/>
    <x:col min="17" max="17" width="18" hidden="0" customWidth="1"/>
    <x:col min="18" max="18" width="28" hidden="0" customWidth="1"/>
    <x:col min="19" max="19" width="18" hidden="0" customWidth="1"/>
    <x:col min="20" max="20" width="18" hidden="0" customWidth="1"/>
    <x:col min="21" max="21" width="18" hidden="0" customWidth="1"/>
    <x:col min="22" max="22" width="28" hidden="0" customWidth="1"/>
  </x:cols>
  <x:sheetData>
    <x:row r="1">
      <x:c r="A1" s="247" t="str">
        <x:v>Date</x:v>
      </x:c>
      <x:c r="B1" s="247" t="str">
        <x:v>Game</x:v>
      </x:c>
      <x:c r="C1" s="247" t="str">
        <x:v>Market Spread</x:v>
      </x:c>
      <x:c r="D1" s="247" t="str">
        <x:v>Market Total</x:v>
      </x:c>
      <x:c r="E1" s="247" t="str">
        <x:v>TSI Projected Spread</x:v>
      </x:c>
      <x:c r="F1" s="247" t="str">
        <x:v>TSI Projected Total</x:v>
      </x:c>
      <x:c r="G1" s="247" t="str">
        <x:v>TSI Spread Edge (Pts)</x:v>
      </x:c>
      <x:c r="H1" s="247" t="str">
        <x:v>User Source Arms</x:v>
      </x:c>
      <x:c r="I1" s="247" t="str">
        <x:v>Independent Arms</x:v>
      </x:c>
      <x:c r="J1" s="247" t="str">
        <x:v>Conflict Level</x:v>
      </x:c>
      <x:c r="K1" s="247" t="str">
        <x:v>Venue / Travel</x:v>
      </x:c>
      <x:c r="L1" s="247" t="str">
        <x:v>QB / Offensive Continuity</x:v>
      </x:c>
      <x:c r="M1" s="247" t="str">
        <x:v>Returning Production / Roster Notes</x:v>
      </x:c>
      <x:c r="N1" s="247" t="str">
        <x:v>Coaching / Scheme Notes</x:v>
      </x:c>
      <x:c r="O1" s="247" t="str">
        <x:v>Key Injury / Availability</x:v>
      </x:c>
      <x:c r="P1" s="247" t="str">
        <x:v>Weather</x:v>
      </x:c>
      <x:c r="Q1" s="247" t="str">
        <x:v>Real Bet?</x:v>
      </x:c>
      <x:c r="R1" s="247" t="str">
        <x:v>Paper Tests</x:v>
      </x:c>
      <x:c r="S1" s="247" t="str">
        <x:v>Result</x:v>
      </x:c>
      <x:c r="T1" s="247" t="str">
        <x:v>Actual Margin</x:v>
      </x:c>
      <x:c r="U1" s="247" t="str">
        <x:v>Actual Total</x:v>
      </x:c>
      <x:c r="V1" s="247" t="str">
        <x:v>Notes</x:v>
      </x:c>
    </x:row>
    <x:row r="2">
      <x:c r="A2" s="31" t="str">
        <x:v>2026-08-29</x:v>
      </x:c>
      <x:c r="B2" s="31" t="str">
        <x:v>UNC vs TCU</x:v>
      </x:c>
      <x:c r="C2" s="31" t="str">
        <x:v>TCU -8.5</x:v>
      </x:c>
      <x:c r="D2" s="31" t="n">
        <x:v>46.5</x:v>
      </x:c>
      <x:c r="E2" s="31" t="str">
        <x:v>TCU -5.0</x:v>
      </x:c>
      <x:c r="F2" s="31" t="n">
        <x:v>49.5</x:v>
      </x:c>
      <x:c r="G2" s="31" t="n">
        <x:v>3.5</x:v>
      </x:c>
      <x:c r="H2" s="31" t="str">
        <x:v>TCU ML; TCU -6.5</x:v>
      </x:c>
      <x:c r="I2" s="31" t="str">
        <x:v>Action TCU -7.5</x:v>
      </x:c>
      <x:c r="J2" s="31" t="str">
        <x:v>LOW-MEDIUM</x:v>
      </x:c>
      <x:c r="K2" s="31" t="str">
        <x:v>Dublin neutral</x:v>
      </x:c>
      <x:c r="L2" s="31" t="str">
        <x:v>TCU continuity/trench edge; UNC new offensive setup</x:v>
      </x:c>
      <x:c r="M2" s="31" t="str">
        <x:v>UNC heavy transition; TCU transfer reinforcement</x:v>
      </x:c>
      <x:c r="N2" s="31" t="str">
        <x:v>UNC coaching uncertainty; TCU continuity advantage</x:v>
      </x:c>
      <x:c r="O2" s="31"/>
      <x:c r="P2" s="31" t="str">
        <x:v>Pending</x:v>
      </x:c>
      <x:c r="Q2" s="31" t="str">
        <x:v>N</x:v>
      </x:c>
      <x:c r="R2" s="31" t="str">
        <x:v>P29-023;P29-028</x:v>
      </x:c>
      <x:c r="S2" s="31" t="str">
        <x:v>Pending</x:v>
      </x:c>
      <x:c r="T2" s="31"/>
      <x:c r="U2" s="31"/>
      <x:c r="V2" s="31" t="str">
        <x:v>Current market from CBS; TSI is less bullish than market but Action still likes TCU.</x:v>
      </x:c>
    </x:row>
    <x:row r="3">
      <x:c r="A3" s="31" t="str">
        <x:v>2026-08-29</x:v>
      </x:c>
      <x:c r="B3" s="31" t="str">
        <x:v>SJSU @ USC</x:v>
      </x:c>
      <x:c r="C3" s="31" t="str">
        <x:v>USC -38.5</x:v>
      </x:c>
      <x:c r="D3" s="31" t="n">
        <x:v>61.5</x:v>
      </x:c>
      <x:c r="E3" s="31" t="str">
        <x:v>USC -34.5</x:v>
      </x:c>
      <x:c r="F3" s="31" t="n">
        <x:v>55</x:v>
      </x:c>
      <x:c r="G3" s="31" t="n">
        <x:v>4</x:v>
      </x:c>
      <x:c r="H3" s="31" t="str">
        <x:v>King Miller O65.5 rush</x:v>
      </x:c>
      <x:c r="I3" s="31" t="str">
        <x:v>USC/SJSU Under 60.5/61.5</x:v>
      </x:c>
      <x:c r="J3" s="31" t="str">
        <x:v>MEDIUM</x:v>
      </x:c>
      <x:c r="K3" s="31" t="str">
        <x:v>USC home</x:v>
      </x:c>
      <x:c r="L3" s="31" t="str">
        <x:v>USC Maiava continuity; Miller/Jordan RB split</x:v>
      </x:c>
      <x:c r="M3" s="31" t="str">
        <x:v>SJSU overmatched; USC elite offensive talent</x:v>
      </x:c>
      <x:c r="N3" s="31" t="str">
        <x:v>Gary Patterson new USC DC</x:v>
      </x:c>
      <x:c r="O3" s="31" t="str">
        <x:v>Waymond Jordan recently cleared, likely managed</x:v>
      </x:c>
      <x:c r="P3" s="31" t="str">
        <x:v>Pending</x:v>
      </x:c>
      <x:c r="Q3" s="31" t="str">
        <x:v>N</x:v>
      </x:c>
      <x:c r="R3" s="31" t="str">
        <x:v>P29-001;P29-054;P29-062;P29-063</x:v>
      </x:c>
      <x:c r="S3" s="31" t="str">
        <x:v>Pending</x:v>
      </x:c>
      <x:c r="T3" s="31"/>
      <x:c r="U3" s="31"/>
      <x:c r="V3" s="31" t="str">
        <x:v>TSI strongest signal is Under, not USC spread.</x:v>
      </x:c>
    </x:row>
    <x:row r="4">
      <x:c r="A4" s="31" t="str">
        <x:v>2026-08-29</x:v>
      </x:c>
      <x:c r="B4" s="31" t="str">
        <x:v>NC State @ Virginia</x:v>
      </x:c>
      <x:c r="C4" s="31" t="str">
        <x:v>Virginia -4</x:v>
      </x:c>
      <x:c r="D4" s="31" t="n">
        <x:v>51.5</x:v>
      </x:c>
      <x:c r="E4" s="31" t="str">
        <x:v>Virginia -4.0</x:v>
      </x:c>
      <x:c r="F4" s="31" t="n">
        <x:v>51</x:v>
      </x:c>
      <x:c r="G4" s="31" t="n">
        <x:v>0</x:v>
      </x:c>
      <x:c r="H4" s="31"/>
      <x:c r="I4" s="31" t="str">
        <x:v>Market/TSI aligned; prior independent NC State +points interest</x:v>
      </x:c>
      <x:c r="J4" s="31" t="str">
        <x:v>LOW</x:v>
      </x:c>
      <x:c r="K4" s="31" t="str">
        <x:v>Virginia home</x:v>
      </x:c>
      <x:c r="L4" s="31" t="str">
        <x:v>QB/continuity audit pending</x:v>
      </x:c>
      <x:c r="M4" s="31" t="str">
        <x:v>Audit pending</x:v>
      </x:c>
      <x:c r="N4" s="31" t="str">
        <x:v>Audit pending</x:v>
      </x:c>
      <x:c r="O4" s="31"/>
      <x:c r="P4" s="31" t="str">
        <x:v>Pending</x:v>
      </x:c>
      <x:c r="Q4" s="31" t="str">
        <x:v>N</x:v>
      </x:c>
      <x:c r="R4" s="31" t="str">
        <x:v>P29-064;P29-065</x:v>
      </x:c>
      <x:c r="S4" s="31" t="str">
        <x:v>Pending</x:v>
      </x:c>
      <x:c r="T4" s="31"/>
      <x:c r="U4" s="31"/>
      <x:c r="V4" s="31" t="str">
        <x:v>No meaningful TSI spread edge at current number.</x:v>
      </x:c>
    </x:row>
    <x:row r="5">
      <x:c r="A5" s="31" t="str">
        <x:v>2026-08-29</x:v>
      </x:c>
      <x:c r="B5" s="31" t="str">
        <x:v>Jacksonville State @ NDSU</x:v>
      </x:c>
      <x:c r="C5" s="31" t="str">
        <x:v>NDSU -6.5</x:v>
      </x:c>
      <x:c r="D5" s="31" t="n">
        <x:v>46.5</x:v>
      </x:c>
      <x:c r="E5" s="31" t="str">
        <x:v>NDSU -9.0</x:v>
      </x:c>
      <x:c r="F5" s="31" t="n">
        <x:v>53.5</x:v>
      </x:c>
      <x:c r="G5" s="31" t="n">
        <x:v>-2.5</x:v>
      </x:c>
      <x:c r="H5" s="31" t="str">
        <x:v>JAX +10.5; NDSU -6.5</x:v>
      </x:c>
      <x:c r="I5" s="31" t="str">
        <x:v>Covers NDSU -6.5</x:v>
      </x:c>
      <x:c r="J5" s="31" t="str">
        <x:v>HIGH</x:v>
      </x:c>
      <x:c r="K5" s="31" t="str">
        <x:v>FargoDome</x:v>
      </x:c>
      <x:c r="L5" s="31" t="str">
        <x:v>NDSU replacing drafted QB/WR; Jax St returns dual-threat QB</x:v>
      </x:c>
      <x:c r="M5" s="31" t="str">
        <x:v>Jax State more FBS experience; NDSU program strength</x:v>
      </x:c>
      <x:c r="N5" s="31" t="str">
        <x:v>NDSU FBS debut</x:v>
      </x:c>
      <x:c r="O5" s="31" t="str">
        <x:v>NDSU lost top QB/WR</x:v>
      </x:c>
      <x:c r="P5" s="31" t="str">
        <x:v>Pending</x:v>
      </x:c>
      <x:c r="Q5" s="31" t="str">
        <x:v>N</x:v>
      </x:c>
      <x:c r="R5" s="31" t="str">
        <x:v>P29-024;P29-029</x:v>
      </x:c>
      <x:c r="S5" s="31" t="str">
        <x:v>Pending</x:v>
      </x:c>
      <x:c r="T5" s="31"/>
      <x:c r="U5" s="31"/>
      <x:c r="V5" s="31" t="str">
        <x:v>High-value disagreement cluster; both +10.5 JAX and -6.5 NDSU can win in a 7-10 point NDSU victory.</x:v>
      </x:c>
    </x:row>
    <x:row r="6">
      <x:c r="A6" s="31" t="str">
        <x:v>2026-08-29</x:v>
      </x:c>
      <x:c r="B6" s="31" t="str">
        <x:v>Sacramento State @ Eastern Michigan</x:v>
      </x:c>
      <x:c r="C6" s="31" t="str">
        <x:v>EMU -9.5</x:v>
      </x:c>
      <x:c r="D6" s="31" t="n">
        <x:v>53.5</x:v>
      </x:c>
      <x:c r="E6" s="31" t="str">
        <x:v>EMU -6.5</x:v>
      </x:c>
      <x:c r="F6" s="31" t="n">
        <x:v>52</x:v>
      </x:c>
      <x:c r="G6" s="31" t="n">
        <x:v>3</x:v>
      </x:c>
      <x:c r="H6" s="31" t="str">
        <x:v>EMU -6.5 (two sources)</x:v>
      </x:c>
      <x:c r="I6" s="31" t="str">
        <x:v>FanDuel EMU -9.5; Action EMU 1H -6.5</x:v>
      </x:c>
      <x:c r="J6" s="31" t="str">
        <x:v>LOW</x:v>
      </x:c>
      <x:c r="K6" s="31" t="str">
        <x:v>Ypsilanti; Sac travels from CA</x:v>
      </x:c>
      <x:c r="L6" s="31" t="str">
        <x:v>EMU returns QB Noah Kim; Sac FBS debut</x:v>
      </x:c>
      <x:c r="M6" s="31" t="str">
        <x:v>EMU much more stable; Sac 73 newcomers per FanDuel</x:v>
      </x:c>
      <x:c r="N6" s="31" t="str">
        <x:v>Sac first-year HC / FBS transition</x:v>
      </x:c>
      <x:c r="O6" s="31"/>
      <x:c r="P6" s="31" t="str">
        <x:v>Pending</x:v>
      </x:c>
      <x:c r="Q6" s="31" t="str">
        <x:v>N</x:v>
      </x:c>
      <x:c r="R6" s="31" t="str">
        <x:v>P29-025;P29-032</x:v>
      </x:c>
      <x:c r="S6" s="31" t="str">
        <x:v>Pending</x:v>
      </x:c>
      <x:c r="T6" s="31"/>
      <x:c r="U6" s="31"/>
      <x:c r="V6" s="31" t="str">
        <x:v>Strong source convergence but TSI makes market spread exactly 3 pts too high; safer -6.5 is attractive expression.</x:v>
      </x:c>
    </x:row>
    <x:row r="7">
      <x:c r="A7" s="31" t="str">
        <x:v>2026-08-29</x:v>
      </x:c>
      <x:c r="B7" s="31" t="str">
        <x:v>New Mexico State @ Florida State</x:v>
      </x:c>
      <x:c r="C7" s="31" t="str">
        <x:v>FSU -31.5</x:v>
      </x:c>
      <x:c r="D7" s="31" t="n">
        <x:v>53.5</x:v>
      </x:c>
      <x:c r="E7" s="31" t="str">
        <x:v>FSU -23.0</x:v>
      </x:c>
      <x:c r="F7" s="31" t="n">
        <x:v>50.5</x:v>
      </x:c>
      <x:c r="G7" s="31" t="n">
        <x:v>8.5</x:v>
      </x:c>
      <x:c r="H7" s="31"/>
      <x:c r="I7" s="31" t="str">
        <x:v>Earlier model disagreement; paper only</x:v>
      </x:c>
      <x:c r="J7" s="31" t="str">
        <x:v>HIGH</x:v>
      </x:c>
      <x:c r="K7" s="31" t="str">
        <x:v>Tallahassee</x:v>
      </x:c>
      <x:c r="L7" s="31" t="str">
        <x:v>Audit pending</x:v>
      </x:c>
      <x:c r="M7" s="31" t="str">
        <x:v>Large talent gap but huge number</x:v>
      </x:c>
      <x:c r="N7" s="31" t="str">
        <x:v>Audit pending</x:v>
      </x:c>
      <x:c r="O7" s="31"/>
      <x:c r="P7" s="31" t="str">
        <x:v>Pending</x:v>
      </x:c>
      <x:c r="Q7" s="31" t="str">
        <x:v>N</x:v>
      </x:c>
      <x:c r="R7" s="31" t="str">
        <x:v>P29-066;P29-067;P29-068</x:v>
      </x:c>
      <x:c r="S7" s="31" t="str">
        <x:v>Pending</x:v>
      </x:c>
      <x:c r="T7" s="31"/>
      <x:c r="U7" s="31"/>
      <x:c r="V7" s="31" t="str">
        <x:v>One of largest model-vs-market spread gaps; avoid blindly laying 31.5.</x:v>
      </x:c>
    </x:row>
    <x:row r="8">
      <x:c r="A8" s="31" t="str">
        <x:v>2026-08-29</x:v>
      </x:c>
      <x:c r="B8" s="31" t="str">
        <x:v>Hawaii @ Stanford</x:v>
      </x:c>
      <x:c r="C8" s="31" t="str">
        <x:v>Stanford -4</x:v>
      </x:c>
      <x:c r="D8" s="31" t="n">
        <x:v>48.5</x:v>
      </x:c>
      <x:c r="E8" s="31" t="str">
        <x:v>Stanford -5.0</x:v>
      </x:c>
      <x:c r="F8" s="31" t="n">
        <x:v>51</x:v>
      </x:c>
      <x:c r="G8" s="31" t="n">
        <x:v>-1</x:v>
      </x:c>
      <x:c r="H8" s="31" t="str">
        <x:v>Hawaii -6.5 aggressive alt</x:v>
      </x:c>
      <x:c r="I8" s="31" t="str">
        <x:v>FanDuel Hawaii +3.5; Action 1H Under 24.5</x:v>
      </x:c>
      <x:c r="J8" s="31" t="str">
        <x:v>HIGH</x:v>
      </x:c>
      <x:c r="K8" s="31" t="str">
        <x:v>Stanford home</x:v>
      </x:c>
      <x:c r="L8" s="31" t="str">
        <x:v>Hawaii returns Micah Alejado; Stanford more uncertainty</x:v>
      </x:c>
      <x:c r="M8" s="31" t="str">
        <x:v>Hawaii QB continuity; Stanford OL injuries noted in previews</x:v>
      </x:c>
      <x:c r="N8" s="31" t="str">
        <x:v>Stanford staff transition context</x:v>
      </x:c>
      <x:c r="O8" s="31" t="str">
        <x:v>Stanford OL may be missing multiple starters</x:v>
      </x:c>
      <x:c r="P8" s="31" t="str">
        <x:v>Clear/mild winds</x:v>
      </x:c>
      <x:c r="Q8" s="31" t="str">
        <x:v>N</x:v>
      </x:c>
      <x:c r="R8" s="31" t="str">
        <x:v>P29-030;P29-033</x:v>
      </x:c>
      <x:c r="S8" s="31" t="str">
        <x:v>Pending</x:v>
      </x:c>
      <x:c r="T8" s="31"/>
      <x:c r="U8" s="31"/>
      <x:c r="V8" s="31" t="str">
        <x:v>Source Hawaii -6.5 is a deliberate extreme alt, not aligned with market; strong paper stress test.</x:v>
      </x:c>
    </x:row>
    <x:row r="9">
      <x:c r="A9" s="31" t="str">
        <x:v>2026-08-29</x:v>
      </x:c>
      <x:c r="B9" s="31" t="str">
        <x:v>Memphis @ UNLV</x:v>
      </x:c>
      <x:c r="C9" s="31" t="str">
        <x:v>UNLV -4</x:v>
      </x:c>
      <x:c r="D9" s="31" t="n">
        <x:v>56.5</x:v>
      </x:c>
      <x:c r="E9" s="31" t="str">
        <x:v>UNLV -1.5</x:v>
      </x:c>
      <x:c r="F9" s="31" t="n">
        <x:v>59</x:v>
      </x:c>
      <x:c r="G9" s="31" t="n">
        <x:v>2.5</x:v>
      </x:c>
      <x:c r="H9" s="31" t="str">
        <x:v>UNLV ML; UNLV -6.5</x:v>
      </x:c>
      <x:c r="I9" s="31" t="str">
        <x:v>Action Memphis +4.5; FanDuel UNLV -4.5; CBS UNLV 31-30/Memphis +4</x:v>
      </x:c>
      <x:c r="J9" s="31" t="str">
        <x:v>HIGH</x:v>
      </x:c>
      <x:c r="K9" s="31" t="str">
        <x:v>Las Vegas / Allegiant</x:v>
      </x:c>
      <x:c r="L9" s="31" t="str">
        <x:v>UNLV Arnold starter with Orji package; Memphis QB uncertainty</x:v>
      </x:c>
      <x:c r="M9" s="31" t="str">
        <x:v>UNLV more continuity; Memphis returns &gt;90% OL snaps per CBS</x:v>
      </x:c>
      <x:c r="N9" s="31" t="str">
        <x:v>Memphis new HC Charles Huff; UNLV Dan Mullen continuity</x:v>
      </x:c>
      <x:c r="O9" s="31" t="str">
        <x:v>None noted</x:v>
      </x:c>
      <x:c r="P9" s="31" t="str">
        <x:v>Indoor</x:v>
      </x:c>
      <x:c r="Q9" s="31" t="str">
        <x:v>N</x:v>
      </x:c>
      <x:c r="R9" s="31" t="str">
        <x:v>P29-026;P29-031;P29-034;P29-056;P29-059;P29-060;P29-061</x:v>
      </x:c>
      <x:c r="S9" s="31" t="str">
        <x:v>Pending</x:v>
      </x:c>
      <x:c r="T9" s="31"/>
      <x:c r="U9" s="31"/>
      <x:c r="V9" s="31" t="str">
        <x:v>Safest source expression is UNLV ML; spread has major disagreement.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8" hidden="0" customWidth="1"/>
    <x:col min="4" max="4" width="42" hidden="0" customWidth="1"/>
    <x:col min="5" max="5" width="22" hidden="0" customWidth="1"/>
    <x:col min="6" max="6" width="50" hidden="0" customWidth="1"/>
    <x:col min="7" max="7" width="48" hidden="0" customWidth="1"/>
    <x:col min="8" max="8" width="48" hidden="0" customWidth="1"/>
  </x:cols>
  <x:sheetData>
    <x:row r="1">
      <x:c r="A1" s="297" t="str">
        <x:v>HYPOTHESIS STRESS TESTS — PROMOTION PIPELINE</x:v>
      </x:c>
      <x:c r="B1" s="297"/>
      <x:c r="C1" s="297"/>
      <x:c r="D1" s="297"/>
      <x:c r="E1" s="297"/>
      <x:c r="F1" s="297"/>
      <x:c r="G1" s="297"/>
      <x:c r="H1" s="297"/>
    </x:row>
    <x:row r="3">
      <x:c r="A3" s="299" t="str">
        <x:v>Hypothesis</x:v>
      </x:c>
      <x:c r="B3" s="299" t="str">
        <x:v>Independent Clusters</x:v>
      </x:c>
      <x:c r="C3" s="299" t="str">
        <x:v>Current Evidence</x:v>
      </x:c>
      <x:c r="D3" s="299" t="str">
        <x:v>Read</x:v>
      </x:c>
      <x:c r="E3" s="299" t="str">
        <x:v>Status</x:v>
      </x:c>
      <x:c r="F3" s="299" t="str">
        <x:v>Next Stress Test</x:v>
      </x:c>
      <x:c r="G3" s="299" t="str">
        <x:v>Promotion Gate</x:v>
      </x:c>
      <x:c r="H3" s="299" t="str">
        <x:v>Main-Card Implication</x:v>
      </x:c>
    </x:row>
    <x:row r="4">
      <x:c r="A4" s="31" t="str">
        <x:v>Promo odds should be spent buying probability</x:v>
      </x:c>
      <x:c r="B4" s="31" t="str">
        <x:v>3 strong paired clusters</x:v>
      </x:c>
      <x:c r="C4" s="31" t="str">
        <x:v>Thomas 8+ W / 9+ L; Miller 60+ W / 65.5 L; BOU/EVE O1.5 W / O2.5 L</x:v>
      </x:c>
      <x:c r="D4" s="31" t="str">
        <x:v>Threshold buy-down repeatedly converted near-miss outcomes. But Aug28 WNBA shows safer thresholds cannot rescue weak underlying legs.</x:v>
      </x:c>
      <x:c r="E4" s="31" t="str">
        <x:v>PROMOTION CANDIDATE</x:v>
      </x:c>
      <x:c r="F4" s="31" t="str">
        <x:v>For every +300 promo, paper the minimum-qualifying build and 1-2 safer threshold reallocations.</x:v>
      </x:c>
      <x:c r="G4" s="31" t="str">
        <x:v>≥8 independent paired clusters with positive price-adjusted ROI and no major sport-specific reversal.</x:v>
      </x:c>
      <x:c r="H4" s="31" t="str">
        <x:v>Engineer raw odds just above promo minimum; spend surplus odds on safer thresholds.</x:v>
      </x:c>
    </x:row>
    <x:row r="5">
      <x:c r="A5" s="31" t="str">
        <x:v>First validate the thesis; then optimize market expression</x:v>
      </x:c>
      <x:c r="B5" s="31" t="str">
        <x:v>5+ paired clusters</x:v>
      </x:c>
      <x:c r="C5" s="31" t="str">
        <x:v>Thomas assists beat PRA; F5 O4.5 beat both-teams-2+; Sugano hits allowed beat Olson-specific TB/HR; Dortmund goals beat corners; Caminero HRR and TB both won.</x:v>
      </x:c>
      <x:c r="D5" s="31" t="str">
        <x:v>The direction is not 'always use composites.' The winning market is the one closest to the causal thesis. Market conversion helps only after the underlying read is right.</x:v>
      </x:c>
      <x:c r="E5" s="31" t="str">
        <x:v>STRONG / NOT FULLY PROMOTED</x:v>
      </x:c>
      <x:c r="F5" s="31" t="str">
        <x:v>Continue same-player / same-game paired markets with exact prices: hit vs TB vs HRR; team goals vs corners; pitcher fade vs hitter prop.</x:v>
      </x:c>
      <x:c r="G5" s="31" t="str">
        <x:v>≥10 paired clusters and ≥5 with exact prices/CLV showing one expression consistently dominates after vig.</x:v>
      </x:c>
      <x:c r="H5" s="31" t="str">
        <x:v>Do not invent an alternate market just to keep a game on the card; require independent market qualification.</x:v>
      </x:c>
    </x:row>
    <x:row r="6">
      <x:c r="A6" s="31" t="str">
        <x:v>Direct source-vs-independent conflict should stay paper</x:v>
      </x:c>
      <x:c r="B6" s="31" t="str">
        <x:v>2 clean CFB clusters</x:v>
      </x:c>
      <x:c r="C6" s="31" t="str">
        <x:v>JAX +10.5 L vs NDSU -6.5 W; UNLV thesis lost while Memphis +4.5 won outright.</x:v>
      </x:c>
      <x:c r="D6" s="31" t="str">
        <x:v>Early evidence strongly favors treating true disagreement as uncertainty, not 'value on both sides.'</x:v>
      </x:c>
      <x:c r="E6" s="31" t="str">
        <x:v>INCUBATE / HIGH PRIORITY</x:v>
      </x:c>
      <x:c r="F6" s="31" t="str">
        <x:v>Create opposing paper arms whenever credible models/sources disagree by &gt;6 spread points or opposite ML direction.</x:v>
      </x:c>
      <x:c r="G6" s="31" t="str">
        <x:v>≥8 conflict clusters; promote only if one feature family wins ≥65% of conflict resolutions with price control.</x:v>
      </x:c>
      <x:c r="H6" s="31" t="str">
        <x:v>No real side bet from a conflict cluster until a tie-break feature has been validated.</x:v>
      </x:c>
    </x:row>
    <x:row r="7">
      <x:c r="A7" s="31" t="str">
        <x:v>BvP should be a modifier, not a primary signal</x:v>
      </x:c>
      <x:c r="B7" s="31" t="str">
        <x:v>1 clean MLB cluster</x:v>
      </x:c>
      <x:c r="C7" s="31" t="str">
        <x:v>Julio entered 10-for-18 vs Soriano; 1+ hit, 2+ TB and 2+ HRR all failed (0 H/R/RBI).</x:v>
      </x:c>
      <x:c r="D7" s="31" t="str">
        <x:v>One game cannot reject BvP, but it clearly shows BvP cannot rescue a weak/fully priced setup by itself.</x:v>
      </x:c>
      <x:c r="E7" s="31" t="str">
        <x:v>INCUBATE</x:v>
      </x:c>
      <x:c r="F7" s="31" t="str">
        <x:v>Track BvP ≥12 PA vs matched non-BvP controls with xwOBA, pitch-type fit and price.</x:v>
      </x:c>
      <x:c r="G7" s="31" t="str">
        <x:v>≥25 independent BvP clusters; require incremental lift after broader hitter metrics.</x:v>
      </x:c>
      <x:c r="H7" s="31" t="str">
        <x:v>Never promote solely on BvP; use only as a small tie-breaker until validated.</x:v>
      </x:c>
    </x:row>
    <x:row r="8">
      <x:c r="A8" s="31" t="str">
        <x:v>Very expensive 'glue' is not synonymous with safety</x:v>
      </x:c>
      <x:c r="B8" s="31" t="str">
        <x:v>4 clear clusters</x:v>
      </x:c>
      <x:c r="C8" s="31" t="str">
        <x:v>Hamby 15+ P+R -498 L; Nneka 6+ REB L; Bayern ML -475 W; BOU/EVE O1.5 -380 W.</x:v>
      </x:c>
      <x:c r="D8" s="31" t="str">
        <x:v>Juice alone does not identify safe legs. Structural event reliability/role matters more than price label.</x:v>
      </x:c>
      <x:c r="E8" s="31" t="str">
        <x:v>INCUBATE</x:v>
      </x:c>
      <x:c r="F8" s="31" t="str">
        <x:v>Tag glue by mechanism: heavy-favorite ML, low total, 1+ hit, low alt prop, role floor; compare hit rate vs implied.</x:v>
      </x:c>
      <x:c r="G8" s="31" t="str">
        <x:v>≥30 priced glue legs, with each mechanism bucket ≥6 observations.</x:v>
      </x:c>
      <x:c r="H8" s="31" t="str">
        <x:v>Use glue only when our fair hit probability exceeds the already-high implied probability.</x:v>
      </x:c>
    </x:row>
    <x:row r="9">
      <x:c r="A9" s="31" t="str">
        <x:v>Three-leg promos can work when all legs are genuinely qualified</x:v>
      </x:c>
      <x:c r="B9" s="31" t="str">
        <x:v>3 clearest promo clusters</x:v>
      </x:c>
      <x:c r="C9" s="31" t="str">
        <x:v>Aug27 HRR SGPx W; Aug28 soccer 3-leg W; Aug29 MLB SGPx L. WNBA/CFB failures had weaker/conflicted legs.</x:v>
      </x:c>
      <x:c r="D9" s="31" t="str">
        <x:v>The issue is not three legs; it is weak-leg contamination and excess raw odds.</x:v>
      </x:c>
      <x:c r="E9" s="31" t="str">
        <x:v>INCUBATE</x:v>
      </x:c>
      <x:c r="F9" s="31" t="str">
        <x:v>For every promo, paper: optimized 3-leg, all 3 singles, all 2-leg subsets, and a minimum-odds threshold version.</x:v>
      </x:c>
      <x:c r="G9" s="31" t="str">
        <x:v>≥12 promo clusters; optimized 3-leg must beat naive/source construction on EV and drawdown.</x:v>
      </x:c>
      <x:c r="H9" s="31" t="str">
        <x:v>Promos remain usable, but no B-tier filler; optimize joint cash probability subject to eligibility.</x:v>
      </x:c>
    </x:row>
    <x:row r="10">
      <x:c r="A10" s="31" t="str">
        <x:v>NRFI quality matters more than a blanket 2-leg/3-leg rule</x:v>
      </x:c>
      <x:c r="B10" s="31" t="str">
        <x:v>3 source-card clusters</x:v>
      </x:c>
      <x:c r="C10" s="31" t="str">
        <x:v>Aug26 3-leg L; Aug28 3-leg L; Aug29 3-leg W. Aug29 selected 2-leg also W; omitted SEA/TOR also W.</x:v>
      </x:c>
      <x:c r="D10" s="31" t="str">
        <x:v>Our previous 'remove the weak third leg was correct' claim was too strong. It reduced exposure, not the realized outcome.</x:v>
      </x:c>
      <x:c r="E10" s="31" t="str">
        <x:v>INCUBATE</x:v>
      </x:c>
      <x:c r="F10" s="31" t="str">
        <x:v>Track each NRFI single, every 2-leg subset, full 3-leg, starter/top-order features and exact prices.</x:v>
      </x:c>
      <x:c r="G10" s="31" t="str">
        <x:v>≥20 independent games / ≥8 cards; compare expected log growth and card survival, not win rate alone.</x:v>
      </x:c>
      <x:c r="H10" s="31" t="str">
        <x:v>No automatic 3-leg ban; use only when all components grade independently and promo economics justify it.</x:v>
      </x:c>
    </x:row>
    <x:row r="11">
      <x:c r="A11" s="31" t="str">
        <x:v>HR model must be judged by ROI/CLV, not hit rate</x:v>
      </x:c>
      <x:c r="B11" s="31" t="str">
        <x:v>multiple HR clusters, small sample</x:v>
      </x:c>
      <x:c r="C11" s="31" t="str">
        <x:v>Longshots Peña +591 and Caglianone +390 produced outsized wins amid many HR misses.</x:v>
      </x:c>
      <x:c r="D11" s="31" t="str">
        <x:v>A low hit rate can still be profitable at long odds; raw W-L is the wrong evaluation metric.</x:v>
      </x:c>
      <x:c r="E11" s="31" t="str">
        <x:v>INCUBATE</x:v>
      </x:c>
      <x:c r="F11" s="31" t="str">
        <x:v>Freeze model probability, book implied probability, closing line, matchup-adjusted rank and result for every HR candidate.</x:v>
      </x:c>
      <x:c r="G11" s="31" t="str">
        <x:v>≥50 prospective HRs with exact prices; positive CLV and ROI with bootstrap/cluster confidence.</x:v>
      </x:c>
      <x:c r="H11" s="31" t="str">
        <x:v>Keep HR mostly paper/satellite until price-calibrated edge persists.</x:v>
      </x:c>
    </x:row>
    <x:row r="12">
      <x:c r="A12" s="31" t="str">
        <x:v>Early-season CFB role signals may be more portable than sides</x:v>
      </x:c>
      <x:c r="B12" s="31" t="str">
        <x:v>1 strong role cluster + spread evidence</x:v>
      </x:c>
      <x:c r="C12" s="31" t="str">
        <x:v>Miller 60+ W at 63; EMU convergence W; multiple conflicted sides/totals failed.</x:v>
      </x:c>
      <x:c r="D12" s="31" t="str">
        <x:v>Promising, but sample is far too small. Role continuity/workload may be easier to estimate than new-team power ratings.</x:v>
      </x:c>
      <x:c r="E12" s="31" t="str">
        <x:v>INCUBATE</x:v>
      </x:c>
      <x:c r="F12" s="31" t="str">
        <x:v>Separate player role/returning production experiments from side/total experiments; log snap/share expectations and realized usage.</x:v>
      </x:c>
      <x:c r="G12" s="31" t="str">
        <x:v>≥15 player-prop clusters and ≥20 side/total clusters before comparing families.</x:v>
      </x:c>
      <x:c r="H12" s="31" t="str">
        <x:v>Keep CFB player props eligible only with hard role evidence; sides remain more conservative early season.</x:v>
      </x:c>
    </x:row>
    <x:row r="15">
      <x:c r="A15" s="301" t="str">
        <x:v>RAW PAPER DIAGNOSTICS — CORRELATED ROWS NOT INDEPENDENT</x:v>
      </x:c>
      <x:c r="B15" s="301"/>
      <x:c r="C15" s="301"/>
      <x:c r="D15" s="301"/>
      <x:c r="E15" s="301"/>
    </x:row>
    <x:row r="16">
      <x:c r="A16" s="299" t="str">
        <x:v>Source Bucket</x:v>
      </x:c>
      <x:c r="B16" s="299" t="str">
        <x:v>Settled Rows</x:v>
      </x:c>
      <x:c r="C16" s="299" t="str">
        <x:v>Wins</x:v>
      </x:c>
      <x:c r="D16" s="299" t="str">
        <x:v>Raw Hit Rate</x:v>
      </x:c>
      <x:c r="E16" s="299" t="str">
        <x:v>Warning</x:v>
      </x:c>
    </x:row>
    <x:row r="17">
      <x:c r="A17" t="str">
        <x:v>SOURCED</x:v>
      </x:c>
      <x:c r="B17" t="n">
        <x:f>COUNTIFS('Paper Portfolio'!$K:$K,A17,'Paper Portfolio'!$O:$O,"Win")+COUNTIFS('Paper Portfolio'!$K:$K,A17,'Paper Portfolio'!$O:$O,"Loss")</x:f>
        <x:v>58</x:v>
      </x:c>
      <x:c r="C17" t="n">
        <x:f>COUNTIFS('Paper Portfolio'!$K:$K,A17,'Paper Portfolio'!$O:$O,"Win")</x:f>
        <x:v>25</x:v>
      </x:c>
      <x:c r="D17" s="24" t="n">
        <x:f>IFERROR(C17/B17,0)</x:f>
        <x:v>0.43103448275862066</x:v>
      </x:c>
      <x:c r="E17" t="str">
        <x:v>Raw row count only; variants/subsets can share the same thesis.</x:v>
      </x:c>
    </x:row>
    <x:row r="18">
      <x:c r="A18" t="str">
        <x:v>HYBRID</x:v>
      </x:c>
      <x:c r="B18" t="n">
        <x:f>COUNTIFS('Paper Portfolio'!$K:$K,A18,'Paper Portfolio'!$O:$O,"Win")+COUNTIFS('Paper Portfolio'!$K:$K,A18,'Paper Portfolio'!$O:$O,"Loss")</x:f>
        <x:v>91</x:v>
      </x:c>
      <x:c r="C18" t="n">
        <x:f>COUNTIFS('Paper Portfolio'!$K:$K,A18,'Paper Portfolio'!$O:$O,"Win")</x:f>
        <x:v>32</x:v>
      </x:c>
      <x:c r="D18" s="24" t="n">
        <x:f>IFERROR(C18/B18,0)</x:f>
        <x:v>0.3516483516483517</x:v>
      </x:c>
      <x:c r="E18" t="str">
        <x:v>Raw row count only; variants/subsets can share the same thesis.</x:v>
      </x:c>
    </x:row>
    <x:row r="19">
      <x:c r="A19" t="str">
        <x:v>DISCOVERED</x:v>
      </x:c>
      <x:c r="B19" t="n">
        <x:f>COUNTIFS('Paper Portfolio'!$K:$K,A19,'Paper Portfolio'!$O:$O,"Win")+COUNTIFS('Paper Portfolio'!$K:$K,A19,'Paper Portfolio'!$O:$O,"Loss")</x:f>
        <x:v>23</x:v>
      </x:c>
      <x:c r="C19" t="n">
        <x:f>COUNTIFS('Paper Portfolio'!$K:$K,A19,'Paper Portfolio'!$O:$O,"Win")</x:f>
        <x:v>8</x:v>
      </x:c>
      <x:c r="D19" s="24" t="n">
        <x:f>IFERROR(C19/B19,0)</x:f>
        <x:v>0.34782608695652173</x:v>
      </x:c>
      <x:c r="E19" t="str">
        <x:v>Raw row count only; variants/subsets can share the same thesis.</x:v>
      </x:c>
    </x:row>
    <x:row r="22">
      <x:c r="A22" s="299" t="str">
        <x:v>Experiment</x:v>
      </x:c>
      <x:c r="B22" s="299" t="str">
        <x:v>Settled Rows</x:v>
      </x:c>
      <x:c r="C22" s="299" t="str">
        <x:v>Wins</x:v>
      </x:c>
      <x:c r="D22" s="299" t="str">
        <x:v>Raw Hit Rate</x:v>
      </x:c>
      <x:c r="E22" s="299" t="str">
        <x:v>Current Use</x:v>
      </x:c>
      <x:c r="F22" s="299" t="str">
        <x:v>Independence Caveat</x:v>
      </x:c>
    </x:row>
    <x:row r="23">
      <x:c r="A23" t="str">
        <x:v>EXP-03</x:v>
      </x:c>
      <x:c r="B23" t="n">
        <x:f>COUNTIFS('Paper Portfolio'!$W:$W,A23,'Paper Portfolio'!$O:$O,"Win")+COUNTIFS('Paper Portfolio'!$W:$W,A23,'Paper Portfolio'!$O:$O,"Loss")</x:f>
        <x:v>23</x:v>
      </x:c>
      <x:c r="C23" t="n">
        <x:f>COUNTIFS('Paper Portfolio'!$W:$W,A23,'Paper Portfolio'!$O:$O,"Win")</x:f>
        <x:v>10</x:v>
      </x:c>
      <x:c r="D23" s="24" t="n">
        <x:f>IFERROR(C23/B23,0)</x:f>
        <x:v>0.43478260869565216</x:v>
      </x:c>
      <x:c r="E23" t="str">
        <x:v>Market expression</x:v>
      </x:c>
      <x:c r="F23" t="str">
        <x:v>Paired-market learning</x:v>
      </x:c>
    </x:row>
    <x:row r="24">
      <x:c r="A24" t="str">
        <x:v>EXP-06</x:v>
      </x:c>
      <x:c r="B24" t="n">
        <x:f>COUNTIFS('Paper Portfolio'!$W:$W,A24,'Paper Portfolio'!$O:$O,"Win")+COUNTIFS('Paper Portfolio'!$W:$W,A24,'Paper Portfolio'!$O:$O,"Loss")</x:f>
        <x:v>6</x:v>
      </x:c>
      <x:c r="C24" t="n">
        <x:f>COUNTIFS('Paper Portfolio'!$W:$W,A24,'Paper Portfolio'!$O:$O,"Win")</x:f>
        <x:v>1</x:v>
      </x:c>
      <x:c r="D24" s="24" t="n">
        <x:f>IFERROR(C24/B24,0)</x:f>
        <x:v>0.16666666666666666</x:v>
      </x:c>
      <x:c r="E24" t="str">
        <x:v>Threshold selection</x:v>
      </x:c>
      <x:c r="F24" t="str">
        <x:v>Buy-down / alternate thresholds</x:v>
      </x:c>
    </x:row>
    <x:row r="25">
      <x:c r="A25" t="str">
        <x:v>EXP-09</x:v>
      </x:c>
      <x:c r="B25" t="n">
        <x:f>COUNTIFS('Paper Portfolio'!$W:$W,A25,'Paper Portfolio'!$O:$O,"Win")+COUNTIFS('Paper Portfolio'!$W:$W,A25,'Paper Portfolio'!$O:$O,"Loss")</x:f>
        <x:v>28</x:v>
      </x:c>
      <x:c r="C25" t="n">
        <x:f>COUNTIFS('Paper Portfolio'!$W:$W,A25,'Paper Portfolio'!$O:$O,"Win")</x:f>
        <x:v>6</x:v>
      </x:c>
      <x:c r="D25" s="24" t="n">
        <x:f>IFERROR(C25/B25,0)</x:f>
        <x:v>0.21428571428571427</x:v>
      </x:c>
      <x:c r="E25" t="str">
        <x:v>Construction</x:v>
      </x:c>
      <x:c r="F25" t="str">
        <x:v>2-leg/3-leg/subset tests</x:v>
      </x:c>
    </x:row>
    <x:row r="26">
      <x:c r="A26" t="str">
        <x:v>EXP-10</x:v>
      </x:c>
      <x:c r="B26" t="n">
        <x:f>COUNTIFS('Paper Portfolio'!$W:$W,A26,'Paper Portfolio'!$O:$O,"Win")+COUNTIFS('Paper Portfolio'!$W:$W,A26,'Paper Portfolio'!$O:$O,"Loss")</x:f>
        <x:v>5</x:v>
      </x:c>
      <x:c r="C26" t="n">
        <x:f>COUNTIFS('Paper Portfolio'!$W:$W,A26,'Paper Portfolio'!$O:$O,"Win")</x:f>
        <x:v>3</x:v>
      </x:c>
      <x:c r="D26" s="24" t="n">
        <x:f>IFERROR(C26/B26,0)</x:f>
        <x:v>0.6</x:v>
      </x:c>
      <x:c r="E26" t="str">
        <x:v>NRFI construction</x:v>
      </x:c>
      <x:c r="F26" t="str">
        <x:v>Singles/subsets/full card</x:v>
      </x:c>
    </x:row>
    <x:row r="27">
      <x:c r="A27" t="str">
        <x:v>EXP-16</x:v>
      </x:c>
      <x:c r="B27" t="n">
        <x:f>COUNTIFS('Paper Portfolio'!$W:$W,A27,'Paper Portfolio'!$O:$O,"Win")+COUNTIFS('Paper Portfolio'!$W:$W,A27,'Paper Portfolio'!$O:$O,"Loss")</x:f>
        <x:v>10</x:v>
      </x:c>
      <x:c r="C27" t="n">
        <x:f>COUNTIFS('Paper Portfolio'!$W:$W,A27,'Paper Portfolio'!$O:$O,"Win")</x:f>
        <x:v>1</x:v>
      </x:c>
      <x:c r="D27" s="24" t="n">
        <x:f>IFERROR(C27/B27,0)</x:f>
        <x:v>0.1</x:v>
      </x:c>
      <x:c r="E27" t="str">
        <x:v>HR price model</x:v>
      </x:c>
      <x:c r="F27" t="str">
        <x:v>ROI/CLV, not hit rate</x:v>
      </x:c>
    </x:row>
    <x:row r="28">
      <x:c r="A28" t="str">
        <x:v>EXP-19</x:v>
      </x:c>
      <x:c r="B28" t="n">
        <x:f>COUNTIFS('Paper Portfolio'!$W:$W,A28,'Paper Portfolio'!$O:$O,"Win")+COUNTIFS('Paper Portfolio'!$W:$W,A28,'Paper Portfolio'!$O:$O,"Loss")</x:f>
        <x:v>7</x:v>
      </x:c>
      <x:c r="C28" t="n">
        <x:f>COUNTIFS('Paper Portfolio'!$W:$W,A28,'Paper Portfolio'!$O:$O,"Win")</x:f>
        <x:v>2</x:v>
      </x:c>
      <x:c r="D28" s="24" t="n">
        <x:f>IFERROR(C28/B28,0)</x:f>
        <x:v>0.2857142857142857</x:v>
      </x:c>
      <x:c r="E28" t="str">
        <x:v>Promo threshold allocation</x:v>
      </x:c>
      <x:c r="F28" t="str">
        <x:v>Where to spend odds budget</x:v>
      </x:c>
    </x:row>
    <x:row r="29">
      <x:c r="A29" t="str">
        <x:v>EXP-20</x:v>
      </x:c>
      <x:c r="B29" t="n">
        <x:f>COUNTIFS('Paper Portfolio'!$W:$W,A29,'Paper Portfolio'!$O:$O,"Win")+COUNTIFS('Paper Portfolio'!$W:$W,A29,'Paper Portfolio'!$O:$O,"Loss")</x:f>
        <x:v>14</x:v>
      </x:c>
      <x:c r="C29" t="n">
        <x:f>COUNTIFS('Paper Portfolio'!$W:$W,A29,'Paper Portfolio'!$O:$O,"Win")</x:f>
        <x:v>7</x:v>
      </x:c>
      <x:c r="D29" s="24" t="n">
        <x:f>IFERROR(C29/B29,0)</x:f>
        <x:v>0.5</x:v>
      </x:c>
      <x:c r="E29" t="str">
        <x:v>Single vs parlay</x:v>
      </x:c>
      <x:c r="F29" t="str">
        <x:v>Leg quality vs packaging</x:v>
      </x:c>
    </x:row>
    <x:row r="30">
      <x:c r="A30" t="str">
        <x:v>EXP-23</x:v>
      </x:c>
      <x:c r="B30" t="n">
        <x:f>COUNTIFS('Paper Portfolio'!$W:$W,A30,'Paper Portfolio'!$O:$O,"Win")+COUNTIFS('Paper Portfolio'!$W:$W,A30,'Paper Portfolio'!$O:$O,"Loss")</x:f>
        <x:v>9</x:v>
      </x:c>
      <x:c r="C30" t="n">
        <x:f>COUNTIFS('Paper Portfolio'!$W:$W,A30,'Paper Portfolio'!$O:$O,"Win")</x:f>
        <x:v>2</x:v>
      </x:c>
      <x:c r="D30" s="24" t="n">
        <x:f>IFERROR(C30/B30,0)</x:f>
        <x:v>0.2222222222222222</x:v>
      </x:c>
      <x:c r="E30" t="str">
        <x:v>CFB disagreement</x:v>
      </x:c>
      <x:c r="F30" t="str">
        <x:v>Early-season conflict calibration</x:v>
      </x:c>
    </x:row>
    <x:row r="33">
      <x:c r="A33" s="303" t="str">
        <x:v>PROMOTION PROTOCOL — PAPER → SHADOW → MAIN CARD</x:v>
      </x:c>
      <x:c r="B33" s="303"/>
      <x:c r="C33" s="303"/>
      <x:c r="D33" s="303"/>
      <x:c r="E33" s="303"/>
      <x:c r="F33" s="303"/>
      <x:c r="G33" s="303"/>
      <x:c r="H33" s="303"/>
    </x:row>
    <x:row r="34">
      <x:c r="A34" s="305" t="str">
        <x:v>Stage</x:v>
      </x:c>
      <x:c r="B34" s="305" t="str">
        <x:v>Requirement</x:v>
      </x:c>
      <x:c r="C34" s="305" t="str">
        <x:v>Price Data</x:v>
      </x:c>
      <x:c r="D34" s="305" t="str">
        <x:v>Independent N</x:v>
      </x:c>
      <x:c r="E34" s="305" t="str">
        <x:v>Stress Test</x:v>
      </x:c>
      <x:c r="F34" s="305" t="str">
        <x:v>Failure Rule</x:v>
      </x:c>
      <x:c r="G34" s="305" t="str">
        <x:v>Promotion</x:v>
      </x:c>
      <x:c r="H34" s="305" t="str">
        <x:v>Notes</x:v>
      </x:c>
    </x:row>
    <x:row r="35">
      <x:c r="A35" s="31" t="str">
        <x:v>PAPER</x:v>
      </x:c>
      <x:c r="B35" s="31" t="str">
        <x:v>Prospective hypothesis before result</x:v>
      </x:c>
      <x:c r="C35" s="31" t="str">
        <x:v>Prefer exact odds</x:v>
      </x:c>
      <x:c r="D35" s="31" t="str">
        <x:v>No minimum</x:v>
      </x:c>
      <x:c r="E35" s="31" t="str">
        <x:v>Paired/alternate/control rows</x:v>
      </x:c>
      <x:c r="F35" s="31" t="str">
        <x:v>Never retro-add winners</x:v>
      </x:c>
      <x:c r="G35" s="31" t="str">
        <x:v>None</x:v>
      </x:c>
      <x:c r="H35" s="31" t="str">
        <x:v>Generate breadth.</x:v>
      </x:c>
    </x:row>
    <x:row r="36">
      <x:c r="A36" s="31" t="str">
        <x:v>SHADOW-QUALIFIED</x:v>
      </x:c>
      <x:c r="B36" s="31" t="str">
        <x:v>Signal survives initial paired tests</x:v>
      </x:c>
      <x:c r="C36" s="31" t="str">
        <x:v>Exact odds required</x:v>
      </x:c>
      <x:c r="D36" s="31" t="str">
        <x:v>&gt;=5 clusters normally</x:v>
      </x:c>
      <x:c r="E36" s="31" t="str">
        <x:v>Different opponents/sports/price bands where relevant</x:v>
      </x:c>
      <x:c r="F36" s="31" t="str">
        <x:v>2 material falsifications returns to PAPER</x:v>
      </x:c>
      <x:c r="G36" s="31" t="str">
        <x:v>Eligible as unbet shadow single</x:v>
      </x:c>
      <x:c r="H36" s="31" t="str">
        <x:v>Still no bankroll exposure required.</x:v>
      </x:c>
    </x:row>
    <x:row r="37">
      <x:c r="A37" s="31" t="str">
        <x:v>MAIN-CARD ELIGIBLE</x:v>
      </x:c>
      <x:c r="B37" s="31" t="str">
        <x:v>Positive price-adjusted evidence + mechanism understood</x:v>
      </x:c>
      <x:c r="C37" s="31" t="str">
        <x:v>Exact + closing odds required</x:v>
      </x:c>
      <x:c r="D37" s="31" t="str">
        <x:v>&gt;=8-15 clusters depending market</x:v>
      </x:c>
      <x:c r="E37" s="31" t="str">
        <x:v>Out-of-sample validation and no unresolved conflict</x:v>
      </x:c>
      <x:c r="F37" s="31" t="str">
        <x:v>Two consecutive process failures trigger demotion</x:v>
      </x:c>
      <x:c r="G37" s="31" t="str">
        <x:v>Can enter real card if today's edge also qualifies</x:v>
      </x:c>
      <x:c r="H37" s="31" t="str">
        <x:v>Promo can package promoted edges; it does not create promotion.</x:v>
      </x:c>
    </x:row>
  </x:sheetData>
  <x:mergeCells>
    <x:mergeCell ref="A1:H1"/>
    <x:mergeCell ref="A15:E15"/>
    <x:mergeCell ref="A33:H3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4" hidden="0" customWidth="1"/>
    <x:col min="5" max="5" width="22" hidden="0" customWidth="1"/>
    <x:col min="6" max="6" width="28" hidden="0" customWidth="1"/>
    <x:col min="7" max="7" width="32" hidden="0" customWidth="1"/>
    <x:col min="8" max="8" width="36" hidden="0" customWidth="1"/>
    <x:col min="9" max="9" width="36" hidden="0" customWidth="1"/>
    <x:col min="10" max="10" width="32" hidden="0" customWidth="1"/>
  </x:cols>
  <x:sheetData>
    <x:row r="1">
      <x:c r="A1" s="312" t="str">
        <x:v>PAPER LAB HYPOTHESIS SCORECARD — CLUSTER-AWARE PROMOTION PIPELINE</x:v>
      </x:c>
      <x:c r="B1" s="312"/>
      <x:c r="C1" s="312"/>
      <x:c r="D1" s="312"/>
      <x:c r="E1" s="312"/>
      <x:c r="F1" s="312"/>
      <x:c r="G1" s="312"/>
      <x:c r="H1" s="312"/>
      <x:c r="I1" s="312"/>
      <x:c r="J1" s="312"/>
    </x:row>
    <x:row r="3">
      <x:c r="A3" s="308" t="str">
        <x:v>Hypothesis</x:v>
      </x:c>
      <x:c r="B3" s="308" t="str">
        <x:v>Raw Evidence</x:v>
      </x:c>
      <x:c r="C3" s="308" t="str">
        <x:v>Manual Cluster N</x:v>
      </x:c>
      <x:c r="D3" s="308" t="str">
        <x:v>Current Read</x:v>
      </x:c>
      <x:c r="E3" s="308" t="str">
        <x:v>Stage</x:v>
      </x:c>
      <x:c r="F3" s="308" t="str">
        <x:v>Main-Card Rule Now</x:v>
      </x:c>
      <x:c r="G3" s="308" t="str">
        <x:v>Next Stress Test</x:v>
      </x:c>
      <x:c r="H3" s="308" t="str">
        <x:v>Promotion Gate</x:v>
      </x:c>
      <x:c r="I3" s="308" t="str">
        <x:v>Failure / Demotion Gate</x:v>
      </x:c>
      <x:c r="J3" s="308" t="str">
        <x:v>Why It Matters</x:v>
      </x:c>
    </x:row>
    <x:row r="4">
      <x:c r="A4" s="31" t="str">
        <x:v>Composite hitter markets &gt; isolated TB/HR</x:v>
      </x:c>
      <x:c r="B4" s="31" t="str">
        <x:v>H+R+RBI: 5/6 settled raw; 3-leg HRR SGPx: 2/2. Total Bases: 1/7 raw.</x:v>
      </x:c>
      <x:c r="C4" s="31" t="n">
        <x:v>6</x:v>
      </x:c>
      <x:c r="D4" s="31" t="str">
        <x:v>Strongest emerging MLB signal, but exact-price coverage is incomplete.</x:v>
      </x:c>
      <x:c r="E4" s="31" t="str">
        <x:v>PROMISING — STRESS TEST</x:v>
      </x:c>
      <x:c r="F4" s="31" t="str">
        <x:v>HRR/composites can enter real card only when independently A-/A qualified; do not auto-promote from trend.</x:v>
      </x:c>
      <x:c r="G4" s="31" t="str">
        <x:v>Prospectively pair HRR vs 1+ hit vs 2+ TB on same hitter/game; capture all exact prices and closing lines.</x:v>
      </x:c>
      <x:c r="H4" s="31" t="str">
        <x:v>Review after &gt;=15 independent priced hitter-game clusters; require positive price-adjusted residual/CLV and HRR to beat paired TB on EV, not just hit rate.</x:v>
      </x:c>
      <x:c r="I4" s="31" t="str">
        <x:v>If advantage disappears after price control or is driven by a few repeated hitters/games, keep market neutral.</x:v>
      </x:c>
      <x:c r="J4" s="31" t="str">
        <x:v>Aug27 HRR promo won 3/3; Aug29 Caminero HRR won while two TB legs failed.</x:v>
      </x:c>
    </x:row>
    <x:row r="5">
      <x:c r="A5" s="31" t="str">
        <x:v>Threshold buy-down adds value only when core thesis is valid</x:v>
      </x:c>
      <x:c r="B5" s="31" t="str">
        <x:v>Thomas 8+ AST W vs 9+ L; Miller 60+ W (63) vs 65.5 L. TCU ML/-6.5 both L; Hawaii +3.5/+4.5 both L.</x:v>
      </x:c>
      <x:c r="C5" s="31" t="n">
        <x:v>4</x:v>
      </x:c>
      <x:c r="D5" s="31" t="str">
        <x:v>Very useful conditional rule: buy probability, but never use a safer line to manufacture edge.</x:v>
      </x:c>
      <x:c r="E5" s="31" t="str">
        <x:v>PROMISING — STRESS TEST</x:v>
      </x:c>
      <x:c r="F5" s="31" t="str">
        <x:v>When a promo has excess raw odds, first lower thresholds on already-qualified legs.</x:v>
      </x:c>
      <x:c r="G5" s="31" t="str">
        <x:v>Track 2-3 adjacent thresholds for same thesis and record odds cost, outcome and CLV.</x:v>
      </x:c>
      <x:c r="H5" s="31" t="str">
        <x:v>&gt;=20 paired threshold observations across at least 3 market families; lower threshold must improve estimated ticket cash probability more than price cost.</x:v>
      </x:c>
      <x:c r="I5" s="31" t="str">
        <x:v>If lower thresholds repeatedly add too little survival for the lost payout, stop buying down mechanically.</x:v>
      </x:c>
      <x:c r="J5" s="31" t="str">
        <x:v>This directly supports engineering promo cards near the minimum odds instead of accepting +500/+600 raw unnecessarily.</x:v>
      </x:c>
    </x:row>
    <x:row r="6">
      <x:c r="A6" s="31" t="str">
        <x:v>Audited 1-2 leg NRFI &gt; blind 3-leg NRFI stacking</x:v>
      </x:c>
      <x:c r="B6" s="31" t="str">
        <x:v>3-leg source NRFIs lost on Aug26 and Aug28; Aug29 strongest audited MIA/WSH + KC/CLE pair won +201.</x:v>
      </x:c>
      <x:c r="C6" s="31" t="n">
        <x:v>3</x:v>
      </x:c>
      <x:c r="D6" s="31" t="str">
        <x:v>Promising construction signal, still small N.</x:v>
      </x:c>
      <x:c r="E6" s="31" t="str">
        <x:v>PROMISING — STRESS TEST</x:v>
      </x:c>
      <x:c r="F6" s="31" t="str">
        <x:v>NRFI stays single or 2-leg only; weakest component must be removed even if source card needs it.</x:v>
      </x:c>
      <x:c r="G6" s="31" t="str">
        <x:v>Log every NRFI single plus all 2-leg subsets and intact source 3-leg; exact odds mandatory.</x:v>
      </x:c>
      <x:c r="H6" s="31" t="str">
        <x:v>&gt;=15 independent NRFI games and &gt;=8 prospective 2-leg cards with positive price-adjusted results before considering broader use.</x:v>
      </x:c>
      <x:c r="I6" s="31" t="str">
        <x:v>If 2-leg filtering does not beat source 3-leg survival/ROI after price control, remove restriction.</x:v>
      </x:c>
      <x:c r="J6" s="31" t="str">
        <x:v>Aug29 is a clean example of the research filter improving a source construction.</x:v>
      </x:c>
    </x:row>
    <x:row r="7">
      <x:c r="A7" s="31" t="str">
        <x:v>2+ Total Bases as promo backbone</x:v>
      </x:c>
      <x:c r="B7" s="31" t="str">
        <x:v>Total Bases: 1/7 settled raw in current paper sample; Olson, Harper, Tatis, Baldwin/other TB arms produced repeated misses.</x:v>
      </x:c>
      <x:c r="C7" s="31" t="n">
        <x:v>7</x:v>
      </x:c>
      <x:c r="D7" s="31" t="str">
        <x:v>Negative early signal; high variance appears underpriced in our grading.</x:v>
      </x:c>
      <x:c r="E7" s="31" t="str">
        <x:v>HOLD / DEMOTED</x:v>
      </x:c>
      <x:c r="F7" s="31" t="str">
        <x:v>Max one 2+ TB leg per real parlay; never use two solely to reach promo odds.</x:v>
      </x:c>
      <x:c r="G7" s="31" t="str">
        <x:v>Continue paper-testing TB vs HRR/hit alternatives on the same hitter, with exact price.</x:v>
      </x:c>
      <x:c r="H7" s="31" t="str">
        <x:v>Needs &gt;=15 priced independent clusters and positive price-adjusted/CLV evidence before removing cap.</x:v>
      </x:c>
      <x:c r="I7" s="31" t="str">
        <x:v>Another 5-8 cluster stretch materially below implied probability keeps TB satellite-only.</x:v>
      </x:c>
      <x:c r="J7" s="31" t="str">
        <x:v>This is the clearest place where recent cards ignored previous learning.</x:v>
      </x:c>
    </x:row>
    <x:row r="8">
      <x:c r="A8" s="31" t="str">
        <x:v>Broad thesis expression &gt; single-player concentration</x:v>
      </x:c>
      <x:c r="B8" s="31" t="str">
        <x:v>Sugano hits allowed W while Olson TB/HR L; F5 O4.5 W vs both-teams-2+ L; Dortmund goals W vs corners L shows expression must match mechanism.</x:v>
      </x:c>
      <x:c r="C8" s="31" t="n">
        <x:v>3</x:v>
      </x:c>
      <x:c r="D8" s="31" t="str">
        <x:v>Broad expressions can be more robust, but 'alternate market' cannot be invented after rejecting the original.</x:v>
      </x:c>
      <x:c r="E8" s="31" t="str">
        <x:v>PROMISING — STRESS TEST</x:v>
      </x:c>
      <x:c r="F8" s="31" t="str">
        <x:v>Prefer broad pitcher/team/environment market only when it independently qualifies.</x:v>
      </x:c>
      <x:c r="G8" s="31" t="str">
        <x:v>For each broad thesis, paper one player-specific arm and one broader arm prospectively.</x:v>
      </x:c>
      <x:c r="H8" s="31" t="str">
        <x:v>&gt;=12 paired clusters with exact prices; broad arm must show better price-adjusted survival without sacrificing edge.</x:v>
      </x:c>
      <x:c r="I8" s="31" t="str">
        <x:v>If broad arms are merely lower-paying and do not improve expected value, revert to best individual expression.</x:v>
      </x:c>
      <x:c r="J8" s="31" t="str">
        <x:v>Separates being right about the game from being right about the sportsbook market.</x:v>
      </x:c>
    </x:row>
    <x:row r="9">
      <x:c r="A9" s="31" t="str">
        <x:v>Material source/model disagreement is a veto signal</x:v>
      </x:c>
      <x:c r="B9" s="31" t="str">
        <x:v>JAX +10.5 L vs NDSU -6.5 W; UNLV thesis L vs Memphis +4.5 W; Hawaii side lost against market consensus.</x:v>
      </x:c>
      <x:c r="C9" s="31" t="n">
        <x:v>3</x:v>
      </x:c>
      <x:c r="D9" s="31" t="str">
        <x:v>Conflict itself looks informative; we should not resolve uncertainty by choosing the nicer number.</x:v>
      </x:c>
      <x:c r="E9" s="31" t="str">
        <x:v>PROCESS RULE — ACTIVE</x:v>
      </x:c>
      <x:c r="F9" s="31" t="str">
        <x:v>Material disagreement =&gt; both arms paper-only unless new information resolves it.</x:v>
      </x:c>
      <x:c r="G9" s="31" t="str">
        <x:v>Keep paired opposing arms with timestamped market and source provenance.</x:v>
      </x:c>
      <x:c r="H9" s="31" t="str">
        <x:v>Review after &gt;=12 true disagreement clusters; only relax if one resolution method consistently predicts the winner/cover.</x:v>
      </x:c>
      <x:c r="I9" s="31" t="str">
        <x:v>If no method resolves conflict above market baseline, retain permanent veto.</x:v>
      </x:c>
      <x:c r="J9" s="31" t="str">
        <x:v>Prevents weak-conviction sides from entering promo cards because they make the price work.</x:v>
      </x:c>
    </x:row>
    <x:row r="10">
      <x:c r="A10" s="31" t="str">
        <x:v>Recent-form heater as primary hitter signal</x:v>
      </x:c>
      <x:c r="B10" s="31" t="str">
        <x:v>Mixed: Alonso TB W / Howard points W, but Peters TB L and Harper TB L; raw streaks alone have not separated cleanly.</x:v>
      </x:c>
      <x:c r="C10" s="31" t="n">
        <x:v>4</x:v>
      </x:c>
      <x:c r="D10" s="31" t="str">
        <x:v>Not ready. Recent outcomes appear useful only as confirmation of underlying contact/role.</x:v>
      </x:c>
      <x:c r="E10" s="31" t="str">
        <x:v>STRESS TEST</x:v>
      </x:c>
      <x:c r="F10" s="31" t="str">
        <x:v>Recent form is secondary evidence, never the primary reason for a real hitter leg.</x:v>
      </x:c>
      <x:c r="G10" s="31" t="str">
        <x:v>Pair raw L5/L10 heater candidates against xwOBA/barrel/contact-supported controls.</x:v>
      </x:c>
      <x:c r="H10" s="31" t="str">
        <x:v>&gt;=20 independent priced clusters; compare closing value and residual vs implied probability.</x:v>
      </x:c>
      <x:c r="I10" s="31" t="str">
        <x:v>If raw-heater arm fails to outperform underlying-metric arm, keep its weight low.</x:v>
      </x:c>
      <x:c r="J10" s="31" t="str">
        <x:v>Protects us from chasing 5/6 or 10/10 graphics without mechanism.</x:v>
      </x:c>
    </x:row>
    <x:row r="11">
      <x:c r="A11" s="31" t="str">
        <x:v>Grade calibration: A/A- should predict edge</x:v>
      </x:c>
      <x:c r="B11" s="31" t="str">
        <x:v>Priced snapshot: A 9 wins vs 11.11 market-implied expected (27 rows); A- 3 vs 4.47 (8); B 7 vs 5.65 (13).</x:v>
      </x:c>
      <x:c r="C11" s="31" t="n">
        <x:v>48</x:v>
      </x:c>
      <x:c r="D11" s="31" t="str">
        <x:v>Our labels are not monotonic/calibrated yet; an A tag is currently descriptive, not evidence of edge.</x:v>
      </x:c>
      <x:c r="E11" s="31" t="str">
        <x:v>REDESIGN / STRESS TEST</x:v>
      </x:c>
      <x:c r="F11" s="31" t="str">
        <x:v>No bet becomes real because of tier alone; tier must be backed by market-specific experiment evidence.</x:v>
      </x:c>
      <x:c r="G11" s="31" t="str">
        <x:v>Track implied probability, closing line, and standardized edge score by tier; evaluate within market family.</x:v>
      </x:c>
      <x:c r="H11" s="31" t="str">
        <x:v>At least 30 priced, cluster-normalized A/A- observations with positive residual and clear separation from B before tier can drive staking.</x:v>
      </x:c>
      <x:c r="I11" s="31" t="str">
        <x:v>If A tiers continue to underperform market expectation, rebuild weights rather than relabel misses as variance.</x:v>
      </x:c>
      <x:c r="J11" s="31" t="str">
        <x:v>This is the most important governance finding from the paper dataset.</x:v>
      </x:c>
    </x:row>
    <x:row r="12">
      <x:c r="A12" s="31" t="str">
        <x:v>Source vs discovered vs hybrid edge</x:v>
      </x:c>
      <x:c r="B12" s="31" t="str">
        <x:v>Priced: sourced 8 wins vs 10.98 implied expected; hybrid 11 vs 11.31; discovered 4 vs 5.89.</x:v>
      </x:c>
      <x:c r="C12" s="31" t="n">
        <x:v>64</x:v>
      </x:c>
      <x:c r="D12" s="31" t="str">
        <x:v>No bucket has proven price-adjusted edge yet; raw hit rate is confounded by market type and price.</x:v>
      </x:c>
      <x:c r="E12" s="31" t="str">
        <x:v>STRESS TEST</x:v>
      </x:c>
      <x:c r="F12" s="31" t="str">
        <x:v>Keep all three buckets in candidate pool; no automatic source preference or independent preference.</x:v>
      </x:c>
      <x:c r="G12" s="31" t="str">
        <x:v>Match comparisons within the same market family, odds band and day; capture CLV.</x:v>
      </x:c>
      <x:c r="H12" s="31" t="str">
        <x:v>&gt;=20 matched clusters per bucket before changing source weights.</x:v>
      </x:c>
      <x:c r="I12" s="31" t="str">
        <x:v>If one bucket remains negative after matching/CLV controls, reduce its feature weight.</x:v>
      </x:c>
      <x:c r="J12" s="31" t="str">
        <x:v>Avoids mistaking selection mix for predictive skill.</x:v>
      </x:c>
    </x:row>
    <x:row r="13">
      <x:c r="A13" s="31" t="str">
        <x:v>Promo sweet spot: maximize cash probability subject to qualification</x:v>
      </x:c>
      <x:c r="B13" s="31" t="str">
        <x:v>Aug27 HRR SGPx +378 raw W; Aug29 MLB +518 raw L; threshold-buy-down examples Thomas/Miller both show exact saved outcomes.</x:v>
      </x:c>
      <x:c r="C13" s="31" t="n">
        <x:v>3</x:v>
      </x:c>
      <x:c r="D13" s="31" t="str">
        <x:v>Conceptually strong, but must be separated from leg quality.</x:v>
      </x:c>
      <x:c r="E13" s="31" t="str">
        <x:v>PROMISING — STRESS TEST</x:v>
      </x:c>
      <x:c r="F13" s="31" t="str">
        <x:v>For +300 promos, enumerate qualified combinations and target roughly +300 to +375 raw unless a higher-price leg is independently exceptional.</x:v>
      </x:c>
      <x:c r="G13" s="31" t="str">
        <x:v>Paper the safest qualifying build, one higher-payout build, and all component singles on every promo slate.</x:v>
      </x:c>
      <x:c r="H13" s="31" t="str">
        <x:v>&gt;=12 promo clusters; compare modeled/realized cash rate and price-adjusted ROI of near-minimum vs high-surplus raw odds.</x:v>
      </x:c>
      <x:c r="I13" s="31" t="str">
        <x:v>If near-minimum cards give up too much EV versus stronger higher-price edges, widen target band.</x:v>
      </x:c>
      <x:c r="J13" s="31" t="str">
        <x:v>Turns promos into constrained optimization rather than lottery-ticket selection.</x:v>
      </x:c>
    </x:row>
    <x:row r="16">
      <x:c r="A16" s="315" t="str">
        <x:v>RAW DIAGNOSTICS — ROW COUNTS ARE CORRELATED, NOT INDEPENDENT N</x:v>
      </x:c>
      <x:c r="B16" s="315"/>
      <x:c r="C16" s="315"/>
      <x:c r="D16" s="315"/>
      <x:c r="E16" s="315"/>
      <x:c r="F16" s="315"/>
      <x:c r="G16" s="315"/>
      <x:c r="H16" s="315"/>
    </x:row>
    <x:row r="17">
      <x:c r="A17" s="317" t="str">
        <x:v>Experiment ID</x:v>
      </x:c>
      <x:c r="B17" s="317" t="str">
        <x:v>Settled Rows</x:v>
      </x:c>
      <x:c r="C17" s="317" t="str">
        <x:v>Wins</x:v>
      </x:c>
      <x:c r="D17" s="317" t="str">
        <x:v>Losses</x:v>
      </x:c>
      <x:c r="E17" s="317" t="str">
        <x:v>Raw Hit Rate</x:v>
      </x:c>
      <x:c r="F17" s="317" t="str">
        <x:v>Interpretation</x:v>
      </x:c>
      <x:c r="G17" s="317" t="str">
        <x:v>Promotion Status</x:v>
      </x:c>
      <x:c r="H17" s="317" t="str">
        <x:v>Cluster Note</x:v>
      </x:c>
    </x:row>
    <x:row r="18">
      <x:c r="A18" s="31" t="str">
        <x:v>EXP-03</x:v>
      </x:c>
      <x:c r="B18" s="31" t="n">
        <x:f>COUNTIFS('Paper Portfolio'!$W$2:$W$220,$A18,'Paper Portfolio'!$O$2:$O$220,"Win")+COUNTIFS('Paper Portfolio'!$W$2:$W$220,$A18,'Paper Portfolio'!$O$2:$O$220,"Loss")</x:f>
        <x:v>23</x:v>
      </x:c>
      <x:c r="C18" s="31" t="n">
        <x:f>COUNTIFS('Paper Portfolio'!$W$2:$W$220,$A18,'Paper Portfolio'!$O$2:$O$220,"Win")</x:f>
        <x:v>10</x:v>
      </x:c>
      <x:c r="D18" s="31" t="n">
        <x:f>COUNTIFS('Paper Portfolio'!$W$2:$W$220,$A18,'Paper Portfolio'!$O$2:$O$220,"Loss")</x:f>
        <x:v>13</x:v>
      </x:c>
      <x:c r="E18" s="32" t="n">
        <x:f>IF(B18=0,"",C18/B18)</x:f>
        <x:v>0.43478260869565216</x:v>
      </x:c>
      <x:c r="F18" s="31" t="str">
        <x:v>Hitter market conversion</x:v>
      </x:c>
      <x:c r="G18" s="31" t="str">
        <x:v>Stress test</x:v>
      </x:c>
      <x:c r="H18" s="31" t="str">
        <x:v>Rows share hitters/games; do not treat as 14 independent trials.</x:v>
      </x:c>
    </x:row>
    <x:row r="19">
      <x:c r="A19" s="31" t="str">
        <x:v>EXP-09</x:v>
      </x:c>
      <x:c r="B19" s="31" t="n">
        <x:f>COUNTIFS('Paper Portfolio'!$W$2:$W$220,$A19,'Paper Portfolio'!$O$2:$O$220,"Win")+COUNTIFS('Paper Portfolio'!$W$2:$W$220,$A19,'Paper Portfolio'!$O$2:$O$220,"Loss")</x:f>
        <x:v>28</x:v>
      </x:c>
      <x:c r="C19" s="31" t="n">
        <x:f>COUNTIFS('Paper Portfolio'!$W$2:$W$220,$A19,'Paper Portfolio'!$O$2:$O$220,"Win")</x:f>
        <x:v>6</x:v>
      </x:c>
      <x:c r="D19" s="31" t="n">
        <x:f>COUNTIFS('Paper Portfolio'!$W$2:$W$220,$A19,'Paper Portfolio'!$O$2:$O$220,"Loss")</x:f>
        <x:v>22</x:v>
      </x:c>
      <x:c r="E19" s="32" t="n">
        <x:f>IF(B19=0,"",C19/B19)</x:f>
        <x:v>0.21428571428571427</x:v>
      </x:c>
      <x:c r="F19" s="31" t="str">
        <x:v>Ticket construction</x:v>
      </x:c>
      <x:c r="G19" s="31" t="str">
        <x:v>Diagnostic only</x:v>
      </x:c>
      <x:c r="H19" s="31" t="str">
        <x:v>Subset rows are heavily correlated to the same failed/clean tickets.</x:v>
      </x:c>
    </x:row>
    <x:row r="20">
      <x:c r="A20" s="31" t="str">
        <x:v>EXP-10</x:v>
      </x:c>
      <x:c r="B20" s="31" t="n">
        <x:f>COUNTIFS('Paper Portfolio'!$W$2:$W$220,$A20,'Paper Portfolio'!$O$2:$O$220,"Win")+COUNTIFS('Paper Portfolio'!$W$2:$W$220,$A20,'Paper Portfolio'!$O$2:$O$220,"Loss")</x:f>
        <x:v>5</x:v>
      </x:c>
      <x:c r="C20" s="31" t="n">
        <x:f>COUNTIFS('Paper Portfolio'!$W$2:$W$220,$A20,'Paper Portfolio'!$O$2:$O$220,"Win")</x:f>
        <x:v>3</x:v>
      </x:c>
      <x:c r="D20" s="31" t="n">
        <x:f>COUNTIFS('Paper Portfolio'!$W$2:$W$220,$A20,'Paper Portfolio'!$O$2:$O$220,"Loss")</x:f>
        <x:v>2</x:v>
      </x:c>
      <x:c r="E20" s="32" t="n">
        <x:f>IF(B20=0,"",C20/B20)</x:f>
        <x:v>0.6</x:v>
      </x:c>
      <x:c r="F20" s="31" t="str">
        <x:v>NRFI construction</x:v>
      </x:c>
      <x:c r="G20" s="31" t="str">
        <x:v>Promising</x:v>
      </x:c>
      <x:c r="H20" s="31" t="str">
        <x:v>Same NRFI games appear as singles, subsets and source cards.</x:v>
      </x:c>
    </x:row>
    <x:row r="21">
      <x:c r="A21" s="31" t="str">
        <x:v>EXP-19</x:v>
      </x:c>
      <x:c r="B21" s="31" t="n">
        <x:f>COUNTIFS('Paper Portfolio'!$W$2:$W$220,$A21,'Paper Portfolio'!$O$2:$O$220,"Win")+COUNTIFS('Paper Portfolio'!$W$2:$W$220,$A21,'Paper Portfolio'!$O$2:$O$220,"Loss")</x:f>
        <x:v>7</x:v>
      </x:c>
      <x:c r="C21" s="31" t="n">
        <x:f>COUNTIFS('Paper Portfolio'!$W$2:$W$220,$A21,'Paper Portfolio'!$O$2:$O$220,"Win")</x:f>
        <x:v>2</x:v>
      </x:c>
      <x:c r="D21" s="31" t="n">
        <x:f>COUNTIFS('Paper Portfolio'!$W$2:$W$220,$A21,'Paper Portfolio'!$O$2:$O$220,"Loss")</x:f>
        <x:v>5</x:v>
      </x:c>
      <x:c r="E21" s="32" t="n">
        <x:f>IF(B21=0,"",C21/B21)</x:f>
        <x:v>0.2857142857142857</x:v>
      </x:c>
      <x:c r="F21" s="31" t="str">
        <x:v>Threshold allocation</x:v>
      </x:c>
      <x:c r="G21" s="31" t="str">
        <x:v>Conditional</x:v>
      </x:c>
      <x:c r="H21" s="31" t="str">
        <x:v>Threshold rows often share same underlying side/player thesis.</x:v>
      </x:c>
    </x:row>
    <x:row r="22">
      <x:c r="A22" s="31" t="str">
        <x:v>EXP-20</x:v>
      </x:c>
      <x:c r="B22" s="31" t="n">
        <x:f>COUNTIFS('Paper Portfolio'!$W$2:$W$220,$A22,'Paper Portfolio'!$O$2:$O$220,"Win")+COUNTIFS('Paper Portfolio'!$W$2:$W$220,$A22,'Paper Portfolio'!$O$2:$O$220,"Loss")</x:f>
        <x:v>14</x:v>
      </x:c>
      <x:c r="C22" s="31" t="n">
        <x:f>COUNTIFS('Paper Portfolio'!$W$2:$W$220,$A22,'Paper Portfolio'!$O$2:$O$220,"Win")</x:f>
        <x:v>7</x:v>
      </x:c>
      <x:c r="D22" s="31" t="n">
        <x:f>COUNTIFS('Paper Portfolio'!$W$2:$W$220,$A22,'Paper Portfolio'!$O$2:$O$220,"Loss")</x:f>
        <x:v>7</x:v>
      </x:c>
      <x:c r="E22" s="32" t="n">
        <x:f>IF(B22=0,"",C22/B22)</x:f>
        <x:v>0.5</x:v>
      </x:c>
      <x:c r="F22" s="31" t="str">
        <x:v>Singles vs parlay components</x:v>
      </x:c>
      <x:c r="G22" s="31" t="str">
        <x:v>Stress test</x:v>
      </x:c>
      <x:c r="H22" s="31" t="str">
        <x:v>Useful to isolate leg quality; still correlated with real tickets.</x:v>
      </x:c>
    </x:row>
    <x:row r="23">
      <x:c r="A23" s="31" t="str">
        <x:v>EXP-23</x:v>
      </x:c>
      <x:c r="B23" s="31" t="n">
        <x:f>COUNTIFS('Paper Portfolio'!$W$2:$W$220,$A23,'Paper Portfolio'!$O$2:$O$220,"Win")+COUNTIFS('Paper Portfolio'!$W$2:$W$220,$A23,'Paper Portfolio'!$O$2:$O$220,"Loss")</x:f>
        <x:v>9</x:v>
      </x:c>
      <x:c r="C23" s="31" t="n">
        <x:f>COUNTIFS('Paper Portfolio'!$W$2:$W$220,$A23,'Paper Portfolio'!$O$2:$O$220,"Win")</x:f>
        <x:v>2</x:v>
      </x:c>
      <x:c r="D23" s="31" t="n">
        <x:f>COUNTIFS('Paper Portfolio'!$W$2:$W$220,$A23,'Paper Portfolio'!$O$2:$O$220,"Loss")</x:f>
        <x:v>7</x:v>
      </x:c>
      <x:c r="E23" s="32" t="n">
        <x:f>IF(B23=0,"",C23/B23)</x:f>
        <x:v>0.2222222222222222</x:v>
      </x:c>
      <x:c r="F23" s="31" t="str">
        <x:v>CFB disagreement/calibration</x:v>
      </x:c>
      <x:c r="G23" s="31" t="str">
        <x:v>Hold</x:v>
      </x:c>
      <x:c r="H23" s="31" t="str">
        <x:v>Week 0 rows share the same small set of games.</x:v>
      </x:c>
    </x:row>
    <x:row r="24">
      <x:c r="A24" s="31" t="str">
        <x:v>EXP-16</x:v>
      </x:c>
      <x:c r="B24" s="31" t="n">
        <x:f>COUNTIFS('Paper Portfolio'!$W$2:$W$220,$A24,'Paper Portfolio'!$O$2:$O$220,"Win")+COUNTIFS('Paper Portfolio'!$W$2:$W$220,$A24,'Paper Portfolio'!$O$2:$O$220,"Loss")</x:f>
        <x:v>9</x:v>
      </x:c>
      <x:c r="C24" s="31" t="n">
        <x:f>COUNTIFS('Paper Portfolio'!$W$2:$W$220,$A24,'Paper Portfolio'!$O$2:$O$220,"Win")</x:f>
        <x:v>1</x:v>
      </x:c>
      <x:c r="D24" s="31" t="n">
        <x:f>COUNTIFS('Paper Portfolio'!$W$2:$W$220,$A24,'Paper Portfolio'!$O$2:$O$220,"Loss")</x:f>
        <x:v>8</x:v>
      </x:c>
      <x:c r="E24" s="32" t="n">
        <x:f>IF(B24=0,"",C24/B24)</x:f>
        <x:v>0.1111111111111111</x:v>
      </x:c>
      <x:c r="F24" s="31" t="str">
        <x:v>HR model price gap</x:v>
      </x:c>
      <x:c r="G24" s="31" t="str">
        <x:v>Hold</x:v>
      </x:c>
      <x:c r="H24" s="31" t="str">
        <x:v>HR outcomes are sparse and long-odds; ROI needs much larger N.</x:v>
      </x:c>
    </x:row>
    <x:row r="25">
      <x:c r="A25" s="31" t="str">
        <x:v>EXP-04</x:v>
      </x:c>
      <x:c r="B25" s="31" t="n">
        <x:f>COUNTIFS('Paper Portfolio'!$W$2:$W$220,$A25,'Paper Portfolio'!$O$2:$O$220,"Win")+COUNTIFS('Paper Portfolio'!$W$2:$W$220,$A25,'Paper Portfolio'!$O$2:$O$220,"Loss")</x:f>
        <x:v>6</x:v>
      </x:c>
      <x:c r="C25" s="31" t="n">
        <x:f>COUNTIFS('Paper Portfolio'!$W$2:$W$220,$A25,'Paper Portfolio'!$O$2:$O$220,"Win")</x:f>
        <x:v>4</x:v>
      </x:c>
      <x:c r="D25" s="31" t="n">
        <x:f>COUNTIFS('Paper Portfolio'!$W$2:$W$220,$A25,'Paper Portfolio'!$O$2:$O$220,"Loss")</x:f>
        <x:v>2</x:v>
      </x:c>
      <x:c r="E25" s="32" t="n">
        <x:f>IF(B25=0,"",C25/B25)</x:f>
        <x:v>0.6666666666666666</x:v>
      </x:c>
      <x:c r="F25" s="31" t="str">
        <x:v>Recent form / environment</x:v>
      </x:c>
      <x:c r="G25" s="31" t="str">
        <x:v>Stress test</x:v>
      </x:c>
      <x:c r="H25" s="31" t="str">
        <x:v>Mixed market families; compare within-market paired arms.</x:v>
      </x:c>
    </x:row>
    <x:row r="28">
      <x:c r="A28" s="320" t="str">
        <x:v>CORRELATION CASEBOOK — SAME THESIS, DIFFERENT MARKET / THRESHOLD / CONSTRUCTION</x:v>
      </x:c>
      <x:c r="B28" s="320"/>
      <x:c r="C28" s="320"/>
      <x:c r="D28" s="320"/>
      <x:c r="E28" s="320"/>
      <x:c r="F28" s="320"/>
      <x:c r="G28" s="320"/>
      <x:c r="H28" s="320"/>
      <x:c r="I28" s="320"/>
      <x:c r="J28" s="320"/>
    </x:row>
    <x:row r="29">
      <x:c r="A29" s="322" t="str">
        <x:v>Cluster</x:v>
      </x:c>
      <x:c r="B29" s="322" t="str">
        <x:v>Arm A</x:v>
      </x:c>
      <x:c r="C29" s="322" t="str">
        <x:v>Arm B</x:v>
      </x:c>
      <x:c r="D29" s="322" t="str">
        <x:v>Outcome A</x:v>
      </x:c>
      <x:c r="E29" s="322" t="str">
        <x:v>Outcome B</x:v>
      </x:c>
      <x:c r="F29" s="322" t="str">
        <x:v>Learning</x:v>
      </x:c>
      <x:c r="G29" s="322" t="str">
        <x:v>Independent N</x:v>
      </x:c>
      <x:c r="H29" s="322" t="str">
        <x:v>Next Replication</x:v>
      </x:c>
      <x:c r="I29" s="322" t="str">
        <x:v>Do Not Infer Yet</x:v>
      </x:c>
      <x:c r="J29" s="322" t="str">
        <x:v>Promotion Effect</x:v>
      </x:c>
    </x:row>
    <x:row r="30">
      <x:c r="A30" s="31" t="str">
        <x:v>Alyssa Thomas Aug27</x:v>
      </x:c>
      <x:c r="B30" s="31" t="str">
        <x:v>8+ assists</x:v>
      </x:c>
      <x:c r="C30" s="31" t="str">
        <x:v>9+ assists</x:v>
      </x:c>
      <x:c r="D30" s="31" t="str">
        <x:v>W</x:v>
      </x:c>
      <x:c r="E30" s="31" t="str">
        <x:v>L</x:v>
      </x:c>
      <x:c r="F30" s="31" t="str">
        <x:v>One-threshold buy-down captured exact 8 outcome.</x:v>
      </x:c>
      <x:c r="G30" s="31" t="n">
        <x:v>1</x:v>
      </x:c>
      <x:c r="H30" s="31" t="str">
        <x:v>Repeat adjacent assist/PRA thresholds</x:v>
      </x:c>
      <x:c r="I30" s="31" t="str">
        <x:v>One game proves universal alt-line rule</x:v>
      </x:c>
      <x:c r="J30" s="31" t="str">
        <x:v>Supports threshold stress test</x:v>
      </x:c>
    </x:row>
    <x:row r="31">
      <x:c r="A31" s="31" t="str">
        <x:v>King Miller Aug29</x:v>
      </x:c>
      <x:c r="B31" s="31" t="str">
        <x:v>60+ rush</x:v>
      </x:c>
      <x:c r="C31" s="31" t="str">
        <x:v>O65.5 rush</x:v>
      </x:c>
      <x:c r="D31" s="31" t="str">
        <x:v>W (63)</x:v>
      </x:c>
      <x:c r="E31" s="31" t="str">
        <x:v>L</x:v>
      </x:c>
      <x:c r="F31" s="31" t="str">
        <x:v>Six-yard buy-down directly created win.</x:v>
      </x:c>
      <x:c r="G31" s="31" t="n">
        <x:v>1</x:v>
      </x:c>
      <x:c r="H31" s="31" t="str">
        <x:v>Repeat role props with adjacent alt lines</x:v>
      </x:c>
      <x:c r="I31" s="31" t="str">
        <x:v>Do not assume every buy-down is +EV</x:v>
      </x:c>
      <x:c r="J31" s="31" t="str">
        <x:v>Supports promo probability-buying</x:v>
      </x:c>
    </x:row>
    <x:row r="32">
      <x:c r="A32" s="31" t="str">
        <x:v>Dortmund Aug29</x:v>
      </x:c>
      <x:c r="B32" s="31" t="str">
        <x:v>2+ team goals</x:v>
      </x:c>
      <x:c r="C32" s="31" t="str">
        <x:v>O6.5 team corners</x:v>
      </x:c>
      <x:c r="D32" s="31" t="str">
        <x:v>W</x:v>
      </x:c>
      <x:c r="E32" s="31" t="str">
        <x:v>L</x:v>
      </x:c>
      <x:c r="F32" s="31" t="str">
        <x:v>Same dominance thesis had very different market translation.</x:v>
      </x:c>
      <x:c r="G32" s="31" t="n">
        <x:v>1</x:v>
      </x:c>
      <x:c r="H32" s="31" t="str">
        <x:v>Pair team goals vs corners in dominant-favorite spots</x:v>
      </x:c>
      <x:c r="I32" s="31" t="str">
        <x:v>Goals are not always superior</x:v>
      </x:c>
      <x:c r="J32" s="31" t="str">
        <x:v>Corners stays paper-first</x:v>
      </x:c>
    </x:row>
    <x:row r="33">
      <x:c r="A33" s="31" t="str">
        <x:v>COL/WSH Aug27</x:v>
      </x:c>
      <x:c r="B33" s="31" t="str">
        <x:v>F5 O4.5</x:v>
      </x:c>
      <x:c r="C33" s="31" t="str">
        <x:v>Both teams 2+ F5</x:v>
      </x:c>
      <x:c r="D33" s="31" t="str">
        <x:v>W</x:v>
      </x:c>
      <x:c r="E33" s="31" t="str">
        <x:v>L</x:v>
      </x:c>
      <x:c r="F33" s="31" t="str">
        <x:v>Broader environment expression survived; restrictive two-team condition failed.</x:v>
      </x:c>
      <x:c r="G33" s="31" t="n">
        <x:v>1</x:v>
      </x:c>
      <x:c r="H33" s="31" t="str">
        <x:v>Repeat broad total vs each-team conditions</x:v>
      </x:c>
      <x:c r="I33" s="31" t="str">
        <x:v>One result does not settle pricing</x:v>
      </x:c>
      <x:c r="J33" s="31" t="str">
        <x:v>Supports broad-expression testing</x:v>
      </x:c>
    </x:row>
    <x:row r="34">
      <x:c r="A34" s="31" t="str">
        <x:v>Atlanta Aug28</x:v>
      </x:c>
      <x:c r="B34" s="31" t="str">
        <x:v>Sugano O5.5 hits allowed</x:v>
      </x:c>
      <x:c r="C34" s="31" t="str">
        <x:v>Olson 2+ TB / HR</x:v>
      </x:c>
      <x:c r="D34" s="31" t="str">
        <x:v>W</x:v>
      </x:c>
      <x:c r="E34" s="31" t="str">
        <x:v>L / L</x:v>
      </x:c>
      <x:c r="F34" s="31" t="str">
        <x:v>Broad pitcher-fade captured team contact while player concentration failed.</x:v>
      </x:c>
      <x:c r="G34" s="31" t="n">
        <x:v>1</x:v>
      </x:c>
      <x:c r="H34" s="31" t="str">
        <x:v>Pair pitcher-fade/team market vs one hitter</x:v>
      </x:c>
      <x:c r="I34" s="31" t="str">
        <x:v>Do not ban hitter props entirely</x:v>
      </x:c>
      <x:c r="J34" s="31" t="str">
        <x:v>Cap duplicated player exposure</x:v>
      </x:c>
    </x:row>
    <x:row r="35">
      <x:c r="A35" s="31" t="str">
        <x:v>JAX/NDSU Aug29</x:v>
      </x:c>
      <x:c r="B35" s="31" t="str">
        <x:v>JAX +10.5</x:v>
      </x:c>
      <x:c r="C35" s="31" t="str">
        <x:v>NDSU -6.5</x:v>
      </x:c>
      <x:c r="D35" s="31" t="str">
        <x:v>L</x:v>
      </x:c>
      <x:c r="E35" s="31" t="str">
        <x:v>W</x:v>
      </x:c>
      <x:c r="F35" s="31" t="str">
        <x:v>Opposing research arm was decisively better; uncertainty should have vetoed real side.</x:v>
      </x:c>
      <x:c r="G35" s="31" t="n">
        <x:v>1</x:v>
      </x:c>
      <x:c r="H35" s="31" t="str">
        <x:v>Keep both arms in future conflict games</x:v>
      </x:c>
      <x:c r="I35" s="31" t="str">
        <x:v>No universal preference for favorite</x:v>
      </x:c>
      <x:c r="J35" s="31" t="str">
        <x:v>Conflict =&gt; paper</x:v>
      </x:c>
    </x:row>
    <x:row r="36">
      <x:c r="A36" s="31" t="str">
        <x:v>MEM/UNLV Aug29</x:v>
      </x:c>
      <x:c r="B36" s="31" t="str">
        <x:v>Memphis +4.5</x:v>
      </x:c>
      <x:c r="C36" s="31" t="str">
        <x:v>O56.5 invented pivot</x:v>
      </x:c>
      <x:c r="D36" s="31" t="str">
        <x:v>W</x:v>
      </x:c>
      <x:c r="E36" s="31" t="str">
        <x:v>L</x:v>
      </x:c>
      <x:c r="F36" s="31" t="str">
        <x:v>Avoided disagreement by changing market, but new market lacked its own edge.</x:v>
      </x:c>
      <x:c r="G36" s="31" t="n">
        <x:v>1</x:v>
      </x:c>
      <x:c r="H36" s="31" t="str">
        <x:v>Require independent qualification for pivots</x:v>
      </x:c>
      <x:c r="I36" s="31" t="str">
        <x:v>Side result alone doesn't validate every Memphis thesis</x:v>
      </x:c>
      <x:c r="J36" s="31" t="str">
        <x:v>No rescue-market rule</x:v>
      </x:c>
    </x:row>
    <x:row r="37">
      <x:c r="A37" s="31" t="str">
        <x:v>MLB SGPx Aug29</x:v>
      </x:c>
      <x:c r="B37" s="31" t="str">
        <x:v>Caminero 2+ HRR</x:v>
      </x:c>
      <x:c r="C37" s="31" t="str">
        <x:v>Tatis/Baldwin 2+ TB</x:v>
      </x:c>
      <x:c r="D37" s="31" t="str">
        <x:v>W</x:v>
      </x:c>
      <x:c r="E37" s="31" t="str">
        <x:v>L / L</x:v>
      </x:c>
      <x:c r="F37" s="31" t="str">
        <x:v>Composite leg survived while two TB thresholds failed.</x:v>
      </x:c>
      <x:c r="G37" s="31" t="n">
        <x:v>1</x:v>
      </x:c>
      <x:c r="H37" s="31" t="str">
        <x:v>Pair HRR/TB/hit on same hitter slate-wide</x:v>
      </x:c>
      <x:c r="I37" s="31" t="str">
        <x:v>Not enough to declare HRR universally best</x:v>
      </x:c>
      <x:c r="J37" s="31" t="str">
        <x:v>TB backbone demoted</x:v>
      </x:c>
    </x:row>
  </x:sheetData>
  <x:mergeCells>
    <x:mergeCell ref="A1:J1"/>
    <x:mergeCell ref="A16:H16"/>
    <x:mergeCell ref="A28:J28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.25" hidden="0" customWidth="1"/>
    <x:col min="4" max="4" width="14.7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30" t="str">
        <x:v>Aug. 31 Prospective Paper Audit — recovered closeout</x:v>
      </x:c>
      <x:c r="B1" s="330"/>
      <x:c r="C1" s="330"/>
      <x:c r="D1" s="330"/>
      <x:c r="E1" s="330"/>
      <x:c r="F1" s="330"/>
      <x:c r="G1" s="330"/>
      <x:c r="H1" s="330"/>
    </x:row>
    <x:row r="2">
      <x:c r="A2" s="331" t="str">
        <x:v>Test / Player</x:v>
      </x:c>
      <x:c r="B2" s="331" t="str">
        <x:v>Market / Threshold</x:v>
      </x:c>
      <x:c r="C2" s="331" t="str">
        <x:v>Result</x:v>
      </x:c>
      <x:c r="D2" s="331" t="str">
        <x:v>Observed</x:v>
      </x:c>
      <x:c r="E2" s="331" t="str">
        <x:v>Experiment</x:v>
      </x:c>
      <x:c r="F2" s="331" t="str">
        <x:v>Learning</x:v>
      </x:c>
      <x:c r="G2" s="331" t="str">
        <x:v>Source Status</x:v>
      </x:c>
      <x:c r="H2" s="331" t="str">
        <x:v>Notes</x:v>
      </x:c>
    </x:row>
    <x:row r="3">
      <x:c r="A3" s="31" t="str">
        <x:v>Payton Tolle</x:v>
      </x:c>
      <x:c r="B3" s="31" t="str">
        <x:v>6+ K</x:v>
      </x:c>
      <x:c r="C3" s="31" t="str">
        <x:v>Win</x:v>
      </x:c>
      <x:c r="D3" s="31" t="str">
        <x:v>&gt;=6 K</x:v>
      </x:c>
      <x:c r="E3" s="31" t="str">
        <x:v>K threshold ladder</x:v>
      </x:c>
      <x:c r="F3" s="31" t="str">
        <x:v>6+ survived while 7+/8+ failed.</x:v>
      </x:c>
      <x:c r="G3" s="31" t="str">
        <x:v>Prospective</x:v>
      </x:c>
      <x:c r="H3" s="31" t="str">
        <x:v>7+ Loss; 8+ Loss.</x:v>
      </x:c>
    </x:row>
    <x:row r="4">
      <x:c r="A4" s="31" t="str">
        <x:v>Jacob deGrom</x:v>
      </x:c>
      <x:c r="B4" s="31" t="str">
        <x:v>6+/7+/8+ K</x:v>
      </x:c>
      <x:c r="C4" s="31" t="str">
        <x:v>Win</x:v>
      </x:c>
      <x:c r="D4" s="31" t="str">
        <x:v>8+ K</x:v>
      </x:c>
      <x:c r="E4" s="31" t="str">
        <x:v>K threshold ladder</x:v>
      </x:c>
      <x:c r="F4" s="31" t="str">
        <x:v>Aggressive ladder fully cleared in this matchup.</x:v>
      </x:c>
      <x:c r="G4" s="31" t="str">
        <x:v>Prospective</x:v>
      </x:c>
      <x:c r="H4" s="31" t="str">
        <x:v>All three thresholds won.</x:v>
      </x:c>
    </x:row>
    <x:row r="5">
      <x:c r="A5" s="31" t="str">
        <x:v>Elmer</x:v>
      </x:c>
      <x:c r="B5" s="31" t="str">
        <x:v>Under 14.5 outs</x:v>
      </x:c>
      <x:c r="C5" s="31" t="str">
        <x:v>Win</x:v>
      </x:c>
      <x:c r="D5" s="31" t="str">
        <x:v>&lt;15 outs</x:v>
      </x:c>
      <x:c r="E5" s="31" t="str">
        <x:v>Outs vs Ks</x:v>
      </x:c>
      <x:c r="F5" s="31" t="str">
        <x:v>Workload under worked while K under failed.</x:v>
      </x:c>
      <x:c r="G5" s="31" t="str">
        <x:v>Prospective</x:v>
      </x:c>
      <x:c r="H5" s="31" t="str">
        <x:v>Under 4.5 K = Loss.</x:v>
      </x:c>
    </x:row>
    <x:row r="6">
      <x:c r="A6" s="31" t="str">
        <x:v>Aaron Nola</x:v>
      </x:c>
      <x:c r="B6" s="31" t="str">
        <x:v>Under 17.5 outs</x:v>
      </x:c>
      <x:c r="C6" s="31" t="str">
        <x:v>Win</x:v>
      </x:c>
      <x:c r="D6" s="31" t="str">
        <x:v>&lt;18 outs</x:v>
      </x:c>
      <x:c r="E6" s="31" t="str">
        <x:v>Outs vs Ks / threshold</x:v>
      </x:c>
      <x:c r="F6" s="31" t="str">
        <x:v>Outs under and 4+ K both won; 5+/6+ K failed.</x:v>
      </x:c>
      <x:c r="G6" s="31" t="str">
        <x:v>Prospective</x:v>
      </x:c>
      <x:c r="H6" s="31" t="str">
        <x:v>Useful market-expression split.</x:v>
      </x:c>
    </x:row>
    <x:row r="7">
      <x:c r="A7" s="31" t="str">
        <x:v>Gordon</x:v>
      </x:c>
      <x:c r="B7" s="31" t="str">
        <x:v>Under 15.5 outs</x:v>
      </x:c>
      <x:c r="C7" s="31" t="str">
        <x:v>Win</x:v>
      </x:c>
      <x:c r="D7" s="31" t="str">
        <x:v>&lt;16 outs</x:v>
      </x:c>
      <x:c r="E7" s="31" t="str">
        <x:v>Outs vs Ks</x:v>
      </x:c>
      <x:c r="F7" s="31" t="str">
        <x:v>Both workload under and U4.5 K won.</x:v>
      </x:c>
      <x:c r="G7" s="31" t="str">
        <x:v>Prospective</x:v>
      </x:c>
      <x:c r="H7" s="31" t="str">
        <x:v>Paired market positive.</x:v>
      </x:c>
    </x:row>
    <x:row r="8">
      <x:c r="A8" s="31" t="str">
        <x:v>Taj Bradley</x:v>
      </x:c>
      <x:c r="B8" s="31" t="str">
        <x:v>K ladder</x:v>
      </x:c>
      <x:c r="C8" s="31" t="str">
        <x:v>Win</x:v>
      </x:c>
      <x:c r="D8" s="31" t="str">
        <x:v>All tracked K arms</x:v>
      </x:c>
      <x:c r="E8" s="31" t="str">
        <x:v>K threshold ladder</x:v>
      </x:c>
      <x:c r="F8" s="31" t="str">
        <x:v>All tracked thresholds cleared.</x:v>
      </x:c>
      <x:c r="G8" s="31" t="str">
        <x:v>Prospective</x:v>
      </x:c>
      <x:c r="H8" s="31" t="str">
        <x:v>Positive replication.</x:v>
      </x:c>
    </x:row>
    <x:row r="9">
      <x:c r="A9" s="31" t="str">
        <x:v>George Kirby</x:v>
      </x:c>
      <x:c r="B9" s="31" t="str">
        <x:v>K overs</x:v>
      </x:c>
      <x:c r="C9" s="31" t="str">
        <x:v>Loss</x:v>
      </x:c>
      <x:c r="D9" s="31" t="str">
        <x:v>Overs missed</x:v>
      </x:c>
      <x:c r="E9" s="31" t="str">
        <x:v>K threshold ladder</x:v>
      </x:c>
      <x:c r="F9" s="31" t="str">
        <x:v>Under 4.5 K won while overs failed.</x:v>
      </x:c>
      <x:c r="G9" s="31" t="str">
        <x:v>Prospective</x:v>
      </x:c>
      <x:c r="H9" s="31" t="str">
        <x:v>Supports threshold sensitivity.</x:v>
      </x:c>
    </x:row>
    <x:row r="10">
      <x:c r="A10" s="31" t="str">
        <x:v>Isaac Paredes</x:v>
      </x:c>
      <x:c r="B10" s="31" t="str">
        <x:v>2+ H+R+RBI</x:v>
      </x:c>
      <x:c r="C10" s="31" t="str">
        <x:v>Win</x:v>
      </x:c>
      <x:c r="D10" s="31" t="str">
        <x:v>&gt;=2 HRR</x:v>
      </x:c>
      <x:c r="E10" s="31" t="str">
        <x:v>Hitter expression</x:v>
      </x:c>
      <x:c r="F10" s="31" t="str">
        <x:v>Broad composite cleared.</x:v>
      </x:c>
      <x:c r="G10" s="31" t="str">
        <x:v>Prospective</x:v>
      </x:c>
      <x:c r="H10" s="31" t="str">
        <x:v>Continue HRR vs TB pairing.</x:v>
      </x:c>
    </x:row>
    <x:row r="11">
      <x:c r="A11" s="31" t="str">
        <x:v>Junior Caminero</x:v>
      </x:c>
      <x:c r="B11" s="31" t="str">
        <x:v>1+ / 2+ / 3+ H+R+RBI</x:v>
      </x:c>
      <x:c r="C11" s="31" t="str">
        <x:v>Mixed</x:v>
      </x:c>
      <x:c r="D11" s="31" t="str">
        <x:v>1+ W; 2+/3+ L</x:v>
      </x:c>
      <x:c r="E11" s="31" t="str">
        <x:v>Threshold curve</x:v>
      </x:c>
      <x:c r="F11" s="31" t="str">
        <x:v>Lower threshold preserved thesis; higher arms failed.</x:v>
      </x:c>
      <x:c r="G11" s="31" t="str">
        <x:v>Prospective</x:v>
      </x:c>
      <x:c r="H11" s="31" t="str">
        <x:v>Do not generalize without price curve.</x:v>
      </x:c>
    </x:row>
    <x:row r="12">
      <x:c r="A12" s="31" t="str">
        <x:v>Devers + Caminero + Perdomo</x:v>
      </x:c>
      <x:c r="B12" s="31" t="str">
        <x:v>1+ hit source parlay</x:v>
      </x:c>
      <x:c r="C12" s="31" t="str">
        <x:v>Win</x:v>
      </x:c>
      <x:c r="D12" s="31" t="str">
        <x:v>3/3 legs</x:v>
      </x:c>
      <x:c r="E12" s="31" t="str">
        <x:v>Source control</x:v>
      </x:c>
      <x:c r="F12" s="31" t="str">
        <x:v>Intact sourced hit parlay cleared.</x:v>
      </x:c>
      <x:c r="G12" s="31" t="str">
        <x:v>Prospective</x:v>
      </x:c>
      <x:c r="H12" s="31" t="str">
        <x:v>Source-control observation.</x:v>
      </x:c>
    </x:row>
    <x:row r="13">
      <x:c r="A13" s="31" t="str">
        <x:v>ATH/TEX</x:v>
      </x:c>
      <x:c r="B13" s="31" t="str">
        <x:v>NRFI</x:v>
      </x:c>
      <x:c r="C13" s="31" t="str">
        <x:v>Win</x:v>
      </x:c>
      <x:c r="D13" s="31" t="str">
        <x:v>0 first-inning runs</x:v>
      </x:c>
      <x:c r="E13" s="31" t="str">
        <x:v>NRFI structure</x:v>
      </x:c>
      <x:c r="F13" s="31" t="str">
        <x:v>NRFI arm cleared.</x:v>
      </x:c>
      <x:c r="G13" s="31" t="str">
        <x:v>Prospective</x:v>
      </x:c>
      <x:c r="H13" s="31" t="str"/>
    </x:row>
    <x:row r="14">
      <x:c r="A14" s="31" t="str">
        <x:v>PHI/AZ</x:v>
      </x:c>
      <x:c r="B14" s="31" t="str">
        <x:v>NRFI</x:v>
      </x:c>
      <x:c r="C14" s="31" t="str">
        <x:v>Win</x:v>
      </x:c>
      <x:c r="D14" s="31" t="str">
        <x:v>0 first-inning runs</x:v>
      </x:c>
      <x:c r="E14" s="31" t="str">
        <x:v>NRFI structure</x:v>
      </x:c>
      <x:c r="F14" s="31" t="str">
        <x:v>NRFI arm cleared.</x:v>
      </x:c>
      <x:c r="G14" s="31" t="str">
        <x:v>Prospective</x:v>
      </x:c>
      <x:c r="H14" s="31" t="str"/>
    </x:row>
    <x:row r="15">
      <x:c r="A15" s="31" t="str">
        <x:v>SEA/BOS</x:v>
      </x:c>
      <x:c r="B15" s="31" t="str">
        <x:v>NRFI</x:v>
      </x:c>
      <x:c r="C15" s="31" t="str">
        <x:v>Loss</x:v>
      </x:c>
      <x:c r="D15" s="31" t="str">
        <x:v>&gt;=1 first-inning run</x:v>
      </x:c>
      <x:c r="E15" s="31" t="str">
        <x:v>NRFI structure</x:v>
      </x:c>
      <x:c r="F15" s="31" t="str">
        <x:v>One of three NRFI arms failed.</x:v>
      </x:c>
      <x:c r="G15" s="31" t="str">
        <x:v>Prospective</x:v>
      </x:c>
      <x:c r="H15" s="31" t="str"/>
    </x:row>
    <x:row r="16">
      <x:c r="A16" s="31" t="str">
        <x:v>TB/BOS/WSH/SD</x:v>
      </x:c>
      <x:c r="B16" s="31" t="str">
        <x:v>MLB +777 full parlay</x:v>
      </x:c>
      <x:c r="C16" s="31" t="str">
        <x:v>Loss</x:v>
      </x:c>
      <x:c r="D16" s="31" t="str">
        <x:v>Singles 3-1</x:v>
      </x:c>
      <x:c r="E16" s="31" t="str">
        <x:v>Single vs parlay</x:v>
      </x:c>
      <x:c r="F16" s="31" t="str">
        <x:v>One miss killed full construction despite 75% leg hit rate.</x:v>
      </x:c>
      <x:c r="G16" s="31" t="str">
        <x:v>Prospective</x:v>
      </x:c>
      <x:c r="H16" s="31" t="str">
        <x:v>Strong construction-learning example.</x:v>
      </x:c>
    </x:row>
    <x:row r="17">
      <x:c r="A17" s="31" t="str">
        <x:v>Gusto</x:v>
      </x:c>
      <x:c r="B17" s="31" t="str">
        <x:v>Over 0.5 walks</x:v>
      </x:c>
      <x:c r="C17" s="31" t="str">
        <x:v>Win</x:v>
      </x:c>
      <x:c r="D17" s="31" t="str">
        <x:v>&gt;=1 BB</x:v>
      </x:c>
      <x:c r="E17" s="31" t="str">
        <x:v>Pitcher walks innovation</x:v>
      </x:c>
      <x:c r="F17" s="31" t="str">
        <x:v>Walk prop arm cleared.</x:v>
      </x:c>
      <x:c r="G17" s="31" t="str">
        <x:v>Prospective</x:v>
      </x:c>
      <x:c r="H17" s="31" t="str">
        <x:v>Keep testing.</x:v>
      </x:c>
    </x:row>
    <x:row r="18">
      <x:c r="A18" s="31" t="str">
        <x:v>Recent-hit subset</x:v>
      </x:c>
      <x:c r="B18" s="31" t="str">
        <x:v>1+ hit subset</x:v>
      </x:c>
      <x:c r="C18" s="31" t="str">
        <x:v>Win</x:v>
      </x:c>
      <x:c r="D18" s="31" t="str">
        <x:v>7/7</x:v>
      </x:c>
      <x:c r="E18" s="31" t="str">
        <x:v>Recent-form control</x:v>
      </x:c>
      <x:c r="F18" s="31" t="str">
        <x:v>Perfect small-sample subset; not enough to promote.</x:v>
      </x:c>
      <x:c r="G18" s="31" t="str">
        <x:v>Prospective</x:v>
      </x:c>
      <x:c r="H18" s="31" t="str">
        <x:v>Must benchmark price and slate environment.</x:v>
      </x:c>
    </x:row>
    <x:row r="19">
      <x:c r="A19" s="31" t="str">
        <x:v>Braves late intake M31-44–47</x:v>
      </x:c>
      <x:c r="B19" s="31" t="str">
        <x:v>Late paper cluster</x:v>
      </x:c>
      <x:c r="C19" s="31" t="str">
        <x:v>Loss</x:v>
      </x:c>
      <x:c r="D19" s="31" t="str">
        <x:v>0/4</x:v>
      </x:c>
      <x:c r="E19" s="31" t="str">
        <x:v>Late-source intake</x:v>
      </x:c>
      <x:c r="F19" s="31" t="str">
        <x:v>All four failed.</x:v>
      </x:c>
      <x:c r="G19" s="31" t="str">
        <x:v>Prospective</x:v>
      </x:c>
      <x:c r="H19" s="31" t="str">
        <x:v>Preserve negative result; do not retro-filter.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1" hidden="0" customWidth="1"/>
    <x:col min="5" max="5" width="14" hidden="0" customWidth="1"/>
    <x:col min="6" max="6" width="24" hidden="0" customWidth="1"/>
    <x:col min="7" max="7" width="44" hidden="0" customWidth="1"/>
    <x:col min="8" max="8" width="44" hidden="0" customWidth="1"/>
    <x:col min="9" max="9" width="10" hidden="0" customWidth="1"/>
    <x:col min="10" max="10" width="38" hidden="0" customWidth="1"/>
    <x:col min="11" max="11" width="34" hidden="0" customWidth="1"/>
    <x:col min="12" max="12" width="28" hidden="0" customWidth="1"/>
  </x:cols>
  <x:sheetData>
    <x:row r="1">
      <x:c r="A1" s="349" t="str">
        <x:v>SEPTEMBER 2, 2026 — FINAL MONEY + PAPER REVIEW</x:v>
      </x:c>
      <x:c r="B1" s="349"/>
      <x:c r="C1" s="349"/>
      <x:c r="D1" s="349"/>
      <x:c r="E1" s="349"/>
      <x:c r="F1" s="349"/>
      <x:c r="G1" s="349"/>
      <x:c r="H1" s="349"/>
      <x:c r="I1" s="349"/>
      <x:c r="J1" s="349"/>
      <x:c r="K1" s="349"/>
      <x:c r="L1" s="349"/>
    </x:row>
    <x:row r="2">
      <x:c r="A2" s="350" t="str">
        <x:v>Starting bankroll $21.06 | $6 risked | $7.84 returned | +$1.84 P/L | Ending bankroll $22.90 | 2/6 tickets won</x:v>
      </x:c>
      <x:c r="B2" s="350"/>
      <x:c r="C2" s="350"/>
      <x:c r="D2" s="350"/>
      <x:c r="E2" s="350"/>
      <x:c r="F2" s="350"/>
      <x:c r="G2" s="350"/>
      <x:c r="H2" s="350"/>
      <x:c r="I2" s="350"/>
      <x:c r="J2" s="350"/>
      <x:c r="K2" s="350"/>
      <x:c r="L2" s="350"/>
    </x:row>
    <x:row r="3">
      <x:c r="A3" s="351"/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</x:row>
    <x:row r="4">
      <x:c r="A4" s="352" t="str">
        <x:v>Rank</x:v>
      </x:c>
      <x:c r="B4" s="352" t="str">
        <x:v>Status</x:v>
      </x:c>
      <x:c r="C4" s="352" t="str">
        <x:v>Candidate</x:v>
      </x:c>
      <x:c r="D4" s="352" t="str">
        <x:v>Market</x:v>
      </x:c>
      <x:c r="E4" s="352" t="str">
        <x:v>Odds</x:v>
      </x:c>
      <x:c r="F4" s="352" t="str">
        <x:v>Planned Stake</x:v>
      </x:c>
      <x:c r="G4" s="352" t="str">
        <x:v>Promo</x:v>
      </x:c>
      <x:c r="H4" s="352" t="str">
        <x:v>Provenance</x:v>
      </x:c>
      <x:c r="I4" s="352" t="str">
        <x:v>Tier</x:v>
      </x:c>
      <x:c r="J4" s="352" t="str">
        <x:v>Why this expression</x:v>
      </x:c>
      <x:c r="K4" s="352" t="str">
        <x:v>Main failure mode</x:v>
      </x:c>
      <x:c r="L4" s="352" t="str">
        <x:v>Final gate</x:v>
      </x:c>
    </x:row>
    <x:row r="5">
      <x:c r="A5" s="345" t="n">
        <x:v>1</x:v>
      </x:c>
      <x:c r="B5" s="345" t="str">
        <x:v>LOST</x:v>
      </x:c>
      <x:c r="C5" s="345" t="str">
        <x:v>Jacob Misiorowski</x:v>
      </x:c>
      <x:c r="D5" s="345" t="str">
        <x:v>O17.5 outs</x:v>
      </x:c>
      <x:c r="E5" s="345" t="n">
        <x:v>-136</x:v>
      </x:c>
      <x:c r="F5" s="345" t="n">
        <x:v>1</x:v>
      </x:c>
      <x:c r="G5" s="345" t="str">
        <x:v>None</x:v>
      </x:c>
      <x:c r="H5" s="345" t="str">
        <x:v>HYBRID</x:v>
      </x:c>
      <x:c r="I5" s="345" t="str">
        <x:v>A</x:v>
      </x:c>
      <x:c r="J5" s="345" t="str">
        <x:v>Dominance + workload; broader than requiring 8+ Ks</x:v>
      </x:c>
      <x:c r="K5" s="345" t="str">
        <x:v>Pitch-count inefficiency / early hook</x:v>
      </x:c>
      <x:c r="L5" s="345" t="str">
        <x:v>Placed $1 at -136</x:v>
      </x:c>
    </x:row>
    <x:row r="6">
      <x:c r="A6" s="345" t="n">
        <x:v>2</x:v>
      </x:c>
      <x:c r="B6" s="345" t="str">
        <x:v>LOST</x:v>
      </x:c>
      <x:c r="C6" s="345" t="str">
        <x:v>Dylan Cease</x:v>
      </x:c>
      <x:c r="D6" s="345" t="str">
        <x:v>7+ Ks</x:v>
      </x:c>
      <x:c r="E6" s="345" t="n">
        <x:v>-106</x:v>
      </x:c>
      <x:c r="F6" s="345" t="n">
        <x:v>1</x:v>
      </x:c>
      <x:c r="G6" s="345" t="str">
        <x:v>None</x:v>
      </x:c>
      <x:c r="H6" s="345" t="str">
        <x:v>HYBRID</x:v>
      </x:c>
      <x:c r="I6" s="345" t="str">
        <x:v>A</x:v>
      </x:c>
      <x:c r="J6" s="345" t="str">
        <x:v>Near-even price makes K expression better than -154 outs</x:v>
      </x:c>
      <x:c r="K6" s="345" t="str">
        <x:v>Cleveland contact / inefficient counts</x:v>
      </x:c>
      <x:c r="L6" s="345" t="str">
        <x:v>Placed $1 at -106</x:v>
      </x:c>
    </x:row>
    <x:row r="7">
      <x:c r="A7" s="345" t="n">
        <x:v>3</x:v>
      </x:c>
      <x:c r="B7" s="345" t="str">
        <x:v>LOST</x:v>
      </x:c>
      <x:c r="C7" s="345" t="str">
        <x:v>Junior Caminero</x:v>
      </x:c>
      <x:c r="D7" s="345" t="str">
        <x:v>2+ TB</x:v>
      </x:c>
      <x:c r="E7" s="345" t="n">
        <x:v>152</x:v>
      </x:c>
      <x:c r="F7" s="345" t="n">
        <x:v>1</x:v>
      </x:c>
      <x:c r="G7" s="345" t="str">
        <x:v>50% any-sport boost (raw +101)</x:v>
      </x:c>
      <x:c r="H7" s="345" t="str">
        <x:v>HYBRID</x:v>
      </x:c>
      <x:c r="I7" s="345" t="str">
        <x:v>A</x:v>
      </x:c>
      <x:c r="J7" s="345" t="str">
        <x:v>Natural +100 qualifier; avoids -264 hit glue</x:v>
      </x:c>
      <x:c r="K7" s="345" t="str">
        <x:v>Single-only game / Hagenman contact suppression</x:v>
      </x:c>
      <x:c r="L7" s="345" t="str">
        <x:v>Placed $1; raw +101 → boosted +152</x:v>
      </x:c>
    </x:row>
    <x:row r="8">
      <x:c r="A8" s="345" t="n">
        <x:v>4</x:v>
      </x:c>
      <x:c r="B8" s="345" t="str">
        <x:v>WON</x:v>
      </x:c>
      <x:c r="C8" s="345" t="str">
        <x:v>Yordan Alvarez</x:v>
      </x:c>
      <x:c r="D8" s="345" t="str">
        <x:v>2+ TB</x:v>
      </x:c>
      <x:c r="E8" s="345" t="n">
        <x:v>-105</x:v>
      </x:c>
      <x:c r="F8" s="345" t="n">
        <x:v>1</x:v>
      </x:c>
      <x:c r="G8" s="345" t="str">
        <x:v>None</x:v>
      </x:c>
      <x:c r="H8" s="345" t="str">
        <x:v>HYBRID</x:v>
      </x:c>
      <x:c r="I8" s="345" t="str">
        <x:v>A-</x:v>
      </x:c>
      <x:c r="J8" s="345" t="str">
        <x:v>Power thesis fits TB; avoids same-game Paredes duplication</x:v>
      </x:c>
      <x:c r="K8" s="345" t="str">
        <x:v>Walks/singles or Houston sequencing elsewhere</x:v>
      </x:c>
      <x:c r="L8" s="345" t="str">
        <x:v>Placed $1 at -105</x:v>
      </x:c>
    </x:row>
    <x:row r="9">
      <x:c r="A9" s="345" t="n">
        <x:v>5</x:v>
      </x:c>
      <x:c r="B9" s="345" t="str">
        <x:v>RESERVE / QNB</x:v>
      </x:c>
      <x:c r="C9" s="345" t="str">
        <x:v>Cam Schlittler</x:v>
      </x:c>
      <x:c r="D9" s="345" t="str">
        <x:v>8+ Ks</x:v>
      </x:c>
      <x:c r="E9" s="345" t="n">
        <x:v>-141</x:v>
      </x:c>
      <x:c r="F9" s="345" t="n">
        <x:v>0</x:v>
      </x:c>
      <x:c r="G9" s="345" t="str">
        <x:v>None</x:v>
      </x:c>
      <x:c r="H9" s="345" t="str">
        <x:v>HYBRID</x:v>
      </x:c>
      <x:c r="I9" s="345" t="str">
        <x:v>A-</x:v>
      </x:c>
      <x:c r="J9" s="345" t="str">
        <x:v>Direct whiff mechanism; better than -173 outs</x:v>
      </x:c>
      <x:c r="K9" s="345" t="str">
        <x:v>Angels contact / pitch-count inefficiency</x:v>
      </x:c>
      <x:c r="L9" s="345" t="str">
        <x:v>Moves in only if top-four weakens</x:v>
      </x:c>
    </x:row>
    <x:row r="10">
      <x:c r="A10" s="345" t="n">
        <x:v>6</x:v>
      </x:c>
      <x:c r="B10" s="345" t="str">
        <x:v>BOOST CHALLENGER / QNB</x:v>
      </x:c>
      <x:c r="C10" s="345" t="str">
        <x:v>William Contreras</x:v>
      </x:c>
      <x:c r="D10" s="345" t="str">
        <x:v>2+ TB</x:v>
      </x:c>
      <x:c r="E10" s="345" t="n">
        <x:v>116</x:v>
      </x:c>
      <x:c r="F10" s="345" t="n">
        <x:v>0</x:v>
      </x:c>
      <x:c r="G10" s="345" t="str">
        <x:v>50% challenger</x:v>
      </x:c>
      <x:c r="H10" s="345" t="str">
        <x:v>HYBRID</x:v>
      </x:c>
      <x:c r="I10" s="345" t="str">
        <x:v>A-</x:v>
      </x:c>
      <x:c r="J10" s="345" t="str">
        <x:v>Clean plus-money TB vs LHP</x:v>
      </x:c>
      <x:c r="K10" s="345" t="str">
        <x:v>Single-only production / lineup spot</x:v>
      </x:c>
      <x:c r="L10" s="345" t="str">
        <x:v>Confirm lineup</x:v>
      </x:c>
    </x:row>
    <x:row r="11">
      <x:c r="A11" s="351" t="n">
        <x:v>5</x:v>
      </x:c>
      <x:c r="B11" s="351" t="str">
        <x:v>LOST</x:v>
      </x:c>
      <x:c r="C11" s="351" t="str">
        <x:v>Pete Alonso</x:v>
      </x:c>
      <x:c r="D11" s="351" t="str">
        <x:v>1+ HR</x:v>
      </x:c>
      <x:c r="E11" s="351" t="n">
        <x:v>377</x:v>
      </x:c>
      <x:c r="F11" s="351" t="n">
        <x:v>1</x:v>
      </x:c>
      <x:c r="G11" s="351" t="str">
        <x:v>50% 2–4 PM HR boost</x:v>
      </x:c>
      <x:c r="H11" s="351" t="str">
        <x:v>HYBRID</x:v>
      </x:c>
      <x:c r="I11" s="351" t="str">
        <x:v>A-</x:v>
      </x:c>
      <x:c r="J11" s="351" t="str">
        <x:v>Coors + Sugano weakness + hard-contact HR mechanism</x:v>
      </x:c>
      <x:c r="K11" s="351" t="str">
        <x:v>HR variance / one-swing outcome</x:v>
      </x:c>
      <x:c r="L11" s="351" t="str">
        <x:v>Placed $1; raw +251 → +377</x:v>
      </x:c>
    </x:row>
    <x:row r="12">
      <x:c r="A12" s="353" t="str">
        <x:v>GRAND SLAM QUALIFIER: CURRENTLY SKIP</x:v>
      </x:c>
      <x:c r="B12" s="353"/>
      <x:c r="C12" s="353"/>
      <x:c r="D12" s="353"/>
      <x:c r="E12" s="353"/>
      <x:c r="F12" s="353"/>
      <x:c r="G12" s="353"/>
      <x:c r="H12" s="353"/>
      <x:c r="I12" s="353"/>
      <x:c r="J12" s="353"/>
      <x:c r="K12" s="353"/>
      <x:c r="L12" s="353"/>
    </x:row>
    <x:row r="13">
      <x:c r="A13" s="345" t="str">
        <x:v>Mandatory $5 stake = 23.7% of bankroll. Bonus requires the selected HR hitter to hit a GRAND SLAM, with the $750,000 bonus-bet pool split among qualifying winners. Paper-track Yordan +296, Caminero +284, Devers +403, Contreras +481, PCA +340; do not let jackpot overlay rescue a weak base HR bet.</x:v>
      </x:c>
      <x:c r="B13" s="345"/>
      <x:c r="C13" s="345"/>
      <x:c r="D13" s="345"/>
      <x:c r="E13" s="345"/>
      <x:c r="F13" s="345"/>
      <x:c r="G13" s="345"/>
      <x:c r="H13" s="345"/>
      <x:c r="I13" s="345"/>
      <x:c r="J13" s="345"/>
      <x:c r="K13" s="345"/>
      <x:c r="L13" s="345"/>
    </x:row>
    <x:row r="14">
      <x:c r="A14" s="345"/>
      <x:c r="B14" s="345"/>
      <x:c r="C14" s="345"/>
      <x:c r="D14" s="345"/>
      <x:c r="E14" s="345"/>
      <x:c r="F14" s="345"/>
      <x:c r="G14" s="345"/>
      <x:c r="H14" s="345"/>
      <x:c r="I14" s="345"/>
      <x:c r="J14" s="345"/>
      <x:c r="K14" s="345"/>
      <x:c r="L14" s="345"/>
    </x:row>
    <x:row r="15">
      <x:c r="A15" s="351"/>
      <x:c r="B15" s="351"/>
      <x:c r="C15" s="351"/>
      <x:c r="D15" s="351"/>
      <x:c r="E15" s="351"/>
      <x:c r="F15" s="351"/>
      <x:c r="G15" s="351"/>
      <x:c r="H15" s="351"/>
      <x:c r="I15" s="351"/>
      <x:c r="J15" s="351"/>
      <x:c r="K15" s="351"/>
      <x:c r="L15" s="351"/>
    </x:row>
    <x:row r="16">
      <x:c r="A16" s="354" t="str">
        <x:v>Paper ID</x:v>
      </x:c>
      <x:c r="B16" s="354" t="str">
        <x:v>Candidate</x:v>
      </x:c>
      <x:c r="C16" s="354" t="str">
        <x:v>Market</x:v>
      </x:c>
      <x:c r="D16" s="354" t="str">
        <x:v>Odds</x:v>
      </x:c>
      <x:c r="E16" s="354" t="str">
        <x:v>Experiment</x:v>
      </x:c>
      <x:c r="F16" s="354" t="str">
        <x:v>Arm</x:v>
      </x:c>
      <x:c r="G16" s="354" t="str">
        <x:v>Rationale</x:v>
      </x:c>
      <x:c r="H16" s="354" t="str">
        <x:v>Falsifier</x:v>
      </x:c>
      <x:c r="I16" s="351"/>
      <x:c r="J16" s="351"/>
      <x:c r="K16" s="351"/>
      <x:c r="L16" s="351"/>
    </x:row>
    <x:row r="17">
      <x:c r="A17" s="345" t="str">
        <x:v>P02-001</x:v>
      </x:c>
      <x:c r="B17" s="345" t="str">
        <x:v>Jacob Misiorowski</x:v>
      </x:c>
      <x:c r="C17" s="345" t="str">
        <x:v>8+ strikeouts</x:v>
      </x:c>
      <x:c r="D17" s="345" t="n">
        <x:v>-128</x:v>
      </x:c>
      <x:c r="E17" s="345" t="str">
        <x:v>EXP-01</x:v>
      </x:c>
      <x:c r="F17" s="345" t="str">
        <x:v>K ARM</x:v>
      </x:c>
      <x:c r="G17" s="345" t="str">
        <x:v>If dominance is driven by whiffs, 8+ K at similar price can outperform six-inning outs.</x:v>
      </x:c>
      <x:c r="H17" s="345" t="str">
        <x:v>Efficient contact outs clear while K total stalls below 8.</x:v>
      </x:c>
      <x:c r="I17" s="351"/>
      <x:c r="J17" s="351"/>
      <x:c r="K17" s="351"/>
      <x:c r="L17" s="351"/>
    </x:row>
    <x:row r="18">
      <x:c r="A18" s="345" t="str">
        <x:v>P02-002</x:v>
      </x:c>
      <x:c r="B18" s="345" t="str">
        <x:v>Jacob Misiorowski</x:v>
      </x:c>
      <x:c r="C18" s="345" t="str">
        <x:v>9+ strikeouts</x:v>
      </x:c>
      <x:c r="D18" s="345" t="n">
        <x:v>151</x:v>
      </x:c>
      <x:c r="E18" s="345" t="str">
        <x:v>EXP-06</x:v>
      </x:c>
      <x:c r="F18" s="345" t="str">
        <x:v>AGGRESSIVE K ARM</x:v>
      </x:c>
      <x:c r="G18" s="345" t="str">
        <x:v>Elite K rate may preserve value one rung above the standard 8+ line.</x:v>
      </x:c>
      <x:c r="H18" s="345" t="str">
        <x:v>8 Ks exactly or earlier hook shows threshold tax dominates payout gain.</x:v>
      </x:c>
      <x:c r="I18" s="351"/>
      <x:c r="J18" s="351"/>
      <x:c r="K18" s="351"/>
      <x:c r="L18" s="351"/>
    </x:row>
    <x:row r="19">
      <x:c r="A19" s="345" t="str">
        <x:v>P02-003</x:v>
      </x:c>
      <x:c r="B19" s="345" t="str">
        <x:v>Dylan Cease</x:v>
      </x:c>
      <x:c r="C19" s="345" t="str">
        <x:v>Over 17.5 outs</x:v>
      </x:c>
      <x:c r="D19" s="345" t="n">
        <x:v>-154</x:v>
      </x:c>
      <x:c r="E19" s="345" t="str">
        <x:v>EXP-01</x:v>
      </x:c>
      <x:c r="F19" s="345" t="str">
        <x:v>OUTS ARM</x:v>
      </x:c>
      <x:c r="G19" s="345" t="str">
        <x:v>If efficiency/workload is the real edge, six innings should be more robust than a 7-K requirement.</x:v>
      </x:c>
      <x:c r="H19" s="345" t="str">
        <x:v>Cease records 7+ K but fails to reach 18 outs, or price deterioration erases value.</x:v>
      </x:c>
      <x:c r="I19" s="351"/>
      <x:c r="J19" s="351"/>
      <x:c r="K19" s="351"/>
      <x:c r="L19" s="351"/>
    </x:row>
    <x:row r="20">
      <x:c r="A20" s="345" t="str">
        <x:v>P02-004</x:v>
      </x:c>
      <x:c r="B20" s="345" t="str">
        <x:v>Dylan Cease</x:v>
      </x:c>
      <x:c r="C20" s="345" t="str">
        <x:v>8+ strikeouts</x:v>
      </x:c>
      <x:c r="D20" s="345" t="n">
        <x:v>191</x:v>
      </x:c>
      <x:c r="E20" s="345" t="str">
        <x:v>EXP-06</x:v>
      </x:c>
      <x:c r="F20" s="345" t="str">
        <x:v>AGGRESSIVE K ARM</x:v>
      </x:c>
      <x:c r="G20" s="345" t="str">
        <x:v>Cease's K ceiling can justify +191 when 7+ is already near even money.</x:v>
      </x:c>
      <x:c r="H20" s="345" t="str">
        <x:v>Exactly 7 Ks becomes the canonical threshold-cost failure.</x:v>
      </x:c>
      <x:c r="I20" s="351"/>
      <x:c r="J20" s="351"/>
      <x:c r="K20" s="351"/>
      <x:c r="L20" s="351"/>
    </x:row>
    <x:row r="21">
      <x:c r="A21" s="345" t="str">
        <x:v>P02-005</x:v>
      </x:c>
      <x:c r="B21" s="345" t="str">
        <x:v>Cam Schlittler</x:v>
      </x:c>
      <x:c r="C21" s="345" t="str">
        <x:v>8+ strikeouts</x:v>
      </x:c>
      <x:c r="D21" s="345" t="n">
        <x:v>-141</x:v>
      </x:c>
      <x:c r="E21" s="345" t="str">
        <x:v>EXP-02</x:v>
      </x:c>
      <x:c r="F21" s="345" t="str">
        <x:v>K OVER ARM</x:v>
      </x:c>
      <x:c r="G21" s="345" t="str">
        <x:v>High whiff ability against this lineup should support 8+ Ks without requiring six innings.</x:v>
      </x:c>
      <x:c r="H21" s="345" t="str">
        <x:v>Contact-heavy Angels approach or pitch-count inefficiency keeps him below 8.</x:v>
      </x:c>
      <x:c r="I21" s="351"/>
      <x:c r="J21" s="351"/>
      <x:c r="K21" s="351"/>
      <x:c r="L21" s="351"/>
    </x:row>
    <x:row r="22">
      <x:c r="A22" s="345" t="str">
        <x:v>P02-006</x:v>
      </x:c>
      <x:c r="B22" s="345" t="str">
        <x:v>Cam Schlittler</x:v>
      </x:c>
      <x:c r="C22" s="345" t="str">
        <x:v>Over 17.5 outs</x:v>
      </x:c>
      <x:c r="D22" s="345" t="n">
        <x:v>-173</x:v>
      </x:c>
      <x:c r="E22" s="345" t="str">
        <x:v>EXP-01</x:v>
      </x:c>
      <x:c r="F22" s="345" t="str">
        <x:v>OUTS ARM</x:v>
      </x:c>
      <x:c r="G22" s="345" t="str">
        <x:v>If his starter efficiency is more stable than whiff count, outs can justify the steeper price.</x:v>
      </x:c>
      <x:c r="H22" s="345" t="str">
        <x:v>Eight-plus Ks clear while he exits before 18 outs.</x:v>
      </x:c>
      <x:c r="I22" s="351"/>
      <x:c r="J22" s="351"/>
      <x:c r="K22" s="351"/>
      <x:c r="L22" s="351"/>
    </x:row>
    <x:row r="23">
      <x:c r="A23" s="345" t="str">
        <x:v>P02-007</x:v>
      </x:c>
      <x:c r="B23" s="345" t="str">
        <x:v>Yoshinobu Yamamoto</x:v>
      </x:c>
      <x:c r="C23" s="345" t="str">
        <x:v>7+ strikeouts</x:v>
      </x:c>
      <x:c r="D23" s="345" t="n">
        <x:v>-149</x:v>
      </x:c>
      <x:c r="E23" s="345" t="str">
        <x:v>EXP-02</x:v>
      </x:c>
      <x:c r="F23" s="345" t="str">
        <x:v>K OVER ARM</x:v>
      </x:c>
      <x:c r="G23" s="345" t="str">
        <x:v>Whiff-oriented matchup should make seven Ks a cleaner expression than 19 outs.</x:v>
      </x:c>
      <x:c r="H23" s="345" t="str">
        <x:v>Good run prevention but six innings or fewer with &lt;7 Ks.</x:v>
      </x:c>
      <x:c r="I23" s="351"/>
      <x:c r="J23" s="351"/>
      <x:c r="K23" s="351"/>
      <x:c r="L23" s="351"/>
    </x:row>
    <x:row r="24">
      <x:c r="A24" s="345" t="str">
        <x:v>P02-008</x:v>
      </x:c>
      <x:c r="B24" s="345" t="str">
        <x:v>Yoshinobu Yamamoto</x:v>
      </x:c>
      <x:c r="C24" s="345" t="str">
        <x:v>Over 18.5 outs</x:v>
      </x:c>
      <x:c r="D24" s="345" t="n">
        <x:v>-115</x:v>
      </x:c>
      <x:c r="E24" s="345" t="str">
        <x:v>EXP-01</x:v>
      </x:c>
      <x:c r="F24" s="345" t="str">
        <x:v>OUTS ARM</x:v>
      </x:c>
      <x:c r="G24" s="345" t="str">
        <x:v>If efficiency and leash are stronger than pure whiff volume, 19 outs can beat seven Ks at a cheaper price.</x:v>
      </x:c>
      <x:c r="H24" s="345" t="str">
        <x:v>He reaches 7+ Ks but exits after six innings.</x:v>
      </x:c>
      <x:c r="I24" s="351"/>
      <x:c r="J24" s="351"/>
      <x:c r="K24" s="351"/>
      <x:c r="L24" s="351"/>
    </x:row>
    <x:row r="25">
      <x:c r="A25" s="345" t="str">
        <x:v>P02-009</x:v>
      </x:c>
      <x:c r="B25" s="345" t="str">
        <x:v>Noah Cameron</x:v>
      </x:c>
      <x:c r="C25" s="345" t="str">
        <x:v>5+ strikeouts</x:v>
      </x:c>
      <x:c r="D25" s="345" t="n">
        <x:v>-123</x:v>
      </x:c>
      <x:c r="E25" s="345" t="str">
        <x:v>EXP-02</x:v>
      </x:c>
      <x:c r="F25" s="345" t="str">
        <x:v>K OVER ARM</x:v>
      </x:c>
      <x:c r="G25" s="345" t="str">
        <x:v>Five Ks can clear without a full six-inning workload.</x:v>
      </x:c>
      <x:c r="H25" s="345" t="str">
        <x:v>Low season K rate manifests and he finishes with four or fewer.</x:v>
      </x:c>
      <x:c r="I25" s="351"/>
      <x:c r="J25" s="351"/>
      <x:c r="K25" s="351"/>
      <x:c r="L25" s="351"/>
    </x:row>
    <x:row r="26">
      <x:c r="A26" s="345" t="str">
        <x:v>P02-010</x:v>
      </x:c>
      <x:c r="B26" s="345" t="str">
        <x:v>Noah Cameron</x:v>
      </x:c>
      <x:c r="C26" s="345" t="str">
        <x:v>Over 17.5 outs</x:v>
      </x:c>
      <x:c r="D26" s="345" t="n">
        <x:v>-133</x:v>
      </x:c>
      <x:c r="E26" s="345" t="str">
        <x:v>EXP-01</x:v>
      </x:c>
      <x:c r="F26" s="345" t="str">
        <x:v>OUTS ARM</x:v>
      </x:c>
      <x:c r="G26" s="345" t="str">
        <x:v>Efficient contact management may make six innings more attainable than five strikeouts.</x:v>
      </x:c>
      <x:c r="H26" s="345" t="str">
        <x:v>Five Ks clear but he misses 18 outs due pitch count or hook.</x:v>
      </x:c>
      <x:c r="I26" s="351"/>
      <x:c r="J26" s="351"/>
      <x:c r="K26" s="351"/>
      <x:c r="L26" s="351"/>
    </x:row>
    <x:row r="27">
      <x:c r="A27" s="345" t="str">
        <x:v>P02-011</x:v>
      </x:c>
      <x:c r="B27" s="345" t="str">
        <x:v>Eury Perez</x:v>
      </x:c>
      <x:c r="C27" s="345" t="str">
        <x:v>5+ strikeouts</x:v>
      </x:c>
      <x:c r="D27" s="345" t="n">
        <x:v>-164</x:v>
      </x:c>
      <x:c r="E27" s="345" t="str">
        <x:v>EXP-02</x:v>
      </x:c>
      <x:c r="F27" s="345" t="str">
        <x:v>K OVER ARM</x:v>
      </x:c>
      <x:c r="G27" s="345" t="str">
        <x:v>Perez's superior K rate to Cameron should make 5+ robust despite the price.</x:v>
      </x:c>
      <x:c r="H27" s="345" t="str">
        <x:v>He works five-plus innings and still finishes below five Ks.</x:v>
      </x:c>
      <x:c r="I27" s="351"/>
      <x:c r="J27" s="351"/>
      <x:c r="K27" s="351"/>
      <x:c r="L27" s="351"/>
    </x:row>
    <x:row r="28">
      <x:c r="A28" s="345" t="str">
        <x:v>P02-012</x:v>
      </x:c>
      <x:c r="B28" s="345" t="str">
        <x:v>Eury Perez</x:v>
      </x:c>
      <x:c r="C28" s="345" t="str">
        <x:v>Over 15.5 outs</x:v>
      </x:c>
      <x:c r="D28" s="345" t="n">
        <x:v>-136</x:v>
      </x:c>
      <x:c r="E28" s="345" t="str">
        <x:v>EXP-01</x:v>
      </x:c>
      <x:c r="F28" s="345" t="str">
        <x:v>OUTS ARM</x:v>
      </x:c>
      <x:c r="G28" s="345" t="str">
        <x:v>Low outs threshold can outperform a juiced K milestone if he reaches the sixth.</x:v>
      </x:c>
      <x:c r="H28" s="345" t="str">
        <x:v>Short leash/inefficiency prevents 16 outs while strikeouts still clear.</x:v>
      </x:c>
      <x:c r="I28" s="351"/>
      <x:c r="J28" s="351"/>
      <x:c r="K28" s="351"/>
      <x:c r="L28" s="351"/>
    </x:row>
    <x:row r="29">
      <x:c r="A29" s="345" t="str">
        <x:v>P02-013</x:v>
      </x:c>
      <x:c r="B29" s="345" t="str">
        <x:v>Junior Caminero</x:v>
      </x:c>
      <x:c r="C29" s="345" t="str">
        <x:v>2+ H+R+RBI</x:v>
      </x:c>
      <x:c r="D29" s="345" t="n">
        <x:v>-150</x:v>
      </x:c>
      <x:c r="E29" s="345" t="str">
        <x:v>EXP-03</x:v>
      </x:c>
      <x:c r="F29" s="345" t="str">
        <x:v>HRR ARM</x:v>
      </x:c>
      <x:c r="G29" s="345" t="str">
        <x:v>Broad offensive involvement may be more robust than TB because runs/RBI add paths.</x:v>
      </x:c>
      <x:c r="H29" s="345" t="str">
        <x:v>He reaches two bases without scoring/driving in a run while HRR stays below two.</x:v>
      </x:c>
      <x:c r="I29" s="351"/>
      <x:c r="J29" s="351"/>
      <x:c r="K29" s="351"/>
      <x:c r="L29" s="351"/>
    </x:row>
    <x:row r="30">
      <x:c r="A30" s="345" t="str">
        <x:v>P02-014</x:v>
      </x:c>
      <x:c r="B30" s="345" t="str">
        <x:v>Junior Caminero</x:v>
      </x:c>
      <x:c r="C30" s="345" t="str">
        <x:v>1+ hit</x:v>
      </x:c>
      <x:c r="D30" s="345" t="n">
        <x:v>-264</x:v>
      </x:c>
      <x:c r="E30" s="345" t="str">
        <x:v>EXP-26</x:v>
      </x:c>
      <x:c r="F30" s="345" t="str">
        <x:v>1+ HIT GLUE ARM</x:v>
      </x:c>
      <x:c r="G30" s="345" t="str">
        <x:v>High raw hit probability may still underperform economically because price is too expensive.</x:v>
      </x:c>
      <x:c r="H30" s="345" t="str">
        <x:v>Hit loses less often but produces inferior price-adjusted ROI over sample.</x:v>
      </x:c>
      <x:c r="I30" s="351"/>
      <x:c r="J30" s="351"/>
      <x:c r="K30" s="351"/>
      <x:c r="L30" s="351"/>
    </x:row>
    <x:row r="31">
      <x:c r="A31" s="345" t="str">
        <x:v>P02-015</x:v>
      </x:c>
      <x:c r="B31" s="345" t="str">
        <x:v>Junior Caminero</x:v>
      </x:c>
      <x:c r="C31" s="345" t="str">
        <x:v>1+ home run</x:v>
      </x:c>
      <x:c r="D31" s="345" t="n">
        <x:v>284</x:v>
      </x:c>
      <x:c r="E31" s="345" t="str">
        <x:v>EXP-16</x:v>
      </x:c>
      <x:c r="F31" s="345" t="str">
        <x:v>HR ARM</x:v>
      </x:c>
      <x:c r="G31" s="345" t="str">
        <x:v>Elite contact quality can create HR value even when TB is the more robust real expression.</x:v>
      </x:c>
      <x:c r="H31" s="345" t="str">
        <x:v>No HR despite strong contact, reinforcing variance and price sensitivity.</x:v>
      </x:c>
      <x:c r="I31" s="351"/>
      <x:c r="J31" s="351"/>
      <x:c r="K31" s="351"/>
      <x:c r="L31" s="351"/>
    </x:row>
    <x:row r="32">
      <x:c r="A32" s="345" t="str">
        <x:v>P02-016</x:v>
      </x:c>
      <x:c r="B32" s="345" t="str">
        <x:v>William Contreras</x:v>
      </x:c>
      <x:c r="C32" s="345" t="str">
        <x:v>2+ total bases</x:v>
      </x:c>
      <x:c r="D32" s="345" t="n">
        <x:v>116</x:v>
      </x:c>
      <x:c r="E32" s="345" t="str">
        <x:v>EXP-03</x:v>
      </x:c>
      <x:c r="F32" s="345" t="str">
        <x:v>TB ARM</x:v>
      </x:c>
      <x:c r="G32" s="345" t="str">
        <x:v>Extra-base/contact paths can make TB more efficient than a juiced composite.</x:v>
      </x:c>
      <x:c r="H32" s="345" t="str">
        <x:v>Single plus run/RBI clears HRR while TB stays at one.</x:v>
      </x:c>
      <x:c r="I32" s="351"/>
      <x:c r="J32" s="351"/>
      <x:c r="K32" s="351"/>
      <x:c r="L32" s="351"/>
    </x:row>
    <x:row r="33">
      <x:c r="A33" s="345" t="str">
        <x:v>P02-017</x:v>
      </x:c>
      <x:c r="B33" s="345" t="str">
        <x:v>William Contreras</x:v>
      </x:c>
      <x:c r="C33" s="345" t="str">
        <x:v>2+ H+R+RBI</x:v>
      </x:c>
      <x:c r="D33" s="345" t="n">
        <x:v>-138</x:v>
      </x:c>
      <x:c r="E33" s="345" t="str">
        <x:v>EXP-03</x:v>
      </x:c>
      <x:c r="F33" s="345" t="str">
        <x:v>HRR ARM</x:v>
      </x:c>
      <x:c r="G33" s="345" t="str">
        <x:v>Multiple involvement paths may justify the juice versus requiring two bases.</x:v>
      </x:c>
      <x:c r="H33" s="345" t="str">
        <x:v>Two bases clear with no run/RBI, making TB the better conversion.</x:v>
      </x:c>
      <x:c r="I33" s="351"/>
      <x:c r="J33" s="351"/>
      <x:c r="K33" s="351"/>
      <x:c r="L33" s="351"/>
    </x:row>
    <x:row r="34">
      <x:c r="A34" s="345" t="str">
        <x:v>P02-018</x:v>
      </x:c>
      <x:c r="B34" s="345" t="str">
        <x:v>William Contreras</x:v>
      </x:c>
      <x:c r="C34" s="345" t="str">
        <x:v>1+ home run</x:v>
      </x:c>
      <x:c r="D34" s="345" t="n">
        <x:v>481</x:v>
      </x:c>
      <x:c r="E34" s="345" t="str">
        <x:v>EXP-16</x:v>
      </x:c>
      <x:c r="F34" s="345" t="str">
        <x:v>HR ARM</x:v>
      </x:c>
      <x:c r="G34" s="345" t="str">
        <x:v>Pitcher/platoon contact profile may create enough lift for a long HR price.</x:v>
      </x:c>
      <x:c r="H34" s="345" t="str">
        <x:v>Good offensive game without HR shows broad-edge thesis should remain TB/HRR.</x:v>
      </x:c>
      <x:c r="I34" s="351"/>
      <x:c r="J34" s="351"/>
      <x:c r="K34" s="351"/>
      <x:c r="L34" s="351"/>
    </x:row>
    <x:row r="35">
      <x:c r="A35" s="345" t="str">
        <x:v>P02-019</x:v>
      </x:c>
      <x:c r="B35" s="345" t="str">
        <x:v>Isaac Paredes</x:v>
      </x:c>
      <x:c r="C35" s="345" t="str">
        <x:v>2+ H+R+RBI</x:v>
      </x:c>
      <x:c r="D35" s="345" t="n">
        <x:v>-116</x:v>
      </x:c>
      <x:c r="E35" s="345" t="str">
        <x:v>EXP-03</x:v>
      </x:c>
      <x:c r="F35" s="345" t="str">
        <x:v>HRR ARM</x:v>
      </x:c>
      <x:c r="G35" s="345" t="str">
        <x:v>Home RHP matchup creates multiple ways to reach two combined events.</x:v>
      </x:c>
      <x:c r="H35" s="345" t="str">
        <x:v>He records extra bases but no run/RBI support, exposing composite sequencing dependence.</x:v>
      </x:c>
      <x:c r="I35" s="351"/>
      <x:c r="J35" s="351"/>
      <x:c r="K35" s="351"/>
      <x:c r="L35" s="351"/>
    </x:row>
    <x:row r="36">
      <x:c r="A36" s="345" t="str">
        <x:v>P02-020</x:v>
      </x:c>
      <x:c r="B36" s="345" t="str">
        <x:v>Isaac Paredes</x:v>
      </x:c>
      <x:c r="C36" s="345" t="str">
        <x:v>2+ total bases</x:v>
      </x:c>
      <x:c r="D36" s="345" t="n">
        <x:v>138</x:v>
      </x:c>
      <x:c r="E36" s="345" t="str">
        <x:v>EXP-03</x:v>
      </x:c>
      <x:c r="F36" s="345" t="str">
        <x:v>TB ARM</x:v>
      </x:c>
      <x:c r="G36" s="345" t="str">
        <x:v>If the matchup is truly about hard contact, TB can beat HRR despite narrower paths.</x:v>
      </x:c>
      <x:c r="H36" s="345" t="str">
        <x:v>Walk/run/RBI involvement clears HRR while TB remains below two.</x:v>
      </x:c>
      <x:c r="I36" s="351"/>
      <x:c r="J36" s="351"/>
      <x:c r="K36" s="351"/>
      <x:c r="L36" s="351"/>
    </x:row>
    <x:row r="37">
      <x:c r="A37" s="345" t="str">
        <x:v>P02-021</x:v>
      </x:c>
      <x:c r="B37" s="345" t="str">
        <x:v>Lawrence Butler</x:v>
      </x:c>
      <x:c r="C37" s="345" t="str">
        <x:v>2+ H+R+RBI</x:v>
      </x:c>
      <x:c r="D37" s="345" t="n">
        <x:v>108</x:v>
      </x:c>
      <x:c r="E37" s="345" t="str">
        <x:v>EXP-03</x:v>
      </x:c>
      <x:c r="F37" s="345" t="str">
        <x:v>HRR ARM</x:v>
      </x:c>
      <x:c r="G37" s="345" t="str">
        <x:v>Broad involvement can monetize contact plus lineup context better than 2+ TB.</x:v>
      </x:c>
      <x:c r="H37" s="345" t="str">
        <x:v>He gets two bases but no run/RBI, favoring TB.</x:v>
      </x:c>
      <x:c r="I37" s="351"/>
      <x:c r="J37" s="351"/>
      <x:c r="K37" s="351"/>
      <x:c r="L37" s="351"/>
    </x:row>
    <x:row r="38">
      <x:c r="A38" s="345" t="str">
        <x:v>P02-022</x:v>
      </x:c>
      <x:c r="B38" s="345" t="str">
        <x:v>Lawrence Butler</x:v>
      </x:c>
      <x:c r="C38" s="345" t="str">
        <x:v>2+ total bases</x:v>
      </x:c>
      <x:c r="D38" s="345" t="n">
        <x:v>153</x:v>
      </x:c>
      <x:c r="E38" s="345" t="str">
        <x:v>EXP-03</x:v>
      </x:c>
      <x:c r="F38" s="345" t="str">
        <x:v>TB ARM</x:v>
      </x:c>
      <x:c r="G38" s="345" t="str">
        <x:v>The contact matchup may be strong enough that plus-money TB outperforms HRR.</x:v>
      </x:c>
      <x:c r="H38" s="345" t="str">
        <x:v>Single plus run/RBI clears HRR while TB misses.</x:v>
      </x:c>
      <x:c r="I38" s="351"/>
      <x:c r="J38" s="351"/>
      <x:c r="K38" s="351"/>
      <x:c r="L38" s="351"/>
    </x:row>
    <x:row r="39">
      <x:c r="A39" s="345" t="str">
        <x:v>P02-023</x:v>
      </x:c>
      <x:c r="B39" s="345" t="str">
        <x:v>Gleyber Torres</x:v>
      </x:c>
      <x:c r="C39" s="345" t="str">
        <x:v>2+ H+R+RBI</x:v>
      </x:c>
      <x:c r="D39" s="345" t="n">
        <x:v>-108</x:v>
      </x:c>
      <x:c r="E39" s="345" t="str">
        <x:v>EXP-03</x:v>
      </x:c>
      <x:c r="F39" s="345" t="str">
        <x:v>HRR ARM</x:v>
      </x:c>
      <x:c r="G39" s="345" t="str">
        <x:v>Composite should monetize broad matchup better than expensive hit or TB requirement.</x:v>
      </x:c>
      <x:c r="H39" s="345" t="str">
        <x:v>Two total bases with no scoring context makes TB superior.</x:v>
      </x:c>
      <x:c r="I39" s="351"/>
      <x:c r="J39" s="351"/>
      <x:c r="K39" s="351"/>
      <x:c r="L39" s="351"/>
    </x:row>
    <x:row r="40">
      <x:c r="A40" s="345" t="str">
        <x:v>P02-024</x:v>
      </x:c>
      <x:c r="B40" s="345" t="str">
        <x:v>Gleyber Torres</x:v>
      </x:c>
      <x:c r="C40" s="345" t="str">
        <x:v>2+ total bases</x:v>
      </x:c>
      <x:c r="D40" s="345" t="n">
        <x:v>146</x:v>
      </x:c>
      <x:c r="E40" s="345" t="str">
        <x:v>EXP-03</x:v>
      </x:c>
      <x:c r="F40" s="345" t="str">
        <x:v>TB ARM</x:v>
      </x:c>
      <x:c r="G40" s="345" t="str">
        <x:v>BvP contact quality may translate specifically into bases rather than sequencing-dependent HRR.</x:v>
      </x:c>
      <x:c r="H40" s="345" t="str">
        <x:v>One hit plus run/RBI clears HRR while TB misses.</x:v>
      </x:c>
      <x:c r="I40" s="351"/>
      <x:c r="J40" s="351"/>
      <x:c r="K40" s="351"/>
      <x:c r="L40" s="351"/>
    </x:row>
    <x:row r="41">
      <x:c r="A41" s="345" t="str">
        <x:v>P02-025</x:v>
      </x:c>
      <x:c r="B41" s="345" t="str">
        <x:v>Luke Keaschall</x:v>
      </x:c>
      <x:c r="C41" s="345" t="str">
        <x:v>2+ total bases</x:v>
      </x:c>
      <x:c r="D41" s="345" t="n">
        <x:v>133</x:v>
      </x:c>
      <x:c r="E41" s="345" t="str">
        <x:v>EXP-03</x:v>
      </x:c>
      <x:c r="F41" s="345" t="str">
        <x:v>TB ARM</x:v>
      </x:c>
      <x:c r="G41" s="345" t="str">
        <x:v>Market-specific recent TB production can justify plus-money TB over broad composite.</x:v>
      </x:c>
      <x:c r="H41" s="345" t="str">
        <x:v>He produces run/RBI involvement without two bases.</x:v>
      </x:c>
      <x:c r="I41" s="351"/>
      <x:c r="J41" s="351"/>
      <x:c r="K41" s="351"/>
      <x:c r="L41" s="351"/>
    </x:row>
    <x:row r="42">
      <x:c r="A42" s="345" t="str">
        <x:v>P02-026</x:v>
      </x:c>
      <x:c r="B42" s="345" t="str">
        <x:v>Luke Keaschall</x:v>
      </x:c>
      <x:c r="C42" s="345" t="str">
        <x:v>2+ H+R+RBI</x:v>
      </x:c>
      <x:c r="D42" s="345" t="n">
        <x:v>-126</x:v>
      </x:c>
      <x:c r="E42" s="345" t="str">
        <x:v>EXP-03</x:v>
      </x:c>
      <x:c r="F42" s="345" t="str">
        <x:v>HRR ARM</x:v>
      </x:c>
      <x:c r="G42" s="345" t="str">
        <x:v>Broader paths may reduce threshold misses enough to justify the juice.</x:v>
      </x:c>
      <x:c r="H42" s="345" t="str">
        <x:v>TB clears while composite stalls below two.</x:v>
      </x:c>
      <x:c r="I42" s="351"/>
      <x:c r="J42" s="351"/>
      <x:c r="K42" s="351"/>
      <x:c r="L42" s="351"/>
    </x:row>
    <x:row r="43">
      <x:c r="A43" s="345" t="str">
        <x:v>P02-027</x:v>
      </x:c>
      <x:c r="B43" s="345" t="str">
        <x:v>Junior Caminero</x:v>
      </x:c>
      <x:c r="C43" s="345" t="str">
        <x:v>2+ total bases +101 (unboosted control)</x:v>
      </x:c>
      <x:c r="D43" s="345" t="n">
        <x:v>101</x:v>
      </x:c>
      <x:c r="E43" s="345" t="str">
        <x:v>EXP-24</x:v>
      </x:c>
      <x:c r="F43" s="345" t="str">
        <x:v>UNBOOSTED NATURAL +100 ARM</x:v>
      </x:c>
      <x:c r="G43" s="345" t="str">
        <x:v>A naturally qualifying +100 edge should retain positive economics before the boost; the promo should amplify rather than rescue it.</x:v>
      </x:c>
      <x:c r="H43" s="345" t="str">
        <x:v>Unboosted economics are poor enough that only the boost creates apparent value.</x:v>
      </x:c>
      <x:c r="I43" s="351"/>
      <x:c r="J43" s="351"/>
      <x:c r="K43" s="351"/>
      <x:c r="L43" s="351"/>
    </x:row>
    <x:row r="44">
      <x:c r="A44" s="345" t="str">
        <x:v>P02-028</x:v>
      </x:c>
      <x:c r="B44" s="345" t="str">
        <x:v>Yordan Alvarez</x:v>
      </x:c>
      <x:c r="C44" s="345" t="str">
        <x:v>1+ home run</x:v>
      </x:c>
      <x:c r="D44" s="345" t="n">
        <x:v>296</x:v>
      </x:c>
      <x:c r="E44" s="345" t="str">
        <x:v>EXP-25</x:v>
      </x:c>
      <x:c r="F44" s="345" t="str">
        <x:v>GRAND SLAM HR ARM</x:v>
      </x:c>
      <x:c r="G44" s="345" t="str">
        <x:v>A Grand Slam qualifier should only be considered when the base HR bet independently grades well; Yordan is the cleanest current example.</x:v>
      </x:c>
      <x:c r="H44" s="345" t="str">
        <x:v>The HR thesis is not strong enough at market price or bankroll cost overwhelms the uncertain jackpot overlay.</x:v>
      </x:c>
      <x:c r="I44" s="351"/>
      <x:c r="J44" s="351"/>
      <x:c r="K44" s="351"/>
      <x:c r="L44" s="351"/>
    </x:row>
    <x:row r="45">
      <x:c r="A45" s="345" t="str">
        <x:v>P02-029</x:v>
      </x:c>
      <x:c r="B45" s="345" t="str">
        <x:v>Rafael Devers</x:v>
      </x:c>
      <x:c r="C45" s="345" t="str">
        <x:v>1+ home run</x:v>
      </x:c>
      <x:c r="D45" s="345" t="n">
        <x:v>403</x:v>
      </x:c>
      <x:c r="E45" s="345" t="str">
        <x:v>EXP-25</x:v>
      </x:c>
      <x:c r="F45" s="345" t="str">
        <x:v>GRAND SLAM HR CHALLENGER</x:v>
      </x:c>
      <x:c r="G45" s="345" t="str">
        <x:v>Longer HR price can improve base-bet economics if matchup power survives independent adjustment.</x:v>
      </x:c>
      <x:c r="H45" s="345" t="str">
        <x:v>Underlying matchup does not justify the raw long-shot price.</x:v>
      </x:c>
      <x:c r="I45" s="351"/>
      <x:c r="J45" s="351"/>
      <x:c r="K45" s="351"/>
      <x:c r="L45" s="351"/>
    </x:row>
    <x:row r="46">
      <x:c r="A46" s="345" t="str">
        <x:v>P02-030</x:v>
      </x:c>
      <x:c r="B46" s="345" t="str">
        <x:v>Pete Crow-Armstrong</x:v>
      </x:c>
      <x:c r="C46" s="345" t="str">
        <x:v>1+ home run</x:v>
      </x:c>
      <x:c r="D46" s="345" t="n">
        <x:v>340</x:v>
      </x:c>
      <x:c r="E46" s="345" t="str">
        <x:v>EXP-25</x:v>
      </x:c>
      <x:c r="F46" s="345" t="str">
        <x:v>CONFLICTING HR ARM</x:v>
      </x:c>
      <x:c r="G46" s="345" t="str">
        <x:v>Even a qualified HR price should be downgraded when it directly opposes a higher-ranked pitcher thesis.</x:v>
      </x:c>
      <x:c r="H46" s="345" t="str">
        <x:v>PCA HR wins while Misiorowski still clears outs, showing conflict may be less severe than assumed.</x:v>
      </x:c>
      <x:c r="I46" s="351"/>
      <x:c r="J46" s="351"/>
      <x:c r="K46" s="351"/>
      <x:c r="L46" s="351"/>
    </x:row>
    <x:row r="47">
      <x:c r="A47" s="345" t="str">
        <x:v>P02-031</x:v>
      </x:c>
      <x:c r="B47" s="345" t="str">
        <x:v>Misiorowski + Cease</x:v>
      </x:c>
      <x:c r="C47" s="345" t="str">
        <x:v>Misiorowski O17.5 outs + Cease 7+ K</x:v>
      </x:c>
      <x:c r="D47" s="345"/>
      <x:c r="E47" s="345" t="str">
        <x:v>EXP-20</x:v>
      </x:c>
      <x:c r="F47" s="345" t="str">
        <x:v>2-LEG PAIR ARM</x:v>
      </x:c>
      <x:c r="G47" s="345" t="str">
        <x:v>If both singles are truly A-tier, packaging them should not outperform the lower-variance standalone allocation over time.</x:v>
      </x:c>
      <x:c r="H47" s="345" t="str">
        <x:v>One leg miss wipes ticket while the other single wins, reinforcing singles preference.</x:v>
      </x:c>
      <x:c r="I47" s="351"/>
      <x:c r="J47" s="351"/>
      <x:c r="K47" s="351"/>
      <x:c r="L47" s="351"/>
    </x:row>
    <x:row r="48">
      <x:c r="A48" s="345" t="str">
        <x:v>P02-032</x:v>
      </x:c>
      <x:c r="B48" s="345" t="str">
        <x:v>Misiorowski + Cease + Caminero</x:v>
      </x:c>
      <x:c r="C48" s="345" t="str">
        <x:v>Misiorowski O17.5 outs + Cease 7+ K + Caminero 2+ TB</x:v>
      </x:c>
      <x:c r="D48" s="345"/>
      <x:c r="E48" s="345" t="str">
        <x:v>EXP-09</x:v>
      </x:c>
      <x:c r="F48" s="345" t="str">
        <x:v>3-LEG TOP-CANDIDATE ARM</x:v>
      </x:c>
      <x:c r="G48" s="345" t="str">
        <x:v>Even top legs may lose economic efficiency when forced into a 3-leg ticket.</x:v>
      </x:c>
      <x:c r="H48" s="345" t="str">
        <x:v>Any single miss destroys ticket while standalone real card remains partially profitable.</x:v>
      </x:c>
      <x:c r="I48" s="351"/>
      <x:c r="J48" s="351"/>
      <x:c r="K48" s="351"/>
      <x:c r="L48" s="351"/>
    </x:row>
    <x:row r="49">
      <x:c r="A49" s="351"/>
      <x:c r="B49" s="351"/>
      <x:c r="C49" s="351"/>
      <x:c r="D49" s="351"/>
      <x:c r="E49" s="351"/>
      <x:c r="F49" s="351"/>
      <x:c r="G49" s="351"/>
      <x:c r="H49" s="351"/>
      <x:c r="I49" s="351"/>
      <x:c r="J49" s="351"/>
      <x:c r="K49" s="351"/>
      <x:c r="L49" s="351"/>
    </x:row>
    <x:row r="50">
      <x:c r="A50" s="345" t="str">
        <x:v>P02-035</x:v>
      </x:c>
      <x:c r="B50" s="345" t="str">
        <x:v>Los Angeles Dodgers</x:v>
      </x:c>
      <x:c r="C50" s="345" t="str">
        <x:v>LAD ML</x:v>
      </x:c>
      <x:c r="D50" s="345"/>
      <x:c r="E50" s="345" t="str">
        <x:v>EXP-27</x:v>
      </x:c>
      <x:c r="F50" s="345" t="str">
        <x:v>67% ML ARM</x:v>
      </x:c>
      <x:c r="G50" s="345" t="str">
        <x:v>Source top game pick at 67%; calibration test, not a real bet.</x:v>
      </x:c>
      <x:c r="H50" s="345" t="str">
        <x:v>Weakens if source confidence is poorly calibrated / price-adjusted value is negative.</x:v>
      </x:c>
      <x:c r="I50" s="351"/>
      <x:c r="J50" s="351"/>
      <x:c r="K50" s="351"/>
      <x:c r="L50" s="351"/>
    </x:row>
    <x:row r="51">
      <x:c r="A51" s="345" t="str">
        <x:v>P02-036</x:v>
      </x:c>
      <x:c r="B51" s="345" t="str">
        <x:v>Milwaukee Brewers</x:v>
      </x:c>
      <x:c r="C51" s="345" t="str">
        <x:v>MIL ML</x:v>
      </x:c>
      <x:c r="D51" s="345"/>
      <x:c r="E51" s="345" t="str">
        <x:v>EXP-27</x:v>
      </x:c>
      <x:c r="F51" s="345" t="str">
        <x:v>66% ML ARM</x:v>
      </x:c>
      <x:c r="G51" s="345" t="str">
        <x:v>Source game pick at 66%; source-only prospective calibration row.</x:v>
      </x:c>
      <x:c r="H51" s="345" t="str">
        <x:v>Weakens if repeated 60–69% picks underperform stated confidence.</x:v>
      </x:c>
      <x:c r="I51" s="351"/>
      <x:c r="J51" s="351"/>
      <x:c r="K51" s="351"/>
      <x:c r="L51" s="351"/>
    </x:row>
    <x:row r="52">
      <x:c r="A52" s="345" t="str">
        <x:v>P02-037</x:v>
      </x:c>
      <x:c r="B52" s="345" t="str">
        <x:v>Arizona Diamondbacks</x:v>
      </x:c>
      <x:c r="C52" s="345" t="str">
        <x:v>ARI ML</x:v>
      </x:c>
      <x:c r="D52" s="345"/>
      <x:c r="E52" s="345" t="str">
        <x:v>EXP-27</x:v>
      </x:c>
      <x:c r="F52" s="345" t="str">
        <x:v>65% ML ARM</x:v>
      </x:c>
      <x:c r="G52" s="345" t="str">
        <x:v>Logged prospectively before 3:40 ET start; no exact price supplied.</x:v>
      </x:c>
      <x:c r="H52" s="345" t="str">
        <x:v>Weakens if source probability does not beat market/calibration baseline.</x:v>
      </x:c>
      <x:c r="I52" s="351"/>
      <x:c r="J52" s="351"/>
      <x:c r="K52" s="351"/>
      <x:c r="L52" s="351"/>
    </x:row>
    <x:row r="53">
      <x:c r="A53" s="351"/>
      <x:c r="B53" s="351"/>
      <x:c r="C53" s="351"/>
      <x:c r="D53" s="351"/>
      <x:c r="E53" s="351"/>
      <x:c r="F53" s="351"/>
      <x:c r="G53" s="351"/>
      <x:c r="H53" s="351"/>
      <x:c r="I53" s="351"/>
      <x:c r="J53" s="351"/>
      <x:c r="K53" s="351"/>
      <x:c r="L53" s="351"/>
    </x:row>
    <x:row r="54">
      <x:c r="A54" s="351" t="n">
        <x:v>6</x:v>
      </x:c>
      <x:c r="B54" s="351" t="str">
        <x:v>WON</x:v>
      </x:c>
      <x:c r="C54" s="351" t="str">
        <x:v>Chourio + Contreras + Cameron</x:v>
      </x:c>
      <x:c r="D54" s="351" t="str">
        <x:v>3-leg SGPx</x:v>
      </x:c>
      <x:c r="E54" s="351" t="n">
        <x:v>489</x:v>
      </x:c>
      <x:c r="F54" s="351" t="n">
        <x:v>1</x:v>
      </x:c>
      <x:c r="G54" s="351" t="str">
        <x:v>50% SGPx boost</x:v>
      </x:c>
      <x:c r="H54" s="351" t="str">
        <x:v>HYBRID</x:v>
      </x:c>
      <x:c r="I54" s="351" t="str">
        <x:v>A</x:v>
      </x:c>
      <x:c r="J54" s="351" t="str">
        <x:v>Two independently qualified MIL HRR legs + non-duplicated Cameron 5+ K outside leg</x:v>
      </x:c>
      <x:c r="K54" s="351" t="str">
        <x:v>Correlated MIL offense + Cameron K variance</x:v>
      </x:c>
      <x:c r="L54" s="351" t="str">
        <x:v>Raw +325 → boosted +489; paid $5.89</x:v>
      </x:c>
    </x:row>
    <x:row r="55">
      <x:c r="A55" s="351"/>
      <x:c r="B55" s="351"/>
      <x:c r="C55" s="351"/>
      <x:c r="D55" s="351"/>
      <x:c r="E55" s="351"/>
      <x:c r="F55" s="351"/>
      <x:c r="G55" s="351"/>
      <x:c r="H55" s="351"/>
      <x:c r="I55" s="351"/>
      <x:c r="J55" s="351"/>
      <x:c r="K55" s="351"/>
      <x:c r="L55" s="351"/>
    </x:row>
    <x:row r="56">
      <x:c r="A56" s="362" t="str">
        <x:v>EOD FINDINGS — SEP 2</x:v>
      </x:c>
      <x:c r="B56" s="362"/>
      <x:c r="C56" s="362"/>
      <x:c r="D56" s="362"/>
      <x:c r="E56" s="362"/>
      <x:c r="F56" s="362"/>
      <x:c r="G56" s="362"/>
      <x:c r="H56" s="362"/>
      <x:c r="I56" s="362"/>
      <x:c r="J56" s="362"/>
      <x:c r="K56" s="362"/>
      <x:c r="L56" s="362"/>
    </x:row>
    <x:row r="57">
      <x:c r="A57" s="364" t="str">
        <x:v>Money</x:v>
      </x:c>
      <x:c r="B57" s="365" t="str">
        <x:v>Profit was concentrated, not broad</x:v>
      </x:c>
      <x:c r="C57" s="365" t="str">
        <x:v>Singles 1-4 (-$3.05); boosted SGPx +$4.89; day +$1.84.</x:v>
      </x:c>
      <x:c r="D57" s="351"/>
      <x:c r="E57" s="351"/>
      <x:c r="F57" s="351"/>
      <x:c r="G57" s="351"/>
      <x:c r="H57" s="351"/>
      <x:c r="I57" s="351"/>
      <x:c r="J57" s="351"/>
      <x:c r="K57" s="351"/>
      <x:c r="L57" s="351"/>
    </x:row>
    <x:row r="58">
      <x:c r="A58" s="364" t="str">
        <x:v>Pitchers</x:v>
      </x:c>
      <x:c r="B58" s="365" t="str">
        <x:v>Market expression was pitcher-specific</x:v>
      </x:c>
      <x:c r="C58" s="365" t="str">
        <x:v>Cease outs W/K L; Cameron K W/outs L; Schlittler and Yamamoto both arms W; Mis/Eury both arms L.</x:v>
      </x:c>
      <x:c r="D58" s="351"/>
      <x:c r="E58" s="351"/>
      <x:c r="F58" s="351"/>
      <x:c r="G58" s="351"/>
      <x:c r="H58" s="351"/>
      <x:c r="I58" s="351"/>
      <x:c r="J58" s="351"/>
      <x:c r="K58" s="351"/>
      <x:c r="L58" s="351"/>
    </x:row>
    <x:row r="59">
      <x:c r="A59" s="364" t="str">
        <x:v>Hitters</x:v>
      </x:c>
      <x:c r="B59" s="365" t="str">
        <x:v>HRR beat TB in paired Sep 2 observations</x:v>
      </x:c>
      <x:c r="C59" s="365" t="str">
        <x:v>Contreras both W; Paredes HRR W/TB L; Keaschall HRR W/TB L; Caminero/Butler both L. HRR 3/5 vs TB 1/5 across paired hitters.</x:v>
      </x:c>
      <x:c r="D59" s="351"/>
      <x:c r="E59" s="351"/>
      <x:c r="F59" s="351"/>
      <x:c r="G59" s="351"/>
      <x:c r="H59" s="351"/>
      <x:c r="I59" s="351"/>
      <x:c r="J59" s="351"/>
      <x:c r="K59" s="351"/>
      <x:c r="L59" s="351"/>
    </x:row>
    <x:row r="60">
      <x:c r="A60" s="364" t="str">
        <x:v>Thresholds</x:v>
      </x:c>
      <x:c r="B60" s="365" t="str">
        <x:v>Aggressive K ladders failed</x:v>
      </x:c>
      <x:c r="C60" s="365" t="str">
        <x:v>Mis 9+ and Cease 8+ both lost; reinforces no threshold inflation for promo qualification.</x:v>
      </x:c>
      <x:c r="D60" s="351"/>
      <x:c r="E60" s="351"/>
      <x:c r="F60" s="351"/>
      <x:c r="G60" s="351"/>
      <x:c r="H60" s="351"/>
      <x:c r="I60" s="351"/>
      <x:c r="J60" s="351"/>
      <x:c r="K60" s="351"/>
      <x:c r="L60" s="351"/>
    </x:row>
    <x:row r="61">
      <x:c r="A61" s="364" t="str">
        <x:v>Ranking</x:v>
      </x:c>
      <x:c r="B61" s="365" t="str">
        <x:v>QNB/reserve pool outperformed several real singles</x:v>
      </x:c>
      <x:c r="C61" s="365" t="str">
        <x:v>Schlittler, Yamamoto, Contreras, Cameron all won their primary paper/QNB expressions while 4 of 5 original singles lost.</x:v>
      </x:c>
      <x:c r="D61" s="351"/>
      <x:c r="E61" s="351"/>
      <x:c r="F61" s="351"/>
      <x:c r="G61" s="351"/>
      <x:c r="H61" s="351"/>
      <x:c r="I61" s="351"/>
      <x:c r="J61" s="351"/>
      <x:c r="K61" s="351"/>
      <x:c r="L61" s="351"/>
    </x:row>
    <x:row r="62">
      <x:c r="A62" s="364" t="str">
        <x:v>HR promos</x:v>
      </x:c>
      <x:c r="B62" s="365" t="str">
        <x:v>Boosts improve price, not hit probability</x:v>
      </x:c>
      <x:c r="C62" s="365" t="str">
        <x:v>Alonso lost; Devers paper HR won but was a solo HR, so Grand Slam jackpot still would not trigger.</x:v>
      </x:c>
      <x:c r="D62" s="351"/>
      <x:c r="E62" s="351"/>
      <x:c r="F62" s="351"/>
      <x:c r="G62" s="351"/>
      <x:c r="H62" s="351"/>
      <x:c r="I62" s="351"/>
      <x:c r="J62" s="351"/>
      <x:c r="K62" s="351"/>
      <x:c r="L62" s="351"/>
    </x:row>
    <x:row r="63">
      <x:c r="A63" s="364" t="str">
        <x:v>Source ML</x:v>
      </x:c>
      <x:c r="B63" s="365" t="str">
        <x:v>First calibration cluster 2-1</x:v>
      </x:c>
      <x:c r="C63" s="365" t="str">
        <x:v>MIL and ARI won; LAD lost. Too small for promotion, but worth continued prospective tracking.</x:v>
      </x:c>
      <x:c r="D63" s="351"/>
      <x:c r="E63" s="351"/>
      <x:c r="F63" s="351"/>
      <x:c r="G63" s="351"/>
      <x:c r="H63" s="351"/>
      <x:c r="I63" s="351"/>
      <x:c r="J63" s="351"/>
      <x:c r="K63" s="351"/>
      <x:c r="L63" s="351"/>
    </x:row>
    <x:row r="64">
      <x:c r="A64" s="351"/>
      <x:c r="B64" s="351"/>
      <x:c r="C64" s="351"/>
      <x:c r="D64" s="351"/>
      <x:c r="E64" s="351"/>
      <x:c r="F64" s="351"/>
      <x:c r="G64" s="351"/>
      <x:c r="H64" s="351"/>
      <x:c r="I64" s="351"/>
      <x:c r="J64" s="351"/>
      <x:c r="K64" s="351"/>
      <x:c r="L64" s="351"/>
    </x:row>
    <x:row r="65">
      <x:c r="A65" s="351"/>
      <x:c r="B65" s="351"/>
      <x:c r="C65" s="351"/>
      <x:c r="D65" s="351"/>
      <x:c r="E65" s="351"/>
      <x:c r="F65" s="351"/>
      <x:c r="G65" s="351"/>
      <x:c r="H65" s="351"/>
      <x:c r="I65" s="351"/>
      <x:c r="J65" s="351"/>
      <x:c r="K65" s="351"/>
      <x:c r="L65" s="351"/>
    </x:row>
    <x:row r="66">
      <x:c r="A66" s="351"/>
      <x:c r="B66" s="351"/>
      <x:c r="C66" s="351"/>
      <x:c r="D66" s="351"/>
      <x:c r="E66" s="351"/>
      <x:c r="F66" s="351"/>
      <x:c r="G66" s="351"/>
      <x:c r="H66" s="351"/>
      <x:c r="I66" s="351"/>
      <x:c r="J66" s="351"/>
      <x:c r="K66" s="351"/>
      <x:c r="L66" s="351"/>
    </x:row>
    <x:row r="67">
      <x:c r="A67" s="351"/>
      <x:c r="B67" s="351"/>
      <x:c r="C67" s="351"/>
      <x:c r="D67" s="351"/>
      <x:c r="E67" s="351"/>
      <x:c r="F67" s="351"/>
      <x:c r="G67" s="351"/>
      <x:c r="H67" s="351"/>
      <x:c r="I67" s="351"/>
      <x:c r="J67" s="351"/>
      <x:c r="K67" s="351"/>
      <x:c r="L67" s="351"/>
    </x:row>
    <x:row r="68">
      <x:c r="A68" s="351"/>
      <x:c r="B68" s="351"/>
      <x:c r="C68" s="351"/>
      <x:c r="D68" s="351"/>
      <x:c r="E68" s="351"/>
      <x:c r="F68" s="351"/>
      <x:c r="G68" s="351"/>
      <x:c r="H68" s="351"/>
      <x:c r="I68" s="351"/>
      <x:c r="J68" s="351"/>
      <x:c r="K68" s="351"/>
      <x:c r="L68" s="351"/>
    </x:row>
    <x:row r="69">
      <x:c r="A69" s="351"/>
      <x:c r="B69" s="351"/>
      <x:c r="C69" s="351"/>
      <x:c r="D69" s="351"/>
      <x:c r="E69" s="351"/>
      <x:c r="F69" s="351"/>
      <x:c r="G69" s="351"/>
      <x:c r="H69" s="351"/>
      <x:c r="I69" s="351"/>
      <x:c r="J69" s="351"/>
      <x:c r="K69" s="351"/>
      <x:c r="L69" s="351"/>
    </x:row>
    <x:row r="70">
      <x:c r="A70" s="351"/>
      <x:c r="B70" s="351"/>
      <x:c r="C70" s="351"/>
      <x:c r="D70" s="351"/>
      <x:c r="E70" s="351"/>
      <x:c r="F70" s="351"/>
      <x:c r="G70" s="351"/>
      <x:c r="H70" s="351"/>
      <x:c r="I70" s="351"/>
      <x:c r="J70" s="351"/>
      <x:c r="K70" s="351"/>
      <x:c r="L70" s="351"/>
    </x:row>
    <x:row r="71">
      <x:c r="A71" s="351"/>
      <x:c r="B71" s="351"/>
      <x:c r="C71" s="351"/>
      <x:c r="D71" s="351"/>
      <x:c r="E71" s="351"/>
      <x:c r="F71" s="351"/>
      <x:c r="G71" s="351"/>
      <x:c r="H71" s="351"/>
      <x:c r="I71" s="351"/>
      <x:c r="J71" s="351"/>
      <x:c r="K71" s="351"/>
      <x:c r="L71" s="351"/>
    </x:row>
    <x:row r="72">
      <x:c r="A72" s="351"/>
      <x:c r="B72" s="351"/>
      <x:c r="C72" s="351"/>
      <x:c r="D72" s="351"/>
      <x:c r="E72" s="351"/>
      <x:c r="F72" s="351"/>
      <x:c r="G72" s="351"/>
      <x:c r="H72" s="351"/>
      <x:c r="I72" s="351"/>
      <x:c r="J72" s="351"/>
      <x:c r="K72" s="351"/>
      <x:c r="L72" s="351"/>
    </x:row>
    <x:row r="73">
      <x:c r="A73" s="351"/>
      <x:c r="B73" s="351"/>
      <x:c r="C73" s="351"/>
      <x:c r="D73" s="351"/>
      <x:c r="E73" s="351"/>
      <x:c r="F73" s="351"/>
      <x:c r="G73" s="351"/>
      <x:c r="H73" s="351"/>
      <x:c r="I73" s="351"/>
      <x:c r="J73" s="351"/>
      <x:c r="K73" s="351"/>
      <x:c r="L73" s="351"/>
    </x:row>
    <x:row r="74">
      <x:c r="A74" s="351"/>
      <x:c r="B74" s="351"/>
      <x:c r="C74" s="351"/>
      <x:c r="D74" s="351"/>
      <x:c r="E74" s="351"/>
      <x:c r="F74" s="351"/>
      <x:c r="G74" s="351"/>
      <x:c r="H74" s="351"/>
      <x:c r="I74" s="351"/>
      <x:c r="J74" s="351"/>
      <x:c r="K74" s="351"/>
      <x:c r="L74" s="351"/>
    </x:row>
    <x:row r="75">
      <x:c r="A75" s="351"/>
      <x:c r="B75" s="351"/>
      <x:c r="C75" s="351"/>
      <x:c r="D75" s="351"/>
      <x:c r="E75" s="351"/>
      <x:c r="F75" s="351"/>
      <x:c r="G75" s="351"/>
      <x:c r="H75" s="351"/>
      <x:c r="I75" s="351"/>
      <x:c r="J75" s="351"/>
      <x:c r="K75" s="351"/>
      <x:c r="L75" s="351"/>
    </x:row>
    <x:row r="76">
      <x:c r="A76" s="351"/>
      <x:c r="B76" s="351"/>
      <x:c r="C76" s="351"/>
      <x:c r="D76" s="351"/>
      <x:c r="E76" s="351"/>
      <x:c r="F76" s="351"/>
      <x:c r="G76" s="351"/>
      <x:c r="H76" s="351"/>
      <x:c r="I76" s="351"/>
      <x:c r="J76" s="351"/>
      <x:c r="K76" s="351"/>
      <x:c r="L76" s="351"/>
    </x:row>
    <x:row r="77">
      <x:c r="A77" s="351"/>
      <x:c r="B77" s="351"/>
      <x:c r="C77" s="351"/>
      <x:c r="D77" s="351"/>
      <x:c r="E77" s="351"/>
      <x:c r="F77" s="351"/>
      <x:c r="G77" s="351"/>
      <x:c r="H77" s="351"/>
      <x:c r="I77" s="351"/>
      <x:c r="J77" s="351"/>
      <x:c r="K77" s="351"/>
      <x:c r="L77" s="351"/>
    </x:row>
    <x:row r="78">
      <x:c r="A78" s="351"/>
      <x:c r="B78" s="351"/>
      <x:c r="C78" s="351"/>
      <x:c r="D78" s="351"/>
      <x:c r="E78" s="351"/>
      <x:c r="F78" s="351"/>
      <x:c r="G78" s="351"/>
      <x:c r="H78" s="351"/>
      <x:c r="I78" s="351"/>
      <x:c r="J78" s="351"/>
      <x:c r="K78" s="351"/>
      <x:c r="L78" s="351"/>
    </x:row>
    <x:row r="79">
      <x:c r="A79" s="351"/>
      <x:c r="B79" s="351"/>
      <x:c r="C79" s="351"/>
      <x:c r="D79" s="351"/>
      <x:c r="E79" s="351"/>
      <x:c r="F79" s="351"/>
      <x:c r="G79" s="351"/>
      <x:c r="H79" s="351"/>
      <x:c r="I79" s="351"/>
      <x:c r="J79" s="351"/>
      <x:c r="K79" s="351"/>
      <x:c r="L79" s="351"/>
    </x:row>
    <x:row r="80">
      <x:c r="A80" s="351"/>
      <x:c r="B80" s="351"/>
      <x:c r="C80" s="351"/>
      <x:c r="D80" s="351"/>
      <x:c r="E80" s="351"/>
      <x:c r="F80" s="351"/>
      <x:c r="G80" s="351"/>
      <x:c r="H80" s="351"/>
      <x:c r="I80" s="351"/>
      <x:c r="J80" s="351"/>
      <x:c r="K80" s="351"/>
      <x:c r="L80" s="351"/>
    </x:row>
  </x:sheetData>
  <x:mergeCells>
    <x:mergeCell ref="A1:L1"/>
    <x:mergeCell ref="A2:L2"/>
    <x:mergeCell ref="A12:L12"/>
    <x:mergeCell ref="A13:L14"/>
    <x:mergeCell ref="A56:L56"/>
  </x:mergeCells>
  <x:conditionalFormatting sqref="B5:B10">
    <x:cfRule type="expression" dxfId="13" priority="1">
      <x:formula>LEFT(B5,3)="BET"</x:formula>
    </x:cfRule>
    <x:cfRule type="expression" dxfId="14" priority="2">
      <x:formula>OR(LEFT(B5,3)="RES",LEFT(B5,5)="BOOST")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16A3B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20" hidden="0" customWidth="1"/>
    <x:col min="5" max="5" width="10" hidden="0" customWidth="1"/>
    <x:col min="6" max="6" width="14" hidden="0" customWidth="1"/>
    <x:col min="7" max="7" width="10" hidden="0" customWidth="1"/>
    <x:col min="8" max="8" width="18" hidden="0" customWidth="1"/>
    <x:col min="9" max="9" width="22" hidden="0" customWidth="1"/>
    <x:col min="10" max="10" width="42" hidden="0" customWidth="1"/>
    <x:col min="11" max="11" width="58" hidden="0" customWidth="1"/>
    <x:col min="12" max="12" width="25" hidden="0" customWidth="1"/>
    <x:col min="13" max="13" width="28" hidden="0" customWidth="1"/>
  </x:cols>
  <x:sheetData>
    <x:row r="1" ht="28" customHeight="1">
      <x:c r="A1" s="393" t="str">
        <x:v>Current Daily Slate</x:v>
      </x:c>
    </x:row>
    <x:row r="2" ht="22" customHeight="1">
      <x:c r="A2" s="394" t="str">
        <x:v>Date</x:v>
      </x:c>
      <x:c r="B2" s="395" t="str">
        <x:v>2026-10-19</x:v>
      </x:c>
      <x:c r="C2" s="394" t="str">
        <x:v>Last verified</x:v>
      </x:c>
      <x:c r="D2" s="395" t="str">
        <x:v>2026-10-19 08:51Z</x:v>
      </x:c>
      <x:c r="E2" s="394" t="str">
        <x:v>Gate</x:v>
      </x:c>
      <x:c r="F2" s="395" t="str">
        <x:v>PRELIMINARY</x:v>
      </x:c>
      <x:c r="G2" s="394" t="str">
        <x:v>Timezone</x:v>
      </x:c>
      <x:c r="H2" s="395" t="str">
        <x:v>America/New_York</x:v>
      </x:c>
    </x:row>
    <x:row r="4" ht="30" customHeight="1">
      <x:c r="A4" s="396" t="str">
        <x:v>Sport</x:v>
      </x:c>
      <x:c r="B4" s="396" t="str">
        <x:v>Competition</x:v>
      </x:c>
      <x:c r="C4" s="396" t="str">
        <x:v>Status</x:v>
      </x:c>
      <x:c r="D4" s="396" t="str">
        <x:v>Games</x:v>
      </x:c>
      <x:c r="E4" s="396" t="str">
        <x:v>Completed</x:v>
      </x:c>
      <x:c r="F4" s="396" t="str">
        <x:v>Live</x:v>
      </x:c>
      <x:c r="G4" s="396" t="str">
        <x:v>Scheduled</x:v>
      </x:c>
      <x:c r="H4" s="396" t="str">
        <x:v>Earliest start</x:v>
      </x:c>
      <x:c r="I4" s="396" t="str">
        <x:v>Provider</x:v>
      </x:c>
      <x:c r="J4" s="396" t="str">
        <x:v>Source URL</x:v>
      </x:c>
      <x:c r="K4" s="396" t="str">
        <x:v>Endpoint</x:v>
      </x:c>
      <x:c r="L4" s="396" t="str">
        <x:v>Verified at</x:v>
      </x:c>
      <x:c r="M4" s="396" t="str">
        <x:v>Notes / error</x:v>
      </x:c>
    </x:row>
    <x:row r="5" ht="32" customHeight="1">
      <x:c r="A5" s="397" t="str">
        <x:v>Baseball</x:v>
      </x:c>
      <x:c r="B5" s="397" t="str">
        <x:v>MLB</x:v>
      </x:c>
      <x:c r="C5" s="397" t="str">
        <x:v>active</x:v>
      </x:c>
      <x:c r="D5" s="398" t="n">
        <x:v>1</x:v>
      </x:c>
      <x:c r="E5" s="398" t="n">
        <x:v>0</x:v>
      </x:c>
      <x:c r="F5" s="398" t="n">
        <x:v>0</x:v>
      </x:c>
      <x:c r="G5" s="398" t="n">
        <x:v>1</x:v>
      </x:c>
      <x:c r="H5" s="397" t="str">
        <x:v>8:08 PM EDT</x:v>
      </x:c>
      <x:c r="I5" s="397" t="str">
        <x:v>MLB Stats API</x:v>
      </x:c>
      <x:c r="J5" s="397" t="str">
        <x:v>https://www.mlb.com/schedule/2026-10-19</x:v>
      </x:c>
      <x:c r="K5" s="397" t="str">
        <x:v>https://statsapi.mlb.com/api/v1/schedule?sportId=1&amp;date=2026-10-19&amp;hydrate=probablePitcher,team,venue</x:v>
      </x:c>
      <x:c r="L5" s="397" t="str">
        <x:v>UTC 2026-10-19T08:51:04.405Z</x:v>
      </x:c>
      <x:c r="M5" s="397" t="str"/>
    </x:row>
    <x:row r="6" ht="32" customHeight="1">
      <x:c r="A6" s="399" t="str">
        <x:v>Football</x:v>
      </x:c>
      <x:c r="B6" s="399" t="str">
        <x:v>CFB</x:v>
      </x:c>
      <x:c r="C6" s="399" t="str">
        <x:v>no_slate</x:v>
      </x:c>
      <x:c r="D6" s="400" t="n">
        <x:v>0</x:v>
      </x:c>
      <x:c r="E6" s="400" t="n">
        <x:v>0</x:v>
      </x:c>
      <x:c r="F6" s="400" t="n">
        <x:v>0</x:v>
      </x:c>
      <x:c r="G6" s="400" t="n">
        <x:v>0</x:v>
      </x:c>
      <x:c r="H6" s="399" t="str"/>
      <x:c r="I6" s="399" t="str">
        <x:v>ESPN Scoreboard API</x:v>
      </x:c>
      <x:c r="J6" s="399" t="str">
        <x:v>https://www.espn.com/college-football/scoreboard/_/date/20261019</x:v>
      </x:c>
      <x:c r="K6" s="399" t="str">
        <x:v>https://site.api.espn.com/apis/site/v2/sports/football/college-football/scoreboard?dates=20261019&amp;limit=200</x:v>
      </x:c>
      <x:c r="L6" s="399" t="str">
        <x:v>UTC 2026-10-19T08:51:04.405Z</x:v>
      </x:c>
      <x:c r="M6" s="399" t="str"/>
    </x:row>
    <x:row r="7" ht="32" customHeight="1">
      <x:c r="A7" s="397" t="str">
        <x:v>Football</x:v>
      </x:c>
      <x:c r="B7" s="397" t="str">
        <x:v>NFL</x:v>
      </x:c>
      <x:c r="C7" s="397" t="str">
        <x:v>active</x:v>
      </x:c>
      <x:c r="D7" s="398" t="n">
        <x:v>1</x:v>
      </x:c>
      <x:c r="E7" s="398" t="n">
        <x:v>0</x:v>
      </x:c>
      <x:c r="F7" s="398" t="n">
        <x:v>0</x:v>
      </x:c>
      <x:c r="G7" s="398" t="n">
        <x:v>1</x:v>
      </x:c>
      <x:c r="H7" s="397" t="str">
        <x:v>8:15 PM EDT</x:v>
      </x:c>
      <x:c r="I7" s="397" t="str">
        <x:v>ESPN Scoreboard API</x:v>
      </x:c>
      <x:c r="J7" s="397" t="str">
        <x:v>https://www.espn.com/nfl/scoreboard/_/date/20261019</x:v>
      </x:c>
      <x:c r="K7" s="397" t="str">
        <x:v>https://site.api.espn.com/apis/site/v2/sports/football/nfl/scoreboard?dates=20261019&amp;limit=200</x:v>
      </x:c>
      <x:c r="L7" s="397" t="str">
        <x:v>UTC 2026-10-19T08:51:04.405Z</x:v>
      </x:c>
      <x:c r="M7" s="397" t="str"/>
    </x:row>
    <x:row r="8" ht="32" customHeight="1">
      <x:c r="A8" s="399" t="str">
        <x:v>Basketball</x:v>
      </x:c>
      <x:c r="B8" s="399" t="str">
        <x:v>WNBA</x:v>
      </x:c>
      <x:c r="C8" s="399" t="str">
        <x:v>active</x:v>
      </x:c>
      <x:c r="D8" s="400" t="n">
        <x:v>1</x:v>
      </x:c>
      <x:c r="E8" s="400" t="n">
        <x:v>0</x:v>
      </x:c>
      <x:c r="F8" s="400" t="n">
        <x:v>0</x:v>
      </x:c>
      <x:c r="G8" s="400" t="n">
        <x:v>1</x:v>
      </x:c>
      <x:c r="H8" s="399" t="str">
        <x:v>8:00 PM EDT</x:v>
      </x:c>
      <x:c r="I8" s="399" t="str">
        <x:v>ESPN Scoreboard API</x:v>
      </x:c>
      <x:c r="J8" s="399" t="str">
        <x:v>https://www.espn.com/wnba/scoreboard/_/date/20261019</x:v>
      </x:c>
      <x:c r="K8" s="399" t="str">
        <x:v>https://site.api.espn.com/apis/site/v2/sports/basketball/wnba/scoreboard?dates=20261019&amp;limit=200</x:v>
      </x:c>
      <x:c r="L8" s="399" t="str">
        <x:v>UTC 2026-10-19T08:51:04.405Z</x:v>
      </x:c>
      <x:c r="M8" s="399" t="str"/>
    </x:row>
    <x:row r="9" ht="32" customHeight="1">
      <x:c r="A9" s="397" t="str">
        <x:v>Basketball</x:v>
      </x:c>
      <x:c r="B9" s="397" t="str">
        <x:v>NBA</x:v>
      </x:c>
      <x:c r="C9" s="397" t="str">
        <x:v>no_slate</x:v>
      </x:c>
      <x:c r="D9" s="398" t="n">
        <x:v>0</x:v>
      </x:c>
      <x:c r="E9" s="398" t="n">
        <x:v>0</x:v>
      </x:c>
      <x:c r="F9" s="398" t="n">
        <x:v>0</x:v>
      </x:c>
      <x:c r="G9" s="398" t="n">
        <x:v>0</x:v>
      </x:c>
      <x:c r="H9" s="397" t="str"/>
      <x:c r="I9" s="397" t="str">
        <x:v>ESPN Scoreboard API</x:v>
      </x:c>
      <x:c r="J9" s="397" t="str">
        <x:v>https://www.espn.com/nba/scoreboard/_/date/20261019</x:v>
      </x:c>
      <x:c r="K9" s="397" t="str">
        <x:v>https://site.api.espn.com/apis/site/v2/sports/basketball/nba/scoreboard?dates=20261019&amp;limit=200</x:v>
      </x:c>
      <x:c r="L9" s="397" t="str">
        <x:v>UTC 2026-10-19T08:51:04.405Z</x:v>
      </x:c>
      <x:c r="M9" s="397" t="str"/>
    </x:row>
    <x:row r="10" ht="32" customHeight="1">
      <x:c r="A10" s="399" t="str">
        <x:v>Hockey</x:v>
      </x:c>
      <x:c r="B10" s="399" t="str">
        <x:v>NHL</x:v>
      </x:c>
      <x:c r="C10" s="399" t="str">
        <x:v>active</x:v>
      </x:c>
      <x:c r="D10" s="400" t="n">
        <x:v>4</x:v>
      </x:c>
      <x:c r="E10" s="400" t="n">
        <x:v>0</x:v>
      </x:c>
      <x:c r="F10" s="400" t="n">
        <x:v>0</x:v>
      </x:c>
      <x:c r="G10" s="400" t="n">
        <x:v>4</x:v>
      </x:c>
      <x:c r="H10" s="399" t="str">
        <x:v>7:00 PM EDT</x:v>
      </x:c>
      <x:c r="I10" s="399" t="str">
        <x:v>ESPN Scoreboard API</x:v>
      </x:c>
      <x:c r="J10" s="399" t="str">
        <x:v>https://www.espn.com/nhl/scoreboard/_/date/20261019</x:v>
      </x:c>
      <x:c r="K10" s="399" t="str">
        <x:v>https://site.api.espn.com/apis/site/v2/sports/hockey/nhl/scoreboard?dates=20261019&amp;limit=200</x:v>
      </x:c>
      <x:c r="L10" s="399" t="str">
        <x:v>UTC 2026-10-19T08:51:04.405Z</x:v>
      </x:c>
      <x:c r="M10" s="399" t="str"/>
    </x:row>
    <x:row r="11" ht="32" customHeight="1">
      <x:c r="A11" s="397" t="str">
        <x:v>Soccer</x:v>
      </x:c>
      <x:c r="B11" s="397" t="str">
        <x:v>EPL</x:v>
      </x:c>
      <x:c r="C11" s="397" t="str">
        <x:v>active</x:v>
      </x:c>
      <x:c r="D11" s="398" t="n">
        <x:v>1</x:v>
      </x:c>
      <x:c r="E11" s="398" t="n">
        <x:v>0</x:v>
      </x:c>
      <x:c r="F11" s="398" t="n">
        <x:v>0</x:v>
      </x:c>
      <x:c r="G11" s="398" t="n">
        <x:v>1</x:v>
      </x:c>
      <x:c r="H11" s="397" t="str">
        <x:v>3:00 PM EDT</x:v>
      </x:c>
      <x:c r="I11" s="397" t="str">
        <x:v>ESPN Scoreboard API</x:v>
      </x:c>
      <x:c r="J11" s="397" t="str">
        <x:v>https://www.espn.com/soccer/scoreboard/_/league/eng.1/date/20261019</x:v>
      </x:c>
      <x:c r="K11" s="397" t="str">
        <x:v>https://site.api.espn.com/apis/site/v2/sports/soccer/eng.1/scoreboard?dates=20261019&amp;limit=200</x:v>
      </x:c>
      <x:c r="L11" s="397" t="str">
        <x:v>UTC 2026-10-19T08:51:04.405Z</x:v>
      </x:c>
      <x:c r="M11" s="397" t="str"/>
    </x:row>
    <x:row r="12" ht="32" customHeight="1">
      <x:c r="A12" s="399" t="str">
        <x:v>Soccer</x:v>
      </x:c>
      <x:c r="B12" s="399" t="str">
        <x:v>LA LIGA</x:v>
      </x:c>
      <x:c r="C12" s="399" t="str">
        <x:v>active</x:v>
      </x:c>
      <x:c r="D12" s="400" t="n">
        <x:v>1</x:v>
      </x:c>
      <x:c r="E12" s="400" t="n">
        <x:v>0</x:v>
      </x:c>
      <x:c r="F12" s="400" t="n">
        <x:v>0</x:v>
      </x:c>
      <x:c r="G12" s="400" t="n">
        <x:v>1</x:v>
      </x:c>
      <x:c r="H12" s="399" t="str">
        <x:v>3:00 PM EDT</x:v>
      </x:c>
      <x:c r="I12" s="399" t="str">
        <x:v>ESPN Scoreboard API</x:v>
      </x:c>
      <x:c r="J12" s="399" t="str">
        <x:v>https://www.espn.com/soccer/scoreboard/_/league/esp.1/date/20261019</x:v>
      </x:c>
      <x:c r="K12" s="399" t="str">
        <x:v>https://site.api.espn.com/apis/site/v2/sports/soccer/esp.1/scoreboard?dates=20261019&amp;limit=200</x:v>
      </x:c>
      <x:c r="L12" s="399" t="str">
        <x:v>UTC 2026-10-19T08:51:04.405Z</x:v>
      </x:c>
      <x:c r="M12" s="399" t="str"/>
    </x:row>
    <x:row r="13" ht="32" customHeight="1">
      <x:c r="A13" s="397" t="str">
        <x:v>Soccer</x:v>
      </x:c>
      <x:c r="B13" s="397" t="str">
        <x:v>BUNDESLIGA</x:v>
      </x:c>
      <x:c r="C13" s="397" t="str">
        <x:v>no_slate</x:v>
      </x:c>
      <x:c r="D13" s="398" t="n">
        <x:v>0</x:v>
      </x:c>
      <x:c r="E13" s="398" t="n">
        <x:v>0</x:v>
      </x:c>
      <x:c r="F13" s="398" t="n">
        <x:v>0</x:v>
      </x:c>
      <x:c r="G13" s="398" t="n">
        <x:v>0</x:v>
      </x:c>
      <x:c r="H13" s="397" t="str"/>
      <x:c r="I13" s="397" t="str">
        <x:v>ESPN Scoreboard API</x:v>
      </x:c>
      <x:c r="J13" s="397" t="str">
        <x:v>https://www.espn.com/soccer/scoreboard/_/league/ger.1/date/20261019</x:v>
      </x:c>
      <x:c r="K13" s="397" t="str">
        <x:v>https://site.api.espn.com/apis/site/v2/sports/soccer/ger.1/scoreboard?dates=20261019&amp;limit=200</x:v>
      </x:c>
      <x:c r="L13" s="397" t="str">
        <x:v>UTC 2026-10-19T08:51:04.405Z</x:v>
      </x:c>
      <x:c r="M13" s="397" t="str"/>
    </x:row>
    <x:row r="14" ht="32" customHeight="1">
      <x:c r="A14" s="399" t="str">
        <x:v>Soccer</x:v>
      </x:c>
      <x:c r="B14" s="399" t="str">
        <x:v>SERIE A</x:v>
      </x:c>
      <x:c r="C14" s="399" t="str">
        <x:v>active</x:v>
      </x:c>
      <x:c r="D14" s="400" t="n">
        <x:v>2</x:v>
      </x:c>
      <x:c r="E14" s="400" t="n">
        <x:v>0</x:v>
      </x:c>
      <x:c r="F14" s="400" t="n">
        <x:v>0</x:v>
      </x:c>
      <x:c r="G14" s="400" t="n">
        <x:v>2</x:v>
      </x:c>
      <x:c r="H14" s="399" t="str">
        <x:v>12:30 PM EDT</x:v>
      </x:c>
      <x:c r="I14" s="399" t="str">
        <x:v>ESPN Scoreboard API</x:v>
      </x:c>
      <x:c r="J14" s="399" t="str">
        <x:v>https://www.espn.com/soccer/scoreboard/_/league/ita.1/date/20261019</x:v>
      </x:c>
      <x:c r="K14" s="399" t="str">
        <x:v>https://site.api.espn.com/apis/site/v2/sports/soccer/ita.1/scoreboard?dates=20261019&amp;limit=200</x:v>
      </x:c>
      <x:c r="L14" s="399" t="str">
        <x:v>UTC 2026-10-19T08:51:04.405Z</x:v>
      </x:c>
      <x:c r="M14" s="399" t="str"/>
    </x:row>
    <x:row r="15" ht="32" customHeight="1">
      <x:c r="A15" s="397" t="str">
        <x:v>Soccer</x:v>
      </x:c>
      <x:c r="B15" s="397" t="str">
        <x:v>LIGUE 1</x:v>
      </x:c>
      <x:c r="C15" s="397" t="str">
        <x:v>no_slate</x:v>
      </x:c>
      <x:c r="D15" s="398" t="n">
        <x:v>0</x:v>
      </x:c>
      <x:c r="E15" s="398" t="n">
        <x:v>0</x:v>
      </x:c>
      <x:c r="F15" s="398" t="n">
        <x:v>0</x:v>
      </x:c>
      <x:c r="G15" s="398" t="n">
        <x:v>0</x:v>
      </x:c>
      <x:c r="H15" s="397" t="str"/>
      <x:c r="I15" s="397" t="str">
        <x:v>ESPN Scoreboard API</x:v>
      </x:c>
      <x:c r="J15" s="397" t="str">
        <x:v>https://www.espn.com/soccer/scoreboard/_/league/fra.1/date/20261019</x:v>
      </x:c>
      <x:c r="K15" s="397" t="str">
        <x:v>https://site.api.espn.com/apis/site/v2/sports/soccer/fra.1/scoreboard?dates=20261019&amp;limit=200</x:v>
      </x:c>
      <x:c r="L15" s="397" t="str">
        <x:v>UTC 2026-10-19T08:51:04.405Z</x:v>
      </x:c>
      <x:c r="M15" s="397" t="str"/>
    </x:row>
    <x:row r="16" ht="32" customHeight="1">
      <x:c r="A16" s="399" t="str">
        <x:v>Soccer</x:v>
      </x:c>
      <x:c r="B16" s="399" t="str">
        <x:v>UCL</x:v>
      </x:c>
      <x:c r="C16" s="399" t="str">
        <x:v>no_slate</x:v>
      </x:c>
      <x:c r="D16" s="400" t="n">
        <x:v>0</x:v>
      </x:c>
      <x:c r="E16" s="400" t="n">
        <x:v>0</x:v>
      </x:c>
      <x:c r="F16" s="400" t="n">
        <x:v>0</x:v>
      </x:c>
      <x:c r="G16" s="400" t="n">
        <x:v>0</x:v>
      </x:c>
      <x:c r="H16" s="399" t="str"/>
      <x:c r="I16" s="399" t="str">
        <x:v>ESPN Scoreboard API</x:v>
      </x:c>
      <x:c r="J16" s="399" t="str">
        <x:v>https://www.espn.com/soccer/scoreboard/_/league/uefa.champions/date/20261019</x:v>
      </x:c>
      <x:c r="K16" s="399" t="str">
        <x:v>https://site.api.espn.com/apis/site/v2/sports/soccer/uefa.champions/scoreboard?dates=20261019&amp;limit=200</x:v>
      </x:c>
      <x:c r="L16" s="399" t="str">
        <x:v>UTC 2026-10-19T08:51:04.405Z</x:v>
      </x:c>
      <x:c r="M16" s="399" t="str"/>
    </x:row>
    <x:row r="17" ht="32" customHeight="1">
      <x:c r="A17" s="397" t="str">
        <x:v>Soccer</x:v>
      </x:c>
      <x:c r="B17" s="397" t="str">
        <x:v>UEL</x:v>
      </x:c>
      <x:c r="C17" s="397" t="str">
        <x:v>no_slate</x:v>
      </x:c>
      <x:c r="D17" s="398" t="n">
        <x:v>0</x:v>
      </x:c>
      <x:c r="E17" s="398" t="n">
        <x:v>0</x:v>
      </x:c>
      <x:c r="F17" s="398" t="n">
        <x:v>0</x:v>
      </x:c>
      <x:c r="G17" s="398" t="n">
        <x:v>0</x:v>
      </x:c>
      <x:c r="H17" s="397" t="str"/>
      <x:c r="I17" s="397" t="str">
        <x:v>ESPN Scoreboard API</x:v>
      </x:c>
      <x:c r="J17" s="397" t="str">
        <x:v>https://www.espn.com/soccer/scoreboard/_/league/uefa.europa/date/20261019</x:v>
      </x:c>
      <x:c r="K17" s="397" t="str">
        <x:v>https://site.api.espn.com/apis/site/v2/sports/soccer/uefa.europa/scoreboard?dates=20261019&amp;limit=200</x:v>
      </x:c>
      <x:c r="L17" s="397" t="str">
        <x:v>UTC 2026-10-19T08:51:04.405Z</x:v>
      </x:c>
      <x:c r="M17" s="397" t="str"/>
    </x:row>
    <x:row r="19" ht="32" customHeight="1">
      <x:c r="A19" s="401" t="str">
        <x:v>Soccer scope: EPL, La Liga, Bundesliga, Serie A, Ligue 1, UEFA Champions League and UEFA Europa League. MLS and Saudi Pro League are excluded.</x:v>
      </x:c>
    </x:row>
    <x:row r="20" ht="38" customHeight="1">
      <x:c r="A20" s="402" t="str">
        <x:v>Schedule and result facts only. Odds, lineups, injuries, weather, promotions, bankroll and GPT grades remain unavailable until separately verified. This worksheet cannot make a wager FINAL.</x:v>
      </x:c>
    </x:row>
  </x:sheetData>
  <x:mergeCells count="3">
    <x:mergeCell ref="A1:M1"/>
    <x:mergeCell ref="A19:M19"/>
    <x:mergeCell ref="A20:M20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58A6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28" hidden="0" customWidth="1"/>
    <x:col min="5" max="5" width="28" hidden="0" customWidth="1"/>
    <x:col min="6" max="6" width="20" hidden="0" customWidth="1"/>
    <x:col min="7" max="7" width="34" hidden="0" customWidth="1"/>
    <x:col min="8" max="8" width="22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14" hidden="0" customWidth="1"/>
    <x:col min="14" max="14" width="18" hidden="0" customWidth="1"/>
    <x:col min="15" max="15" width="24" hidden="0" customWidth="1"/>
    <x:col min="16" max="16" width="52" hidden="0" customWidth="1"/>
    <x:col min="17" max="17" width="48" hidden="0" customWidth="1"/>
  </x:cols>
  <x:sheetData>
    <x:row r="1" ht="28" customHeight="1">
      <x:c r="A1" s="404" t="str">
        <x:v>Current Chat Intake</x:v>
      </x:c>
    </x:row>
    <x:row r="2" ht="34" customHeight="1">
      <x:c r="A2" s="533" t="str">
        <x:v>Public-safe structured summaries only. Recheck all chat-reported facts before use.</x:v>
      </x:c>
    </x:row>
    <x:row r="4" ht="30" customHeight="1">
      <x:c r="A4" s="411" t="str">
        <x:v>Date</x:v>
      </x:c>
      <x:c r="B4" s="411" t="str">
        <x:v>Sport</x:v>
      </x:c>
      <x:c r="C4" s="411" t="str">
        <x:v>League</x:v>
      </x:c>
      <x:c r="D4" s="411" t="str">
        <x:v>Slip</x:v>
      </x:c>
      <x:c r="E4" s="411" t="str">
        <x:v>Slip status</x:v>
      </x:c>
      <x:c r="F4" s="411" t="str">
        <x:v>Entity</x:v>
      </x:c>
      <x:c r="G4" s="411" t="str">
        <x:v>Event</x:v>
      </x:c>
      <x:c r="H4" s="411" t="str">
        <x:v>Market</x:v>
      </x:c>
      <x:c r="I4" s="411" t="str">
        <x:v>Threshold</x:v>
      </x:c>
      <x:c r="J4" s="411" t="str">
        <x:v>Side</x:v>
      </x:c>
      <x:c r="K4" s="411" t="str">
        <x:v>Displayed price</x:v>
      </x:c>
      <x:c r="L4" s="411" t="str">
        <x:v>Sportsbook</x:v>
      </x:c>
      <x:c r="M4" s="411" t="str">
        <x:v>Origin</x:v>
      </x:c>
      <x:c r="N4" s="411" t="str">
        <x:v>Verification</x:v>
      </x:c>
      <x:c r="O4" s="411" t="str">
        <x:v>Source label</x:v>
      </x:c>
      <x:c r="P4" s="411" t="str">
        <x:v>Audit note</x:v>
      </x:c>
      <x:c r="Q4" s="411" t="str">
        <x:v>Placement evidence</x:v>
      </x:c>
    </x:row>
    <x:row r="5" ht="42" customHeight="1">
      <x:c r="A5" s="0" t="str">
        <x:v>2026-09-12</x:v>
      </x:c>
      <x:c r="B5" s="0" t="str">
        <x:v>Football</x:v>
      </x:c>
      <x:c r="C5" s="0" t="str">
        <x:v>Bundesliga</x:v>
      </x:c>
      <x:c r="D5" s="0" t="str">
        <x:v>Serhou Guirassy 2+ shots on target</x:v>
      </x:c>
      <x:c r="E5" s="0" t="str">
        <x:v>PLACED_USER_CONFIRMED</x:v>
      </x:c>
      <x:c r="F5" s="0" t="str">
        <x:v>Serhou Guirassy</x:v>
      </x:c>
      <x:c r="G5" s="0" t="str">
        <x:v>SC Paderborn 07 at Borussia Dortmund</x:v>
      </x:c>
      <x:c r="H5" s="0" t="str">
        <x:v>Player shots on target</x:v>
      </x:c>
      <x:c r="I5" s="0" t="str">
        <x:v>2+</x:v>
      </x:c>
      <x:c r="J5" s="0" t="str">
        <x:v>Over</x:v>
      </x:c>
      <x:c r="K5" s="0" t="str">
        <x:v>-170</x:v>
      </x:c>
      <x:c r="L5" s="0" t="str">
        <x:v>DraftKings</x:v>
      </x:c>
      <x:c r="M5" s="0" t="str">
        <x:v>INDEPENDENT</x:v>
      </x:c>
      <x:c r="N5" s="0" t="str">
        <x:v>VERIFIED</x:v>
      </x:c>
      <x:c r="O5" s="0" t="str">
        <x:v>Sports betting handoff update</x:v>
      </x:c>
      <x:c r="P5" s="0" t="str">
        <x:v>The independent soccer pass qualified Guirassy’s confirmed starting role and recent shot-on-target volume. The user confirmed this and the Isak single as placed.</x:v>
      </x:c>
      <x:c r="Q5" s="0" t="str">
        <x:v>The user said “both of those are placed” immediately after the Guirassy and Isak recommendations.</x:v>
      </x:c>
    </x:row>
    <x:row r="6" ht="42" customHeight="1">
      <x:c r="A6" s="0" t="str">
        <x:v>2026-09-12</x:v>
      </x:c>
      <x:c r="B6" s="0" t="str">
        <x:v>Football</x:v>
      </x:c>
      <x:c r="C6" s="0" t="str">
        <x:v>Premier League</x:v>
      </x:c>
      <x:c r="D6" s="0" t="str">
        <x:v>Alexander Isak 2+ shots on target</x:v>
      </x:c>
      <x:c r="E6" s="0" t="str">
        <x:v>PLACED_USER_CONFIRMED</x:v>
      </x:c>
      <x:c r="F6" s="0" t="str">
        <x:v>Alexander Isak</x:v>
      </x:c>
      <x:c r="G6" s="0" t="str">
        <x:v>Fulham at Liverpool</x:v>
      </x:c>
      <x:c r="H6" s="0" t="str">
        <x:v>Player shots on target</x:v>
      </x:c>
      <x:c r="I6" s="0" t="str">
        <x:v>2+</x:v>
      </x:c>
      <x:c r="J6" s="0" t="str">
        <x:v>Over</x:v>
      </x:c>
      <x:c r="K6" s="0" t="str">
        <x:v>+110</x:v>
      </x:c>
      <x:c r="L6" s="0" t="str">
        <x:v>DraftKings</x:v>
      </x:c>
      <x:c r="M6" s="0" t="str">
        <x:v>INDEPENDENT</x:v>
      </x:c>
      <x:c r="N6" s="0" t="str">
        <x:v>VERIFIED</x:v>
      </x:c>
      <x:c r="O6" s="0" t="str">
        <x:v>Sports betting handoff update</x:v>
      </x:c>
      <x:c r="P6" s="0" t="str">
        <x:v>The independent soccer pass preferred Isak’s 2+ shots-on-target threshold at plus money. The user confirmed this and the Guirassy single as placed.</x:v>
      </x:c>
      <x:c r="Q6" s="0" t="str">
        <x:v>The user said “both of those are placed” immediately after the Guirassy and Isak recommendations.</x:v>
      </x:c>
    </x:row>
    <x:row r="7" ht="42" customHeight="1">
      <x:c r="A7" s="0" t="str">
        <x:v>2026-09-12</x:v>
      </x:c>
      <x:c r="B7" s="0" t="str">
        <x:v>Football</x:v>
      </x:c>
      <x:c r="C7" s="0" t="str">
        <x:v>Bundesliga</x:v>
      </x:c>
      <x:c r="D7" s="0" t="str">
        <x:v>Patrik Schick 2+ shots on target</x:v>
      </x:c>
      <x:c r="E7" s="0" t="str">
        <x:v>PLACED_USER_CONFIRMED</x:v>
      </x:c>
      <x:c r="F7" s="0" t="str">
        <x:v>Patrik Schick</x:v>
      </x:c>
      <x:c r="G7" s="0" t="str">
        <x:v>Bayer Leverkusen at FC Augsburg</x:v>
      </x:c>
      <x:c r="H7" s="0" t="str">
        <x:v>Player shots on target</x:v>
      </x:c>
      <x:c r="I7" s="0" t="str">
        <x:v>2+</x:v>
      </x:c>
      <x:c r="J7" s="0" t="str">
        <x:v>Over</x:v>
      </x:c>
      <x:c r="K7" s="0" t="str">
        <x:v>+115</x:v>
      </x:c>
      <x:c r="L7" s="0" t="str">
        <x:v>DraftKings</x:v>
      </x:c>
      <x:c r="M7" s="0" t="str">
        <x:v>INDEPENDENT</x:v>
      </x:c>
      <x:c r="N7" s="0" t="str">
        <x:v>VERIFIED</x:v>
      </x:c>
      <x:c r="O7" s="0" t="str">
        <x:v>Sports betting handoff update</x:v>
      </x:c>
      <x:c r="P7" s="0" t="str">
        <x:v>The independent review preferred Schick’s player-volume market over heavily priced Leverkusen team totals. The user immediately confirmed placement.</x:v>
      </x:c>
      <x:c r="Q7" s="0" t="str">
        <x:v>The user replied “Placed” immediately after the direct Schick instruction.</x:v>
      </x:c>
    </x:row>
    <x:row r="8" ht="42" customHeight="1">
      <x:c r="A8" s="0" t="str">
        <x:v>2026-09-12</x:v>
      </x:c>
      <x:c r="B8" s="0" t="str">
        <x:v>Football</x:v>
      </x:c>
      <x:c r="C8" s="0" t="str">
        <x:v>NCAAF</x:v>
      </x:c>
      <x:c r="D8" s="0" t="str">
        <x:v>Nate Sheppard 24+ rushing attempts</x:v>
      </x:c>
      <x:c r="E8" s="0" t="str">
        <x:v>PLACED_USER_CONFIRMED</x:v>
      </x:c>
      <x:c r="F8" s="0" t="str">
        <x:v>Nate Sheppard</x:v>
      </x:c>
      <x:c r="G8" s="0" t="str">
        <x:v>Duke Blue Devils at Illinois Fighting Illini</x:v>
      </x:c>
      <x:c r="H8" s="0" t="str">
        <x:v>Rushing attempts</x:v>
      </x:c>
      <x:c r="I8" s="0" t="str">
        <x:v>24+</x:v>
      </x:c>
      <x:c r="J8" s="0" t="str">
        <x:v>Over</x:v>
      </x:c>
      <x:c r="K8" s="0" t="str">
        <x:v>-123 before boost</x:v>
      </x:c>
      <x:c r="L8" s="0" t="str">
        <x:v>DraftKings</x:v>
      </x:c>
      <x:c r="M8" s="0" t="str">
        <x:v>INDEPENDENT</x:v>
      </x:c>
      <x:c r="N8" s="0" t="str">
        <x:v>PARTIALLY_VERIFIED</x:v>
      </x:c>
      <x:c r="O8" s="0" t="str">
        <x:v>Sports betting handoff update</x:v>
      </x:c>
      <x:c r="P8" s="0" t="str">
        <x:v>The independent role audit selected rushing attempts over rushing yards to express expected workload directly. The final boosted display price was not captured.</x:v>
      </x:c>
      <x:c r="Q8" s="0" t="str">
        <x:v>The user said “Placed both” immediately after the exact Sheppard and McAfee instructions.</x:v>
      </x:c>
    </x:row>
    <x:row r="9" ht="42" customHeight="1">
      <x:c r="A9" s="0" t="str">
        <x:v>2026-09-12</x:v>
      </x:c>
      <x:c r="B9" s="0" t="str">
        <x:v>Football</x:v>
      </x:c>
      <x:c r="C9" s="0" t="str">
        <x:v>NCAAF</x:v>
      </x:c>
      <x:c r="D9" s="0" t="str">
        <x:v>McAfee Tailgate Overs</x:v>
      </x:c>
      <x:c r="E9" s="0" t="str">
        <x:v>PLACED_USER_CONFIRMED</x:v>
      </x:c>
      <x:c r="F9" s="0" t="str">
        <x:v>Mississippi State at Minnesota</x:v>
      </x:c>
      <x:c r="G9" s="0" t="str">
        <x:v>Mississippi State Bulldogs at Minnesota Golden Gophers</x:v>
      </x:c>
      <x:c r="H9" s="0" t="str">
        <x:v>Game total</x:v>
      </x:c>
      <x:c r="I9" s="0" t="str">
        <x:v>50.5</x:v>
      </x:c>
      <x:c r="J9" s="0" t="str">
        <x:v>Over</x:v>
      </x:c>
      <x:c r="K9" s="0" t="str"/>
      <x:c r="L9" s="0" t="str">
        <x:v>DraftKings</x:v>
      </x:c>
      <x:c r="M9" s="0" t="str">
        <x:v>INDEPENDENT</x:v>
      </x:c>
      <x:c r="N9" s="0" t="str">
        <x:v>PARTIALLY_VERIFIED</x:v>
      </x:c>
      <x:c r="O9" s="0" t="str">
        <x:v>Sports betting handoff update</x:v>
      </x:c>
      <x:c r="P9" s="0" t="str">
        <x:v>The independent audit treated this as one fixed sportsbook proposition, not three independent selections. The user explicitly confirmed it as placed.</x:v>
      </x:c>
      <x:c r="Q9" s="0" t="str">
        <x:v>The user said “Placed both” immediately after the exact Sheppard and McAfee instructions.</x:v>
      </x:c>
    </x:row>
    <x:row r="10" ht="42" customHeight="1">
      <x:c r="A10" s="0" t="str">
        <x:v>2026-09-12</x:v>
      </x:c>
      <x:c r="B10" s="0" t="str">
        <x:v>Football</x:v>
      </x:c>
      <x:c r="C10" s="0" t="str">
        <x:v>NCAAF</x:v>
      </x:c>
      <x:c r="D10" s="0" t="str">
        <x:v>McAfee Tailgate Overs</x:v>
      </x:c>
      <x:c r="E10" s="0" t="str">
        <x:v>PLACED_USER_CONFIRMED</x:v>
      </x:c>
      <x:c r="F10" s="0" t="str">
        <x:v>Tennessee at Georgia Tech</x:v>
      </x:c>
      <x:c r="G10" s="0" t="str">
        <x:v>Tennessee Volunteers at Georgia Tech Yellow Jackets</x:v>
      </x:c>
      <x:c r="H10" s="0" t="str">
        <x:v>Game total</x:v>
      </x:c>
      <x:c r="I10" s="0" t="str">
        <x:v>50.5</x:v>
      </x:c>
      <x:c r="J10" s="0" t="str">
        <x:v>Over</x:v>
      </x:c>
      <x:c r="K10" s="0" t="str"/>
      <x:c r="L10" s="0" t="str">
        <x:v>DraftKings</x:v>
      </x:c>
      <x:c r="M10" s="0" t="str">
        <x:v>INDEPENDENT</x:v>
      </x:c>
      <x:c r="N10" s="0" t="str">
        <x:v>PARTIALLY_VERIFIED</x:v>
      </x:c>
      <x:c r="O10" s="0" t="str">
        <x:v>Sports betting handoff update</x:v>
      </x:c>
      <x:c r="P10" s="0" t="str">
        <x:v>The independent audit treated this as one fixed sportsbook proposition, not three independent selections. The user explicitly confirmed it as placed.</x:v>
      </x:c>
      <x:c r="Q10" s="0" t="str">
        <x:v>The user said “Placed both” immediately after the exact Sheppard and McAfee instructions.</x:v>
      </x:c>
    </x:row>
    <x:row r="11" ht="42" customHeight="1">
      <x:c r="A11" s="0" t="str">
        <x:v>2026-09-12</x:v>
      </x:c>
      <x:c r="B11" s="0" t="str">
        <x:v>Football</x:v>
      </x:c>
      <x:c r="C11" s="0" t="str">
        <x:v>NCAAF</x:v>
      </x:c>
      <x:c r="D11" s="0" t="str">
        <x:v>McAfee Tailgate Overs</x:v>
      </x:c>
      <x:c r="E11" s="0" t="str">
        <x:v>PLACED_USER_CONFIRMED</x:v>
      </x:c>
      <x:c r="F11" s="0" t="str">
        <x:v>Arizona State at Texas A&amp;M</x:v>
      </x:c>
      <x:c r="G11" s="0" t="str">
        <x:v>Arizona State Sun Devils at Texas A&amp;M Aggies</x:v>
      </x:c>
      <x:c r="H11" s="0" t="str">
        <x:v>Game total</x:v>
      </x:c>
      <x:c r="I11" s="0" t="str">
        <x:v>45.5</x:v>
      </x:c>
      <x:c r="J11" s="0" t="str">
        <x:v>Over</x:v>
      </x:c>
      <x:c r="K11" s="0" t="str"/>
      <x:c r="L11" s="0" t="str">
        <x:v>DraftKings</x:v>
      </x:c>
      <x:c r="M11" s="0" t="str">
        <x:v>INDEPENDENT</x:v>
      </x:c>
      <x:c r="N11" s="0" t="str">
        <x:v>PARTIALLY_VERIFIED</x:v>
      </x:c>
      <x:c r="O11" s="0" t="str">
        <x:v>Sports betting handoff update</x:v>
      </x:c>
      <x:c r="P11" s="0" t="str">
        <x:v>The independent audit treated this as one fixed sportsbook proposition, not three independent selections. The user explicitly confirmed it as placed.</x:v>
      </x:c>
      <x:c r="Q11" s="0" t="str">
        <x:v>The user said “Placed both” immediately after the exact Sheppard and McAfee instructions.</x:v>
      </x:c>
    </x:row>
    <x:row r="12" ht="42" customHeight="1">
      <x:c r="A12" s="0" t="str">
        <x:v>2026-09-12</x:v>
      </x:c>
      <x:c r="B12" s="0" t="str">
        <x:v>Football</x:v>
      </x:c>
      <x:c r="C12" s="0" t="str">
        <x:v>La Liga</x:v>
      </x:c>
      <x:c r="D12" s="0" t="str">
        <x:v>Athletic Bilbao first-half moneyline</x:v>
      </x:c>
      <x:c r="E12" s="0" t="str">
        <x:v>PLACED_USER_CONFIRMED</x:v>
      </x:c>
      <x:c r="F12" s="0" t="str">
        <x:v>Athletic Bilbao</x:v>
      </x:c>
      <x:c r="G12" s="0" t="str">
        <x:v>Elche at Athletic Club</x:v>
      </x:c>
      <x:c r="H12" s="0" t="str">
        <x:v>First-half moneyline</x:v>
      </x:c>
      <x:c r="I12" s="0" t="str">
        <x:v>Moneyline</x:v>
      </x:c>
      <x:c r="J12" s="0" t="str">
        <x:v>Athletic Bilbao</x:v>
      </x:c>
      <x:c r="K12" s="0" t="str">
        <x:v>-125</x:v>
      </x:c>
      <x:c r="L12" s="0" t="str">
        <x:v>DraftKings</x:v>
      </x:c>
      <x:c r="M12" s="0" t="str">
        <x:v>INDEPENDENT</x:v>
      </x:c>
      <x:c r="N12" s="0" t="str">
        <x:v>VERIFIED</x:v>
      </x:c>
      <x:c r="O12" s="0" t="str">
        <x:v>Sports betting handoff update</x:v>
      </x:c>
      <x:c r="P12" s="0" t="str">
        <x:v>The independent lineup and early-game review preferred Athletic’s first-half moneyline to expensive team totals and player-shot ladders. The user immediately confirmed placement.</x:v>
      </x:c>
      <x:c r="Q12" s="0" t="str">
        <x:v>The user replied “Placed” immediately after the direct Athletic Bilbao instruction.</x:v>
      </x:c>
    </x:row>
    <x:row r="13" ht="42" customHeight="1">
      <x:c r="A13" s="0" t="str">
        <x:v>2026-09-12</x:v>
      </x:c>
      <x:c r="B13" s="0" t="str">
        <x:v>Football</x:v>
      </x:c>
      <x:c r="C13" s="0" t="str">
        <x:v>NCAAF</x:v>
      </x:c>
      <x:c r="D13" s="0" t="str">
        <x:v>Oregon Ducks first-half team total over 21.5</x:v>
      </x:c>
      <x:c r="E13" s="0" t="str">
        <x:v>PLACED_USER_CONFIRMED</x:v>
      </x:c>
      <x:c r="F13" s="0" t="str">
        <x:v>Oregon Ducks</x:v>
      </x:c>
      <x:c r="G13" s="0" t="str">
        <x:v>Oregon Ducks at Oklahoma State Cowboys</x:v>
      </x:c>
      <x:c r="H13" s="0" t="str">
        <x:v>First-half team total</x:v>
      </x:c>
      <x:c r="I13" s="0" t="str">
        <x:v>21.5</x:v>
      </x:c>
      <x:c r="J13" s="0" t="str">
        <x:v>Over</x:v>
      </x:c>
      <x:c r="K13" s="0" t="str">
        <x:v>+100</x:v>
      </x:c>
      <x:c r="L13" s="0" t="str">
        <x:v>DraftKings</x:v>
      </x:c>
      <x:c r="M13" s="0" t="str">
        <x:v>BOTH</x:v>
      </x:c>
      <x:c r="N13" s="0" t="str">
        <x:v>VERIFIED</x:v>
      </x:c>
      <x:c r="O13" s="0" t="str">
        <x:v>Sports betting handoff update</x:v>
      </x:c>
      <x:c r="P13" s="0" t="str">
        <x:v>The source-blind morning scan identified the game for first-half/team-total comparison. A later price gate selected over 21.5 at +100, and the user confirmed placement.</x:v>
      </x:c>
      <x:c r="Q13" s="0" t="str">
        <x:v>The user said “Placed” immediately after the exact Oregon first-half team-total instruction, then asked about the separate live boost.</x:v>
      </x:c>
    </x:row>
    <x:row r="14" ht="42" customHeight="1">
      <x:c r="A14" s="0" t="str">
        <x:v>2026-09-12</x:v>
      </x:c>
      <x:c r="B14" s="0" t="str">
        <x:v>Baseball</x:v>
      </x:c>
      <x:c r="C14" s="0" t="str">
        <x:v>MLB</x:v>
      </x:c>
      <x:c r="D14" s="0" t="str">
        <x:v>Zac Thornton over 4.5 hits allowed</x:v>
      </x:c>
      <x:c r="E14" s="0" t="str">
        <x:v>PLACED_USER_CONFIRMED</x:v>
      </x:c>
      <x:c r="F14" s="0" t="str">
        <x:v>Zac Thornton</x:v>
      </x:c>
      <x:c r="G14" s="0" t="str">
        <x:v>New York Mets at New York Yankees</x:v>
      </x:c>
      <x:c r="H14" s="0" t="str">
        <x:v>Pitcher hits allowed</x:v>
      </x:c>
      <x:c r="I14" s="0" t="str">
        <x:v>4.5</x:v>
      </x:c>
      <x:c r="J14" s="0" t="str">
        <x:v>Over</x:v>
      </x:c>
      <x:c r="K14" s="0" t="str">
        <x:v>-158</x:v>
      </x:c>
      <x:c r="L14" s="0" t="str">
        <x:v>DraftKings</x:v>
      </x:c>
      <x:c r="M14" s="0" t="str">
        <x:v>BOTH</x:v>
      </x:c>
      <x:c r="N14" s="0" t="str">
        <x:v>PARTIALLY_VERIFIED</x:v>
      </x:c>
      <x:c r="O14" s="0" t="str">
        <x:v>Sports betting handoff update</x:v>
      </x:c>
      <x:c r="P14" s="0" t="str">
        <x:v>The frozen system decision was Thornton over 5.5 hits at a plus price. The user’s DraftKings execution used the lower 4.5 threshold at -158; system decision and user execution remain separate.</x:v>
      </x:c>
      <x:c r="Q14" s="0" t="str">
        <x:v>The user supplied the placed DraftKings ticket and the chat explicitly reconciled the actual 4.5 threshold and -158 price.</x:v>
      </x:c>
    </x:row>
    <x:row r="15" ht="42" customHeight="1">
      <x:c r="A15" s="0" t="str">
        <x:v>2026-09-12</x:v>
      </x:c>
      <x:c r="B15" s="0" t="str">
        <x:v>Football</x:v>
      </x:c>
      <x:c r="C15" s="0" t="str">
        <x:v>NCAAF</x:v>
      </x:c>
      <x:c r="D15" s="0" t="str">
        <x:v>Michigan live spread -4.5</x:v>
      </x:c>
      <x:c r="E15" s="0" t="str">
        <x:v>PLACED_USER_CONFIRMED</x:v>
      </x:c>
      <x:c r="F15" s="0" t="str">
        <x:v>Michigan</x:v>
      </x:c>
      <x:c r="G15" s="0" t="str">
        <x:v>Oklahoma Sooners at Michigan Wolverines</x:v>
      </x:c>
      <x:c r="H15" s="0" t="str">
        <x:v>Live spread</x:v>
      </x:c>
      <x:c r="I15" s="0" t="str">
        <x:v>-4.5</x:v>
      </x:c>
      <x:c r="J15" s="0" t="str">
        <x:v>Michigan</x:v>
      </x:c>
      <x:c r="K15" s="0" t="str">
        <x:v>-114 before boost</x:v>
      </x:c>
      <x:c r="L15" s="0" t="str">
        <x:v>DraftKings</x:v>
      </x:c>
      <x:c r="M15" s="0" t="str">
        <x:v>INDEPENDENT</x:v>
      </x:c>
      <x:c r="N15" s="0" t="str">
        <x:v>PARTIALLY_VERIFIED</x:v>
      </x:c>
      <x:c r="O15" s="0" t="str">
        <x:v>Sports betting handoff update</x:v>
      </x:c>
      <x:c r="P15" s="0" t="str">
        <x:v>The live state was requalified independently before execution. The user confirmed Michigan -4.5 at -114 with the 50% live CFB boost; the exact final boosted display price was not captured.</x:v>
      </x:c>
      <x:c r="Q15" s="0" t="str">
        <x:v>The user replied “Ok placed” immediately after the exact live Michigan placement instruction.</x:v>
      </x:c>
    </x:row>
    <x:row r="16" ht="42" customHeight="1">
      <x:c r="A16" s="0" t="str">
        <x:v>2026-09-12</x:v>
      </x:c>
      <x:c r="B16" s="0" t="str">
        <x:v>Baseball</x:v>
      </x:c>
      <x:c r="C16" s="0" t="str">
        <x:v>MLB</x:v>
      </x:c>
      <x:c r="D16" s="0" t="str">
        <x:v>Kyle Bradish over 2.5 walks allowed</x:v>
      </x:c>
      <x:c r="E16" s="0" t="str">
        <x:v>PLACED_USER_CONFIRMED</x:v>
      </x:c>
      <x:c r="F16" s="0" t="str">
        <x:v>Kyle Bradish</x:v>
      </x:c>
      <x:c r="G16" s="0" t="str">
        <x:v>Baltimore Orioles at Toronto Blue Jays</x:v>
      </x:c>
      <x:c r="H16" s="0" t="str">
        <x:v>Pitcher walks allowed</x:v>
      </x:c>
      <x:c r="I16" s="0" t="str">
        <x:v>2.5</x:v>
      </x:c>
      <x:c r="J16" s="0" t="str">
        <x:v>Over</x:v>
      </x:c>
      <x:c r="K16" s="0" t="str">
        <x:v>+145</x:v>
      </x:c>
      <x:c r="L16" s="0" t="str">
        <x:v>DraftKings</x:v>
      </x:c>
      <x:c r="M16" s="0" t="str">
        <x:v>BOTH</x:v>
      </x:c>
      <x:c r="N16" s="0" t="str">
        <x:v>PARTIALLY_VERIFIED</x:v>
      </x:c>
      <x:c r="O16" s="0" t="str">
        <x:v>Sports betting handoff update</x:v>
      </x:c>
      <x:c r="P16" s="0" t="str">
        <x:v>A live-before-first-pitch requalification selected the higher 2.5-walk threshold at plus money over the hits market. The user confirmed this and Ureña as placed.</x:v>
      </x:c>
      <x:c r="Q16" s="0" t="str">
        <x:v>The user said “Okay both placed” after the exact Bradish and Ureña instructions.</x:v>
      </x:c>
    </x:row>
    <x:row r="17" ht="42" customHeight="1">
      <x:c r="A17" s="0" t="str">
        <x:v>2026-09-12</x:v>
      </x:c>
      <x:c r="B17" s="0" t="str">
        <x:v>Baseball</x:v>
      </x:c>
      <x:c r="C17" s="0" t="str">
        <x:v>MLB</x:v>
      </x:c>
      <x:c r="D17" s="0" t="str">
        <x:v>Walbert Ureña over 16.5 pitching outs</x:v>
      </x:c>
      <x:c r="E17" s="0" t="str">
        <x:v>PLACED_USER_CONFIRMED</x:v>
      </x:c>
      <x:c r="F17" s="0" t="str">
        <x:v>Walbert Ureña</x:v>
      </x:c>
      <x:c r="G17" s="0" t="str">
        <x:v>Los Angeles Angels at Washington Nationals</x:v>
      </x:c>
      <x:c r="H17" s="0" t="str">
        <x:v>Pitching outs</x:v>
      </x:c>
      <x:c r="I17" s="0" t="str">
        <x:v>16.5</x:v>
      </x:c>
      <x:c r="J17" s="0" t="str">
        <x:v>Over</x:v>
      </x:c>
      <x:c r="K17" s="0" t="str">
        <x:v>-115</x:v>
      </x:c>
      <x:c r="L17" s="0" t="str">
        <x:v>DraftKings</x:v>
      </x:c>
      <x:c r="M17" s="0" t="str">
        <x:v>BOTH</x:v>
      </x:c>
      <x:c r="N17" s="0" t="str">
        <x:v>PARTIALLY_VERIFIED</x:v>
      </x:c>
      <x:c r="O17" s="0" t="str">
        <x:v>Sports betting handoff update</x:v>
      </x:c>
      <x:c r="P17" s="0" t="str">
        <x:v>The independent workload audit preferred the improved 16.5-outs threshold over the earlier 17.5 line and alternate strikeout markets. The user confirmed this and Bradish as placed.</x:v>
      </x:c>
      <x:c r="Q17" s="0" t="str">
        <x:v>The user said “Okay both placed” after the exact Bradish and Ureña instructions.</x:v>
      </x:c>
    </x:row>
    <x:row r="18" ht="42" customHeight="1">
      <x:c r="A18" s="0" t="str">
        <x:v>2026-09-12</x:v>
      </x:c>
      <x:c r="B18" s="0" t="str">
        <x:v>Football</x:v>
      </x:c>
      <x:c r="C18" s="0" t="str">
        <x:v>NCAAF</x:v>
      </x:c>
      <x:c r="D18" s="0" t="str">
        <x:v>Arizona +7.5 / Kentucky +10.5 / UConn +12.5 parlay</x:v>
      </x:c>
      <x:c r="E18" s="0" t="str">
        <x:v>PLACED_USER_CONFIRMED</x:v>
      </x:c>
      <x:c r="F18" s="0" t="str">
        <x:v>Arizona</x:v>
      </x:c>
      <x:c r="G18" s="0" t="str">
        <x:v>Arizona Wildcats at BYU Cougars</x:v>
      </x:c>
      <x:c r="H18" s="0" t="str">
        <x:v>Game spread</x:v>
      </x:c>
      <x:c r="I18" s="0" t="str">
        <x:v>+7.5</x:v>
      </x:c>
      <x:c r="J18" s="0" t="str">
        <x:v>Arizona</x:v>
      </x:c>
      <x:c r="K18" s="0" t="str"/>
      <x:c r="L18" s="0" t="str">
        <x:v>DraftKings</x:v>
      </x:c>
      <x:c r="M18" s="0" t="str">
        <x:v>INDEPENDENT</x:v>
      </x:c>
      <x:c r="N18" s="0" t="str">
        <x:v>PARTIALLY_VERIFIED</x:v>
      </x:c>
      <x:c r="O18" s="0" t="str">
        <x:v>Sports betting handoff update</x:v>
      </x:c>
      <x:c r="P18" s="0" t="str">
        <x:v>The 3:30 CFB audit qualified each spread before packaging. The user confirmed the exact three-leg, $1, 50%-boosted construction after a final confidence check.</x:v>
      </x:c>
      <x:c r="Q18" s="0" t="str">
        <x:v>The user replied “Okay done” immediately after the exact three-leg boosted parlay instruction.</x:v>
      </x:c>
    </x:row>
    <x:row r="19" ht="42" customHeight="1">
      <x:c r="A19" s="0" t="str">
        <x:v>2026-09-12</x:v>
      </x:c>
      <x:c r="B19" s="0" t="str">
        <x:v>Football</x:v>
      </x:c>
      <x:c r="C19" s="0" t="str">
        <x:v>NCAAF</x:v>
      </x:c>
      <x:c r="D19" s="0" t="str">
        <x:v>Arizona +7.5 / Kentucky +10.5 / UConn +12.5 parlay</x:v>
      </x:c>
      <x:c r="E19" s="0" t="str">
        <x:v>PLACED_USER_CONFIRMED</x:v>
      </x:c>
      <x:c r="F19" s="0" t="str">
        <x:v>Kentucky</x:v>
      </x:c>
      <x:c r="G19" s="0" t="str">
        <x:v>Alabama Crimson Tide at Kentucky Wildcats</x:v>
      </x:c>
      <x:c r="H19" s="0" t="str">
        <x:v>Game spread</x:v>
      </x:c>
      <x:c r="I19" s="0" t="str">
        <x:v>+10.5</x:v>
      </x:c>
      <x:c r="J19" s="0" t="str">
        <x:v>Kentucky</x:v>
      </x:c>
      <x:c r="K19" s="0" t="str"/>
      <x:c r="L19" s="0" t="str">
        <x:v>DraftKings</x:v>
      </x:c>
      <x:c r="M19" s="0" t="str">
        <x:v>INDEPENDENT</x:v>
      </x:c>
      <x:c r="N19" s="0" t="str">
        <x:v>PARTIALLY_VERIFIED</x:v>
      </x:c>
      <x:c r="O19" s="0" t="str">
        <x:v>Sports betting handoff update</x:v>
      </x:c>
      <x:c r="P19" s="0" t="str">
        <x:v>The 3:30 CFB audit qualified each spread before packaging. The user confirmed the exact three-leg, $1, 50%-boosted construction after a final confidence check.</x:v>
      </x:c>
      <x:c r="Q19" s="0" t="str">
        <x:v>The user replied “Okay done” immediately after the exact three-leg boosted parlay instruction.</x:v>
      </x:c>
    </x:row>
    <x:row r="20" ht="42" customHeight="1">
      <x:c r="A20" s="0" t="str">
        <x:v>2026-09-12</x:v>
      </x:c>
      <x:c r="B20" s="0" t="str">
        <x:v>Football</x:v>
      </x:c>
      <x:c r="C20" s="0" t="str">
        <x:v>NCAAF</x:v>
      </x:c>
      <x:c r="D20" s="0" t="str">
        <x:v>Arizona +7.5 / Kentucky +10.5 / UConn +12.5 parlay</x:v>
      </x:c>
      <x:c r="E20" s="0" t="str">
        <x:v>PLACED_USER_CONFIRMED</x:v>
      </x:c>
      <x:c r="F20" s="0" t="str">
        <x:v>UConn</x:v>
      </x:c>
      <x:c r="G20" s="0" t="str">
        <x:v>Maryland Terrapins at UConn Huskies</x:v>
      </x:c>
      <x:c r="H20" s="0" t="str">
        <x:v>Game spread</x:v>
      </x:c>
      <x:c r="I20" s="0" t="str">
        <x:v>+12.5</x:v>
      </x:c>
      <x:c r="J20" s="0" t="str">
        <x:v>UConn</x:v>
      </x:c>
      <x:c r="K20" s="0" t="str"/>
      <x:c r="L20" s="0" t="str">
        <x:v>DraftKings</x:v>
      </x:c>
      <x:c r="M20" s="0" t="str">
        <x:v>INDEPENDENT</x:v>
      </x:c>
      <x:c r="N20" s="0" t="str">
        <x:v>PARTIALLY_VERIFIED</x:v>
      </x:c>
      <x:c r="O20" s="0" t="str">
        <x:v>Sports betting handoff update</x:v>
      </x:c>
      <x:c r="P20" s="0" t="str">
        <x:v>The 3:30 CFB audit qualified each spread before packaging. The user confirmed the exact three-leg, $1, 50%-boosted construction after a final confidence check.</x:v>
      </x:c>
      <x:c r="Q20" s="0" t="str">
        <x:v>The user replied “Okay done” immediately after the exact three-leg boosted parlay instruction.</x:v>
      </x:c>
    </x:row>
    <x:row r="21" ht="42" customHeight="1">
      <x:c r="A21" s="0" t="str">
        <x:v>2026-09-12</x:v>
      </x:c>
      <x:c r="B21" s="0" t="str">
        <x:v>Football</x:v>
      </x:c>
      <x:c r="C21" s="0" t="str">
        <x:v>NCAAF</x:v>
      </x:c>
      <x:c r="D21" s="0" t="str">
        <x:v>Keelon Russell 50+ rushing yards</x:v>
      </x:c>
      <x:c r="E21" s="0" t="str">
        <x:v>PLACED_USER_CONFIRMED</x:v>
      </x:c>
      <x:c r="F21" s="0" t="str">
        <x:v>Keelon Russell</x:v>
      </x:c>
      <x:c r="G21" s="0" t="str">
        <x:v>Alabama Crimson Tide at Kentucky Wildcats</x:v>
      </x:c>
      <x:c r="H21" s="0" t="str">
        <x:v>Rushing yards</x:v>
      </x:c>
      <x:c r="I21" s="0" t="str">
        <x:v>50+</x:v>
      </x:c>
      <x:c r="J21" s="0" t="str">
        <x:v>Over</x:v>
      </x:c>
      <x:c r="K21" s="0" t="str">
        <x:v>-107</x:v>
      </x:c>
      <x:c r="L21" s="0" t="str">
        <x:v>DraftKings</x:v>
      </x:c>
      <x:c r="M21" s="0" t="str">
        <x:v>INDEPENDENT</x:v>
      </x:c>
      <x:c r="N21" s="0" t="str">
        <x:v>PARTIALLY_VERIFIED</x:v>
      </x:c>
      <x:c r="O21" s="0" t="str">
        <x:v>Sports betting handoff update</x:v>
      </x:c>
      <x:c r="P21" s="0" t="str">
        <x:v>The player-board audit preferred a lower 50+ threshold at a better price than the previously evaluated 53+ line. The user immediately confirmed placement.</x:v>
      </x:c>
      <x:c r="Q21" s="0" t="str">
        <x:v>The user replied “Placed.” immediately after the exact Russell 50+ rushing-yards instruction.</x:v>
      </x:c>
    </x:row>
    <x:row r="22" ht="42" customHeight="1">
      <x:c r="A22" s="0" t="str">
        <x:v>2026-09-12</x:v>
      </x:c>
      <x:c r="B22" s="0" t="str">
        <x:v>Football</x:v>
      </x:c>
      <x:c r="C22" s="0" t="str">
        <x:v>NCAAF</x:v>
      </x:c>
      <x:c r="D22" s="0" t="str">
        <x:v>Ryan Wingo 60+ receiving yards</x:v>
      </x:c>
      <x:c r="E22" s="0" t="str">
        <x:v>PLACED_USER_CONFIRMED</x:v>
      </x:c>
      <x:c r="F22" s="0" t="str">
        <x:v>Ryan Wingo</x:v>
      </x:c>
      <x:c r="G22" s="0" t="str">
        <x:v>Ohio State Buckeyes at Texas Longhorns</x:v>
      </x:c>
      <x:c r="H22" s="0" t="str">
        <x:v>Receiving yards</x:v>
      </x:c>
      <x:c r="I22" s="0" t="str">
        <x:v>60+</x:v>
      </x:c>
      <x:c r="J22" s="0" t="str">
        <x:v>Over</x:v>
      </x:c>
      <x:c r="K22" s="0" t="str">
        <x:v>+120 before boost</x:v>
      </x:c>
      <x:c r="L22" s="0" t="str">
        <x:v>DraftKings</x:v>
      </x:c>
      <x:c r="M22" s="0" t="str">
        <x:v>INDEPENDENT</x:v>
      </x:c>
      <x:c r="N22" s="0" t="str">
        <x:v>PARTIALLY_VERIFIED</x:v>
      </x:c>
      <x:c r="O22" s="0" t="str">
        <x:v>Sports betting handoff update</x:v>
      </x:c>
      <x:c r="P22" s="0" t="str">
        <x:v>The independent evening audit preferred Wingo's 60+ receiving-yards threshold over the supplied Jeremiah Smith markets. The displayed +120 price qualified before the dedicated boost.</x:v>
      </x:c>
      <x:c r="Q22" s="0" t="str">
        <x:v>The user said “Placed it” immediately after the exact Wingo 60+ receiving-yards instruction.</x:v>
      </x:c>
    </x:row>
  </x:sheetData>
  <x:mergeCells>
    <x:mergeCell ref="A2:Q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58A6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0" hidden="0" customWidth="1"/>
    <x:col min="4" max="4" width="30" hidden="0" customWidth="1"/>
    <x:col min="5" max="5" width="18" hidden="0" customWidth="1"/>
    <x:col min="6" max="6" width="22" hidden="0" customWidth="1"/>
    <x:col min="7" max="7" width="24" hidden="0" customWidth="1"/>
    <x:col min="8" max="8" width="20" hidden="0" customWidth="1"/>
    <x:col min="9" max="9" width="42" hidden="0" customWidth="1"/>
    <x:col min="10" max="10" width="24" hidden="0" customWidth="1"/>
    <x:col min="11" max="11" width="14" hidden="0" customWidth="1"/>
    <x:col min="12" max="12" width="48" hidden="0" customWidth="1"/>
  </x:cols>
  <x:sheetData>
    <x:row r="1" ht="28" customHeight="1">
      <x:c r="A1" s="416" t="str">
        <x:v>Morning Slate Scan</x:v>
      </x:c>
    </x:row>
    <x:row r="2" ht="32" customHeight="1">
      <x:c r="A2" s="426" t="str">
        <x:v>Prospective lineups and independent candidates. Projections are never confirmed lineups; missing evidence remains blank.</x:v>
      </x:c>
    </x:row>
    <x:row r="4" ht="30" customHeight="1">
      <x:c r="A4" s="421" t="str">
        <x:v>Date</x:v>
      </x:c>
      <x:c r="B4" s="421" t="str">
        <x:v>Sport</x:v>
      </x:c>
      <x:c r="C4" s="421" t="str">
        <x:v>League</x:v>
      </x:c>
      <x:c r="D4" s="421" t="str">
        <x:v>Event</x:v>
      </x:c>
      <x:c r="E4" s="421" t="str">
        <x:v>Start</x:v>
      </x:c>
      <x:c r="F4" s="421" t="str">
        <x:v>Projection status</x:v>
      </x:c>
      <x:c r="G4" s="421" t="str">
        <x:v>Projected participant</x:v>
      </x:c>
      <x:c r="H4" s="421" t="str">
        <x:v>Role / lineup slot</x:v>
      </x:c>
      <x:c r="I4" s="421" t="str">
        <x:v>Projection basis</x:v>
      </x:c>
      <x:c r="J4" s="421" t="str">
        <x:v>Candidate market</x:v>
      </x:c>
      <x:c r="K4" s="421" t="str">
        <x:v>Origin</x:v>
      </x:c>
      <x:c r="L4" s="421" t="str">
        <x:v>Source URL</x:v>
      </x:c>
    </x:row>
    <x:row r="5" ht="38" customHeight="1">
      <x:c r="A5" s="425" t="str">
        <x:v>2026-09-12</x:v>
      </x:c>
      <x:c r="B5" s="425" t="str">
        <x:v>Baseball</x:v>
      </x:c>
      <x:c r="C5" s="425" t="str">
        <x:v>MLB</x:v>
      </x:c>
      <x:c r="D5" s="425" t="str">
        <x:v>Colorado Rockies at Detroit Tigers</x:v>
      </x:c>
      <x:c r="E5" s="425" t="str">
        <x:v>2026-09-12T17:10:00Z</x:v>
      </x:c>
      <x:c r="F5" s="425" t="str">
        <x:v>PROSPECTIVE</x:v>
      </x:c>
      <x:c r="G5" s="425" t="str">
        <x:v>Tanner Gordon</x:v>
      </x:c>
      <x:c r="H5" s="425" t="str">
        <x:v>Probable away starting pitcher</x:v>
      </x:c>
      <x:c r="I5" s="425" t="str">
        <x:v>Official MLB probable starter and 2026 season line: 9 GS, 93.3 IP, 5.40 ERA, 1.43 WHIP, 7.33 K/9, 1.64 BB/9, 11.19 H/9 and 1.64 HR/9.</x:v>
      </x:c>
      <x:c r="J5" s="425" t="str"/>
      <x:c r="K5" s="425" t="str"/>
      <x:c r="L5" s="425" t="str">
        <x:v>https://www.mlb.com/gameday/824224</x:v>
      </x:c>
    </x:row>
    <x:row r="6" ht="38" customHeight="1">
      <x:c r="A6" s="425" t="str">
        <x:v>2026-09-12</x:v>
      </x:c>
      <x:c r="B6" s="425" t="str">
        <x:v>Baseball</x:v>
      </x:c>
      <x:c r="C6" s="425" t="str">
        <x:v>MLB</x:v>
      </x:c>
      <x:c r="D6" s="425" t="str">
        <x:v>Colorado Rockies at Detroit Tigers</x:v>
      </x:c>
      <x:c r="E6" s="425" t="str">
        <x:v>2026-09-12T17:10:00Z</x:v>
      </x:c>
      <x:c r="F6" s="425" t="str">
        <x:v>PROSPECTIVE</x:v>
      </x:c>
      <x:c r="G6" s="425" t="str">
        <x:v>Andrew Sears</x:v>
      </x:c>
      <x:c r="H6" s="425" t="str">
        <x:v>Probable home starting pitcher</x:v>
      </x:c>
      <x:c r="I6" s="425" t="str">
        <x:v>Official MLB probable starter and 2026 season line: 1 GS, 12.3 IP, 4.38 ERA, 1.22 WHIP, 5.84 K/9, 2.19 BB/9, 8.76 H/9 and 0.73 HR/9.</x:v>
      </x:c>
      <x:c r="J6" s="425" t="str"/>
      <x:c r="K6" s="425" t="str"/>
      <x:c r="L6" s="425" t="str">
        <x:v>https://www.mlb.com/gameday/824224</x:v>
      </x:c>
    </x:row>
    <x:row r="7" ht="38" customHeight="1">
      <x:c r="A7" s="425" t="str">
        <x:v>2026-09-12</x:v>
      </x:c>
      <x:c r="B7" s="425" t="str">
        <x:v>Baseball</x:v>
      </x:c>
      <x:c r="C7" s="425" t="str">
        <x:v>MLB</x:v>
      </x:c>
      <x:c r="D7" s="425" t="str">
        <x:v>New York Mets at New York Yankees</x:v>
      </x:c>
      <x:c r="E7" s="425" t="str">
        <x:v>2026-09-12T17:35:00Z</x:v>
      </x:c>
      <x:c r="F7" s="425" t="str">
        <x:v>PROSPECTIVE</x:v>
      </x:c>
      <x:c r="G7" s="425" t="str">
        <x:v>Zac Thornton</x:v>
      </x:c>
      <x:c r="H7" s="425" t="str">
        <x:v>Probable away starting pitcher</x:v>
      </x:c>
      <x:c r="I7" s="425" t="str">
        <x:v>Official MLB probable starter and 2026 season line: 12 GS, 66.3 IP, 3.53 ERA, 1.19 WHIP, 6.92 K/9, 2.04 BB/9, 8.68 H/9 and 1.49 HR/9.</x:v>
      </x:c>
      <x:c r="J7" s="425" t="str"/>
      <x:c r="K7" s="425" t="str"/>
      <x:c r="L7" s="425" t="str">
        <x:v>https://www.mlb.com/gameday/823496</x:v>
      </x:c>
    </x:row>
    <x:row r="8" ht="38" customHeight="1">
      <x:c r="A8" s="425" t="str">
        <x:v>2026-09-12</x:v>
      </x:c>
      <x:c r="B8" s="425" t="str">
        <x:v>Baseball</x:v>
      </x:c>
      <x:c r="C8" s="425" t="str">
        <x:v>MLB</x:v>
      </x:c>
      <x:c r="D8" s="425" t="str">
        <x:v>New York Mets at New York Yankees</x:v>
      </x:c>
      <x:c r="E8" s="425" t="str">
        <x:v>2026-09-12T17:35:00Z</x:v>
      </x:c>
      <x:c r="F8" s="425" t="str">
        <x:v>PROSPECTIVE</x:v>
      </x:c>
      <x:c r="G8" s="425" t="str">
        <x:v>Gerrit Cole</x:v>
      </x:c>
      <x:c r="H8" s="425" t="str">
        <x:v>Probable home starting pitcher</x:v>
      </x:c>
      <x:c r="I8" s="425" t="str">
        <x:v>Official MLB probable starter and 2026 season line: 19 GS, 111.0 IP, 3.41 ERA, 1.09 WHIP, 9.16 K/9, 1.78 BB/9, 8.03 H/9 and 1.38 HR/9.</x:v>
      </x:c>
      <x:c r="J8" s="425" t="str"/>
      <x:c r="K8" s="425" t="str"/>
      <x:c r="L8" s="425" t="str">
        <x:v>https://www.mlb.com/gameday/823496</x:v>
      </x:c>
    </x:row>
    <x:row r="9" ht="38" customHeight="1">
      <x:c r="A9" s="425" t="str">
        <x:v>2026-09-12</x:v>
      </x:c>
      <x:c r="B9" s="425" t="str">
        <x:v>Baseball</x:v>
      </x:c>
      <x:c r="C9" s="425" t="str">
        <x:v>MLB</x:v>
      </x:c>
      <x:c r="D9" s="425" t="str">
        <x:v>Pittsburgh Pirates at Chicago Cubs</x:v>
      </x:c>
      <x:c r="E9" s="425" t="str">
        <x:v>2026-09-12T18:20:00Z</x:v>
      </x:c>
      <x:c r="F9" s="425" t="str">
        <x:v>PROSPECTIVE</x:v>
      </x:c>
      <x:c r="G9" s="425" t="str">
        <x:v>Paul Skenes</x:v>
      </x:c>
      <x:c r="H9" s="425" t="str">
        <x:v>Probable away starting pitcher</x:v>
      </x:c>
      <x:c r="I9" s="425" t="str">
        <x:v>Official MLB probable starter and 2026 season line: 29 GS, 155.0 IP, 3.83 ERA, 1.15 WHIP, 10.51 K/9, 2.61 BB/9, 7.72 H/9 and 0.87 HR/9.</x:v>
      </x:c>
      <x:c r="J9" s="425" t="str"/>
      <x:c r="K9" s="425" t="str"/>
      <x:c r="L9" s="425" t="str">
        <x:v>https://www.mlb.com/gameday/824630</x:v>
      </x:c>
    </x:row>
    <x:row r="10" ht="38" customHeight="1">
      <x:c r="A10" s="425" t="str">
        <x:v>2026-09-12</x:v>
      </x:c>
      <x:c r="B10" s="425" t="str">
        <x:v>Baseball</x:v>
      </x:c>
      <x:c r="C10" s="425" t="str">
        <x:v>MLB</x:v>
      </x:c>
      <x:c r="D10" s="425" t="str">
        <x:v>Pittsburgh Pirates at Chicago Cubs</x:v>
      </x:c>
      <x:c r="E10" s="425" t="str">
        <x:v>2026-09-12T18:20:00Z</x:v>
      </x:c>
      <x:c r="F10" s="425" t="str">
        <x:v>PROSPECTIVE</x:v>
      </x:c>
      <x:c r="G10" s="425" t="str">
        <x:v>Clay Holmes</x:v>
      </x:c>
      <x:c r="H10" s="425" t="str">
        <x:v>Probable home starting pitcher</x:v>
      </x:c>
      <x:c r="I10" s="425" t="str">
        <x:v>Official MLB probable starter and 2026 season line: 15 GS, 86.0 IP, 2.83 ERA, 1.12 WHIP, 6.80 K/9, 3.14 BB/9, 6.91 H/9 and 0.52 HR/9.</x:v>
      </x:c>
      <x:c r="J10" s="425" t="str"/>
      <x:c r="K10" s="425" t="str"/>
      <x:c r="L10" s="425" t="str">
        <x:v>https://www.mlb.com/gameday/824630</x:v>
      </x:c>
    </x:row>
    <x:row r="11" ht="38" customHeight="1">
      <x:c r="A11" s="425" t="str">
        <x:v>2026-09-12</x:v>
      </x:c>
      <x:c r="B11" s="425" t="str">
        <x:v>Baseball</x:v>
      </x:c>
      <x:c r="C11" s="425" t="str">
        <x:v>MLB</x:v>
      </x:c>
      <x:c r="D11" s="425" t="str">
        <x:v>Baltimore Orioles at Toronto Blue Jays</x:v>
      </x:c>
      <x:c r="E11" s="425" t="str">
        <x:v>2026-09-12T19:07:00Z</x:v>
      </x:c>
      <x:c r="F11" s="425" t="str">
        <x:v>PROSPECTIVE</x:v>
      </x:c>
      <x:c r="G11" s="425" t="str">
        <x:v>Kyle Bradish</x:v>
      </x:c>
      <x:c r="H11" s="425" t="str">
        <x:v>Probable away starting pitcher</x:v>
      </x:c>
      <x:c r="I11" s="425" t="str">
        <x:v>Official MLB probable starter and 2026 season line: 28 GS, 152.0 IP, 3.91 ERA, 1.42 WHIP, 8.29 K/9, 4.03 BB/9, 8.76 H/9 and 1.07 HR/9.</x:v>
      </x:c>
      <x:c r="J11" s="425" t="str"/>
      <x:c r="K11" s="425" t="str"/>
      <x:c r="L11" s="425" t="str">
        <x:v>https://www.mlb.com/gameday/822768</x:v>
      </x:c>
    </x:row>
    <x:row r="12" ht="38" customHeight="1">
      <x:c r="A12" s="425" t="str">
        <x:v>2026-09-12</x:v>
      </x:c>
      <x:c r="B12" s="425" t="str">
        <x:v>Baseball</x:v>
      </x:c>
      <x:c r="C12" s="425" t="str">
        <x:v>MLB</x:v>
      </x:c>
      <x:c r="D12" s="425" t="str">
        <x:v>Baltimore Orioles at Toronto Blue Jays</x:v>
      </x:c>
      <x:c r="E12" s="425" t="str">
        <x:v>2026-09-12T19:07:00Z</x:v>
      </x:c>
      <x:c r="F12" s="425" t="str">
        <x:v>PROSPECTIVE</x:v>
      </x:c>
      <x:c r="G12" s="425" t="str">
        <x:v>Spencer Miles</x:v>
      </x:c>
      <x:c r="H12" s="425" t="str">
        <x:v>Probable home starting pitcher</x:v>
      </x:c>
      <x:c r="I12" s="425" t="str">
        <x:v>Official MLB probable starter and 2026 season line: 6 GS, 87.7 IP, 2.77 ERA, 1.05 WHIP, 8.32 K/9, 2.16 BB/9, 7.29 H/9 and 0.51 HR/9.</x:v>
      </x:c>
      <x:c r="J12" s="425" t="str"/>
      <x:c r="K12" s="425" t="str"/>
      <x:c r="L12" s="425" t="str">
        <x:v>https://www.mlb.com/gameday/822768</x:v>
      </x:c>
    </x:row>
    <x:row r="13" ht="38" customHeight="1">
      <x:c r="A13" s="425" t="str">
        <x:v>2026-09-12</x:v>
      </x:c>
      <x:c r="B13" s="425" t="str">
        <x:v>Baseball</x:v>
      </x:c>
      <x:c r="C13" s="425" t="str">
        <x:v>MLB</x:v>
      </x:c>
      <x:c r="D13" s="425" t="str">
        <x:v>Los Angeles Angels at Washington Nationals</x:v>
      </x:c>
      <x:c r="E13" s="425" t="str">
        <x:v>2026-09-12T20:05:00Z</x:v>
      </x:c>
      <x:c r="F13" s="425" t="str">
        <x:v>PROSPECTIVE</x:v>
      </x:c>
      <x:c r="G13" s="425" t="str">
        <x:v>Walbert Ureña</x:v>
      </x:c>
      <x:c r="H13" s="425" t="str">
        <x:v>Probable away starting pitcher</x:v>
      </x:c>
      <x:c r="I13" s="425" t="str">
        <x:v>Official MLB probable starter and 2026 season line: 24 GS, 131.3 IP, 2.74 ERA, 1.21 WHIP, 8.50 K/9, 4.45 BB/9, 6.44 H/9 and 0.62 HR/9.</x:v>
      </x:c>
      <x:c r="J13" s="425" t="str"/>
      <x:c r="K13" s="425" t="str"/>
      <x:c r="L13" s="425" t="str">
        <x:v>https://www.mlb.com/gameday/822685</x:v>
      </x:c>
    </x:row>
    <x:row r="14" ht="38" customHeight="1">
      <x:c r="A14" s="425" t="str">
        <x:v>2026-09-12</x:v>
      </x:c>
      <x:c r="B14" s="425" t="str">
        <x:v>Baseball</x:v>
      </x:c>
      <x:c r="C14" s="425" t="str">
        <x:v>MLB</x:v>
      </x:c>
      <x:c r="D14" s="425" t="str">
        <x:v>Los Angeles Angels at Washington Nationals</x:v>
      </x:c>
      <x:c r="E14" s="425" t="str">
        <x:v>2026-09-12T20:05:00Z</x:v>
      </x:c>
      <x:c r="F14" s="425" t="str">
        <x:v>PROSPECTIVE</x:v>
      </x:c>
      <x:c r="G14" s="425" t="str">
        <x:v>Andrew Alvarez</x:v>
      </x:c>
      <x:c r="H14" s="425" t="str">
        <x:v>Probable home starting pitcher</x:v>
      </x:c>
      <x:c r="I14" s="425" t="str">
        <x:v>Official MLB probable starter and 2026 season line: 14 GS, 95.0 IP, 3.60 ERA, 1.32 WHIP, 8.62 K/9, 4.07 BB/9, 7.77 H/9 and 0.47 HR/9.</x:v>
      </x:c>
      <x:c r="J14" s="425" t="str"/>
      <x:c r="K14" s="425" t="str"/>
      <x:c r="L14" s="425" t="str">
        <x:v>https://www.mlb.com/gameday/822685</x:v>
      </x:c>
    </x:row>
    <x:row r="15" ht="38" customHeight="1">
      <x:c r="A15" s="425" t="str">
        <x:v>2026-09-12</x:v>
      </x:c>
      <x:c r="B15" s="425" t="str">
        <x:v>Baseball</x:v>
      </x:c>
      <x:c r="C15" s="425" t="str">
        <x:v>MLB</x:v>
      </x:c>
      <x:c r="D15" s="425" t="str">
        <x:v>San Diego Padres at San Francisco Giants</x:v>
      </x:c>
      <x:c r="E15" s="425" t="str">
        <x:v>2026-09-12T20:05:00Z</x:v>
      </x:c>
      <x:c r="F15" s="425" t="str">
        <x:v>PROSPECTIVE</x:v>
      </x:c>
      <x:c r="G15" s="425" t="str">
        <x:v>Michael King</x:v>
      </x:c>
      <x:c r="H15" s="425" t="str">
        <x:v>Probable away starting pitcher</x:v>
      </x:c>
      <x:c r="I15" s="425" t="str">
        <x:v>Official MLB probable starter and 2026 season line: 29 GS, 168.0 IP, 3.00 ERA, 1.17 WHIP, 7.71 K/9, 3.54 BB/9, 6.96 H/9 and 0.96 HR/9.</x:v>
      </x:c>
      <x:c r="J15" s="425" t="str"/>
      <x:c r="K15" s="425" t="str"/>
      <x:c r="L15" s="425" t="str">
        <x:v>https://www.mlb.com/gameday/823170</x:v>
      </x:c>
    </x:row>
    <x:row r="16" ht="38" customHeight="1">
      <x:c r="A16" s="425" t="str">
        <x:v>2026-09-12</x:v>
      </x:c>
      <x:c r="B16" s="425" t="str">
        <x:v>Baseball</x:v>
      </x:c>
      <x:c r="C16" s="425" t="str">
        <x:v>MLB</x:v>
      </x:c>
      <x:c r="D16" s="425" t="str">
        <x:v>San Diego Padres at San Francisco Giants</x:v>
      </x:c>
      <x:c r="E16" s="425" t="str">
        <x:v>2026-09-12T20:05:00Z</x:v>
      </x:c>
      <x:c r="F16" s="425" t="str">
        <x:v>PROSPECTIVE</x:v>
      </x:c>
      <x:c r="G16" s="425" t="str">
        <x:v>Cesar Perdomo</x:v>
      </x:c>
      <x:c r="H16" s="425" t="str">
        <x:v>Probable home starting pitcher</x:v>
      </x:c>
      <x:c r="I16" s="425" t="str">
        <x:v>Official MLB probable starter and 2026 season line: 1 GS, 10.0 IP, 0.90 ERA, 0.80 WHIP, 7.20 K/9, 1.80 BB/9, 5.40 H/9 and 0.90 HR/9.</x:v>
      </x:c>
      <x:c r="J16" s="425" t="str"/>
      <x:c r="K16" s="425" t="str"/>
      <x:c r="L16" s="425" t="str">
        <x:v>https://www.mlb.com/gameday/823170</x:v>
      </x:c>
    </x:row>
    <x:row r="17" ht="38" customHeight="1">
      <x:c r="A17" s="425" t="str">
        <x:v>2026-09-12</x:v>
      </x:c>
      <x:c r="B17" s="425" t="str">
        <x:v>Baseball</x:v>
      </x:c>
      <x:c r="C17" s="425" t="str">
        <x:v>MLB</x:v>
      </x:c>
      <x:c r="D17" s="425" t="str">
        <x:v>Kansas City Royals at Boston Red Sox</x:v>
      </x:c>
      <x:c r="E17" s="425" t="str">
        <x:v>2026-09-12T20:10:00Z</x:v>
      </x:c>
      <x:c r="F17" s="425" t="str">
        <x:v>PROSPECTIVE</x:v>
      </x:c>
      <x:c r="G17" s="425" t="str">
        <x:v>Randy Dobnak</x:v>
      </x:c>
      <x:c r="H17" s="425" t="str">
        <x:v>Probable away starting pitcher</x:v>
      </x:c>
      <x:c r="I17" s="425" t="str">
        <x:v>Official MLB probable starter and 2026 season line: 10 GS, 63.7 IP, 2.54 ERA, 1.32 WHIP, 6.08 K/9, 3.25 BB/9, 8.62 H/9 and 0.85 HR/9.</x:v>
      </x:c>
      <x:c r="J17" s="425" t="str"/>
      <x:c r="K17" s="425" t="str"/>
      <x:c r="L17" s="425" t="str">
        <x:v>https://www.mlb.com/gameday/824712</x:v>
      </x:c>
    </x:row>
    <x:row r="18" ht="38" customHeight="1">
      <x:c r="A18" s="425" t="str">
        <x:v>2026-09-12</x:v>
      </x:c>
      <x:c r="B18" s="425" t="str">
        <x:v>Baseball</x:v>
      </x:c>
      <x:c r="C18" s="425" t="str">
        <x:v>MLB</x:v>
      </x:c>
      <x:c r="D18" s="425" t="str">
        <x:v>Kansas City Royals at Boston Red Sox</x:v>
      </x:c>
      <x:c r="E18" s="425" t="str">
        <x:v>2026-09-12T20:10:00Z</x:v>
      </x:c>
      <x:c r="F18" s="425" t="str">
        <x:v>PROSPECTIVE</x:v>
      </x:c>
      <x:c r="G18" s="425" t="str">
        <x:v>Ranger Suarez</x:v>
      </x:c>
      <x:c r="H18" s="425" t="str">
        <x:v>Probable home starting pitcher</x:v>
      </x:c>
      <x:c r="I18" s="425" t="str">
        <x:v>Official MLB probable starter and 2026 season line: 25 GS, 130.7 IP, 3.44 ERA, 1.22 WHIP, 8.40 K/9, 2.76 BB/9, 8.20 H/9 and 0.55 HR/9.</x:v>
      </x:c>
      <x:c r="J18" s="425" t="str"/>
      <x:c r="K18" s="425" t="str"/>
      <x:c r="L18" s="425" t="str">
        <x:v>https://www.mlb.com/gameday/824712</x:v>
      </x:c>
    </x:row>
    <x:row r="19" ht="38" customHeight="1">
      <x:c r="A19" s="425" t="str">
        <x:v>2026-09-12</x:v>
      </x:c>
      <x:c r="B19" s="425" t="str">
        <x:v>Baseball</x:v>
      </x:c>
      <x:c r="C19" s="425" t="str">
        <x:v>MLB</x:v>
      </x:c>
      <x:c r="D19" s="425" t="str">
        <x:v>Cleveland Guardians at Minnesota Twins</x:v>
      </x:c>
      <x:c r="E19" s="425" t="str">
        <x:v>2026-09-12T20:10:00Z</x:v>
      </x:c>
      <x:c r="F19" s="425" t="str">
        <x:v>PROSPECTIVE</x:v>
      </x:c>
      <x:c r="G19" s="425" t="str">
        <x:v>Daniel Espino</x:v>
      </x:c>
      <x:c r="H19" s="425" t="str">
        <x:v>Probable away starting pitcher</x:v>
      </x:c>
      <x:c r="I19" s="425" t="str">
        <x:v>Official MLB probable starter and 2026 season line: 0 GS, 10.0 IP, 2.70 ERA, 1.30 WHIP, 16.20 K/9, 3.60 BB/9, 8.10 H/9 and 0.90 HR/9.</x:v>
      </x:c>
      <x:c r="J19" s="425" t="str"/>
      <x:c r="K19" s="425" t="str"/>
      <x:c r="L19" s="425" t="str">
        <x:v>https://www.mlb.com/gameday/823657</x:v>
      </x:c>
    </x:row>
    <x:row r="20" ht="38" customHeight="1">
      <x:c r="A20" s="425" t="str">
        <x:v>2026-09-12</x:v>
      </x:c>
      <x:c r="B20" s="425" t="str">
        <x:v>Baseball</x:v>
      </x:c>
      <x:c r="C20" s="425" t="str">
        <x:v>MLB</x:v>
      </x:c>
      <x:c r="D20" s="425" t="str">
        <x:v>Cleveland Guardians at Minnesota Twins</x:v>
      </x:c>
      <x:c r="E20" s="425" t="str">
        <x:v>2026-09-12T20:10:00Z</x:v>
      </x:c>
      <x:c r="F20" s="425" t="str">
        <x:v>PROSPECTIVE</x:v>
      </x:c>
      <x:c r="G20" s="425" t="str">
        <x:v>Connor Prielipp</x:v>
      </x:c>
      <x:c r="H20" s="425" t="str">
        <x:v>Probable home starting pitcher</x:v>
      </x:c>
      <x:c r="I20" s="425" t="str">
        <x:v>Official MLB probable starter and 2026 season line: 19 GS, 108.0 IP, 5.25 ERA, 1.36 WHIP, 9.67 K/9, 3.33 BB/9, 8.92 H/9 and 1.17 HR/9.</x:v>
      </x:c>
      <x:c r="J20" s="425" t="str"/>
      <x:c r="K20" s="425" t="str"/>
      <x:c r="L20" s="425" t="str">
        <x:v>https://www.mlb.com/gameday/823657</x:v>
      </x:c>
    </x:row>
    <x:row r="21" ht="38" customHeight="1">
      <x:c r="A21" s="425" t="str">
        <x:v>2026-09-12</x:v>
      </x:c>
      <x:c r="B21" s="425" t="str">
        <x:v>Baseball</x:v>
      </x:c>
      <x:c r="C21" s="425" t="str">
        <x:v>MLB</x:v>
      </x:c>
      <x:c r="D21" s="425" t="str">
        <x:v>Los Angeles Dodgers at Miami Marlins</x:v>
      </x:c>
      <x:c r="E21" s="425" t="str">
        <x:v>2026-09-12T20:10:00Z</x:v>
      </x:c>
      <x:c r="F21" s="425" t="str">
        <x:v>PROSPECTIVE</x:v>
      </x:c>
      <x:c r="G21" s="425" t="str">
        <x:v>Tyler Glasnow</x:v>
      </x:c>
      <x:c r="H21" s="425" t="str">
        <x:v>Probable away starting pitcher</x:v>
      </x:c>
      <x:c r="I21" s="425" t="str">
        <x:v>Official MLB probable starter and 2026 season line: 10 GS, 57.7 IP, 3.12 ERA, 0.88 WHIP, 10.92 K/9, 2.65 BB/9, 5.31 H/9 and 0.78 HR/9.</x:v>
      </x:c>
      <x:c r="J21" s="425" t="str"/>
      <x:c r="K21" s="425" t="str"/>
      <x:c r="L21" s="425" t="str">
        <x:v>https://www.mlb.com/gameday/823819</x:v>
      </x:c>
    </x:row>
    <x:row r="22" ht="38" customHeight="1">
      <x:c r="A22" s="425" t="str">
        <x:v>2026-09-12</x:v>
      </x:c>
      <x:c r="B22" s="425" t="str">
        <x:v>Baseball</x:v>
      </x:c>
      <x:c r="C22" s="425" t="str">
        <x:v>MLB</x:v>
      </x:c>
      <x:c r="D22" s="425" t="str">
        <x:v>Los Angeles Dodgers at Miami Marlins</x:v>
      </x:c>
      <x:c r="E22" s="425" t="str">
        <x:v>2026-09-12T20:10:00Z</x:v>
      </x:c>
      <x:c r="F22" s="425" t="str">
        <x:v>PROSPECTIVE</x:v>
      </x:c>
      <x:c r="G22" s="425" t="str">
        <x:v>Tyler Phillips</x:v>
      </x:c>
      <x:c r="H22" s="425" t="str">
        <x:v>Probable home starting pitcher</x:v>
      </x:c>
      <x:c r="I22" s="425" t="str">
        <x:v>Official MLB probable starter and 2026 season line: 17 GS, 115.3 IP, 3.51 ERA, 1.33 WHIP, 7.26 K/9, 3.75 BB/9, 8.19 H/9 and 1.17 HR/9.</x:v>
      </x:c>
      <x:c r="J22" s="425" t="str"/>
      <x:c r="K22" s="425" t="str"/>
      <x:c r="L22" s="425" t="str">
        <x:v>https://www.mlb.com/gameday/823819</x:v>
      </x:c>
    </x:row>
    <x:row r="23" ht="38" customHeight="1">
      <x:c r="A23" s="425" t="str">
        <x:v>2026-09-12</x:v>
      </x:c>
      <x:c r="B23" s="425" t="str">
        <x:v>Baseball</x:v>
      </x:c>
      <x:c r="C23" s="425" t="str">
        <x:v>MLB</x:v>
      </x:c>
      <x:c r="D23" s="425" t="str">
        <x:v>Houston Astros at Tampa Bay Rays</x:v>
      </x:c>
      <x:c r="E23" s="425" t="str">
        <x:v>2026-09-12T22:10:00Z</x:v>
      </x:c>
      <x:c r="F23" s="425" t="str">
        <x:v>PROSPECTIVE</x:v>
      </x:c>
      <x:c r="G23" s="425" t="str">
        <x:v>Peter Lambert</x:v>
      </x:c>
      <x:c r="H23" s="425" t="str">
        <x:v>Probable away starting pitcher</x:v>
      </x:c>
      <x:c r="I23" s="425" t="str">
        <x:v>Official MLB probable starter and 2026 season line: 25 GS, 139.7 IP, 3.67 ERA, 1.23 WHIP, 8.83 K/9, 3.61 BB/9, 7.47 H/9 and 0.90 HR/9.</x:v>
      </x:c>
      <x:c r="J23" s="425" t="str"/>
      <x:c r="K23" s="425" t="str"/>
      <x:c r="L23" s="425" t="str">
        <x:v>https://www.mlb.com/gameday/822927</x:v>
      </x:c>
    </x:row>
    <x:row r="24" ht="38" customHeight="1">
      <x:c r="A24" s="425" t="str">
        <x:v>2026-09-12</x:v>
      </x:c>
      <x:c r="B24" s="425" t="str">
        <x:v>Baseball</x:v>
      </x:c>
      <x:c r="C24" s="425" t="str">
        <x:v>MLB</x:v>
      </x:c>
      <x:c r="D24" s="425" t="str">
        <x:v>Houston Astros at Tampa Bay Rays</x:v>
      </x:c>
      <x:c r="E24" s="425" t="str">
        <x:v>2026-09-12T22:10:00Z</x:v>
      </x:c>
      <x:c r="F24" s="425" t="str">
        <x:v>PROSPECTIVE</x:v>
      </x:c>
      <x:c r="G24" s="425" t="str">
        <x:v>Ian Seymour</x:v>
      </x:c>
      <x:c r="H24" s="425" t="str">
        <x:v>Probable home starting pitcher</x:v>
      </x:c>
      <x:c r="I24" s="425" t="str">
        <x:v>Official MLB probable starter and 2026 season line: 13 GS, 116.3 IP, 4.33 ERA, 1.16 WHIP, 10.83 K/9, 2.55 BB/9, 7.89 H/9 and 1.70 HR/9.</x:v>
      </x:c>
      <x:c r="J24" s="425" t="str"/>
      <x:c r="K24" s="425" t="str"/>
      <x:c r="L24" s="425" t="str">
        <x:v>https://www.mlb.com/gameday/822927</x:v>
      </x:c>
    </x:row>
    <x:row r="25" ht="38" customHeight="1">
      <x:c r="A25" s="425" t="str">
        <x:v>2026-09-12</x:v>
      </x:c>
      <x:c r="B25" s="425" t="str">
        <x:v>Baseball</x:v>
      </x:c>
      <x:c r="C25" s="425" t="str">
        <x:v>MLB</x:v>
      </x:c>
      <x:c r="D25" s="425" t="str">
        <x:v>Cincinnati Reds at Milwaukee Brewers</x:v>
      </x:c>
      <x:c r="E25" s="425" t="str">
        <x:v>2026-09-12T23:10:00Z</x:v>
      </x:c>
      <x:c r="F25" s="425" t="str">
        <x:v>PROSPECTIVE</x:v>
      </x:c>
      <x:c r="G25" s="425" t="str">
        <x:v>Brady Singer</x:v>
      </x:c>
      <x:c r="H25" s="425" t="str">
        <x:v>Probable away starting pitcher</x:v>
      </x:c>
      <x:c r="I25" s="425" t="str">
        <x:v>Official MLB probable starter and 2026 season line: 28 GS, 146.7 IP, 5.03 ERA, 1.47 WHIP, 7.36 K/9, 3.13 BB/9, 10.06 H/9 and 1.66 HR/9.</x:v>
      </x:c>
      <x:c r="J25" s="425" t="str"/>
      <x:c r="K25" s="425" t="str"/>
      <x:c r="L25" s="425" t="str">
        <x:v>https://www.mlb.com/gameday/823737</x:v>
      </x:c>
    </x:row>
    <x:row r="26" ht="38" customHeight="1">
      <x:c r="A26" s="425" t="str">
        <x:v>2026-09-12</x:v>
      </x:c>
      <x:c r="B26" s="425" t="str">
        <x:v>Baseball</x:v>
      </x:c>
      <x:c r="C26" s="425" t="str">
        <x:v>MLB</x:v>
      </x:c>
      <x:c r="D26" s="425" t="str">
        <x:v>Philadelphia Phillies at Atlanta Braves</x:v>
      </x:c>
      <x:c r="E26" s="425" t="str">
        <x:v>2026-09-12T23:15:00Z</x:v>
      </x:c>
      <x:c r="F26" s="425" t="str">
        <x:v>PROSPECTIVE</x:v>
      </x:c>
      <x:c r="G26" s="425" t="str">
        <x:v>Tyler Mahle</x:v>
      </x:c>
      <x:c r="H26" s="425" t="str">
        <x:v>Probable home starting pitcher</x:v>
      </x:c>
      <x:c r="I26" s="425" t="str">
        <x:v>Official MLB probable starter and 2026 season line: 24 GS, 131.0 IP, 4.05 ERA, 1.27 WHIP, 8.52 K/9, 2.95 BB/9, 8.45 H/9 and 1.17 HR/9.</x:v>
      </x:c>
      <x:c r="J26" s="425" t="str"/>
      <x:c r="K26" s="425" t="str"/>
      <x:c r="L26" s="425" t="str">
        <x:v>https://www.mlb.com/gameday/824870</x:v>
      </x:c>
    </x:row>
    <x:row r="27" ht="38" customHeight="1">
      <x:c r="A27" s="425" t="str">
        <x:v>2026-09-12</x:v>
      </x:c>
      <x:c r="B27" s="425" t="str">
        <x:v>Baseball</x:v>
      </x:c>
      <x:c r="C27" s="425" t="str">
        <x:v>MLB</x:v>
      </x:c>
      <x:c r="D27" s="425" t="str">
        <x:v>Chicago White Sox at St. Louis Cardinals</x:v>
      </x:c>
      <x:c r="E27" s="425" t="str">
        <x:v>2026-09-12T23:15:00Z</x:v>
      </x:c>
      <x:c r="F27" s="425" t="str">
        <x:v>PROSPECTIVE</x:v>
      </x:c>
      <x:c r="G27" s="425" t="str">
        <x:v>Sean Newcomb</x:v>
      </x:c>
      <x:c r="H27" s="425" t="str">
        <x:v>Probable away starting pitcher</x:v>
      </x:c>
      <x:c r="I27" s="425" t="str">
        <x:v>Official MLB probable starter and 2026 season line: 4 GS, 83.0 IP, 2.71 ERA, 1.13 WHIP, 8.02 K/9, 3.14 BB/9, 7.05 H/9 and 0.22 HR/9.</x:v>
      </x:c>
      <x:c r="J27" s="425" t="str"/>
      <x:c r="K27" s="425" t="str"/>
      <x:c r="L27" s="425" t="str">
        <x:v>https://www.mlb.com/gameday/823009</x:v>
      </x:c>
    </x:row>
    <x:row r="28" ht="38" customHeight="1">
      <x:c r="A28" s="425" t="str">
        <x:v>2026-09-12</x:v>
      </x:c>
      <x:c r="B28" s="425" t="str">
        <x:v>Baseball</x:v>
      </x:c>
      <x:c r="C28" s="425" t="str">
        <x:v>MLB</x:v>
      </x:c>
      <x:c r="D28" s="425" t="str">
        <x:v>Chicago White Sox at St. Louis Cardinals</x:v>
      </x:c>
      <x:c r="E28" s="425" t="str">
        <x:v>2026-09-12T23:15:00Z</x:v>
      </x:c>
      <x:c r="F28" s="425" t="str">
        <x:v>PROSPECTIVE</x:v>
      </x:c>
      <x:c r="G28" s="425" t="str">
        <x:v>Kyle Leahy</x:v>
      </x:c>
      <x:c r="H28" s="425" t="str">
        <x:v>Probable home starting pitcher</x:v>
      </x:c>
      <x:c r="I28" s="425" t="str">
        <x:v>Official MLB probable starter and 2026 season line: 27 GS, 132.0 IP, 3.41 ERA, 1.33 WHIP, 8.45 K/9, 2.59 BB/9, 9.34 H/9 and 0.95 HR/9.</x:v>
      </x:c>
      <x:c r="J28" s="425" t="str"/>
      <x:c r="K28" s="425" t="str"/>
      <x:c r="L28" s="425" t="str">
        <x:v>https://www.mlb.com/gameday/823009</x:v>
      </x:c>
    </x:row>
    <x:row r="29" ht="38" customHeight="1">
      <x:c r="A29" s="425" t="str">
        <x:v>2026-09-12</x:v>
      </x:c>
      <x:c r="B29" s="425" t="str">
        <x:v>Baseball</x:v>
      </x:c>
      <x:c r="C29" s="425" t="str">
        <x:v>MLB</x:v>
      </x:c>
      <x:c r="D29" s="425" t="str">
        <x:v>Texas Rangers at Arizona Diamondbacks</x:v>
      </x:c>
      <x:c r="E29" s="425" t="str">
        <x:v>2026-09-13T00:10:00Z</x:v>
      </x:c>
      <x:c r="F29" s="425" t="str">
        <x:v>PROSPECTIVE</x:v>
      </x:c>
      <x:c r="G29" s="425" t="str">
        <x:v>Kumar Rocker</x:v>
      </x:c>
      <x:c r="H29" s="425" t="str">
        <x:v>Probable away starting pitcher</x:v>
      </x:c>
      <x:c r="I29" s="425" t="str">
        <x:v>Official MLB probable starter and 2026 season line: 24 GS, 134.7 IP, 4.61 ERA, 1.44 WHIP, 8.49 K/9, 3.68 BB/9, 9.29 H/9 and 1.34 HR/9.</x:v>
      </x:c>
      <x:c r="J29" s="425" t="str"/>
      <x:c r="K29" s="425" t="str"/>
      <x:c r="L29" s="425" t="str">
        <x:v>https://www.mlb.com/gameday/825035</x:v>
      </x:c>
    </x:row>
    <x:row r="30" ht="38" customHeight="1">
      <x:c r="A30" s="425" t="str">
        <x:v>2026-09-12</x:v>
      </x:c>
      <x:c r="B30" s="425" t="str">
        <x:v>Baseball</x:v>
      </x:c>
      <x:c r="C30" s="425" t="str">
        <x:v>MLB</x:v>
      </x:c>
      <x:c r="D30" s="425" t="str">
        <x:v>Texas Rangers at Arizona Diamondbacks</x:v>
      </x:c>
      <x:c r="E30" s="425" t="str">
        <x:v>2026-09-13T00:10:00Z</x:v>
      </x:c>
      <x:c r="F30" s="425" t="str">
        <x:v>PROSPECTIVE</x:v>
      </x:c>
      <x:c r="G30" s="425" t="str">
        <x:v>Brandon Pfaadt</x:v>
      </x:c>
      <x:c r="H30" s="425" t="str">
        <x:v>Probable home starting pitcher</x:v>
      </x:c>
      <x:c r="I30" s="425" t="str">
        <x:v>Official MLB probable starter and 2026 season line: 16 GS, 117.3 IP, 3.53 ERA, 1.15 WHIP, 5.91 K/9, 2.22 BB/9, 8.13 H/9 and 1.00 HR/9.</x:v>
      </x:c>
      <x:c r="J30" s="425" t="str"/>
      <x:c r="K30" s="425" t="str"/>
      <x:c r="L30" s="425" t="str">
        <x:v>https://www.mlb.com/gameday/825035</x:v>
      </x:c>
    </x:row>
    <x:row r="31" ht="38" customHeight="1">
      <x:c r="A31" s="425" t="str">
        <x:v>2026-09-12</x:v>
      </x:c>
      <x:c r="B31" s="425" t="str">
        <x:v>Baseball</x:v>
      </x:c>
      <x:c r="C31" s="425" t="str">
        <x:v>MLB</x:v>
      </x:c>
      <x:c r="D31" s="425" t="str">
        <x:v>Seattle Mariners at Athletics</x:v>
      </x:c>
      <x:c r="E31" s="425" t="str">
        <x:v>2026-09-13T01:40:00Z</x:v>
      </x:c>
      <x:c r="F31" s="425" t="str">
        <x:v>PROSPECTIVE</x:v>
      </x:c>
      <x:c r="G31" s="425" t="str">
        <x:v>Bryan Woo</x:v>
      </x:c>
      <x:c r="H31" s="425" t="str">
        <x:v>Probable away starting pitcher</x:v>
      </x:c>
      <x:c r="I31" s="425" t="str">
        <x:v>Official MLB probable starter and 2026 season line: 27 GS, 156.3 IP, 4.03 ERA, 1.06 WHIP, 9.10 K/9, 1.90 BB/9, 7.60 H/9 and 1.04 HR/9.</x:v>
      </x:c>
      <x:c r="J31" s="425" t="str"/>
      <x:c r="K31" s="425" t="str"/>
      <x:c r="L31" s="425" t="str">
        <x:v>https://www.mlb.com/gameday/824955</x:v>
      </x:c>
    </x:row>
    <x:row r="32" ht="38" customHeight="1">
      <x:c r="A32" s="425" t="str">
        <x:v>2026-09-12</x:v>
      </x:c>
      <x:c r="B32" s="425" t="str">
        <x:v>Baseball</x:v>
      </x:c>
      <x:c r="C32" s="425" t="str">
        <x:v>MLB</x:v>
      </x:c>
      <x:c r="D32" s="425" t="str">
        <x:v>Seattle Mariners at Athletics</x:v>
      </x:c>
      <x:c r="E32" s="425" t="str">
        <x:v>2026-09-13T01:40:00Z</x:v>
      </x:c>
      <x:c r="F32" s="425" t="str">
        <x:v>PROSPECTIVE</x:v>
      </x:c>
      <x:c r="G32" s="425" t="str">
        <x:v>Gage Jump</x:v>
      </x:c>
      <x:c r="H32" s="425" t="str">
        <x:v>Probable home starting pitcher</x:v>
      </x:c>
      <x:c r="I32" s="425" t="str">
        <x:v>Official MLB probable starter and 2026 season line: 19 GS, 96.7 IP, 5.12 ERA, 1.49 WHIP, 9.87 K/9, 4.19 BB/9, 9.22 H/9 and 0.93 HR/9.</x:v>
      </x:c>
      <x:c r="J32" s="425" t="str"/>
      <x:c r="K32" s="425" t="str"/>
      <x:c r="L32" s="425" t="str">
        <x:v>https://www.mlb.com/gameday/824955</x:v>
      </x:c>
    </x:row>
    <x:row r="33" ht="38" customHeight="1">
      <x:c r="A33" s="425" t="str">
        <x:v>2026-09-12</x:v>
      </x:c>
      <x:c r="B33" s="425" t="str">
        <x:v>NCAAF</x:v>
      </x:c>
      <x:c r="C33" s="425" t="str">
        <x:v>CFB</x:v>
      </x:c>
      <x:c r="D33" s="425" t="str">
        <x:v>Howard Bison at Indiana Hoosiers</x:v>
      </x:c>
      <x:c r="E33" s="425" t="str">
        <x:v>2026-09-12T16:00Z</x:v>
      </x:c>
      <x:c r="F33" s="425" t="str">
        <x:v>PROSPECTIVE</x:v>
      </x:c>
      <x:c r="G33" s="425" t="str">
        <x:v>Indiana Hoosiers</x:v>
      </x:c>
      <x:c r="H33" s="425" t="str">
        <x:v>Scheduled team; player lineup and specialist roles unconfirmed</x:v>
      </x:c>
      <x:c r="I33" s="425" t="str">
        <x:v>Official ESPN schedule lists Indiana Hoosiers at 1-0. Current starters, depth-chart usage, injuries and specialist roles require later confirmation.</x:v>
      </x:c>
      <x:c r="J33" s="425" t="str"/>
      <x:c r="K33" s="425" t="str"/>
      <x:c r="L33" s="425" t="str">
        <x:v>https://www.espn.com/college-football/game/_/gameId/401858439/howard-indiana</x:v>
      </x:c>
    </x:row>
    <x:row r="34" ht="38" customHeight="1">
      <x:c r="A34" s="425" t="str">
        <x:v>2026-09-12</x:v>
      </x:c>
      <x:c r="B34" s="425" t="str">
        <x:v>NCAAF</x:v>
      </x:c>
      <x:c r="C34" s="425" t="str">
        <x:v>CFB</x:v>
      </x:c>
      <x:c r="D34" s="425" t="str">
        <x:v>Howard Bison at Indiana Hoosiers</x:v>
      </x:c>
      <x:c r="E34" s="425" t="str">
        <x:v>2026-09-12T16:00Z</x:v>
      </x:c>
      <x:c r="F34" s="425" t="str">
        <x:v>PROSPECTIVE</x:v>
      </x:c>
      <x:c r="G34" s="425" t="str">
        <x:v>Howard Bison</x:v>
      </x:c>
      <x:c r="H34" s="425" t="str">
        <x:v>Scheduled team; player lineup and specialist roles unconfirmed</x:v>
      </x:c>
      <x:c r="I34" s="425" t="str">
        <x:v>Official ESPN schedule lists Howard Bison at 1-1. Current starters, depth-chart usage, injuries and specialist roles require later confirmation.</x:v>
      </x:c>
      <x:c r="J34" s="425" t="str"/>
      <x:c r="K34" s="425" t="str"/>
      <x:c r="L34" s="425" t="str">
        <x:v>https://www.espn.com/college-football/game/_/gameId/401858439/howard-indiana</x:v>
      </x:c>
    </x:row>
    <x:row r="35" ht="38" customHeight="1">
      <x:c r="A35" s="425" t="str">
        <x:v>2026-09-12</x:v>
      </x:c>
      <x:c r="B35" s="425" t="str">
        <x:v>NCAAF</x:v>
      </x:c>
      <x:c r="C35" s="425" t="str">
        <x:v>CFB</x:v>
      </x:c>
      <x:c r="D35" s="425" t="str">
        <x:v>Oregon Ducks at Oklahoma State Cowboys</x:v>
      </x:c>
      <x:c r="E35" s="425" t="str">
        <x:v>2026-09-12T16:00Z</x:v>
      </x:c>
      <x:c r="F35" s="425" t="str">
        <x:v>PROSPECTIVE</x:v>
      </x:c>
      <x:c r="G35" s="425" t="str">
        <x:v>Oklahoma State Cowboys</x:v>
      </x:c>
      <x:c r="H35" s="425" t="str">
        <x:v>Scheduled team; player lineup and specialist roles unconfirmed</x:v>
      </x:c>
      <x:c r="I35" s="425" t="str">
        <x:v>Official ESPN schedule lists Oklahoma State Cowboys at 0-1. Current starters, depth-chart usage, injuries and specialist roles require later confirmation.</x:v>
      </x:c>
      <x:c r="J35" s="425" t="str"/>
      <x:c r="K35" s="425" t="str"/>
      <x:c r="L35" s="425" t="str">
        <x:v>https://www.espn.com/college-football/game/_/gameId/401856782/oregon-oklahoma-st</x:v>
      </x:c>
    </x:row>
    <x:row r="36" ht="38" customHeight="1">
      <x:c r="A36" s="425" t="str">
        <x:v>2026-09-12</x:v>
      </x:c>
      <x:c r="B36" s="425" t="str">
        <x:v>NCAAF</x:v>
      </x:c>
      <x:c r="C36" s="425" t="str">
        <x:v>CFB</x:v>
      </x:c>
      <x:c r="D36" s="425" t="str">
        <x:v>Oregon Ducks at Oklahoma State Cowboys</x:v>
      </x:c>
      <x:c r="E36" s="425" t="str">
        <x:v>2026-09-12T16:00Z</x:v>
      </x:c>
      <x:c r="F36" s="425" t="str">
        <x:v>PROSPECTIVE</x:v>
      </x:c>
      <x:c r="G36" s="425" t="str">
        <x:v>Oregon Ducks</x:v>
      </x:c>
      <x:c r="H36" s="425" t="str">
        <x:v>Scheduled team; player lineup and specialist roles unconfirmed</x:v>
      </x:c>
      <x:c r="I36" s="425" t="str">
        <x:v>Official ESPN schedule lists Oregon Ducks at 1-0. Current starters, depth-chart usage, injuries and specialist roles require later confirmation.</x:v>
      </x:c>
      <x:c r="J36" s="425" t="str"/>
      <x:c r="K36" s="425" t="str"/>
      <x:c r="L36" s="425" t="str">
        <x:v>https://www.espn.com/college-football/game/_/gameId/401856782/oregon-oklahoma-st</x:v>
      </x:c>
    </x:row>
    <x:row r="37" ht="38" customHeight="1">
      <x:c r="A37" s="425" t="str">
        <x:v>2026-09-12</x:v>
      </x:c>
      <x:c r="B37" s="425" t="str">
        <x:v>Football</x:v>
      </x:c>
      <x:c r="C37" s="425" t="str">
        <x:v>CFB</x:v>
      </x:c>
      <x:c r="D37" s="425" t="str">
        <x:v>Arizona State Sun Devils at Texas A&amp;M Aggies</x:v>
      </x:c>
      <x:c r="E37" s="425" t="str">
        <x:v>2026-09-12T16:00Z</x:v>
      </x:c>
      <x:c r="F37" s="425" t="str">
        <x:v>PROSPECTIVE</x:v>
      </x:c>
      <x:c r="G37" s="425" t="str">
        <x:v>Texas A&amp;M Aggies</x:v>
      </x:c>
      <x:c r="H37" s="425" t="str">
        <x:v>Scheduled team; player lineup and specialist roles unconfirmed</x:v>
      </x:c>
      <x:c r="I37" s="425" t="str">
        <x:v>Official ESPN schedule lists Texas A&amp;M Aggies at 1-0. Current starters, depth-chart usage, injuries and specialist roles require later confirmation.</x:v>
      </x:c>
      <x:c r="J37" s="425" t="str"/>
      <x:c r="K37" s="425" t="str"/>
      <x:c r="L37" s="425" t="str">
        <x:v>https://www.espn.com/college-football/game/_/gameId/401856683/arizona-st-texas-am</x:v>
      </x:c>
    </x:row>
    <x:row r="38" ht="38" customHeight="1">
      <x:c r="A38" s="425" t="str">
        <x:v>2026-09-12</x:v>
      </x:c>
      <x:c r="B38" s="425" t="str">
        <x:v>Football</x:v>
      </x:c>
      <x:c r="C38" s="425" t="str">
        <x:v>CFB</x:v>
      </x:c>
      <x:c r="D38" s="425" t="str">
        <x:v>Arizona State Sun Devils at Texas A&amp;M Aggies</x:v>
      </x:c>
      <x:c r="E38" s="425" t="str">
        <x:v>2026-09-12T16:00Z</x:v>
      </x:c>
      <x:c r="F38" s="425" t="str">
        <x:v>PROSPECTIVE</x:v>
      </x:c>
      <x:c r="G38" s="425" t="str">
        <x:v>Arizona State Sun Devils</x:v>
      </x:c>
      <x:c r="H38" s="425" t="str">
        <x:v>Scheduled team; player lineup and specialist roles unconfirmed</x:v>
      </x:c>
      <x:c r="I38" s="425" t="str">
        <x:v>Official ESPN schedule lists Arizona State Sun Devils at 1-0. Current starters, depth-chart usage, injuries and specialist roles require later confirmation.</x:v>
      </x:c>
      <x:c r="J38" s="425" t="str"/>
      <x:c r="K38" s="425" t="str"/>
      <x:c r="L38" s="425" t="str">
        <x:v>https://www.espn.com/college-football/game/_/gameId/401856683/arizona-st-texas-am</x:v>
      </x:c>
    </x:row>
    <x:row r="39" ht="38" customHeight="1">
      <x:c r="A39" s="425" t="str">
        <x:v>2026-09-12</x:v>
      </x:c>
      <x:c r="B39" s="425" t="str">
        <x:v>Football</x:v>
      </x:c>
      <x:c r="C39" s="425" t="str">
        <x:v>CFB</x:v>
      </x:c>
      <x:c r="D39" s="425" t="str">
        <x:v>Oklahoma Sooners at Michigan Wolverines</x:v>
      </x:c>
      <x:c r="E39" s="425" t="str">
        <x:v>2026-09-12T16:00Z</x:v>
      </x:c>
      <x:c r="F39" s="425" t="str">
        <x:v>PROSPECTIVE</x:v>
      </x:c>
      <x:c r="G39" s="425" t="str">
        <x:v>Michigan Wolverines</x:v>
      </x:c>
      <x:c r="H39" s="425" t="str">
        <x:v>Scheduled team; player lineup and specialist roles unconfirmed</x:v>
      </x:c>
      <x:c r="I39" s="425" t="str">
        <x:v>Official ESPN schedule lists Michigan Wolverines at 1-0. Current starters, depth-chart usage, injuries and specialist roles require later confirmation.</x:v>
      </x:c>
      <x:c r="J39" s="425" t="str"/>
      <x:c r="K39" s="425" t="str"/>
      <x:c r="L39" s="425" t="str">
        <x:v>https://www.espn.com/college-football/game/_/gameId/401856679/oklahoma-michigan</x:v>
      </x:c>
    </x:row>
    <x:row r="40" ht="38" customHeight="1">
      <x:c r="A40" s="425" t="str">
        <x:v>2026-09-12</x:v>
      </x:c>
      <x:c r="B40" s="425" t="str">
        <x:v>Football</x:v>
      </x:c>
      <x:c r="C40" s="425" t="str">
        <x:v>CFB</x:v>
      </x:c>
      <x:c r="D40" s="425" t="str">
        <x:v>Oklahoma Sooners at Michigan Wolverines</x:v>
      </x:c>
      <x:c r="E40" s="425" t="str">
        <x:v>2026-09-12T16:00Z</x:v>
      </x:c>
      <x:c r="F40" s="425" t="str">
        <x:v>PROSPECTIVE</x:v>
      </x:c>
      <x:c r="G40" s="425" t="str">
        <x:v>Oklahoma Sooners</x:v>
      </x:c>
      <x:c r="H40" s="425" t="str">
        <x:v>Scheduled team; player lineup and specialist roles unconfirmed</x:v>
      </x:c>
      <x:c r="I40" s="425" t="str">
        <x:v>Official ESPN schedule lists Oklahoma Sooners at 1-0. Current starters, depth-chart usage, injuries and specialist roles require later confirmation.</x:v>
      </x:c>
      <x:c r="J40" s="425" t="str"/>
      <x:c r="K40" s="425" t="str"/>
      <x:c r="L40" s="425" t="str">
        <x:v>https://www.espn.com/college-football/game/_/gameId/401856679/oklahoma-michigan</x:v>
      </x:c>
    </x:row>
    <x:row r="41" ht="38" customHeight="1">
      <x:c r="A41" s="425" t="str">
        <x:v>2026-09-12</x:v>
      </x:c>
      <x:c r="B41" s="425" t="str">
        <x:v>Football</x:v>
      </x:c>
      <x:c r="C41" s="425" t="str">
        <x:v>CFB</x:v>
      </x:c>
      <x:c r="D41" s="425" t="str">
        <x:v>Penn State Nittany Lions at Temple Owls</x:v>
      </x:c>
      <x:c r="E41" s="425" t="str">
        <x:v>2026-09-12T16:00Z</x:v>
      </x:c>
      <x:c r="F41" s="425" t="str">
        <x:v>PROSPECTIVE</x:v>
      </x:c>
      <x:c r="G41" s="425" t="str">
        <x:v>Temple Owls</x:v>
      </x:c>
      <x:c r="H41" s="425" t="str">
        <x:v>Scheduled team; player lineup and specialist roles unconfirmed</x:v>
      </x:c>
      <x:c r="I41" s="425" t="str">
        <x:v>Official ESPN schedule lists Temple Owls at 1-0. Current starters, depth-chart usage, injuries and specialist roles require later confirmation.</x:v>
      </x:c>
      <x:c r="J41" s="425" t="str"/>
      <x:c r="K41" s="425" t="str"/>
      <x:c r="L41" s="425" t="str">
        <x:v>https://www.espn.com/college-football/game/_/gameId/401858442/penn-state-temple</x:v>
      </x:c>
    </x:row>
    <x:row r="42" ht="38" customHeight="1">
      <x:c r="A42" s="425" t="str">
        <x:v>2026-09-12</x:v>
      </x:c>
      <x:c r="B42" s="425" t="str">
        <x:v>Football</x:v>
      </x:c>
      <x:c r="C42" s="425" t="str">
        <x:v>CFB</x:v>
      </x:c>
      <x:c r="D42" s="425" t="str">
        <x:v>Penn State Nittany Lions at Temple Owls</x:v>
      </x:c>
      <x:c r="E42" s="425" t="str">
        <x:v>2026-09-12T16:00Z</x:v>
      </x:c>
      <x:c r="F42" s="425" t="str">
        <x:v>PROSPECTIVE</x:v>
      </x:c>
      <x:c r="G42" s="425" t="str">
        <x:v>Penn State Nittany Lions</x:v>
      </x:c>
      <x:c r="H42" s="425" t="str">
        <x:v>Scheduled team; player lineup and specialist roles unconfirmed</x:v>
      </x:c>
      <x:c r="I42" s="425" t="str">
        <x:v>Official ESPN schedule lists Penn State Nittany Lions at 1-0. Current starters, depth-chart usage, injuries and specialist roles require later confirmation.</x:v>
      </x:c>
      <x:c r="J42" s="425" t="str"/>
      <x:c r="K42" s="425" t="str"/>
      <x:c r="L42" s="425" t="str">
        <x:v>https://www.espn.com/college-football/game/_/gameId/401858442/penn-state-temple</x:v>
      </x:c>
    </x:row>
    <x:row r="43" ht="38" customHeight="1">
      <x:c r="A43" s="425" t="str">
        <x:v>2026-09-12</x:v>
      </x:c>
      <x:c r="B43" s="425" t="str">
        <x:v>Football</x:v>
      </x:c>
      <x:c r="C43" s="425" t="str">
        <x:v>CFB</x:v>
      </x:c>
      <x:c r="D43" s="425" t="str">
        <x:v>Washington State Cougars at Kansas State Wildcats</x:v>
      </x:c>
      <x:c r="E43" s="425" t="str">
        <x:v>2026-09-12T16:00Z</x:v>
      </x:c>
      <x:c r="F43" s="425" t="str">
        <x:v>PROSPECTIVE</x:v>
      </x:c>
      <x:c r="G43" s="425" t="str">
        <x:v>Kansas State Wildcats</x:v>
      </x:c>
      <x:c r="H43" s="425" t="str">
        <x:v>Scheduled team; player lineup and specialist roles unconfirmed</x:v>
      </x:c>
      <x:c r="I43" s="425" t="str">
        <x:v>Official ESPN schedule lists Kansas State Wildcats at 1-0. Current starters, depth-chart usage, injuries and specialist roles require later confirmation.</x:v>
      </x:c>
      <x:c r="J43" s="425" t="str"/>
      <x:c r="K43" s="425" t="str"/>
      <x:c r="L43" s="425" t="str">
        <x:v>https://www.espn.com/college-football/game/_/gameId/401856781/washington-st-kansas-st</x:v>
      </x:c>
    </x:row>
    <x:row r="44" ht="38" customHeight="1">
      <x:c r="A44" s="425" t="str">
        <x:v>2026-09-12</x:v>
      </x:c>
      <x:c r="B44" s="425" t="str">
        <x:v>Football</x:v>
      </x:c>
      <x:c r="C44" s="425" t="str">
        <x:v>CFB</x:v>
      </x:c>
      <x:c r="D44" s="425" t="str">
        <x:v>Washington State Cougars at Kansas State Wildcats</x:v>
      </x:c>
      <x:c r="E44" s="425" t="str">
        <x:v>2026-09-12T16:00Z</x:v>
      </x:c>
      <x:c r="F44" s="425" t="str">
        <x:v>PROSPECTIVE</x:v>
      </x:c>
      <x:c r="G44" s="425" t="str">
        <x:v>Washington State Cougars</x:v>
      </x:c>
      <x:c r="H44" s="425" t="str">
        <x:v>Scheduled team; player lineup and specialist roles unconfirmed</x:v>
      </x:c>
      <x:c r="I44" s="425" t="str">
        <x:v>Official ESPN schedule lists Washington State Cougars at 0-1. Current starters, depth-chart usage, injuries and specialist roles require later confirmation.</x:v>
      </x:c>
      <x:c r="J44" s="425" t="str"/>
      <x:c r="K44" s="425" t="str"/>
      <x:c r="L44" s="425" t="str">
        <x:v>https://www.espn.com/college-football/game/_/gameId/401856781/washington-st-kansas-st</x:v>
      </x:c>
    </x:row>
    <x:row r="45" ht="38" customHeight="1">
      <x:c r="A45" s="425" t="str">
        <x:v>2026-09-12</x:v>
      </x:c>
      <x:c r="B45" s="425" t="str">
        <x:v>Football</x:v>
      </x:c>
      <x:c r="C45" s="425" t="str">
        <x:v>CFB</x:v>
      </x:c>
      <x:c r="D45" s="425" t="str">
        <x:v>East Tennessee State Buccaneers at North Carolina Tar Heels</x:v>
      </x:c>
      <x:c r="E45" s="425" t="str">
        <x:v>2026-09-12T16:00Z</x:v>
      </x:c>
      <x:c r="F45" s="425" t="str">
        <x:v>PROSPECTIVE</x:v>
      </x:c>
      <x:c r="G45" s="425" t="str">
        <x:v>North Carolina Tar Heels</x:v>
      </x:c>
      <x:c r="H45" s="425" t="str">
        <x:v>Scheduled team; player lineup and specialist roles unconfirmed</x:v>
      </x:c>
      <x:c r="I45" s="425" t="str">
        <x:v>Official ESPN schedule lists North Carolina Tar Heels at 1-0. Current starters, depth-chart usage, injuries and specialist roles require later confirmation.</x:v>
      </x:c>
      <x:c r="J45" s="425" t="str"/>
      <x:c r="K45" s="425" t="str"/>
      <x:c r="L45" s="425" t="str">
        <x:v>https://www.espn.com/college-football/game/_/gameId/401858218/etsu-north-carolina</x:v>
      </x:c>
    </x:row>
    <x:row r="46" ht="38" customHeight="1">
      <x:c r="A46" s="425" t="str">
        <x:v>2026-09-12</x:v>
      </x:c>
      <x:c r="B46" s="425" t="str">
        <x:v>Football</x:v>
      </x:c>
      <x:c r="C46" s="425" t="str">
        <x:v>CFB</x:v>
      </x:c>
      <x:c r="D46" s="425" t="str">
        <x:v>East Tennessee State Buccaneers at North Carolina Tar Heels</x:v>
      </x:c>
      <x:c r="E46" s="425" t="str">
        <x:v>2026-09-12T16:00Z</x:v>
      </x:c>
      <x:c r="F46" s="425" t="str">
        <x:v>PROSPECTIVE</x:v>
      </x:c>
      <x:c r="G46" s="425" t="str">
        <x:v>East Tennessee State Buccaneers</x:v>
      </x:c>
      <x:c r="H46" s="425" t="str">
        <x:v>Scheduled team; player lineup and specialist roles unconfirmed</x:v>
      </x:c>
      <x:c r="I46" s="425" t="str">
        <x:v>Official ESPN schedule lists East Tennessee State Buccaneers at 1-1. Current starters, depth-chart usage, injuries and specialist roles require later confirmation.</x:v>
      </x:c>
      <x:c r="J46" s="425" t="str"/>
      <x:c r="K46" s="425" t="str"/>
      <x:c r="L46" s="425" t="str">
        <x:v>https://www.espn.com/college-football/game/_/gameId/401858218/etsu-north-carolina</x:v>
      </x:c>
    </x:row>
    <x:row r="47" ht="38" customHeight="1">
      <x:c r="A47" s="425" t="str">
        <x:v>2026-09-12</x:v>
      </x:c>
      <x:c r="B47" s="425" t="str">
        <x:v>Football</x:v>
      </x:c>
      <x:c r="C47" s="425" t="str">
        <x:v>CFB</x:v>
      </x:c>
      <x:c r="D47" s="425" t="str">
        <x:v>Old Dominion Monarchs at Virginia Tech Hokies</x:v>
      </x:c>
      <x:c r="E47" s="425" t="str">
        <x:v>2026-09-12T16:00Z</x:v>
      </x:c>
      <x:c r="F47" s="425" t="str">
        <x:v>PROSPECTIVE</x:v>
      </x:c>
      <x:c r="G47" s="425" t="str">
        <x:v>Virginia Tech Hokies</x:v>
      </x:c>
      <x:c r="H47" s="425" t="str">
        <x:v>Scheduled team; player lineup and specialist roles unconfirmed</x:v>
      </x:c>
      <x:c r="I47" s="425" t="str">
        <x:v>Official ESPN schedule lists Virginia Tech Hokies at 1-0. Current starters, depth-chart usage, injuries and specialist roles require later confirmation.</x:v>
      </x:c>
      <x:c r="J47" s="425" t="str"/>
      <x:c r="K47" s="425" t="str"/>
      <x:c r="L47" s="425" t="str">
        <x:v>https://www.espn.com/college-football/game/_/gameId/401858221/old-dominion-virginia-tech</x:v>
      </x:c>
    </x:row>
    <x:row r="48" ht="38" customHeight="1">
      <x:c r="A48" s="425" t="str">
        <x:v>2026-09-12</x:v>
      </x:c>
      <x:c r="B48" s="425" t="str">
        <x:v>Football</x:v>
      </x:c>
      <x:c r="C48" s="425" t="str">
        <x:v>CFB</x:v>
      </x:c>
      <x:c r="D48" s="425" t="str">
        <x:v>Old Dominion Monarchs at Virginia Tech Hokies</x:v>
      </x:c>
      <x:c r="E48" s="425" t="str">
        <x:v>2026-09-12T16:00Z</x:v>
      </x:c>
      <x:c r="F48" s="425" t="str">
        <x:v>PROSPECTIVE</x:v>
      </x:c>
      <x:c r="G48" s="425" t="str">
        <x:v>Old Dominion Monarchs</x:v>
      </x:c>
      <x:c r="H48" s="425" t="str">
        <x:v>Scheduled team; player lineup and specialist roles unconfirmed</x:v>
      </x:c>
      <x:c r="I48" s="425" t="str">
        <x:v>Official ESPN schedule lists Old Dominion Monarchs at 1-0. Current starters, depth-chart usage, injuries and specialist roles require later confirmation.</x:v>
      </x:c>
      <x:c r="J48" s="425" t="str"/>
      <x:c r="K48" s="425" t="str"/>
      <x:c r="L48" s="425" t="str">
        <x:v>https://www.espn.com/college-football/game/_/gameId/401858221/old-dominion-virginia-tech</x:v>
      </x:c>
    </x:row>
    <x:row r="49" ht="38" customHeight="1">
      <x:c r="A49" s="425" t="str">
        <x:v>2026-09-12</x:v>
      </x:c>
      <x:c r="B49" s="425" t="str">
        <x:v>Football</x:v>
      </x:c>
      <x:c r="C49" s="425" t="str">
        <x:v>CFB</x:v>
      </x:c>
      <x:c r="D49" s="425" t="str">
        <x:v>Wake Forest Demon Deacons at Purdue Boilermakers</x:v>
      </x:c>
      <x:c r="E49" s="425" t="str">
        <x:v>2026-09-12T16:00Z</x:v>
      </x:c>
      <x:c r="F49" s="425" t="str">
        <x:v>PROSPECTIVE</x:v>
      </x:c>
      <x:c r="G49" s="425" t="str">
        <x:v>Purdue Boilermakers</x:v>
      </x:c>
      <x:c r="H49" s="425" t="str">
        <x:v>Scheduled team; player lineup and specialist roles unconfirmed</x:v>
      </x:c>
      <x:c r="I49" s="425" t="str">
        <x:v>Official ESPN schedule lists Purdue Boilermakers at 1-0. Current starters, depth-chart usage, injuries and specialist roles require later confirmation.</x:v>
      </x:c>
      <x:c r="J49" s="425" t="str"/>
      <x:c r="K49" s="425" t="str"/>
      <x:c r="L49" s="425" t="str">
        <x:v>https://www.espn.com/college-football/game/_/gameId/401858224/wake-forest-purdue</x:v>
      </x:c>
    </x:row>
    <x:row r="50" ht="38" customHeight="1">
      <x:c r="A50" s="425" t="str">
        <x:v>2026-09-12</x:v>
      </x:c>
      <x:c r="B50" s="425" t="str">
        <x:v>Football</x:v>
      </x:c>
      <x:c r="C50" s="425" t="str">
        <x:v>CFB</x:v>
      </x:c>
      <x:c r="D50" s="425" t="str">
        <x:v>Wake Forest Demon Deacons at Purdue Boilermakers</x:v>
      </x:c>
      <x:c r="E50" s="425" t="str">
        <x:v>2026-09-12T16:00Z</x:v>
      </x:c>
      <x:c r="F50" s="425" t="str">
        <x:v>PROSPECTIVE</x:v>
      </x:c>
      <x:c r="G50" s="425" t="str">
        <x:v>Wake Forest Demon Deacons</x:v>
      </x:c>
      <x:c r="H50" s="425" t="str">
        <x:v>Scheduled team; player lineup and specialist roles unconfirmed</x:v>
      </x:c>
      <x:c r="I50" s="425" t="str">
        <x:v>Official ESPN schedule lists Wake Forest Demon Deacons at 1-0. Current starters, depth-chart usage, injuries and specialist roles require later confirmation.</x:v>
      </x:c>
      <x:c r="J50" s="425" t="str"/>
      <x:c r="K50" s="425" t="str"/>
      <x:c r="L50" s="425" t="str">
        <x:v>https://www.espn.com/college-football/game/_/gameId/401858224/wake-forest-purdue</x:v>
      </x:c>
    </x:row>
    <x:row r="51" ht="38" customHeight="1">
      <x:c r="A51" s="425" t="str">
        <x:v>2026-09-12</x:v>
      </x:c>
      <x:c r="B51" s="425" t="str">
        <x:v>Football</x:v>
      </x:c>
      <x:c r="C51" s="425" t="str">
        <x:v>CFB</x:v>
      </x:c>
      <x:c r="D51" s="425" t="str">
        <x:v>South Florida Bulls at Army Black Knights</x:v>
      </x:c>
      <x:c r="E51" s="425" t="str">
        <x:v>2026-09-12T16:00Z</x:v>
      </x:c>
      <x:c r="F51" s="425" t="str">
        <x:v>PROSPECTIVE</x:v>
      </x:c>
      <x:c r="G51" s="425" t="str">
        <x:v>Army Black Knights</x:v>
      </x:c>
      <x:c r="H51" s="425" t="str">
        <x:v>Scheduled team; player lineup and specialist roles unconfirmed</x:v>
      </x:c>
      <x:c r="I51" s="425" t="str">
        <x:v>Official ESPN schedule lists Army Black Knights at 1-0. Current starters, depth-chart usage, injuries and specialist roles require later confirmation.</x:v>
      </x:c>
      <x:c r="J51" s="425" t="str"/>
      <x:c r="K51" s="425" t="str"/>
      <x:c r="L51" s="425" t="str">
        <x:v>https://www.espn.com/college-football/game/_/gameId/401862702/south-florida-army</x:v>
      </x:c>
    </x:row>
    <x:row r="52" ht="38" customHeight="1">
      <x:c r="A52" s="425" t="str">
        <x:v>2026-09-12</x:v>
      </x:c>
      <x:c r="B52" s="425" t="str">
        <x:v>Football</x:v>
      </x:c>
      <x:c r="C52" s="425" t="str">
        <x:v>CFB</x:v>
      </x:c>
      <x:c r="D52" s="425" t="str">
        <x:v>South Florida Bulls at Army Black Knights</x:v>
      </x:c>
      <x:c r="E52" s="425" t="str">
        <x:v>2026-09-12T16:00Z</x:v>
      </x:c>
      <x:c r="F52" s="425" t="str">
        <x:v>PROSPECTIVE</x:v>
      </x:c>
      <x:c r="G52" s="425" t="str">
        <x:v>South Florida Bulls</x:v>
      </x:c>
      <x:c r="H52" s="425" t="str">
        <x:v>Scheduled team; player lineup and specialist roles unconfirmed</x:v>
      </x:c>
      <x:c r="I52" s="425" t="str">
        <x:v>Official ESPN schedule lists South Florida Bulls at 1-0. Current starters, depth-chart usage, injuries and specialist roles require later confirmation.</x:v>
      </x:c>
      <x:c r="J52" s="425" t="str"/>
      <x:c r="K52" s="425" t="str"/>
      <x:c r="L52" s="425" t="str">
        <x:v>https://www.espn.com/college-football/game/_/gameId/401862702/south-florida-army</x:v>
      </x:c>
    </x:row>
    <x:row r="53" ht="38" customHeight="1">
      <x:c r="A53" s="425" t="str">
        <x:v>2026-09-12</x:v>
      </x:c>
      <x:c r="B53" s="425" t="str">
        <x:v>Football</x:v>
      </x:c>
      <x:c r="C53" s="425" t="str">
        <x:v>CFB</x:v>
      </x:c>
      <x:c r="D53" s="425" t="str">
        <x:v>App State Mountaineers at East Carolina Pirates</x:v>
      </x:c>
      <x:c r="E53" s="425" t="str">
        <x:v>2026-09-12T16:00Z</x:v>
      </x:c>
      <x:c r="F53" s="425" t="str">
        <x:v>PROSPECTIVE</x:v>
      </x:c>
      <x:c r="G53" s="425" t="str">
        <x:v>East Carolina Pirates</x:v>
      </x:c>
      <x:c r="H53" s="425" t="str">
        <x:v>Scheduled team; player lineup and specialist roles unconfirmed</x:v>
      </x:c>
      <x:c r="I53" s="425" t="str">
        <x:v>Official ESPN schedule lists East Carolina Pirates at 0-1. Current starters, depth-chart usage, injuries and specialist roles require later confirmation.</x:v>
      </x:c>
      <x:c r="J53" s="425" t="str"/>
      <x:c r="K53" s="425" t="str"/>
      <x:c r="L53" s="425" t="str">
        <x:v>https://www.espn.com/college-football/game/_/gameId/401864571/app-state-east-carolina</x:v>
      </x:c>
    </x:row>
    <x:row r="54" ht="38" customHeight="1">
      <x:c r="A54" s="425" t="str">
        <x:v>2026-09-12</x:v>
      </x:c>
      <x:c r="B54" s="425" t="str">
        <x:v>Football</x:v>
      </x:c>
      <x:c r="C54" s="425" t="str">
        <x:v>CFB</x:v>
      </x:c>
      <x:c r="D54" s="425" t="str">
        <x:v>App State Mountaineers at East Carolina Pirates</x:v>
      </x:c>
      <x:c r="E54" s="425" t="str">
        <x:v>2026-09-12T16:00Z</x:v>
      </x:c>
      <x:c r="F54" s="425" t="str">
        <x:v>PROSPECTIVE</x:v>
      </x:c>
      <x:c r="G54" s="425" t="str">
        <x:v>App State Mountaineers</x:v>
      </x:c>
      <x:c r="H54" s="425" t="str">
        <x:v>Scheduled team; player lineup and specialist roles unconfirmed</x:v>
      </x:c>
      <x:c r="I54" s="425" t="str">
        <x:v>Official ESPN schedule lists App State Mountaineers at 1-0. Current starters, depth-chart usage, injuries and specialist roles require later confirmation.</x:v>
      </x:c>
      <x:c r="J54" s="425" t="str"/>
      <x:c r="K54" s="425" t="str"/>
      <x:c r="L54" s="425" t="str">
        <x:v>https://www.espn.com/college-football/game/_/gameId/401864571/app-state-east-carolina</x:v>
      </x:c>
    </x:row>
    <x:row r="55" ht="38" customHeight="1">
      <x:c r="A55" s="425" t="str">
        <x:v>2026-09-12</x:v>
      </x:c>
      <x:c r="B55" s="425" t="str">
        <x:v>Football</x:v>
      </x:c>
      <x:c r="C55" s="425" t="str">
        <x:v>CFB</x:v>
      </x:c>
      <x:c r="D55" s="425" t="str">
        <x:v>Wofford Terriers at Kent State Golden Flashes</x:v>
      </x:c>
      <x:c r="E55" s="425" t="str">
        <x:v>2026-09-12T16:00Z</x:v>
      </x:c>
      <x:c r="F55" s="425" t="str">
        <x:v>PROSPECTIVE</x:v>
      </x:c>
      <x:c r="G55" s="425" t="str">
        <x:v>Kent State Golden Flashes</x:v>
      </x:c>
      <x:c r="H55" s="425" t="str">
        <x:v>Scheduled team; player lineup and specialist roles unconfirmed</x:v>
      </x:c>
      <x:c r="I55" s="425" t="str">
        <x:v>Official ESPN schedule lists Kent State Golden Flashes at 0-1. Current starters, depth-chart usage, injuries and specialist roles require later confirmation.</x:v>
      </x:c>
      <x:c r="J55" s="425" t="str"/>
      <x:c r="K55" s="425" t="str"/>
      <x:c r="L55" s="425" t="str">
        <x:v>https://www.espn.com/college-football/game/_/gameId/401866416/wofford-kent-state</x:v>
      </x:c>
    </x:row>
    <x:row r="56" ht="38" customHeight="1">
      <x:c r="A56" s="425" t="str">
        <x:v>2026-09-12</x:v>
      </x:c>
      <x:c r="B56" s="425" t="str">
        <x:v>Football</x:v>
      </x:c>
      <x:c r="C56" s="425" t="str">
        <x:v>CFB</x:v>
      </x:c>
      <x:c r="D56" s="425" t="str">
        <x:v>Wofford Terriers at Kent State Golden Flashes</x:v>
      </x:c>
      <x:c r="E56" s="425" t="str">
        <x:v>2026-09-12T16:00Z</x:v>
      </x:c>
      <x:c r="F56" s="425" t="str">
        <x:v>PROSPECTIVE</x:v>
      </x:c>
      <x:c r="G56" s="425" t="str">
        <x:v>Wofford Terriers</x:v>
      </x:c>
      <x:c r="H56" s="425" t="str">
        <x:v>Scheduled team; player lineup and specialist roles unconfirmed</x:v>
      </x:c>
      <x:c r="I56" s="425" t="str">
        <x:v>Official ESPN schedule lists Wofford Terriers at 2-0. Current starters, depth-chart usage, injuries and specialist roles require later confirmation.</x:v>
      </x:c>
      <x:c r="J56" s="425" t="str"/>
      <x:c r="K56" s="425" t="str"/>
      <x:c r="L56" s="425" t="str">
        <x:v>https://www.espn.com/college-football/game/_/gameId/401866416/wofford-kent-state</x:v>
      </x:c>
    </x:row>
    <x:row r="57" ht="38" customHeight="1">
      <x:c r="A57" s="425" t="str">
        <x:v>2026-09-12</x:v>
      </x:c>
      <x:c r="B57" s="425" t="str">
        <x:v>Football</x:v>
      </x:c>
      <x:c r="C57" s="425" t="str">
        <x:v>CFB</x:v>
      </x:c>
      <x:c r="D57" s="425" t="str">
        <x:v>Wagner Seahawks at James Madison Dukes</x:v>
      </x:c>
      <x:c r="E57" s="425" t="str">
        <x:v>2026-09-12T16:00Z</x:v>
      </x:c>
      <x:c r="F57" s="425" t="str">
        <x:v>PROSPECTIVE</x:v>
      </x:c>
      <x:c r="G57" s="425" t="str">
        <x:v>James Madison Dukes</x:v>
      </x:c>
      <x:c r="H57" s="425" t="str">
        <x:v>Scheduled team; player lineup and specialist roles unconfirmed</x:v>
      </x:c>
      <x:c r="I57" s="425" t="str">
        <x:v>Official ESPN schedule lists James Madison Dukes at 1-0. Current starters, depth-chart usage, injuries and specialist roles require later confirmation.</x:v>
      </x:c>
      <x:c r="J57" s="425" t="str"/>
      <x:c r="K57" s="425" t="str"/>
      <x:c r="L57" s="425" t="str">
        <x:v>https://www.espn.com/college-football/game/_/gameId/401867929/wagner-james-madison</x:v>
      </x:c>
    </x:row>
    <x:row r="58" ht="38" customHeight="1">
      <x:c r="A58" s="425" t="str">
        <x:v>2026-09-12</x:v>
      </x:c>
      <x:c r="B58" s="425" t="str">
        <x:v>Football</x:v>
      </x:c>
      <x:c r="C58" s="425" t="str">
        <x:v>CFB</x:v>
      </x:c>
      <x:c r="D58" s="425" t="str">
        <x:v>Wagner Seahawks at James Madison Dukes</x:v>
      </x:c>
      <x:c r="E58" s="425" t="str">
        <x:v>2026-09-12T16:00Z</x:v>
      </x:c>
      <x:c r="F58" s="425" t="str">
        <x:v>PROSPECTIVE</x:v>
      </x:c>
      <x:c r="G58" s="425" t="str">
        <x:v>Wagner Seahawks</x:v>
      </x:c>
      <x:c r="H58" s="425" t="str">
        <x:v>Scheduled team; player lineup and specialist roles unconfirmed</x:v>
      </x:c>
      <x:c r="I58" s="425" t="str">
        <x:v>Official ESPN schedule lists Wagner Seahawks at 1-1. Current starters, depth-chart usage, injuries and specialist roles require later confirmation.</x:v>
      </x:c>
      <x:c r="J58" s="425" t="str"/>
      <x:c r="K58" s="425" t="str"/>
      <x:c r="L58" s="425" t="str">
        <x:v>https://www.espn.com/college-football/game/_/gameId/401867929/wagner-james-madison</x:v>
      </x:c>
    </x:row>
    <x:row r="59" ht="38" customHeight="1">
      <x:c r="A59" s="425" t="str">
        <x:v>2026-09-12</x:v>
      </x:c>
      <x:c r="B59" s="425" t="str">
        <x:v>Football</x:v>
      </x:c>
      <x:c r="C59" s="425" t="str">
        <x:v>CFB</x:v>
      </x:c>
      <x:c r="D59" s="425" t="str">
        <x:v>Gardner-Webb Runnin' Bulldogs at Liberty Flames</x:v>
      </x:c>
      <x:c r="E59" s="425" t="str">
        <x:v>2026-09-12T16:00Z</x:v>
      </x:c>
      <x:c r="F59" s="425" t="str">
        <x:v>PROSPECTIVE</x:v>
      </x:c>
      <x:c r="G59" s="425" t="str">
        <x:v>Liberty Flames</x:v>
      </x:c>
      <x:c r="H59" s="425" t="str">
        <x:v>Scheduled team; player lineup and specialist roles unconfirmed</x:v>
      </x:c>
      <x:c r="I59" s="425" t="str">
        <x:v>Official ESPN schedule lists Liberty Flames at 0-1. Current starters, depth-chart usage, injuries and specialist roles require later confirmation.</x:v>
      </x:c>
      <x:c r="J59" s="425" t="str"/>
      <x:c r="K59" s="425" t="str"/>
      <x:c r="L59" s="425" t="str">
        <x:v>https://www.espn.com/college-football/game/_/gameId/401868187/gardner-webb-liberty</x:v>
      </x:c>
    </x:row>
    <x:row r="60" ht="38" customHeight="1">
      <x:c r="A60" s="425" t="str">
        <x:v>2026-09-12</x:v>
      </x:c>
      <x:c r="B60" s="425" t="str">
        <x:v>Football</x:v>
      </x:c>
      <x:c r="C60" s="425" t="str">
        <x:v>CFB</x:v>
      </x:c>
      <x:c r="D60" s="425" t="str">
        <x:v>Gardner-Webb Runnin' Bulldogs at Liberty Flames</x:v>
      </x:c>
      <x:c r="E60" s="425" t="str">
        <x:v>2026-09-12T16:00Z</x:v>
      </x:c>
      <x:c r="F60" s="425" t="str">
        <x:v>PROSPECTIVE</x:v>
      </x:c>
      <x:c r="G60" s="425" t="str">
        <x:v>Gardner-Webb Runnin' Bulldogs</x:v>
      </x:c>
      <x:c r="H60" s="425" t="str">
        <x:v>Scheduled team; player lineup and specialist roles unconfirmed</x:v>
      </x:c>
      <x:c r="I60" s="425" t="str">
        <x:v>Official ESPN schedule lists Gardner-Webb Runnin' Bulldogs at 0-2. Current starters, depth-chart usage, injuries and specialist roles require later confirmation.</x:v>
      </x:c>
      <x:c r="J60" s="425" t="str"/>
      <x:c r="K60" s="425" t="str"/>
      <x:c r="L60" s="425" t="str">
        <x:v>https://www.espn.com/college-football/game/_/gameId/401868187/gardner-webb-liberty</x:v>
      </x:c>
    </x:row>
    <x:row r="61" ht="38" customHeight="1">
      <x:c r="A61" s="425" t="str">
        <x:v>2026-09-12</x:v>
      </x:c>
      <x:c r="B61" s="425" t="str">
        <x:v>Football</x:v>
      </x:c>
      <x:c r="C61" s="425" t="str">
        <x:v>CFB</x:v>
      </x:c>
      <x:c r="D61" s="425" t="str">
        <x:v>Western Kentucky Hilltoppers at Georgia Bulldogs</x:v>
      </x:c>
      <x:c r="E61" s="425" t="str">
        <x:v>2026-09-12T16:45Z</x:v>
      </x:c>
      <x:c r="F61" s="425" t="str">
        <x:v>PROSPECTIVE</x:v>
      </x:c>
      <x:c r="G61" s="425" t="str">
        <x:v>Georgia Bulldogs</x:v>
      </x:c>
      <x:c r="H61" s="425" t="str">
        <x:v>Scheduled team; player lineup and specialist roles unconfirmed</x:v>
      </x:c>
      <x:c r="I61" s="425" t="str">
        <x:v>Official ESPN schedule lists Georgia Bulldogs at 1-0. Current starters, depth-chart usage, injuries and specialist roles require later confirmation.</x:v>
      </x:c>
      <x:c r="J61" s="425" t="str"/>
      <x:c r="K61" s="425" t="str"/>
      <x:c r="L61" s="425" t="str">
        <x:v>https://www.espn.com/college-football/game/_/gameId/401856673/western-ky-georgia</x:v>
      </x:c>
    </x:row>
    <x:row r="62" ht="38" customHeight="1">
      <x:c r="A62" s="425" t="str">
        <x:v>2026-09-12</x:v>
      </x:c>
      <x:c r="B62" s="425" t="str">
        <x:v>Football</x:v>
      </x:c>
      <x:c r="C62" s="425" t="str">
        <x:v>CFB</x:v>
      </x:c>
      <x:c r="D62" s="425" t="str">
        <x:v>Western Kentucky Hilltoppers at Georgia Bulldogs</x:v>
      </x:c>
      <x:c r="E62" s="425" t="str">
        <x:v>2026-09-12T16:45Z</x:v>
      </x:c>
      <x:c r="F62" s="425" t="str">
        <x:v>PROSPECTIVE</x:v>
      </x:c>
      <x:c r="G62" s="425" t="str">
        <x:v>Western Kentucky Hilltoppers</x:v>
      </x:c>
      <x:c r="H62" s="425" t="str">
        <x:v>Scheduled team; player lineup and specialist roles unconfirmed</x:v>
      </x:c>
      <x:c r="I62" s="425" t="str">
        <x:v>Official ESPN schedule lists Western Kentucky Hilltoppers at 0-1. Current starters, depth-chart usage, injuries and specialist roles require later confirmation.</x:v>
      </x:c>
      <x:c r="J62" s="425" t="str"/>
      <x:c r="K62" s="425" t="str"/>
      <x:c r="L62" s="425" t="str">
        <x:v>https://www.espn.com/college-football/game/_/gameId/401856673/western-ky-georgia</x:v>
      </x:c>
    </x:row>
    <x:row r="63" ht="38" customHeight="1">
      <x:c r="A63" s="425" t="str">
        <x:v>2026-09-12</x:v>
      </x:c>
      <x:c r="B63" s="425" t="str">
        <x:v>Football</x:v>
      </x:c>
      <x:c r="C63" s="425" t="str">
        <x:v>CFB</x:v>
      </x:c>
      <x:c r="D63" s="425" t="str">
        <x:v>UT Martin Skyhawks at West Virginia Mountaineers</x:v>
      </x:c>
      <x:c r="E63" s="425" t="str">
        <x:v>2026-09-12T17:00Z</x:v>
      </x:c>
      <x:c r="F63" s="425" t="str">
        <x:v>PROSPECTIVE</x:v>
      </x:c>
      <x:c r="G63" s="425" t="str">
        <x:v>West Virginia Mountaineers</x:v>
      </x:c>
      <x:c r="H63" s="425" t="str">
        <x:v>Scheduled team; player lineup and specialist roles unconfirmed</x:v>
      </x:c>
      <x:c r="I63" s="425" t="str">
        <x:v>Official ESPN schedule lists West Virginia Mountaineers at 1-0. Current starters, depth-chart usage, injuries and specialist roles require later confirmation.</x:v>
      </x:c>
      <x:c r="J63" s="425" t="str"/>
      <x:c r="K63" s="425" t="str"/>
      <x:c r="L63" s="425" t="str">
        <x:v>https://www.espn.com/college-football/game/_/gameId/401856791/ut-martin-west-virginia</x:v>
      </x:c>
    </x:row>
    <x:row r="64" ht="38" customHeight="1">
      <x:c r="A64" s="425" t="str">
        <x:v>2026-09-12</x:v>
      </x:c>
      <x:c r="B64" s="425" t="str">
        <x:v>Football</x:v>
      </x:c>
      <x:c r="C64" s="425" t="str">
        <x:v>CFB</x:v>
      </x:c>
      <x:c r="D64" s="425" t="str">
        <x:v>UT Martin Skyhawks at West Virginia Mountaineers</x:v>
      </x:c>
      <x:c r="E64" s="425" t="str">
        <x:v>2026-09-12T17:00Z</x:v>
      </x:c>
      <x:c r="F64" s="425" t="str">
        <x:v>PROSPECTIVE</x:v>
      </x:c>
      <x:c r="G64" s="425" t="str">
        <x:v>UT Martin Skyhawks</x:v>
      </x:c>
      <x:c r="H64" s="425" t="str">
        <x:v>Scheduled team; player lineup and specialist roles unconfirmed</x:v>
      </x:c>
      <x:c r="I64" s="425" t="str">
        <x:v>Official ESPN schedule lists UT Martin Skyhawks at 1-1. Current starters, depth-chart usage, injuries and specialist roles require later confirmation.</x:v>
      </x:c>
      <x:c r="J64" s="425" t="str"/>
      <x:c r="K64" s="425" t="str"/>
      <x:c r="L64" s="425" t="str">
        <x:v>https://www.espn.com/college-football/game/_/gameId/401856791/ut-martin-west-virginia</x:v>
      </x:c>
    </x:row>
    <x:row r="65" ht="38" customHeight="1">
      <x:c r="A65" s="425" t="str">
        <x:v>2026-09-12</x:v>
      </x:c>
      <x:c r="B65" s="425" t="str">
        <x:v>Football</x:v>
      </x:c>
      <x:c r="C65" s="425" t="str">
        <x:v>CFB</x:v>
      </x:c>
      <x:c r="D65" s="425" t="str">
        <x:v>Colgate Raiders at Central Michigan Chippewas</x:v>
      </x:c>
      <x:c r="E65" s="425" t="str">
        <x:v>2026-09-12T17:00Z</x:v>
      </x:c>
      <x:c r="F65" s="425" t="str">
        <x:v>PROSPECTIVE</x:v>
      </x:c>
      <x:c r="G65" s="425" t="str">
        <x:v>Central Michigan Chippewas</x:v>
      </x:c>
      <x:c r="H65" s="425" t="str">
        <x:v>Scheduled team; player lineup and specialist roles unconfirmed</x:v>
      </x:c>
      <x:c r="I65" s="425" t="str">
        <x:v>Official ESPN schedule lists Central Michigan Chippewas at 0-1. Current starters, depth-chart usage, injuries and specialist roles require later confirmation.</x:v>
      </x:c>
      <x:c r="J65" s="425" t="str"/>
      <x:c r="K65" s="425" t="str"/>
      <x:c r="L65" s="425" t="str">
        <x:v>https://www.espn.com/college-football/game/_/gameId/401866415/colgate-c-michigan</x:v>
      </x:c>
    </x:row>
    <x:row r="66" ht="38" customHeight="1">
      <x:c r="A66" s="425" t="str">
        <x:v>2026-09-12</x:v>
      </x:c>
      <x:c r="B66" s="425" t="str">
        <x:v>Football</x:v>
      </x:c>
      <x:c r="C66" s="425" t="str">
        <x:v>CFB</x:v>
      </x:c>
      <x:c r="D66" s="425" t="str">
        <x:v>Colgate Raiders at Central Michigan Chippewas</x:v>
      </x:c>
      <x:c r="E66" s="425" t="str">
        <x:v>2026-09-12T17:00Z</x:v>
      </x:c>
      <x:c r="F66" s="425" t="str">
        <x:v>PROSPECTIVE</x:v>
      </x:c>
      <x:c r="G66" s="425" t="str">
        <x:v>Colgate Raiders</x:v>
      </x:c>
      <x:c r="H66" s="425" t="str">
        <x:v>Scheduled team; player lineup and specialist roles unconfirmed</x:v>
      </x:c>
      <x:c r="I66" s="425" t="str">
        <x:v>Official ESPN schedule lists Colgate Raiders at 2-0. Current starters, depth-chart usage, injuries and specialist roles require later confirmation.</x:v>
      </x:c>
      <x:c r="J66" s="425" t="str"/>
      <x:c r="K66" s="425" t="str"/>
      <x:c r="L66" s="425" t="str">
        <x:v>https://www.espn.com/college-football/game/_/gameId/401866415/colgate-c-michigan</x:v>
      </x:c>
    </x:row>
    <x:row r="67" ht="38" customHeight="1">
      <x:c r="A67" s="425" t="str">
        <x:v>2026-09-12</x:v>
      </x:c>
      <x:c r="B67" s="425" t="str">
        <x:v>Football</x:v>
      </x:c>
      <x:c r="C67" s="425" t="str">
        <x:v>CFB</x:v>
      </x:c>
      <x:c r="D67" s="425" t="str">
        <x:v>Holy Cross Crusaders at Miami (OH) RedHawks</x:v>
      </x:c>
      <x:c r="E67" s="425" t="str">
        <x:v>2026-09-12T17:00Z</x:v>
      </x:c>
      <x:c r="F67" s="425" t="str">
        <x:v>PROSPECTIVE</x:v>
      </x:c>
      <x:c r="G67" s="425" t="str">
        <x:v>Miami (OH) RedHawks</x:v>
      </x:c>
      <x:c r="H67" s="425" t="str">
        <x:v>Scheduled team; player lineup and specialist roles unconfirmed</x:v>
      </x:c>
      <x:c r="I67" s="425" t="str">
        <x:v>Official ESPN schedule lists Miami (OH) RedHawks at 0-1. Current starters, depth-chart usage, injuries and specialist roles require later confirmation.</x:v>
      </x:c>
      <x:c r="J67" s="425" t="str"/>
      <x:c r="K67" s="425" t="str"/>
      <x:c r="L67" s="425" t="str">
        <x:v>https://www.espn.com/college-football/game/_/gameId/401866417/holy-cross-miami-oh</x:v>
      </x:c>
    </x:row>
    <x:row r="68" ht="38" customHeight="1">
      <x:c r="A68" s="425" t="str">
        <x:v>2026-09-12</x:v>
      </x:c>
      <x:c r="B68" s="425" t="str">
        <x:v>Football</x:v>
      </x:c>
      <x:c r="C68" s="425" t="str">
        <x:v>CFB</x:v>
      </x:c>
      <x:c r="D68" s="425" t="str">
        <x:v>Holy Cross Crusaders at Miami (OH) RedHawks</x:v>
      </x:c>
      <x:c r="E68" s="425" t="str">
        <x:v>2026-09-12T17:00Z</x:v>
      </x:c>
      <x:c r="F68" s="425" t="str">
        <x:v>PROSPECTIVE</x:v>
      </x:c>
      <x:c r="G68" s="425" t="str">
        <x:v>Holy Cross Crusaders</x:v>
      </x:c>
      <x:c r="H68" s="425" t="str">
        <x:v>Scheduled team; player lineup and specialist roles unconfirmed</x:v>
      </x:c>
      <x:c r="I68" s="425" t="str">
        <x:v>Official ESPN schedule lists Holy Cross Crusaders at 0-2. Current starters, depth-chart usage, injuries and specialist roles require later confirmation.</x:v>
      </x:c>
      <x:c r="J68" s="425" t="str"/>
      <x:c r="K68" s="425" t="str"/>
      <x:c r="L68" s="425" t="str">
        <x:v>https://www.espn.com/college-football/game/_/gameId/401866417/holy-cross-miami-oh</x:v>
      </x:c>
    </x:row>
    <x:row r="69" ht="38" customHeight="1">
      <x:c r="A69" s="425" t="str">
        <x:v>2026-09-12</x:v>
      </x:c>
      <x:c r="B69" s="425" t="str">
        <x:v>Football</x:v>
      </x:c>
      <x:c r="C69" s="425" t="str">
        <x:v>CFB</x:v>
      </x:c>
      <x:c r="D69" s="425" t="str">
        <x:v>Stony Brook Seawolves at Ball State Cardinals</x:v>
      </x:c>
      <x:c r="E69" s="425" t="str">
        <x:v>2026-09-12T18:00Z</x:v>
      </x:c>
      <x:c r="F69" s="425" t="str">
        <x:v>PROSPECTIVE</x:v>
      </x:c>
      <x:c r="G69" s="425" t="str">
        <x:v>Ball State Cardinals</x:v>
      </x:c>
      <x:c r="H69" s="425" t="str">
        <x:v>Scheduled team; player lineup and specialist roles unconfirmed</x:v>
      </x:c>
      <x:c r="I69" s="425" t="str">
        <x:v>Official ESPN schedule lists Ball State Cardinals at 0-1. Current starters, depth-chart usage, injuries and specialist roles require later confirmation.</x:v>
      </x:c>
      <x:c r="J69" s="425" t="str"/>
      <x:c r="K69" s="425" t="str"/>
      <x:c r="L69" s="425" t="str">
        <x:v>https://www.espn.com/college-football/game/_/gameId/401866413/stony-brook-ball-state</x:v>
      </x:c>
    </x:row>
    <x:row r="70" ht="38" customHeight="1">
      <x:c r="A70" s="425" t="str">
        <x:v>2026-09-12</x:v>
      </x:c>
      <x:c r="B70" s="425" t="str">
        <x:v>Football</x:v>
      </x:c>
      <x:c r="C70" s="425" t="str">
        <x:v>CFB</x:v>
      </x:c>
      <x:c r="D70" s="425" t="str">
        <x:v>Stony Brook Seawolves at Ball State Cardinals</x:v>
      </x:c>
      <x:c r="E70" s="425" t="str">
        <x:v>2026-09-12T18:00Z</x:v>
      </x:c>
      <x:c r="F70" s="425" t="str">
        <x:v>PROSPECTIVE</x:v>
      </x:c>
      <x:c r="G70" s="425" t="str">
        <x:v>Stony Brook Seawolves</x:v>
      </x:c>
      <x:c r="H70" s="425" t="str">
        <x:v>Scheduled team; player lineup and specialist roles unconfirmed</x:v>
      </x:c>
      <x:c r="I70" s="425" t="str">
        <x:v>Official ESPN schedule lists Stony Brook Seawolves at 1-1. Current starters, depth-chart usage, injuries and specialist roles require later confirmation.</x:v>
      </x:c>
      <x:c r="J70" s="425" t="str"/>
      <x:c r="K70" s="425" t="str"/>
      <x:c r="L70" s="425" t="str">
        <x:v>https://www.espn.com/college-football/game/_/gameId/401866413/stony-brook-ball-state</x:v>
      </x:c>
    </x:row>
    <x:row r="71" ht="38" customHeight="1">
      <x:c r="A71" s="425" t="str">
        <x:v>2026-09-12</x:v>
      </x:c>
      <x:c r="B71" s="425" t="str">
        <x:v>Football</x:v>
      </x:c>
      <x:c r="C71" s="425" t="str">
        <x:v>CFB</x:v>
      </x:c>
      <x:c r="D71" s="425" t="str">
        <x:v>Rice Owls at Notre Dame Fighting Irish</x:v>
      </x:c>
      <x:c r="E71" s="425" t="str">
        <x:v>2026-09-12T19:30Z</x:v>
      </x:c>
      <x:c r="F71" s="425" t="str">
        <x:v>PROSPECTIVE</x:v>
      </x:c>
      <x:c r="G71" s="425" t="str">
        <x:v>Notre Dame Fighting Irish</x:v>
      </x:c>
      <x:c r="H71" s="425" t="str">
        <x:v>Scheduled team; player lineup and specialist roles unconfirmed</x:v>
      </x:c>
      <x:c r="I71" s="425" t="str">
        <x:v>Official ESPN schedule lists Notre Dame Fighting Irish at 1-0. Current starters, depth-chart usage, injuries and specialist roles require later confirmation.</x:v>
      </x:c>
      <x:c r="J71" s="425" t="str"/>
      <x:c r="K71" s="425" t="str"/>
      <x:c r="L71" s="425" t="str">
        <x:v>https://www.espn.com/college-football/game/_/gameId/401859184/rice-notre-dame</x:v>
      </x:c>
    </x:row>
    <x:row r="72" ht="38" customHeight="1">
      <x:c r="A72" s="425" t="str">
        <x:v>2026-09-12</x:v>
      </x:c>
      <x:c r="B72" s="425" t="str">
        <x:v>Football</x:v>
      </x:c>
      <x:c r="C72" s="425" t="str">
        <x:v>CFB</x:v>
      </x:c>
      <x:c r="D72" s="425" t="str">
        <x:v>Rice Owls at Notre Dame Fighting Irish</x:v>
      </x:c>
      <x:c r="E72" s="425" t="str">
        <x:v>2026-09-12T19:30Z</x:v>
      </x:c>
      <x:c r="F72" s="425" t="str">
        <x:v>PROSPECTIVE</x:v>
      </x:c>
      <x:c r="G72" s="425" t="str">
        <x:v>Rice Owls</x:v>
      </x:c>
      <x:c r="H72" s="425" t="str">
        <x:v>Scheduled team; player lineup and specialist roles unconfirmed</x:v>
      </x:c>
      <x:c r="I72" s="425" t="str">
        <x:v>Official ESPN schedule lists Rice Owls at 1-0. Current starters, depth-chart usage, injuries and specialist roles require later confirmation.</x:v>
      </x:c>
      <x:c r="J72" s="425" t="str"/>
      <x:c r="K72" s="425" t="str"/>
      <x:c r="L72" s="425" t="str">
        <x:v>https://www.espn.com/college-football/game/_/gameId/401859184/rice-notre-dame</x:v>
      </x:c>
    </x:row>
    <x:row r="73" ht="38" customHeight="1">
      <x:c r="A73" s="425" t="str">
        <x:v>2026-09-12</x:v>
      </x:c>
      <x:c r="B73" s="425" t="str">
        <x:v>Football</x:v>
      </x:c>
      <x:c r="C73" s="425" t="str">
        <x:v>CFB</x:v>
      </x:c>
      <x:c r="D73" s="425" t="str">
        <x:v>Alabama Crimson Tide at Kentucky Wildcats</x:v>
      </x:c>
      <x:c r="E73" s="425" t="str">
        <x:v>2026-09-12T19:30Z</x:v>
      </x:c>
      <x:c r="F73" s="425" t="str">
        <x:v>PROSPECTIVE</x:v>
      </x:c>
      <x:c r="G73" s="425" t="str">
        <x:v>Kentucky Wildcats</x:v>
      </x:c>
      <x:c r="H73" s="425" t="str">
        <x:v>Scheduled team; player lineup and specialist roles unconfirmed</x:v>
      </x:c>
      <x:c r="I73" s="425" t="str">
        <x:v>Official ESPN schedule lists Kentucky Wildcats at 1-0. Current starters, depth-chart usage, injuries and specialist roles require later confirmation.</x:v>
      </x:c>
      <x:c r="J73" s="425" t="str"/>
      <x:c r="K73" s="425" t="str"/>
      <x:c r="L73" s="425" t="str">
        <x:v>https://www.espn.com/college-football/game/_/gameId/401856674/alabama-kentucky</x:v>
      </x:c>
    </x:row>
    <x:row r="74" ht="38" customHeight="1">
      <x:c r="A74" s="425" t="str">
        <x:v>2026-09-12</x:v>
      </x:c>
      <x:c r="B74" s="425" t="str">
        <x:v>Football</x:v>
      </x:c>
      <x:c r="C74" s="425" t="str">
        <x:v>CFB</x:v>
      </x:c>
      <x:c r="D74" s="425" t="str">
        <x:v>Alabama Crimson Tide at Kentucky Wildcats</x:v>
      </x:c>
      <x:c r="E74" s="425" t="str">
        <x:v>2026-09-12T19:30Z</x:v>
      </x:c>
      <x:c r="F74" s="425" t="str">
        <x:v>PROSPECTIVE</x:v>
      </x:c>
      <x:c r="G74" s="425" t="str">
        <x:v>Alabama Crimson Tide</x:v>
      </x:c>
      <x:c r="H74" s="425" t="str">
        <x:v>Scheduled team; player lineup and specialist roles unconfirmed</x:v>
      </x:c>
      <x:c r="I74" s="425" t="str">
        <x:v>Official ESPN schedule lists Alabama Crimson Tide at 1-0. Current starters, depth-chart usage, injuries and specialist roles require later confirmation.</x:v>
      </x:c>
      <x:c r="J74" s="425" t="str"/>
      <x:c r="K74" s="425" t="str"/>
      <x:c r="L74" s="425" t="str">
        <x:v>https://www.espn.com/college-football/game/_/gameId/401856674/alabama-kentucky</x:v>
      </x:c>
    </x:row>
    <x:row r="75" ht="38" customHeight="1">
      <x:c r="A75" s="425" t="str">
        <x:v>2026-09-12</x:v>
      </x:c>
      <x:c r="B75" s="425" t="str">
        <x:v>Football</x:v>
      </x:c>
      <x:c r="C75" s="425" t="str">
        <x:v>CFB</x:v>
      </x:c>
      <x:c r="D75" s="425" t="str">
        <x:v>Arizona Wildcats at BYU Cougars</x:v>
      </x:c>
      <x:c r="E75" s="425" t="str">
        <x:v>2026-09-12T19:30Z</x:v>
      </x:c>
      <x:c r="F75" s="425" t="str">
        <x:v>PROSPECTIVE</x:v>
      </x:c>
      <x:c r="G75" s="425" t="str">
        <x:v>BYU Cougars</x:v>
      </x:c>
      <x:c r="H75" s="425" t="str">
        <x:v>Scheduled team; player lineup and specialist roles unconfirmed</x:v>
      </x:c>
      <x:c r="I75" s="425" t="str">
        <x:v>Official ESPN schedule lists BYU Cougars at 1-0. Current starters, depth-chart usage, injuries and specialist roles require later confirmation.</x:v>
      </x:c>
      <x:c r="J75" s="425" t="str"/>
      <x:c r="K75" s="425" t="str"/>
      <x:c r="L75" s="425" t="str">
        <x:v>https://www.espn.com/college-football/game/_/gameId/401856810/arizona-byu</x:v>
      </x:c>
    </x:row>
    <x:row r="76" ht="38" customHeight="1">
      <x:c r="A76" s="425" t="str">
        <x:v>2026-09-12</x:v>
      </x:c>
      <x:c r="B76" s="425" t="str">
        <x:v>Football</x:v>
      </x:c>
      <x:c r="C76" s="425" t="str">
        <x:v>CFB</x:v>
      </x:c>
      <x:c r="D76" s="425" t="str">
        <x:v>Arizona Wildcats at BYU Cougars</x:v>
      </x:c>
      <x:c r="E76" s="425" t="str">
        <x:v>2026-09-12T19:30Z</x:v>
      </x:c>
      <x:c r="F76" s="425" t="str">
        <x:v>PROSPECTIVE</x:v>
      </x:c>
      <x:c r="G76" s="425" t="str">
        <x:v>Arizona Wildcats</x:v>
      </x:c>
      <x:c r="H76" s="425" t="str">
        <x:v>Scheduled team; player lineup and specialist roles unconfirmed</x:v>
      </x:c>
      <x:c r="I76" s="425" t="str">
        <x:v>Official ESPN schedule lists Arizona Wildcats at 1-0. Current starters, depth-chart usage, injuries and specialist roles require later confirmation.</x:v>
      </x:c>
      <x:c r="J76" s="425" t="str"/>
      <x:c r="K76" s="425" t="str"/>
      <x:c r="L76" s="425" t="str">
        <x:v>https://www.espn.com/college-football/game/_/gameId/401856810/arizona-byu</x:v>
      </x:c>
    </x:row>
    <x:row r="77" ht="38" customHeight="1">
      <x:c r="A77" s="425" t="str">
        <x:v>2026-09-12</x:v>
      </x:c>
      <x:c r="B77" s="425" t="str">
        <x:v>Football</x:v>
      </x:c>
      <x:c r="C77" s="425" t="str">
        <x:v>CFB</x:v>
      </x:c>
      <x:c r="D77" s="425" t="str">
        <x:v>Utah State Aggies at Washington Huskies</x:v>
      </x:c>
      <x:c r="E77" s="425" t="str">
        <x:v>2026-09-12T19:30Z</x:v>
      </x:c>
      <x:c r="F77" s="425" t="str">
        <x:v>PROSPECTIVE</x:v>
      </x:c>
      <x:c r="G77" s="425" t="str">
        <x:v>Washington Huskies</x:v>
      </x:c>
      <x:c r="H77" s="425" t="str">
        <x:v>Scheduled team; player lineup and specialist roles unconfirmed</x:v>
      </x:c>
      <x:c r="I77" s="425" t="str">
        <x:v>Official ESPN schedule lists Washington Huskies at 1-0. Current starters, depth-chart usage, injuries and specialist roles require later confirmation.</x:v>
      </x:c>
      <x:c r="J77" s="425" t="str"/>
      <x:c r="K77" s="425" t="str"/>
      <x:c r="L77" s="425" t="str">
        <x:v>https://www.espn.com/college-football/game/_/gameId/401858446/utah-state-washington</x:v>
      </x:c>
    </x:row>
    <x:row r="78" ht="38" customHeight="1">
      <x:c r="A78" s="425" t="str">
        <x:v>2026-09-12</x:v>
      </x:c>
      <x:c r="B78" s="425" t="str">
        <x:v>Football</x:v>
      </x:c>
      <x:c r="C78" s="425" t="str">
        <x:v>CFB</x:v>
      </x:c>
      <x:c r="D78" s="425" t="str">
        <x:v>Utah State Aggies at Washington Huskies</x:v>
      </x:c>
      <x:c r="E78" s="425" t="str">
        <x:v>2026-09-12T19:30Z</x:v>
      </x:c>
      <x:c r="F78" s="425" t="str">
        <x:v>PROSPECTIVE</x:v>
      </x:c>
      <x:c r="G78" s="425" t="str">
        <x:v>Utah State Aggies</x:v>
      </x:c>
      <x:c r="H78" s="425" t="str">
        <x:v>Scheduled team; player lineup and specialist roles unconfirmed</x:v>
      </x:c>
      <x:c r="I78" s="425" t="str">
        <x:v>Official ESPN schedule lists Utah State Aggies at 0-1. Current starters, depth-chart usage, injuries and specialist roles require later confirmation.</x:v>
      </x:c>
      <x:c r="J78" s="425" t="str"/>
      <x:c r="K78" s="425" t="str"/>
      <x:c r="L78" s="425" t="str">
        <x:v>https://www.espn.com/college-football/game/_/gameId/401858446/utah-state-washington</x:v>
      </x:c>
    </x:row>
    <x:row r="79" ht="38" customHeight="1">
      <x:c r="A79" s="425" t="str">
        <x:v>2026-09-12</x:v>
      </x:c>
      <x:c r="B79" s="425" t="str">
        <x:v>Football</x:v>
      </x:c>
      <x:c r="C79" s="425" t="str">
        <x:v>CFB</x:v>
      </x:c>
      <x:c r="D79" s="425" t="str">
        <x:v>Mississippi State Bulldogs at Minnesota Golden Gophers</x:v>
      </x:c>
      <x:c r="E79" s="425" t="str">
        <x:v>2026-09-12T19:30Z</x:v>
      </x:c>
      <x:c r="F79" s="425" t="str">
        <x:v>PROSPECTIVE</x:v>
      </x:c>
      <x:c r="G79" s="425" t="str">
        <x:v>Minnesota Golden Gophers</x:v>
      </x:c>
      <x:c r="H79" s="425" t="str">
        <x:v>Scheduled team; player lineup and specialist roles unconfirmed</x:v>
      </x:c>
      <x:c r="I79" s="425" t="str">
        <x:v>Official ESPN schedule lists Minnesota Golden Gophers at 1-0. Current starters, depth-chart usage, injuries and specialist roles require later confirmation.</x:v>
      </x:c>
      <x:c r="J79" s="425" t="str"/>
      <x:c r="K79" s="425" t="str"/>
      <x:c r="L79" s="425" t="str">
        <x:v>https://www.espn.com/college-football/game/_/gameId/401856677/mississippi-st-minnesota</x:v>
      </x:c>
    </x:row>
    <x:row r="80" ht="38" customHeight="1">
      <x:c r="A80" s="425" t="str">
        <x:v>2026-09-12</x:v>
      </x:c>
      <x:c r="B80" s="425" t="str">
        <x:v>Football</x:v>
      </x:c>
      <x:c r="C80" s="425" t="str">
        <x:v>CFB</x:v>
      </x:c>
      <x:c r="D80" s="425" t="str">
        <x:v>Mississippi State Bulldogs at Minnesota Golden Gophers</x:v>
      </x:c>
      <x:c r="E80" s="425" t="str">
        <x:v>2026-09-12T19:30Z</x:v>
      </x:c>
      <x:c r="F80" s="425" t="str">
        <x:v>PROSPECTIVE</x:v>
      </x:c>
      <x:c r="G80" s="425" t="str">
        <x:v>Mississippi State Bulldogs</x:v>
      </x:c>
      <x:c r="H80" s="425" t="str">
        <x:v>Scheduled team; player lineup and specialist roles unconfirmed</x:v>
      </x:c>
      <x:c r="I80" s="425" t="str">
        <x:v>Official ESPN schedule lists Mississippi State Bulldogs at 1-0. Current starters, depth-chart usage, injuries and specialist roles require later confirmation.</x:v>
      </x:c>
      <x:c r="J80" s="425" t="str"/>
      <x:c r="K80" s="425" t="str"/>
      <x:c r="L80" s="425" t="str">
        <x:v>https://www.espn.com/college-football/game/_/gameId/401856677/mississippi-st-minnesota</x:v>
      </x:c>
    </x:row>
    <x:row r="81" ht="38" customHeight="1">
      <x:c r="A81" s="425" t="str">
        <x:v>2026-09-12</x:v>
      </x:c>
      <x:c r="B81" s="425" t="str">
        <x:v>Football</x:v>
      </x:c>
      <x:c r="C81" s="425" t="str">
        <x:v>CFB</x:v>
      </x:c>
      <x:c r="D81" s="425" t="str">
        <x:v>Weber State Wildcats at Colorado Buffaloes</x:v>
      </x:c>
      <x:c r="E81" s="425" t="str">
        <x:v>2026-09-12T19:30Z</x:v>
      </x:c>
      <x:c r="F81" s="425" t="str">
        <x:v>PROSPECTIVE</x:v>
      </x:c>
      <x:c r="G81" s="425" t="str">
        <x:v>Colorado Buffaloes</x:v>
      </x:c>
      <x:c r="H81" s="425" t="str">
        <x:v>Scheduled team; player lineup and specialist roles unconfirmed</x:v>
      </x:c>
      <x:c r="I81" s="425" t="str">
        <x:v>Official ESPN schedule lists Colorado Buffaloes at 1-0. Current starters, depth-chart usage, injuries and specialist roles require later confirmation.</x:v>
      </x:c>
      <x:c r="J81" s="425" t="str"/>
      <x:c r="K81" s="425" t="str"/>
      <x:c r="L81" s="425" t="str">
        <x:v>https://www.espn.com/college-football/game/_/gameId/401856785/weber-st-colorado</x:v>
      </x:c>
    </x:row>
    <x:row r="82" ht="38" customHeight="1">
      <x:c r="A82" s="425" t="str">
        <x:v>2026-09-12</x:v>
      </x:c>
      <x:c r="B82" s="425" t="str">
        <x:v>Football</x:v>
      </x:c>
      <x:c r="C82" s="425" t="str">
        <x:v>CFB</x:v>
      </x:c>
      <x:c r="D82" s="425" t="str">
        <x:v>Weber State Wildcats at Colorado Buffaloes</x:v>
      </x:c>
      <x:c r="E82" s="425" t="str">
        <x:v>2026-09-12T19:30Z</x:v>
      </x:c>
      <x:c r="F82" s="425" t="str">
        <x:v>PROSPECTIVE</x:v>
      </x:c>
      <x:c r="G82" s="425" t="str">
        <x:v>Weber State Wildcats</x:v>
      </x:c>
      <x:c r="H82" s="425" t="str">
        <x:v>Scheduled team; player lineup and specialist roles unconfirmed</x:v>
      </x:c>
      <x:c r="I82" s="425" t="str">
        <x:v>Official ESPN schedule lists Weber State Wildcats at 1-1. Current starters, depth-chart usage, injuries and specialist roles require later confirmation.</x:v>
      </x:c>
      <x:c r="J82" s="425" t="str"/>
      <x:c r="K82" s="425" t="str"/>
      <x:c r="L82" s="425" t="str">
        <x:v>https://www.espn.com/college-football/game/_/gameId/401856785/weber-st-colorado</x:v>
      </x:c>
    </x:row>
    <x:row r="83" ht="38" customHeight="1">
      <x:c r="A83" s="425" t="str">
        <x:v>2026-09-12</x:v>
      </x:c>
      <x:c r="B83" s="425" t="str">
        <x:v>Football</x:v>
      </x:c>
      <x:c r="C83" s="425" t="str">
        <x:v>CFB</x:v>
      </x:c>
      <x:c r="D83" s="425" t="str">
        <x:v>UCF Knights at Pittsburgh Panthers</x:v>
      </x:c>
      <x:c r="E83" s="425" t="str">
        <x:v>2026-09-12T19:30Z</x:v>
      </x:c>
      <x:c r="F83" s="425" t="str">
        <x:v>PROSPECTIVE</x:v>
      </x:c>
      <x:c r="G83" s="425" t="str">
        <x:v>Pittsburgh Panthers</x:v>
      </x:c>
      <x:c r="H83" s="425" t="str">
        <x:v>Scheduled team; player lineup and specialist roles unconfirmed</x:v>
      </x:c>
      <x:c r="I83" s="425" t="str">
        <x:v>Official ESPN schedule lists Pittsburgh Panthers at 1-0. Current starters, depth-chart usage, injuries and specialist roles require later confirmation.</x:v>
      </x:c>
      <x:c r="J83" s="425" t="str"/>
      <x:c r="K83" s="425" t="str"/>
      <x:c r="L83" s="425" t="str">
        <x:v>https://www.espn.com/college-football/game/_/gameId/401856790/ucf-pitt</x:v>
      </x:c>
    </x:row>
    <x:row r="84" ht="38" customHeight="1">
      <x:c r="A84" s="425" t="str">
        <x:v>2026-09-12</x:v>
      </x:c>
      <x:c r="B84" s="425" t="str">
        <x:v>Football</x:v>
      </x:c>
      <x:c r="C84" s="425" t="str">
        <x:v>CFB</x:v>
      </x:c>
      <x:c r="D84" s="425" t="str">
        <x:v>UCF Knights at Pittsburgh Panthers</x:v>
      </x:c>
      <x:c r="E84" s="425" t="str">
        <x:v>2026-09-12T19:30Z</x:v>
      </x:c>
      <x:c r="F84" s="425" t="str">
        <x:v>PROSPECTIVE</x:v>
      </x:c>
      <x:c r="G84" s="425" t="str">
        <x:v>UCF Knights</x:v>
      </x:c>
      <x:c r="H84" s="425" t="str">
        <x:v>Scheduled team; player lineup and specialist roles unconfirmed</x:v>
      </x:c>
      <x:c r="I84" s="425" t="str">
        <x:v>Official ESPN schedule lists UCF Knights at 1-0. Current starters, depth-chart usage, injuries and specialist roles require later confirmation.</x:v>
      </x:c>
      <x:c r="J84" s="425" t="str"/>
      <x:c r="K84" s="425" t="str"/>
      <x:c r="L84" s="425" t="str">
        <x:v>https://www.espn.com/college-football/game/_/gameId/401856790/ucf-pitt</x:v>
      </x:c>
    </x:row>
    <x:row r="85" ht="38" customHeight="1">
      <x:c r="A85" s="425" t="str">
        <x:v>2026-09-12</x:v>
      </x:c>
      <x:c r="B85" s="425" t="str">
        <x:v>Football</x:v>
      </x:c>
      <x:c r="C85" s="425" t="str">
        <x:v>CFB</x:v>
      </x:c>
      <x:c r="D85" s="425" t="str">
        <x:v>California Golden Bears at Syracuse Orange</x:v>
      </x:c>
      <x:c r="E85" s="425" t="str">
        <x:v>2026-09-12T19:30Z</x:v>
      </x:c>
      <x:c r="F85" s="425" t="str">
        <x:v>PROSPECTIVE</x:v>
      </x:c>
      <x:c r="G85" s="425" t="str">
        <x:v>Syracuse Orange</x:v>
      </x:c>
      <x:c r="H85" s="425" t="str">
        <x:v>Scheduled team; player lineup and specialist roles unconfirmed</x:v>
      </x:c>
      <x:c r="I85" s="425" t="str">
        <x:v>Official ESPN schedule lists Syracuse Orange at 1-0. Current starters, depth-chart usage, injuries and specialist roles require later confirmation.</x:v>
      </x:c>
      <x:c r="J85" s="425" t="str"/>
      <x:c r="K85" s="425" t="str"/>
      <x:c r="L85" s="425" t="str">
        <x:v>https://www.espn.com/college-football/game/_/gameId/401858216/california-syracuse</x:v>
      </x:c>
    </x:row>
    <x:row r="86" ht="38" customHeight="1">
      <x:c r="A86" s="425" t="str">
        <x:v>2026-09-12</x:v>
      </x:c>
      <x:c r="B86" s="425" t="str">
        <x:v>Football</x:v>
      </x:c>
      <x:c r="C86" s="425" t="str">
        <x:v>CFB</x:v>
      </x:c>
      <x:c r="D86" s="425" t="str">
        <x:v>California Golden Bears at Syracuse Orange</x:v>
      </x:c>
      <x:c r="E86" s="425" t="str">
        <x:v>2026-09-12T19:30Z</x:v>
      </x:c>
      <x:c r="F86" s="425" t="str">
        <x:v>PROSPECTIVE</x:v>
      </x:c>
      <x:c r="G86" s="425" t="str">
        <x:v>California Golden Bears</x:v>
      </x:c>
      <x:c r="H86" s="425" t="str">
        <x:v>Scheduled team; player lineup and specialist roles unconfirmed</x:v>
      </x:c>
      <x:c r="I86" s="425" t="str">
        <x:v>Official ESPN schedule lists California Golden Bears at 0-1. Current starters, depth-chart usage, injuries and specialist roles require later confirmation.</x:v>
      </x:c>
      <x:c r="J86" s="425" t="str"/>
      <x:c r="K86" s="425" t="str"/>
      <x:c r="L86" s="425" t="str">
        <x:v>https://www.espn.com/college-football/game/_/gameId/401858216/california-syracuse</x:v>
      </x:c>
    </x:row>
    <x:row r="87" ht="38" customHeight="1">
      <x:c r="A87" s="425" t="str">
        <x:v>2026-09-12</x:v>
      </x:c>
      <x:c r="B87" s="425" t="str">
        <x:v>Football</x:v>
      </x:c>
      <x:c r="C87" s="425" t="str">
        <x:v>CFB</x:v>
      </x:c>
      <x:c r="D87" s="425" t="str">
        <x:v>Duke Blue Devils at Illinois Fighting Illini</x:v>
      </x:c>
      <x:c r="E87" s="425" t="str">
        <x:v>2026-09-12T19:30Z</x:v>
      </x:c>
      <x:c r="F87" s="425" t="str">
        <x:v>PROSPECTIVE</x:v>
      </x:c>
      <x:c r="G87" s="425" t="str">
        <x:v>Illinois Fighting Illini</x:v>
      </x:c>
      <x:c r="H87" s="425" t="str">
        <x:v>Scheduled team; player lineup and specialist roles unconfirmed</x:v>
      </x:c>
      <x:c r="I87" s="425" t="str">
        <x:v>Official ESPN schedule lists Illinois Fighting Illini at 1-0. Current starters, depth-chart usage, injuries and specialist roles require later confirmation.</x:v>
      </x:c>
      <x:c r="J87" s="425" t="str"/>
      <x:c r="K87" s="425" t="str"/>
      <x:c r="L87" s="425" t="str">
        <x:v>https://www.espn.com/college-football/game/_/gameId/401858217/duke-illinois</x:v>
      </x:c>
    </x:row>
    <x:row r="88" ht="38" customHeight="1">
      <x:c r="A88" s="425" t="str">
        <x:v>2026-09-12</x:v>
      </x:c>
      <x:c r="B88" s="425" t="str">
        <x:v>Football</x:v>
      </x:c>
      <x:c r="C88" s="425" t="str">
        <x:v>CFB</x:v>
      </x:c>
      <x:c r="D88" s="425" t="str">
        <x:v>Duke Blue Devils at Illinois Fighting Illini</x:v>
      </x:c>
      <x:c r="E88" s="425" t="str">
        <x:v>2026-09-12T19:30Z</x:v>
      </x:c>
      <x:c r="F88" s="425" t="str">
        <x:v>PROSPECTIVE</x:v>
      </x:c>
      <x:c r="G88" s="425" t="str">
        <x:v>Duke Blue Devils</x:v>
      </x:c>
      <x:c r="H88" s="425" t="str">
        <x:v>Scheduled team; player lineup and specialist roles unconfirmed</x:v>
      </x:c>
      <x:c r="I88" s="425" t="str">
        <x:v>Official ESPN schedule lists Duke Blue Devils at 1-0. Current starters, depth-chart usage, injuries and specialist roles require later confirmation.</x:v>
      </x:c>
      <x:c r="J88" s="425" t="str"/>
      <x:c r="K88" s="425" t="str"/>
      <x:c r="L88" s="425" t="str">
        <x:v>https://www.espn.com/college-football/game/_/gameId/401858217/duke-illinois</x:v>
      </x:c>
    </x:row>
    <x:row r="89" ht="38" customHeight="1">
      <x:c r="A89" s="425" t="str">
        <x:v>2026-09-12</x:v>
      </x:c>
      <x:c r="B89" s="425" t="str">
        <x:v>Football</x:v>
      </x:c>
      <x:c r="C89" s="425" t="str">
        <x:v>CFB</x:v>
      </x:c>
      <x:c r="D89" s="425" t="str">
        <x:v>Eastern Michigan Eagles at Michigan State Spartans</x:v>
      </x:c>
      <x:c r="E89" s="425" t="str">
        <x:v>2026-09-12T19:30Z</x:v>
      </x:c>
      <x:c r="F89" s="425" t="str">
        <x:v>PROSPECTIVE</x:v>
      </x:c>
      <x:c r="G89" s="425" t="str">
        <x:v>Michigan State Spartans</x:v>
      </x:c>
      <x:c r="H89" s="425" t="str">
        <x:v>Scheduled team; player lineup and specialist roles unconfirmed</x:v>
      </x:c>
      <x:c r="I89" s="425" t="str">
        <x:v>Official ESPN schedule lists Michigan State Spartans at 1-0. Current starters, depth-chart usage, injuries and specialist roles require later confirmation.</x:v>
      </x:c>
      <x:c r="J89" s="425" t="str"/>
      <x:c r="K89" s="425" t="str"/>
      <x:c r="L89" s="425" t="str">
        <x:v>https://www.espn.com/college-football/game/_/gameId/401858440/e-michigan-michigan-st</x:v>
      </x:c>
    </x:row>
    <x:row r="90" ht="38" customHeight="1">
      <x:c r="A90" s="425" t="str">
        <x:v>2026-09-12</x:v>
      </x:c>
      <x:c r="B90" s="425" t="str">
        <x:v>Football</x:v>
      </x:c>
      <x:c r="C90" s="425" t="str">
        <x:v>CFB</x:v>
      </x:c>
      <x:c r="D90" s="425" t="str">
        <x:v>Eastern Michigan Eagles at Michigan State Spartans</x:v>
      </x:c>
      <x:c r="E90" s="425" t="str">
        <x:v>2026-09-12T19:30Z</x:v>
      </x:c>
      <x:c r="F90" s="425" t="str">
        <x:v>PROSPECTIVE</x:v>
      </x:c>
      <x:c r="G90" s="425" t="str">
        <x:v>Eastern Michigan Eagles</x:v>
      </x:c>
      <x:c r="H90" s="425" t="str">
        <x:v>Scheduled team; player lineup and specialist roles unconfirmed</x:v>
      </x:c>
      <x:c r="I90" s="425" t="str">
        <x:v>Official ESPN schedule lists Eastern Michigan Eagles at 1-1. Current starters, depth-chart usage, injuries and specialist roles require later confirmation.</x:v>
      </x:c>
      <x:c r="J90" s="425" t="str"/>
      <x:c r="K90" s="425" t="str"/>
      <x:c r="L90" s="425" t="str">
        <x:v>https://www.espn.com/college-football/game/_/gameId/401858440/e-michigan-michigan-st</x:v>
      </x:c>
    </x:row>
    <x:row r="91" ht="38" customHeight="1">
      <x:c r="A91" s="425" t="str">
        <x:v>2026-09-12</x:v>
      </x:c>
      <x:c r="B91" s="425" t="str">
        <x:v>Football</x:v>
      </x:c>
      <x:c r="C91" s="425" t="str">
        <x:v>CFB</x:v>
      </x:c>
      <x:c r="D91" s="425" t="str">
        <x:v>Maryland Terrapins at UConn Huskies</x:v>
      </x:c>
      <x:c r="E91" s="425" t="str">
        <x:v>2026-09-12T19:30Z</x:v>
      </x:c>
      <x:c r="F91" s="425" t="str">
        <x:v>PROSPECTIVE</x:v>
      </x:c>
      <x:c r="G91" s="425" t="str">
        <x:v>UConn Huskies</x:v>
      </x:c>
      <x:c r="H91" s="425" t="str">
        <x:v>Scheduled team; player lineup and specialist roles unconfirmed</x:v>
      </x:c>
      <x:c r="I91" s="425" t="str">
        <x:v>Official ESPN schedule lists UConn Huskies at 1-0. Current starters, depth-chart usage, injuries and specialist roles require later confirmation.</x:v>
      </x:c>
      <x:c r="J91" s="425" t="str"/>
      <x:c r="K91" s="425" t="str"/>
      <x:c r="L91" s="425" t="str">
        <x:v>https://www.espn.com/college-football/game/_/gameId/401858444/maryland-uconn</x:v>
      </x:c>
    </x:row>
    <x:row r="92" ht="38" customHeight="1">
      <x:c r="A92" s="425" t="str">
        <x:v>2026-09-12</x:v>
      </x:c>
      <x:c r="B92" s="425" t="str">
        <x:v>Football</x:v>
      </x:c>
      <x:c r="C92" s="425" t="str">
        <x:v>CFB</x:v>
      </x:c>
      <x:c r="D92" s="425" t="str">
        <x:v>Maryland Terrapins at UConn Huskies</x:v>
      </x:c>
      <x:c r="E92" s="425" t="str">
        <x:v>2026-09-12T19:30Z</x:v>
      </x:c>
      <x:c r="F92" s="425" t="str">
        <x:v>PROSPECTIVE</x:v>
      </x:c>
      <x:c r="G92" s="425" t="str">
        <x:v>Maryland Terrapins</x:v>
      </x:c>
      <x:c r="H92" s="425" t="str">
        <x:v>Scheduled team; player lineup and specialist roles unconfirmed</x:v>
      </x:c>
      <x:c r="I92" s="425" t="str">
        <x:v>Official ESPN schedule lists Maryland Terrapins at 1-0. Current starters, depth-chart usage, injuries and specialist roles require later confirmation.</x:v>
      </x:c>
      <x:c r="J92" s="425" t="str"/>
      <x:c r="K92" s="425" t="str"/>
      <x:c r="L92" s="425" t="str">
        <x:v>https://www.espn.com/college-football/game/_/gameId/401858444/maryland-uconn</x:v>
      </x:c>
    </x:row>
    <x:row r="93" ht="38" customHeight="1">
      <x:c r="A93" s="425" t="str">
        <x:v>2026-09-12</x:v>
      </x:c>
      <x:c r="B93" s="425" t="str">
        <x:v>Football</x:v>
      </x:c>
      <x:c r="C93" s="425" t="str">
        <x:v>CFB</x:v>
      </x:c>
      <x:c r="D93" s="425" t="str">
        <x:v>UTSA Roadrunners at Texas State Bobcats</x:v>
      </x:c>
      <x:c r="E93" s="425" t="str">
        <x:v>2026-09-12T19:30Z</x:v>
      </x:c>
      <x:c r="F93" s="425" t="str">
        <x:v>PROSPECTIVE</x:v>
      </x:c>
      <x:c r="G93" s="425" t="str">
        <x:v>Texas State Bobcats</x:v>
      </x:c>
      <x:c r="H93" s="425" t="str">
        <x:v>Scheduled team; player lineup and specialist roles unconfirmed</x:v>
      </x:c>
      <x:c r="I93" s="425" t="str">
        <x:v>Official ESPN schedule lists Texas State Bobcats at 0-1. Current starters, depth-chart usage, injuries and specialist roles require later confirmation.</x:v>
      </x:c>
      <x:c r="J93" s="425" t="str"/>
      <x:c r="K93" s="425" t="str"/>
      <x:c r="L93" s="425" t="str">
        <x:v>https://www.espn.com/college-football/game/_/gameId/401860884/utsa-texas-st</x:v>
      </x:c>
    </x:row>
    <x:row r="94" ht="38" customHeight="1">
      <x:c r="A94" s="425" t="str">
        <x:v>2026-09-12</x:v>
      </x:c>
      <x:c r="B94" s="425" t="str">
        <x:v>Football</x:v>
      </x:c>
      <x:c r="C94" s="425" t="str">
        <x:v>CFB</x:v>
      </x:c>
      <x:c r="D94" s="425" t="str">
        <x:v>UTSA Roadrunners at Texas State Bobcats</x:v>
      </x:c>
      <x:c r="E94" s="425" t="str">
        <x:v>2026-09-12T19:30Z</x:v>
      </x:c>
      <x:c r="F94" s="425" t="str">
        <x:v>PROSPECTIVE</x:v>
      </x:c>
      <x:c r="G94" s="425" t="str">
        <x:v>UTSA Roadrunners</x:v>
      </x:c>
      <x:c r="H94" s="425" t="str">
        <x:v>Scheduled team; player lineup and specialist roles unconfirmed</x:v>
      </x:c>
      <x:c r="I94" s="425" t="str">
        <x:v>Official ESPN schedule lists UTSA Roadrunners at 1-0. Current starters, depth-chart usage, injuries and specialist roles require later confirmation.</x:v>
      </x:c>
      <x:c r="J94" s="425" t="str"/>
      <x:c r="K94" s="425" t="str"/>
      <x:c r="L94" s="425" t="str">
        <x:v>https://www.espn.com/college-football/game/_/gameId/401860884/utsa-texas-st</x:v>
      </x:c>
    </x:row>
    <x:row r="95" ht="38" customHeight="1">
      <x:c r="A95" s="425" t="str">
        <x:v>2026-09-12</x:v>
      </x:c>
      <x:c r="B95" s="425" t="str">
        <x:v>Football</x:v>
      </x:c>
      <x:c r="C95" s="425" t="str">
        <x:v>CFB</x:v>
      </x:c>
      <x:c r="D95" s="425" t="str">
        <x:v>UL Monroe Warhawks at UAB Blazers</x:v>
      </x:c>
      <x:c r="E95" s="425" t="str">
        <x:v>2026-09-12T19:30Z</x:v>
      </x:c>
      <x:c r="F95" s="425" t="str">
        <x:v>PROSPECTIVE</x:v>
      </x:c>
      <x:c r="G95" s="425" t="str">
        <x:v>UAB Blazers</x:v>
      </x:c>
      <x:c r="H95" s="425" t="str">
        <x:v>Scheduled team; player lineup and specialist roles unconfirmed</x:v>
      </x:c>
      <x:c r="I95" s="425" t="str">
        <x:v>Official ESPN schedule lists UAB Blazers at 0-1. Current starters, depth-chart usage, injuries and specialist roles require later confirmation.</x:v>
      </x:c>
      <x:c r="J95" s="425" t="str"/>
      <x:c r="K95" s="425" t="str"/>
      <x:c r="L95" s="425" t="str">
        <x:v>https://www.espn.com/college-football/game/_/gameId/401862708/ul-monroe-uab</x:v>
      </x:c>
    </x:row>
    <x:row r="96" ht="38" customHeight="1">
      <x:c r="A96" s="425" t="str">
        <x:v>2026-09-12</x:v>
      </x:c>
      <x:c r="B96" s="425" t="str">
        <x:v>Football</x:v>
      </x:c>
      <x:c r="C96" s="425" t="str">
        <x:v>CFB</x:v>
      </x:c>
      <x:c r="D96" s="425" t="str">
        <x:v>UL Monroe Warhawks at UAB Blazers</x:v>
      </x:c>
      <x:c r="E96" s="425" t="str">
        <x:v>2026-09-12T19:30Z</x:v>
      </x:c>
      <x:c r="F96" s="425" t="str">
        <x:v>PROSPECTIVE</x:v>
      </x:c>
      <x:c r="G96" s="425" t="str">
        <x:v>UL Monroe Warhawks</x:v>
      </x:c>
      <x:c r="H96" s="425" t="str">
        <x:v>Scheduled team; player lineup and specialist roles unconfirmed</x:v>
      </x:c>
      <x:c r="I96" s="425" t="str">
        <x:v>Official ESPN schedule lists UL Monroe Warhawks at 0-1. Current starters, depth-chart usage, injuries and specialist roles require later confirmation.</x:v>
      </x:c>
      <x:c r="J96" s="425" t="str"/>
      <x:c r="K96" s="425" t="str"/>
      <x:c r="L96" s="425" t="str">
        <x:v>https://www.espn.com/college-football/game/_/gameId/401862708/ul-monroe-uab</x:v>
      </x:c>
    </x:row>
    <x:row r="97" ht="38" customHeight="1">
      <x:c r="A97" s="425" t="str">
        <x:v>2026-09-12</x:v>
      </x:c>
      <x:c r="B97" s="425" t="str">
        <x:v>Football</x:v>
      </x:c>
      <x:c r="C97" s="425" t="str">
        <x:v>CFB</x:v>
      </x:c>
      <x:c r="D97" s="425" t="str">
        <x:v>Robert Morris Colonials at Akron Zips</x:v>
      </x:c>
      <x:c r="E97" s="425" t="str">
        <x:v>2026-09-12T19:30Z</x:v>
      </x:c>
      <x:c r="F97" s="425" t="str">
        <x:v>PROSPECTIVE</x:v>
      </x:c>
      <x:c r="G97" s="425" t="str">
        <x:v>Akron Zips</x:v>
      </x:c>
      <x:c r="H97" s="425" t="str">
        <x:v>Scheduled team; player lineup and specialist roles unconfirmed</x:v>
      </x:c>
      <x:c r="I97" s="425" t="str">
        <x:v>Official ESPN schedule lists Akron Zips at 0-1. Current starters, depth-chart usage, injuries and specialist roles require later confirmation.</x:v>
      </x:c>
      <x:c r="J97" s="425" t="str"/>
      <x:c r="K97" s="425" t="str"/>
      <x:c r="L97" s="425" t="str">
        <x:v>https://www.espn.com/college-football/game/_/gameId/401866412/robert-morris-akron</x:v>
      </x:c>
    </x:row>
    <x:row r="98" ht="38" customHeight="1">
      <x:c r="A98" s="425" t="str">
        <x:v>2026-09-12</x:v>
      </x:c>
      <x:c r="B98" s="425" t="str">
        <x:v>Football</x:v>
      </x:c>
      <x:c r="C98" s="425" t="str">
        <x:v>CFB</x:v>
      </x:c>
      <x:c r="D98" s="425" t="str">
        <x:v>Robert Morris Colonials at Akron Zips</x:v>
      </x:c>
      <x:c r="E98" s="425" t="str">
        <x:v>2026-09-12T19:30Z</x:v>
      </x:c>
      <x:c r="F98" s="425" t="str">
        <x:v>PROSPECTIVE</x:v>
      </x:c>
      <x:c r="G98" s="425" t="str">
        <x:v>Robert Morris Colonials</x:v>
      </x:c>
      <x:c r="H98" s="425" t="str">
        <x:v>Scheduled team; player lineup and specialist roles unconfirmed</x:v>
      </x:c>
      <x:c r="I98" s="425" t="str">
        <x:v>Official ESPN schedule lists Robert Morris Colonials at 2-0. Current starters, depth-chart usage, injuries and specialist roles require later confirmation.</x:v>
      </x:c>
      <x:c r="J98" s="425" t="str"/>
      <x:c r="K98" s="425" t="str"/>
      <x:c r="L98" s="425" t="str">
        <x:v>https://www.espn.com/college-football/game/_/gameId/401866412/robert-morris-akron</x:v>
      </x:c>
    </x:row>
    <x:row r="99" ht="38" customHeight="1">
      <x:c r="A99" s="425" t="str">
        <x:v>2026-09-12</x:v>
      </x:c>
      <x:c r="B99" s="425" t="str">
        <x:v>Football</x:v>
      </x:c>
      <x:c r="C99" s="425" t="str">
        <x:v>CFB</x:v>
      </x:c>
      <x:c r="D99" s="425" t="str">
        <x:v>Central Connecticut Blue Devils at Toledo Rockets</x:v>
      </x:c>
      <x:c r="E99" s="425" t="str">
        <x:v>2026-09-12T19:30Z</x:v>
      </x:c>
      <x:c r="F99" s="425" t="str">
        <x:v>PROSPECTIVE</x:v>
      </x:c>
      <x:c r="G99" s="425" t="str">
        <x:v>Toledo Rockets</x:v>
      </x:c>
      <x:c r="H99" s="425" t="str">
        <x:v>Scheduled team; player lineup and specialist roles unconfirmed</x:v>
      </x:c>
      <x:c r="I99" s="425" t="str">
        <x:v>Official ESPN schedule lists Toledo Rockets at 0-1. Current starters, depth-chart usage, injuries and specialist roles require later confirmation.</x:v>
      </x:c>
      <x:c r="J99" s="425" t="str"/>
      <x:c r="K99" s="425" t="str"/>
      <x:c r="L99" s="425" t="str">
        <x:v>https://www.espn.com/college-football/game/_/gameId/401866419/c-connecticut-toledo</x:v>
      </x:c>
    </x:row>
    <x:row r="100" ht="38" customHeight="1">
      <x:c r="A100" s="425" t="str">
        <x:v>2026-09-12</x:v>
      </x:c>
      <x:c r="B100" s="425" t="str">
        <x:v>Football</x:v>
      </x:c>
      <x:c r="C100" s="425" t="str">
        <x:v>CFB</x:v>
      </x:c>
      <x:c r="D100" s="425" t="str">
        <x:v>Central Connecticut Blue Devils at Toledo Rockets</x:v>
      </x:c>
      <x:c r="E100" s="425" t="str">
        <x:v>2026-09-12T19:30Z</x:v>
      </x:c>
      <x:c r="F100" s="425" t="str">
        <x:v>PROSPECTIVE</x:v>
      </x:c>
      <x:c r="G100" s="425" t="str">
        <x:v>Central Connecticut Blue Devils</x:v>
      </x:c>
      <x:c r="H100" s="425" t="str">
        <x:v>Scheduled team; player lineup and specialist roles unconfirmed</x:v>
      </x:c>
      <x:c r="I100" s="425" t="str">
        <x:v>Official ESPN schedule lists Central Connecticut Blue Devils at 0-1. Current starters, depth-chart usage, injuries and specialist roles require later confirmation.</x:v>
      </x:c>
      <x:c r="J100" s="425" t="str"/>
      <x:c r="K100" s="425" t="str"/>
      <x:c r="L100" s="425" t="str">
        <x:v>https://www.espn.com/college-football/game/_/gameId/401866419/c-connecticut-toledo</x:v>
      </x:c>
    </x:row>
    <x:row r="101" ht="38" customHeight="1">
      <x:c r="A101" s="425" t="str">
        <x:v>2026-09-12</x:v>
      </x:c>
      <x:c r="B101" s="425" t="str">
        <x:v>Football</x:v>
      </x:c>
      <x:c r="C101" s="425" t="str">
        <x:v>CFB</x:v>
      </x:c>
      <x:c r="D101" s="425" t="str">
        <x:v>Sacred Heart Pioneers at Massachusetts Minutemen</x:v>
      </x:c>
      <x:c r="E101" s="425" t="str">
        <x:v>2026-09-12T19:30Z</x:v>
      </x:c>
      <x:c r="F101" s="425" t="str">
        <x:v>PROSPECTIVE</x:v>
      </x:c>
      <x:c r="G101" s="425" t="str">
        <x:v>Massachusetts Minutemen</x:v>
      </x:c>
      <x:c r="H101" s="425" t="str">
        <x:v>Scheduled team; player lineup and specialist roles unconfirmed</x:v>
      </x:c>
      <x:c r="I101" s="425" t="str">
        <x:v>Official ESPN schedule lists Massachusetts Minutemen at 1-0. Current starters, depth-chart usage, injuries and specialist roles require later confirmation.</x:v>
      </x:c>
      <x:c r="J101" s="425" t="str"/>
      <x:c r="K101" s="425" t="str"/>
      <x:c r="L101" s="425" t="str">
        <x:v>https://www.espn.com/college-football/game/_/gameId/401866420/sacred-heart-umass</x:v>
      </x:c>
    </x:row>
    <x:row r="102" ht="38" customHeight="1">
      <x:c r="A102" s="425" t="str">
        <x:v>2026-09-12</x:v>
      </x:c>
      <x:c r="B102" s="425" t="str">
        <x:v>Football</x:v>
      </x:c>
      <x:c r="C102" s="425" t="str">
        <x:v>CFB</x:v>
      </x:c>
      <x:c r="D102" s="425" t="str">
        <x:v>Sacred Heart Pioneers at Massachusetts Minutemen</x:v>
      </x:c>
      <x:c r="E102" s="425" t="str">
        <x:v>2026-09-12T19:30Z</x:v>
      </x:c>
      <x:c r="F102" s="425" t="str">
        <x:v>PROSPECTIVE</x:v>
      </x:c>
      <x:c r="G102" s="425" t="str">
        <x:v>Sacred Heart Pioneers</x:v>
      </x:c>
      <x:c r="H102" s="425" t="str">
        <x:v>Scheduled team; player lineup and specialist roles unconfirmed</x:v>
      </x:c>
      <x:c r="I102" s="425" t="str">
        <x:v>Official ESPN schedule lists Sacred Heart Pioneers at 0-1. Current starters, depth-chart usage, injuries and specialist roles require later confirmation.</x:v>
      </x:c>
      <x:c r="J102" s="425" t="str"/>
      <x:c r="K102" s="425" t="str"/>
      <x:c r="L102" s="425" t="str">
        <x:v>https://www.espn.com/college-football/game/_/gameId/401866420/sacred-heart-umass</x:v>
      </x:c>
    </x:row>
    <x:row r="103" ht="38" customHeight="1">
      <x:c r="A103" s="425" t="str">
        <x:v>2026-09-12</x:v>
      </x:c>
      <x:c r="B103" s="425" t="str">
        <x:v>Football</x:v>
      </x:c>
      <x:c r="C103" s="425" t="str">
        <x:v>CFB</x:v>
      </x:c>
      <x:c r="D103" s="425" t="str">
        <x:v>UNLV Rebels at North Texas Mean Green</x:v>
      </x:c>
      <x:c r="E103" s="425" t="str">
        <x:v>2026-09-12T19:45Z</x:v>
      </x:c>
      <x:c r="F103" s="425" t="str">
        <x:v>PROSPECTIVE</x:v>
      </x:c>
      <x:c r="G103" s="425" t="str">
        <x:v>North Texas Mean Green</x:v>
      </x:c>
      <x:c r="H103" s="425" t="str">
        <x:v>Scheduled team; player lineup and specialist roles unconfirmed</x:v>
      </x:c>
      <x:c r="I103" s="425" t="str">
        <x:v>Official ESPN schedule lists North Texas Mean Green at 0-1. Current starters, depth-chart usage, injuries and specialist roles require later confirmation.</x:v>
      </x:c>
      <x:c r="J103" s="425" t="str"/>
      <x:c r="K103" s="425" t="str"/>
      <x:c r="L103" s="425" t="str">
        <x:v>https://www.espn.com/college-football/game/_/gameId/401862705/unlv-north-texas</x:v>
      </x:c>
    </x:row>
    <x:row r="104" ht="38" customHeight="1">
      <x:c r="A104" s="425" t="str">
        <x:v>2026-09-12</x:v>
      </x:c>
      <x:c r="B104" s="425" t="str">
        <x:v>Football</x:v>
      </x:c>
      <x:c r="C104" s="425" t="str">
        <x:v>CFB</x:v>
      </x:c>
      <x:c r="D104" s="425" t="str">
        <x:v>UNLV Rebels at North Texas Mean Green</x:v>
      </x:c>
      <x:c r="E104" s="425" t="str">
        <x:v>2026-09-12T19:45Z</x:v>
      </x:c>
      <x:c r="F104" s="425" t="str">
        <x:v>PROSPECTIVE</x:v>
      </x:c>
      <x:c r="G104" s="425" t="str">
        <x:v>UNLV Rebels</x:v>
      </x:c>
      <x:c r="H104" s="425" t="str">
        <x:v>Scheduled team; player lineup and specialist roles unconfirmed</x:v>
      </x:c>
      <x:c r="I104" s="425" t="str">
        <x:v>Official ESPN schedule lists UNLV Rebels at 1-1. Current starters, depth-chart usage, injuries and specialist roles require later confirmation.</x:v>
      </x:c>
      <x:c r="J104" s="425" t="str"/>
      <x:c r="K104" s="425" t="str"/>
      <x:c r="L104" s="425" t="str">
        <x:v>https://www.espn.com/college-football/game/_/gameId/401862705/unlv-north-texas</x:v>
      </x:c>
    </x:row>
    <x:row r="105" ht="38" customHeight="1">
      <x:c r="A105" s="425" t="str">
        <x:v>2026-09-12</x:v>
      </x:c>
      <x:c r="B105" s="425" t="str">
        <x:v>Football</x:v>
      </x:c>
      <x:c r="C105" s="425" t="str">
        <x:v>CFB</x:v>
      </x:c>
      <x:c r="D105" s="425" t="str">
        <x:v>UC Davis Aggies at SMU Mustangs</x:v>
      </x:c>
      <x:c r="E105" s="425" t="str">
        <x:v>2026-09-12T20:00Z</x:v>
      </x:c>
      <x:c r="F105" s="425" t="str">
        <x:v>PROSPECTIVE</x:v>
      </x:c>
      <x:c r="G105" s="425" t="str">
        <x:v>SMU Mustangs</x:v>
      </x:c>
      <x:c r="H105" s="425" t="str">
        <x:v>Scheduled team; player lineup and specialist roles unconfirmed</x:v>
      </x:c>
      <x:c r="I105" s="425" t="str">
        <x:v>Official ESPN schedule lists SMU Mustangs at 1-0. Current starters, depth-chart usage, injuries and specialist roles require later confirmation.</x:v>
      </x:c>
      <x:c r="J105" s="425" t="str"/>
      <x:c r="K105" s="425" t="str"/>
      <x:c r="L105" s="425" t="str">
        <x:v>https://www.espn.com/college-football/game/_/gameId/401858223/uc-davis-smu</x:v>
      </x:c>
    </x:row>
    <x:row r="106" ht="38" customHeight="1">
      <x:c r="A106" s="425" t="str">
        <x:v>2026-09-12</x:v>
      </x:c>
      <x:c r="B106" s="425" t="str">
        <x:v>Football</x:v>
      </x:c>
      <x:c r="C106" s="425" t="str">
        <x:v>CFB</x:v>
      </x:c>
      <x:c r="D106" s="425" t="str">
        <x:v>UC Davis Aggies at SMU Mustangs</x:v>
      </x:c>
      <x:c r="E106" s="425" t="str">
        <x:v>2026-09-12T20:00Z</x:v>
      </x:c>
      <x:c r="F106" s="425" t="str">
        <x:v>PROSPECTIVE</x:v>
      </x:c>
      <x:c r="G106" s="425" t="str">
        <x:v>UC Davis Aggies</x:v>
      </x:c>
      <x:c r="H106" s="425" t="str">
        <x:v>Scheduled team; player lineup and specialist roles unconfirmed</x:v>
      </x:c>
      <x:c r="I106" s="425" t="str">
        <x:v>Official ESPN schedule lists UC Davis Aggies at 2-0. Current starters, depth-chart usage, injuries and specialist roles require later confirmation.</x:v>
      </x:c>
      <x:c r="J106" s="425" t="str"/>
      <x:c r="K106" s="425" t="str"/>
      <x:c r="L106" s="425" t="str">
        <x:v>https://www.espn.com/college-football/game/_/gameId/401858223/uc-davis-smu</x:v>
      </x:c>
    </x:row>
    <x:row r="107" ht="38" customHeight="1">
      <x:c r="A107" s="425" t="str">
        <x:v>2026-09-12</x:v>
      </x:c>
      <x:c r="B107" s="425" t="str">
        <x:v>Football</x:v>
      </x:c>
      <x:c r="C107" s="425" t="str">
        <x:v>CFB</x:v>
      </x:c>
      <x:c r="D107" s="425" t="str">
        <x:v>Northern Colorado Bears at Wyoming Cowboys</x:v>
      </x:c>
      <x:c r="E107" s="425" t="str">
        <x:v>2026-09-12T20:00Z</x:v>
      </x:c>
      <x:c r="F107" s="425" t="str">
        <x:v>PROSPECTIVE</x:v>
      </x:c>
      <x:c r="G107" s="425" t="str">
        <x:v>Wyoming Cowboys</x:v>
      </x:c>
      <x:c r="H107" s="425" t="str">
        <x:v>Scheduled team; player lineup and specialist roles unconfirmed</x:v>
      </x:c>
      <x:c r="I107" s="425" t="str">
        <x:v>Official ESPN schedule lists Wyoming Cowboys at 0-1. Current starters, depth-chart usage, injuries and specialist roles require later confirmation.</x:v>
      </x:c>
      <x:c r="J107" s="425" t="str"/>
      <x:c r="K107" s="425" t="str"/>
      <x:c r="L107" s="425" t="str">
        <x:v>https://www.espn.com/college-football/game/_/gameId/401864506/n-colorado-wyoming</x:v>
      </x:c>
    </x:row>
    <x:row r="108" ht="38" customHeight="1">
      <x:c r="A108" s="425" t="str">
        <x:v>2026-09-12</x:v>
      </x:c>
      <x:c r="B108" s="425" t="str">
        <x:v>Football</x:v>
      </x:c>
      <x:c r="C108" s="425" t="str">
        <x:v>CFB</x:v>
      </x:c>
      <x:c r="D108" s="425" t="str">
        <x:v>Northern Colorado Bears at Wyoming Cowboys</x:v>
      </x:c>
      <x:c r="E108" s="425" t="str">
        <x:v>2026-09-12T20:00Z</x:v>
      </x:c>
      <x:c r="F108" s="425" t="str">
        <x:v>PROSPECTIVE</x:v>
      </x:c>
      <x:c r="G108" s="425" t="str">
        <x:v>Northern Colorado Bears</x:v>
      </x:c>
      <x:c r="H108" s="425" t="str">
        <x:v>Scheduled team; player lineup and specialist roles unconfirmed</x:v>
      </x:c>
      <x:c r="I108" s="425" t="str">
        <x:v>Official ESPN schedule lists Northern Colorado Bears at 0-2. Current starters, depth-chart usage, injuries and specialist roles require later confirmation.</x:v>
      </x:c>
      <x:c r="J108" s="425" t="str"/>
      <x:c r="K108" s="425" t="str"/>
      <x:c r="L108" s="425" t="str">
        <x:v>https://www.espn.com/college-football/game/_/gameId/401864506/n-colorado-wyoming</x:v>
      </x:c>
    </x:row>
    <x:row r="109" ht="38" customHeight="1">
      <x:c r="A109" s="425" t="str">
        <x:v>2026-09-12</x:v>
      </x:c>
      <x:c r="B109" s="425" t="str">
        <x:v>Football</x:v>
      </x:c>
      <x:c r="C109" s="425" t="str">
        <x:v>CFB</x:v>
      </x:c>
      <x:c r="D109" s="425" t="str">
        <x:v>Mercyhurst Lakers at New Mexico Lobos</x:v>
      </x:c>
      <x:c r="E109" s="425" t="str">
        <x:v>2026-09-12T20:00Z</x:v>
      </x:c>
      <x:c r="F109" s="425" t="str">
        <x:v>PROSPECTIVE</x:v>
      </x:c>
      <x:c r="G109" s="425" t="str">
        <x:v>New Mexico Lobos</x:v>
      </x:c>
      <x:c r="H109" s="425" t="str">
        <x:v>Scheduled team; player lineup and specialist roles unconfirmed</x:v>
      </x:c>
      <x:c r="I109" s="425" t="str">
        <x:v>Official ESPN schedule lists New Mexico Lobos at 1-0. Current starters, depth-chart usage, injuries and specialist roles require later confirmation.</x:v>
      </x:c>
      <x:c r="J109" s="425" t="str"/>
      <x:c r="K109" s="425" t="str"/>
      <x:c r="L109" s="425" t="str">
        <x:v>https://www.espn.com/college-football/game/_/gameId/401865252/mercyhurst-new-mexico</x:v>
      </x:c>
    </x:row>
    <x:row r="110" ht="38" customHeight="1">
      <x:c r="A110" s="425" t="str">
        <x:v>2026-09-12</x:v>
      </x:c>
      <x:c r="B110" s="425" t="str">
        <x:v>Football</x:v>
      </x:c>
      <x:c r="C110" s="425" t="str">
        <x:v>CFB</x:v>
      </x:c>
      <x:c r="D110" s="425" t="str">
        <x:v>Mercyhurst Lakers at New Mexico Lobos</x:v>
      </x:c>
      <x:c r="E110" s="425" t="str">
        <x:v>2026-09-12T20:00Z</x:v>
      </x:c>
      <x:c r="F110" s="425" t="str">
        <x:v>PROSPECTIVE</x:v>
      </x:c>
      <x:c r="G110" s="425" t="str">
        <x:v>Mercyhurst Lakers</x:v>
      </x:c>
      <x:c r="H110" s="425" t="str">
        <x:v>Scheduled team; player lineup and specialist roles unconfirmed</x:v>
      </x:c>
      <x:c r="I110" s="425" t="str">
        <x:v>Official ESPN schedule lists Mercyhurst Lakers at 0-2. Current starters, depth-chart usage, injuries and specialist roles require later confirmation.</x:v>
      </x:c>
      <x:c r="J110" s="425" t="str"/>
      <x:c r="K110" s="425" t="str"/>
      <x:c r="L110" s="425" t="str">
        <x:v>https://www.espn.com/college-football/game/_/gameId/401865252/mercyhurst-new-mexico</x:v>
      </x:c>
    </x:row>
    <x:row r="111" ht="38" customHeight="1">
      <x:c r="A111" s="425" t="str">
        <x:v>2026-09-12</x:v>
      </x:c>
      <x:c r="B111" s="425" t="str">
        <x:v>Football</x:v>
      </x:c>
      <x:c r="C111" s="425" t="str">
        <x:v>CFB</x:v>
      </x:c>
      <x:c r="D111" s="425" t="str">
        <x:v>Alabama State Hornets at Troy Trojans</x:v>
      </x:c>
      <x:c r="E111" s="425" t="str">
        <x:v>2026-09-12T20:00Z</x:v>
      </x:c>
      <x:c r="F111" s="425" t="str">
        <x:v>PROSPECTIVE</x:v>
      </x:c>
      <x:c r="G111" s="425" t="str">
        <x:v>Troy Trojans</x:v>
      </x:c>
      <x:c r="H111" s="425" t="str">
        <x:v>Scheduled team; player lineup and specialist roles unconfirmed</x:v>
      </x:c>
      <x:c r="I111" s="425" t="str">
        <x:v>Official ESPN schedule lists Troy Trojans at 1-0. Current starters, depth-chart usage, injuries and specialist roles require later confirmation.</x:v>
      </x:c>
      <x:c r="J111" s="425" t="str"/>
      <x:c r="K111" s="425" t="str"/>
      <x:c r="L111" s="425" t="str">
        <x:v>https://www.espn.com/college-football/game/_/gameId/401868326/alabama-st-troy</x:v>
      </x:c>
    </x:row>
    <x:row r="112" ht="38" customHeight="1">
      <x:c r="A112" s="425" t="str">
        <x:v>2026-09-12</x:v>
      </x:c>
      <x:c r="B112" s="425" t="str">
        <x:v>Football</x:v>
      </x:c>
      <x:c r="C112" s="425" t="str">
        <x:v>CFB</x:v>
      </x:c>
      <x:c r="D112" s="425" t="str">
        <x:v>Alabama State Hornets at Troy Trojans</x:v>
      </x:c>
      <x:c r="E112" s="425" t="str">
        <x:v>2026-09-12T20:00Z</x:v>
      </x:c>
      <x:c r="F112" s="425" t="str">
        <x:v>PROSPECTIVE</x:v>
      </x:c>
      <x:c r="G112" s="425" t="str">
        <x:v>Alabama State Hornets</x:v>
      </x:c>
      <x:c r="H112" s="425" t="str">
        <x:v>Scheduled team; player lineup and specialist roles unconfirmed</x:v>
      </x:c>
      <x:c r="I112" s="425" t="str">
        <x:v>Official ESPN schedule lists Alabama State Hornets at 2-0. Current starters, depth-chart usage, injuries and specialist roles require later confirmation.</x:v>
      </x:c>
      <x:c r="J112" s="425" t="str"/>
      <x:c r="K112" s="425" t="str"/>
      <x:c r="L112" s="425" t="str">
        <x:v>https://www.espn.com/college-football/game/_/gameId/401868326/alabama-st-troy</x:v>
      </x:c>
    </x:row>
    <x:row r="113" ht="38" customHeight="1">
      <x:c r="A113" s="425" t="str">
        <x:v>2026-09-12</x:v>
      </x:c>
      <x:c r="B113" s="425" t="str">
        <x:v>Football</x:v>
      </x:c>
      <x:c r="C113" s="425" t="str">
        <x:v>CFB</x:v>
      </x:c>
      <x:c r="D113" s="425" t="str">
        <x:v>Delaware Blue Hens at Vanderbilt Commodores</x:v>
      </x:c>
      <x:c r="E113" s="425" t="str">
        <x:v>2026-09-12T20:15Z</x:v>
      </x:c>
      <x:c r="F113" s="425" t="str">
        <x:v>PROSPECTIVE</x:v>
      </x:c>
      <x:c r="G113" s="425" t="str">
        <x:v>Vanderbilt Commodores</x:v>
      </x:c>
      <x:c r="H113" s="425" t="str">
        <x:v>Scheduled team; player lineup and specialist roles unconfirmed</x:v>
      </x:c>
      <x:c r="I113" s="425" t="str">
        <x:v>Official ESPN schedule lists Vanderbilt Commodores at 1-0. Current starters, depth-chart usage, injuries and specialist roles require later confirmation.</x:v>
      </x:c>
      <x:c r="J113" s="425" t="str"/>
      <x:c r="K113" s="425" t="str"/>
      <x:c r="L113" s="425" t="str">
        <x:v>https://www.espn.com/college-football/game/_/gameId/401856684/delaware-vanderbilt</x:v>
      </x:c>
    </x:row>
    <x:row r="114" ht="38" customHeight="1">
      <x:c r="A114" s="425" t="str">
        <x:v>2026-09-12</x:v>
      </x:c>
      <x:c r="B114" s="425" t="str">
        <x:v>Football</x:v>
      </x:c>
      <x:c r="C114" s="425" t="str">
        <x:v>CFB</x:v>
      </x:c>
      <x:c r="D114" s="425" t="str">
        <x:v>Delaware Blue Hens at Vanderbilt Commodores</x:v>
      </x:c>
      <x:c r="E114" s="425" t="str">
        <x:v>2026-09-12T20:15Z</x:v>
      </x:c>
      <x:c r="F114" s="425" t="str">
        <x:v>PROSPECTIVE</x:v>
      </x:c>
      <x:c r="G114" s="425" t="str">
        <x:v>Delaware Blue Hens</x:v>
      </x:c>
      <x:c r="H114" s="425" t="str">
        <x:v>Scheduled team; player lineup and specialist roles unconfirmed</x:v>
      </x:c>
      <x:c r="I114" s="425" t="str">
        <x:v>Official ESPN schedule lists Delaware Blue Hens at 1-0. Current starters, depth-chart usage, injuries and specialist roles require later confirmation.</x:v>
      </x:c>
      <x:c r="J114" s="425" t="str"/>
      <x:c r="K114" s="425" t="str"/>
      <x:c r="L114" s="425" t="str">
        <x:v>https://www.espn.com/college-football/game/_/gameId/401856684/delaware-vanderbilt</x:v>
      </x:c>
    </x:row>
    <x:row r="115" ht="38" customHeight="1">
      <x:c r="A115" s="425" t="str">
        <x:v>2026-09-12</x:v>
      </x:c>
      <x:c r="B115" s="425" t="str">
        <x:v>Football</x:v>
      </x:c>
      <x:c r="C115" s="425" t="str">
        <x:v>CFB</x:v>
      </x:c>
      <x:c r="D115" s="425" t="str">
        <x:v>Campbell Fighting Camels at Florida Gators</x:v>
      </x:c>
      <x:c r="E115" s="425" t="str">
        <x:v>2026-09-12T21:30Z</x:v>
      </x:c>
      <x:c r="F115" s="425" t="str">
        <x:v>PROSPECTIVE</x:v>
      </x:c>
      <x:c r="G115" s="425" t="str">
        <x:v>Florida Gators</x:v>
      </x:c>
      <x:c r="H115" s="425" t="str">
        <x:v>Scheduled team; player lineup and specialist roles unconfirmed</x:v>
      </x:c>
      <x:c r="I115" s="425" t="str">
        <x:v>Official ESPN schedule lists Florida Gators at 1-0. Current starters, depth-chart usage, injuries and specialist roles require later confirmation.</x:v>
      </x:c>
      <x:c r="J115" s="425" t="str"/>
      <x:c r="K115" s="425" t="str"/>
      <x:c r="L115" s="425" t="str">
        <x:v>https://www.espn.com/college-football/game/_/gameId/401856672/campbell-florida</x:v>
      </x:c>
    </x:row>
    <x:row r="116" ht="38" customHeight="1">
      <x:c r="A116" s="425" t="str">
        <x:v>2026-09-12</x:v>
      </x:c>
      <x:c r="B116" s="425" t="str">
        <x:v>Football</x:v>
      </x:c>
      <x:c r="C116" s="425" t="str">
        <x:v>CFB</x:v>
      </x:c>
      <x:c r="D116" s="425" t="str">
        <x:v>Campbell Fighting Camels at Florida Gators</x:v>
      </x:c>
      <x:c r="E116" s="425" t="str">
        <x:v>2026-09-12T21:30Z</x:v>
      </x:c>
      <x:c r="F116" s="425" t="str">
        <x:v>PROSPECTIVE</x:v>
      </x:c>
      <x:c r="G116" s="425" t="str">
        <x:v>Campbell Fighting Camels</x:v>
      </x:c>
      <x:c r="H116" s="425" t="str">
        <x:v>Scheduled team; player lineup and specialist roles unconfirmed</x:v>
      </x:c>
      <x:c r="I116" s="425" t="str">
        <x:v>Official ESPN schedule lists Campbell Fighting Camels at 2-0. Current starters, depth-chart usage, injuries and specialist roles require later confirmation.</x:v>
      </x:c>
      <x:c r="J116" s="425" t="str"/>
      <x:c r="K116" s="425" t="str"/>
      <x:c r="L116" s="425" t="str">
        <x:v>https://www.espn.com/college-football/game/_/gameId/401856672/campbell-florida</x:v>
      </x:c>
    </x:row>
    <x:row r="117" ht="38" customHeight="1">
      <x:c r="A117" s="425" t="str">
        <x:v>2026-09-12</x:v>
      </x:c>
      <x:c r="B117" s="425" t="str">
        <x:v>Football</x:v>
      </x:c>
      <x:c r="C117" s="425" t="str">
        <x:v>CFB</x:v>
      </x:c>
      <x:c r="D117" s="425" t="str">
        <x:v>Memphis Tigers at Boise State Broncos</x:v>
      </x:c>
      <x:c r="E117" s="425" t="str">
        <x:v>2026-09-12T22:00Z</x:v>
      </x:c>
      <x:c r="F117" s="425" t="str">
        <x:v>PROSPECTIVE</x:v>
      </x:c>
      <x:c r="G117" s="425" t="str">
        <x:v>Boise State Broncos</x:v>
      </x:c>
      <x:c r="H117" s="425" t="str">
        <x:v>Scheduled team; player lineup and specialist roles unconfirmed</x:v>
      </x:c>
      <x:c r="I117" s="425" t="str">
        <x:v>Official ESPN schedule lists Boise State Broncos at 0-1. Current starters, depth-chart usage, injuries and specialist roles require later confirmation.</x:v>
      </x:c>
      <x:c r="J117" s="425" t="str"/>
      <x:c r="K117" s="425" t="str"/>
      <x:c r="L117" s="425" t="str">
        <x:v>https://www.espn.com/college-football/game/_/gameId/401860881/memphis-boise-st</x:v>
      </x:c>
    </x:row>
    <x:row r="118" ht="38" customHeight="1">
      <x:c r="A118" s="425" t="str">
        <x:v>2026-09-12</x:v>
      </x:c>
      <x:c r="B118" s="425" t="str">
        <x:v>Football</x:v>
      </x:c>
      <x:c r="C118" s="425" t="str">
        <x:v>CFB</x:v>
      </x:c>
      <x:c r="D118" s="425" t="str">
        <x:v>Memphis Tigers at Boise State Broncos</x:v>
      </x:c>
      <x:c r="E118" s="425" t="str">
        <x:v>2026-09-12T22:00Z</x:v>
      </x:c>
      <x:c r="F118" s="425" t="str">
        <x:v>PROSPECTIVE</x:v>
      </x:c>
      <x:c r="G118" s="425" t="str">
        <x:v>Memphis Tigers</x:v>
      </x:c>
      <x:c r="H118" s="425" t="str">
        <x:v>Scheduled team; player lineup and specialist roles unconfirmed</x:v>
      </x:c>
      <x:c r="I118" s="425" t="str">
        <x:v>Official ESPN schedule lists Memphis Tigers at 2-0. Current starters, depth-chart usage, injuries and specialist roles require later confirmation.</x:v>
      </x:c>
      <x:c r="J118" s="425" t="str"/>
      <x:c r="K118" s="425" t="str"/>
      <x:c r="L118" s="425" t="str">
        <x:v>https://www.espn.com/college-football/game/_/gameId/401860881/memphis-boise-st</x:v>
      </x:c>
    </x:row>
    <x:row r="119" ht="38" customHeight="1">
      <x:c r="A119" s="425" t="str">
        <x:v>2026-09-12</x:v>
      </x:c>
      <x:c r="B119" s="425" t="str">
        <x:v>Football</x:v>
      </x:c>
      <x:c r="C119" s="425" t="str">
        <x:v>CFB</x:v>
      </x:c>
      <x:c r="D119" s="425" t="str">
        <x:v>Buffalo Bulls at Florida International Panthers</x:v>
      </x:c>
      <x:c r="E119" s="425" t="str">
        <x:v>2026-09-12T22:00Z</x:v>
      </x:c>
      <x:c r="F119" s="425" t="str">
        <x:v>PROSPECTIVE</x:v>
      </x:c>
      <x:c r="G119" s="425" t="str">
        <x:v>Florida International Panthers</x:v>
      </x:c>
      <x:c r="H119" s="425" t="str">
        <x:v>Scheduled team; player lineup and specialist roles unconfirmed</x:v>
      </x:c>
      <x:c r="I119" s="425" t="str">
        <x:v>Official ESPN schedule lists Florida International Panthers at 0-1. Current starters, depth-chart usage, injuries and specialist roles require later confirmation.</x:v>
      </x:c>
      <x:c r="J119" s="425" t="str"/>
      <x:c r="K119" s="425" t="str"/>
      <x:c r="L119" s="425" t="str">
        <x:v>https://www.espn.com/college-football/game/_/gameId/401866414/buffalo-fiu</x:v>
      </x:c>
    </x:row>
    <x:row r="120" ht="38" customHeight="1">
      <x:c r="A120" s="425" t="str">
        <x:v>2026-09-12</x:v>
      </x:c>
      <x:c r="B120" s="425" t="str">
        <x:v>Football</x:v>
      </x:c>
      <x:c r="C120" s="425" t="str">
        <x:v>CFB</x:v>
      </x:c>
      <x:c r="D120" s="425" t="str">
        <x:v>Buffalo Bulls at Florida International Panthers</x:v>
      </x:c>
      <x:c r="E120" s="425" t="str">
        <x:v>2026-09-12T22:00Z</x:v>
      </x:c>
      <x:c r="F120" s="425" t="str">
        <x:v>PROSPECTIVE</x:v>
      </x:c>
      <x:c r="G120" s="425" t="str">
        <x:v>Buffalo Bulls</x:v>
      </x:c>
      <x:c r="H120" s="425" t="str">
        <x:v>Scheduled team; player lineup and specialist roles unconfirmed</x:v>
      </x:c>
      <x:c r="I120" s="425" t="str">
        <x:v>Official ESPN schedule lists Buffalo Bulls at 1-0. Current starters, depth-chart usage, injuries and specialist roles require later confirmation.</x:v>
      </x:c>
      <x:c r="J120" s="425" t="str"/>
      <x:c r="K120" s="425" t="str"/>
      <x:c r="L120" s="425" t="str">
        <x:v>https://www.espn.com/college-football/game/_/gameId/401866414/buffalo-fiu</x:v>
      </x:c>
    </x:row>
    <x:row r="121" ht="38" customHeight="1">
      <x:c r="A121" s="425" t="str">
        <x:v>2026-09-12</x:v>
      </x:c>
      <x:c r="B121" s="425" t="str">
        <x:v>Football</x:v>
      </x:c>
      <x:c r="C121" s="425" t="str">
        <x:v>CFB</x:v>
      </x:c>
      <x:c r="D121" s="425" t="str">
        <x:v>Jacksonville State Gamecocks at Ohio Bobcats</x:v>
      </x:c>
      <x:c r="E121" s="425" t="str">
        <x:v>2026-09-12T22:00Z</x:v>
      </x:c>
      <x:c r="F121" s="425" t="str">
        <x:v>PROSPECTIVE</x:v>
      </x:c>
      <x:c r="G121" s="425" t="str">
        <x:v>Ohio Bobcats</x:v>
      </x:c>
      <x:c r="H121" s="425" t="str">
        <x:v>Scheduled team; player lineup and specialist roles unconfirmed</x:v>
      </x:c>
      <x:c r="I121" s="425" t="str">
        <x:v>Official ESPN schedule lists Ohio Bobcats at 0-1. Current starters, depth-chart usage, injuries and specialist roles require later confirmation.</x:v>
      </x:c>
      <x:c r="J121" s="425" t="str"/>
      <x:c r="K121" s="425" t="str"/>
      <x:c r="L121" s="425" t="str">
        <x:v>https://www.espn.com/college-football/game/_/gameId/401866418/jax-state-ohio</x:v>
      </x:c>
    </x:row>
    <x:row r="122" ht="38" customHeight="1">
      <x:c r="A122" s="425" t="str">
        <x:v>2026-09-12</x:v>
      </x:c>
      <x:c r="B122" s="425" t="str">
        <x:v>Football</x:v>
      </x:c>
      <x:c r="C122" s="425" t="str">
        <x:v>CFB</x:v>
      </x:c>
      <x:c r="D122" s="425" t="str">
        <x:v>Jacksonville State Gamecocks at Ohio Bobcats</x:v>
      </x:c>
      <x:c r="E122" s="425" t="str">
        <x:v>2026-09-12T22:00Z</x:v>
      </x:c>
      <x:c r="F122" s="425" t="str">
        <x:v>PROSPECTIVE</x:v>
      </x:c>
      <x:c r="G122" s="425" t="str">
        <x:v>Jacksonville State Gamecocks</x:v>
      </x:c>
      <x:c r="H122" s="425" t="str">
        <x:v>Scheduled team; player lineup and specialist roles unconfirmed</x:v>
      </x:c>
      <x:c r="I122" s="425" t="str">
        <x:v>Official ESPN schedule lists Jacksonville State Gamecocks at 1-1. Current starters, depth-chart usage, injuries and specialist roles require later confirmation.</x:v>
      </x:c>
      <x:c r="J122" s="425" t="str"/>
      <x:c r="K122" s="425" t="str"/>
      <x:c r="L122" s="425" t="str">
        <x:v>https://www.espn.com/college-football/game/_/gameId/401866418/jax-state-ohio</x:v>
      </x:c>
    </x:row>
    <x:row r="123" ht="38" customHeight="1">
      <x:c r="A123" s="425" t="str">
        <x:v>2026-09-12</x:v>
      </x:c>
      <x:c r="B123" s="425" t="str">
        <x:v>Football</x:v>
      </x:c>
      <x:c r="C123" s="425" t="str">
        <x:v>CFB</x:v>
      </x:c>
      <x:c r="D123" s="425" t="str">
        <x:v>Monmouth Hawks at Western Michigan Broncos</x:v>
      </x:c>
      <x:c r="E123" s="425" t="str">
        <x:v>2026-09-12T22:30Z</x:v>
      </x:c>
      <x:c r="F123" s="425" t="str">
        <x:v>PROSPECTIVE</x:v>
      </x:c>
      <x:c r="G123" s="425" t="str">
        <x:v>Western Michigan Broncos</x:v>
      </x:c>
      <x:c r="H123" s="425" t="str">
        <x:v>Scheduled team; player lineup and specialist roles unconfirmed</x:v>
      </x:c>
      <x:c r="I123" s="425" t="str">
        <x:v>Official ESPN schedule lists Western Michigan Broncos at 0-1. Current starters, depth-chart usage, injuries and specialist roles require later confirmation.</x:v>
      </x:c>
      <x:c r="J123" s="425" t="str"/>
      <x:c r="K123" s="425" t="str"/>
      <x:c r="L123" s="425" t="str">
        <x:v>https://www.espn.com/college-football/game/_/gameId/401866421/monmouth-w-michigan</x:v>
      </x:c>
    </x:row>
    <x:row r="124" ht="38" customHeight="1">
      <x:c r="A124" s="425" t="str">
        <x:v>2026-09-12</x:v>
      </x:c>
      <x:c r="B124" s="425" t="str">
        <x:v>Football</x:v>
      </x:c>
      <x:c r="C124" s="425" t="str">
        <x:v>CFB</x:v>
      </x:c>
      <x:c r="D124" s="425" t="str">
        <x:v>Monmouth Hawks at Western Michigan Broncos</x:v>
      </x:c>
      <x:c r="E124" s="425" t="str">
        <x:v>2026-09-12T22:30Z</x:v>
      </x:c>
      <x:c r="F124" s="425" t="str">
        <x:v>PROSPECTIVE</x:v>
      </x:c>
      <x:c r="G124" s="425" t="str">
        <x:v>Monmouth Hawks</x:v>
      </x:c>
      <x:c r="H124" s="425" t="str">
        <x:v>Scheduled team; player lineup and specialist roles unconfirmed</x:v>
      </x:c>
      <x:c r="I124" s="425" t="str">
        <x:v>Official ESPN schedule lists Monmouth Hawks at 1-1. Current starters, depth-chart usage, injuries and specialist roles require later confirmation.</x:v>
      </x:c>
      <x:c r="J124" s="425" t="str"/>
      <x:c r="K124" s="425" t="str"/>
      <x:c r="L124" s="425" t="str">
        <x:v>https://www.espn.com/college-football/game/_/gameId/401866421/monmouth-w-michigan</x:v>
      </x:c>
    </x:row>
    <x:row r="125" ht="38" customHeight="1">
      <x:c r="A125" s="425" t="str">
        <x:v>2026-09-12</x:v>
      </x:c>
      <x:c r="B125" s="425" t="str">
        <x:v>Football</x:v>
      </x:c>
      <x:c r="C125" s="425" t="str">
        <x:v>CFB</x:v>
      </x:c>
      <x:c r="D125" s="425" t="str">
        <x:v>Tennessee Volunteers at Georgia Tech Yellow Jackets</x:v>
      </x:c>
      <x:c r="E125" s="425" t="str">
        <x:v>2026-09-12T23:00Z</x:v>
      </x:c>
      <x:c r="F125" s="425" t="str">
        <x:v>PROSPECTIVE</x:v>
      </x:c>
      <x:c r="G125" s="425" t="str">
        <x:v>Georgia Tech Yellow Jackets</x:v>
      </x:c>
      <x:c r="H125" s="425" t="str">
        <x:v>Scheduled team; player lineup and specialist roles unconfirmed</x:v>
      </x:c>
      <x:c r="I125" s="425" t="str">
        <x:v>Official ESPN schedule lists Georgia Tech Yellow Jackets at 0-1. Current starters, depth-chart usage, injuries and specialist roles require later confirmation.</x:v>
      </x:c>
      <x:c r="J125" s="425" t="str"/>
      <x:c r="K125" s="425" t="str"/>
      <x:c r="L125" s="425" t="str">
        <x:v>https://www.espn.com/college-football/game/_/gameId/401856681/tennessee-georgia-tech</x:v>
      </x:c>
    </x:row>
    <x:row r="126" ht="38" customHeight="1">
      <x:c r="A126" s="425" t="str">
        <x:v>2026-09-12</x:v>
      </x:c>
      <x:c r="B126" s="425" t="str">
        <x:v>Football</x:v>
      </x:c>
      <x:c r="C126" s="425" t="str">
        <x:v>CFB</x:v>
      </x:c>
      <x:c r="D126" s="425" t="str">
        <x:v>Tennessee Volunteers at Georgia Tech Yellow Jackets</x:v>
      </x:c>
      <x:c r="E126" s="425" t="str">
        <x:v>2026-09-12T23:00Z</x:v>
      </x:c>
      <x:c r="F126" s="425" t="str">
        <x:v>PROSPECTIVE</x:v>
      </x:c>
      <x:c r="G126" s="425" t="str">
        <x:v>Tennessee Volunteers</x:v>
      </x:c>
      <x:c r="H126" s="425" t="str">
        <x:v>Scheduled team; player lineup and specialist roles unconfirmed</x:v>
      </x:c>
      <x:c r="I126" s="425" t="str">
        <x:v>Official ESPN schedule lists Tennessee Volunteers at 1-0. Current starters, depth-chart usage, injuries and specialist roles require later confirmation.</x:v>
      </x:c>
      <x:c r="J126" s="425" t="str"/>
      <x:c r="K126" s="425" t="str"/>
      <x:c r="L126" s="425" t="str">
        <x:v>https://www.espn.com/college-football/game/_/gameId/401856681/tennessee-georgia-tech</x:v>
      </x:c>
    </x:row>
    <x:row r="127" ht="38" customHeight="1">
      <x:c r="A127" s="425" t="str">
        <x:v>2026-09-12</x:v>
      </x:c>
      <x:c r="B127" s="425" t="str">
        <x:v>Football</x:v>
      </x:c>
      <x:c r="C127" s="425" t="str">
        <x:v>CFB</x:v>
      </x:c>
      <x:c r="D127" s="425" t="str">
        <x:v>Southern Jaguars at Houston Cougars</x:v>
      </x:c>
      <x:c r="E127" s="425" t="str">
        <x:v>2026-09-12T23:00Z</x:v>
      </x:c>
      <x:c r="F127" s="425" t="str">
        <x:v>PROSPECTIVE</x:v>
      </x:c>
      <x:c r="G127" s="425" t="str">
        <x:v>Houston Cougars</x:v>
      </x:c>
      <x:c r="H127" s="425" t="str">
        <x:v>Scheduled team; player lineup and specialist roles unconfirmed</x:v>
      </x:c>
      <x:c r="I127" s="425" t="str">
        <x:v>Official ESPN schedule lists Houston Cougars at 1-0. Current starters, depth-chart usage, injuries and specialist roles require later confirmation.</x:v>
      </x:c>
      <x:c r="J127" s="425" t="str"/>
      <x:c r="K127" s="425" t="str"/>
      <x:c r="L127" s="425" t="str">
        <x:v>https://www.espn.com/college-football/game/_/gameId/401856787/southern-houston</x:v>
      </x:c>
    </x:row>
    <x:row r="128" ht="38" customHeight="1">
      <x:c r="A128" s="425" t="str">
        <x:v>2026-09-12</x:v>
      </x:c>
      <x:c r="B128" s="425" t="str">
        <x:v>Football</x:v>
      </x:c>
      <x:c r="C128" s="425" t="str">
        <x:v>CFB</x:v>
      </x:c>
      <x:c r="D128" s="425" t="str">
        <x:v>Southern Jaguars at Houston Cougars</x:v>
      </x:c>
      <x:c r="E128" s="425" t="str">
        <x:v>2026-09-12T23:00Z</x:v>
      </x:c>
      <x:c r="F128" s="425" t="str">
        <x:v>PROSPECTIVE</x:v>
      </x:c>
      <x:c r="G128" s="425" t="str">
        <x:v>Southern Jaguars</x:v>
      </x:c>
      <x:c r="H128" s="425" t="str">
        <x:v>Scheduled team; player lineup and specialist roles unconfirmed</x:v>
      </x:c>
      <x:c r="I128" s="425" t="str">
        <x:v>Official ESPN schedule lists Southern Jaguars at 1-1. Current starters, depth-chart usage, injuries and specialist roles require later confirmation.</x:v>
      </x:c>
      <x:c r="J128" s="425" t="str"/>
      <x:c r="K128" s="425" t="str"/>
      <x:c r="L128" s="425" t="str">
        <x:v>https://www.espn.com/college-football/game/_/gameId/401856787/southern-houston</x:v>
      </x:c>
    </x:row>
    <x:row r="129" ht="38" customHeight="1">
      <x:c r="A129" s="425" t="str">
        <x:v>2026-09-12</x:v>
      </x:c>
      <x:c r="B129" s="425" t="str">
        <x:v>Football</x:v>
      </x:c>
      <x:c r="C129" s="425" t="str">
        <x:v>CFB</x:v>
      </x:c>
      <x:c r="D129" s="425" t="str">
        <x:v>Towson Tigers at South Carolina Gamecocks</x:v>
      </x:c>
      <x:c r="E129" s="425" t="str">
        <x:v>2026-09-12T23:00Z</x:v>
      </x:c>
      <x:c r="F129" s="425" t="str">
        <x:v>PROSPECTIVE</x:v>
      </x:c>
      <x:c r="G129" s="425" t="str">
        <x:v>South Carolina Gamecocks</x:v>
      </x:c>
      <x:c r="H129" s="425" t="str">
        <x:v>Scheduled team; player lineup and specialist roles unconfirmed</x:v>
      </x:c>
      <x:c r="I129" s="425" t="str">
        <x:v>Official ESPN schedule lists South Carolina Gamecocks at 1-0. Current starters, depth-chart usage, injuries and specialist roles require later confirmation.</x:v>
      </x:c>
      <x:c r="J129" s="425" t="str"/>
      <x:c r="K129" s="425" t="str"/>
      <x:c r="L129" s="425" t="str">
        <x:v>https://www.espn.com/college-football/game/_/gameId/401856680/towson-south-carolina</x:v>
      </x:c>
    </x:row>
    <x:row r="130" ht="38" customHeight="1">
      <x:c r="A130" s="425" t="str">
        <x:v>2026-09-12</x:v>
      </x:c>
      <x:c r="B130" s="425" t="str">
        <x:v>Football</x:v>
      </x:c>
      <x:c r="C130" s="425" t="str">
        <x:v>CFB</x:v>
      </x:c>
      <x:c r="D130" s="425" t="str">
        <x:v>Towson Tigers at South Carolina Gamecocks</x:v>
      </x:c>
      <x:c r="E130" s="425" t="str">
        <x:v>2026-09-12T23:00Z</x:v>
      </x:c>
      <x:c r="F130" s="425" t="str">
        <x:v>PROSPECTIVE</x:v>
      </x:c>
      <x:c r="G130" s="425" t="str">
        <x:v>Towson Tigers</x:v>
      </x:c>
      <x:c r="H130" s="425" t="str">
        <x:v>Scheduled team; player lineup and specialist roles unconfirmed</x:v>
      </x:c>
      <x:c r="I130" s="425" t="str">
        <x:v>Official ESPN schedule lists Towson Tigers at 0-2. Current starters, depth-chart usage, injuries and specialist roles require later confirmation.</x:v>
      </x:c>
      <x:c r="J130" s="425" t="str"/>
      <x:c r="K130" s="425" t="str"/>
      <x:c r="L130" s="425" t="str">
        <x:v>https://www.espn.com/college-football/game/_/gameId/401856680/towson-south-carolina</x:v>
      </x:c>
    </x:row>
    <x:row r="131" ht="38" customHeight="1">
      <x:c r="A131" s="425" t="str">
        <x:v>2026-09-12</x:v>
      </x:c>
      <x:c r="B131" s="425" t="str">
        <x:v>Football</x:v>
      </x:c>
      <x:c r="C131" s="425" t="str">
        <x:v>CFB</x:v>
      </x:c>
      <x:c r="D131" s="425" t="str">
        <x:v>Western Carolina Catamounts at Cincinnati Bearcats</x:v>
      </x:c>
      <x:c r="E131" s="425" t="str">
        <x:v>2026-09-12T23:00Z</x:v>
      </x:c>
      <x:c r="F131" s="425" t="str">
        <x:v>PROSPECTIVE</x:v>
      </x:c>
      <x:c r="G131" s="425" t="str">
        <x:v>Cincinnati Bearcats</x:v>
      </x:c>
      <x:c r="H131" s="425" t="str">
        <x:v>Scheduled team; player lineup and specialist roles unconfirmed</x:v>
      </x:c>
      <x:c r="I131" s="425" t="str">
        <x:v>Official ESPN schedule lists Cincinnati Bearcats at 1-0. Current starters, depth-chart usage, injuries and specialist roles require later confirmation.</x:v>
      </x:c>
      <x:c r="J131" s="425" t="str"/>
      <x:c r="K131" s="425" t="str"/>
      <x:c r="L131" s="425" t="str">
        <x:v>https://www.espn.com/college-football/game/_/gameId/401856786/w-carolina-cincinnati</x:v>
      </x:c>
    </x:row>
    <x:row r="132" ht="38" customHeight="1">
      <x:c r="A132" s="425" t="str">
        <x:v>2026-09-12</x:v>
      </x:c>
      <x:c r="B132" s="425" t="str">
        <x:v>Football</x:v>
      </x:c>
      <x:c r="C132" s="425" t="str">
        <x:v>CFB</x:v>
      </x:c>
      <x:c r="D132" s="425" t="str">
        <x:v>Western Carolina Catamounts at Cincinnati Bearcats</x:v>
      </x:c>
      <x:c r="E132" s="425" t="str">
        <x:v>2026-09-12T23:00Z</x:v>
      </x:c>
      <x:c r="F132" s="425" t="str">
        <x:v>PROSPECTIVE</x:v>
      </x:c>
      <x:c r="G132" s="425" t="str">
        <x:v>Western Carolina Catamounts</x:v>
      </x:c>
      <x:c r="H132" s="425" t="str">
        <x:v>Scheduled team; player lineup and specialist roles unconfirmed</x:v>
      </x:c>
      <x:c r="I132" s="425" t="str">
        <x:v>Official ESPN schedule lists Western Carolina Catamounts at 1-1. Current starters, depth-chart usage, injuries and specialist roles require later confirmation.</x:v>
      </x:c>
      <x:c r="J132" s="425" t="str"/>
      <x:c r="K132" s="425" t="str"/>
      <x:c r="L132" s="425" t="str">
        <x:v>https://www.espn.com/college-football/game/_/gameId/401856786/w-carolina-cincinnati</x:v>
      </x:c>
    </x:row>
    <x:row r="133" ht="38" customHeight="1">
      <x:c r="A133" s="425" t="str">
        <x:v>2026-09-12</x:v>
      </x:c>
      <x:c r="B133" s="425" t="str">
        <x:v>Football</x:v>
      </x:c>
      <x:c r="C133" s="425" t="str">
        <x:v>CFB</x:v>
      </x:c>
      <x:c r="D133" s="425" t="str">
        <x:v>Bowling Green Falcons at Nebraska Cornhuskers</x:v>
      </x:c>
      <x:c r="E133" s="425" t="str">
        <x:v>2026-09-12T23:00Z</x:v>
      </x:c>
      <x:c r="F133" s="425" t="str">
        <x:v>PROSPECTIVE</x:v>
      </x:c>
      <x:c r="G133" s="425" t="str">
        <x:v>Nebraska Cornhuskers</x:v>
      </x:c>
      <x:c r="H133" s="425" t="str">
        <x:v>Scheduled team; player lineup and specialist roles unconfirmed</x:v>
      </x:c>
      <x:c r="I133" s="425" t="str">
        <x:v>Official ESPN schedule lists Nebraska Cornhuskers at 1-0. Current starters, depth-chart usage, injuries and specialist roles require later confirmation.</x:v>
      </x:c>
      <x:c r="J133" s="425" t="str"/>
      <x:c r="K133" s="425" t="str"/>
      <x:c r="L133" s="425" t="str">
        <x:v>https://www.espn.com/college-football/game/_/gameId/401858441/bowling-green-nebraska</x:v>
      </x:c>
    </x:row>
    <x:row r="134" ht="38" customHeight="1">
      <x:c r="A134" s="425" t="str">
        <x:v>2026-09-12</x:v>
      </x:c>
      <x:c r="B134" s="425" t="str">
        <x:v>Football</x:v>
      </x:c>
      <x:c r="C134" s="425" t="str">
        <x:v>CFB</x:v>
      </x:c>
      <x:c r="D134" s="425" t="str">
        <x:v>Bowling Green Falcons at Nebraska Cornhuskers</x:v>
      </x:c>
      <x:c r="E134" s="425" t="str">
        <x:v>2026-09-12T23:00Z</x:v>
      </x:c>
      <x:c r="F134" s="425" t="str">
        <x:v>PROSPECTIVE</x:v>
      </x:c>
      <x:c r="G134" s="425" t="str">
        <x:v>Bowling Green Falcons</x:v>
      </x:c>
      <x:c r="H134" s="425" t="str">
        <x:v>Scheduled team; player lineup and specialist roles unconfirmed</x:v>
      </x:c>
      <x:c r="I134" s="425" t="str">
        <x:v>Official ESPN schedule lists Bowling Green Falcons at 0-1. Current starters, depth-chart usage, injuries and specialist roles require later confirmation.</x:v>
      </x:c>
      <x:c r="J134" s="425" t="str"/>
      <x:c r="K134" s="425" t="str"/>
      <x:c r="L134" s="425" t="str">
        <x:v>https://www.espn.com/college-football/game/_/gameId/401858441/bowling-green-nebraska</x:v>
      </x:c>
    </x:row>
    <x:row r="135" ht="38" customHeight="1">
      <x:c r="A135" s="425" t="str">
        <x:v>2026-09-12</x:v>
      </x:c>
      <x:c r="B135" s="425" t="str">
        <x:v>Football</x:v>
      </x:c>
      <x:c r="C135" s="425" t="str">
        <x:v>CFB</x:v>
      </x:c>
      <x:c r="D135" s="425" t="str">
        <x:v>Southern Utah Thunderbirds at Colorado State Rams</x:v>
      </x:c>
      <x:c r="E135" s="425" t="str">
        <x:v>2026-09-12T23:00Z</x:v>
      </x:c>
      <x:c r="F135" s="425" t="str">
        <x:v>PROSPECTIVE</x:v>
      </x:c>
      <x:c r="G135" s="425" t="str">
        <x:v>Colorado State Rams</x:v>
      </x:c>
      <x:c r="H135" s="425" t="str">
        <x:v>Scheduled team; player lineup and specialist roles unconfirmed</x:v>
      </x:c>
      <x:c r="I135" s="425" t="str">
        <x:v>Official ESPN schedule lists Colorado State Rams at 1-0. Current starters, depth-chart usage, injuries and specialist roles require later confirmation.</x:v>
      </x:c>
      <x:c r="J135" s="425" t="str"/>
      <x:c r="K135" s="425" t="str"/>
      <x:c r="L135" s="425" t="str">
        <x:v>https://www.espn.com/college-football/game/_/gameId/401860882/southern-utah-colorado-st</x:v>
      </x:c>
    </x:row>
    <x:row r="136" ht="38" customHeight="1">
      <x:c r="A136" s="425" t="str">
        <x:v>2026-09-12</x:v>
      </x:c>
      <x:c r="B136" s="425" t="str">
        <x:v>Football</x:v>
      </x:c>
      <x:c r="C136" s="425" t="str">
        <x:v>CFB</x:v>
      </x:c>
      <x:c r="D136" s="425" t="str">
        <x:v>Southern Utah Thunderbirds at Colorado State Rams</x:v>
      </x:c>
      <x:c r="E136" s="425" t="str">
        <x:v>2026-09-12T23:00Z</x:v>
      </x:c>
      <x:c r="F136" s="425" t="str">
        <x:v>PROSPECTIVE</x:v>
      </x:c>
      <x:c r="G136" s="425" t="str">
        <x:v>Southern Utah Thunderbirds</x:v>
      </x:c>
      <x:c r="H136" s="425" t="str">
        <x:v>Scheduled team; player lineup and specialist roles unconfirmed</x:v>
      </x:c>
      <x:c r="I136" s="425" t="str">
        <x:v>Official ESPN schedule lists Southern Utah Thunderbirds at 1-1. Current starters, depth-chart usage, injuries and specialist roles require later confirmation.</x:v>
      </x:c>
      <x:c r="J136" s="425" t="str"/>
      <x:c r="K136" s="425" t="str"/>
      <x:c r="L136" s="425" t="str">
        <x:v>https://www.espn.com/college-football/game/_/gameId/401860882/southern-utah-colorado-st</x:v>
      </x:c>
    </x:row>
    <x:row r="137" ht="38" customHeight="1">
      <x:c r="A137" s="425" t="str">
        <x:v>2026-09-12</x:v>
      </x:c>
      <x:c r="B137" s="425" t="str">
        <x:v>Football</x:v>
      </x:c>
      <x:c r="C137" s="425" t="str">
        <x:v>CFB</x:v>
      </x:c>
      <x:c r="D137" s="425" t="str">
        <x:v>Tulsa Golden Hurricane at Sam Houston Bearkats</x:v>
      </x:c>
      <x:c r="E137" s="425" t="str">
        <x:v>2026-09-12T23:00Z</x:v>
      </x:c>
      <x:c r="F137" s="425" t="str">
        <x:v>PROSPECTIVE</x:v>
      </x:c>
      <x:c r="G137" s="425" t="str">
        <x:v>Sam Houston Bearkats</x:v>
      </x:c>
      <x:c r="H137" s="425" t="str">
        <x:v>Scheduled team; player lineup and specialist roles unconfirmed</x:v>
      </x:c>
      <x:c r="I137" s="425" t="str">
        <x:v>Official ESPN schedule lists Sam Houston Bearkats at 0-1. Current starters, depth-chart usage, injuries and specialist roles require later confirmation.</x:v>
      </x:c>
      <x:c r="J137" s="425" t="str"/>
      <x:c r="K137" s="425" t="str"/>
      <x:c r="L137" s="425" t="str">
        <x:v>https://www.espn.com/college-football/game/_/gameId/401862707/tulsa-sam-houston</x:v>
      </x:c>
    </x:row>
    <x:row r="138" ht="38" customHeight="1">
      <x:c r="A138" s="425" t="str">
        <x:v>2026-09-12</x:v>
      </x:c>
      <x:c r="B138" s="425" t="str">
        <x:v>Football</x:v>
      </x:c>
      <x:c r="C138" s="425" t="str">
        <x:v>CFB</x:v>
      </x:c>
      <x:c r="D138" s="425" t="str">
        <x:v>Tulsa Golden Hurricane at Sam Houston Bearkats</x:v>
      </x:c>
      <x:c r="E138" s="425" t="str">
        <x:v>2026-09-12T23:00Z</x:v>
      </x:c>
      <x:c r="F138" s="425" t="str">
        <x:v>PROSPECTIVE</x:v>
      </x:c>
      <x:c r="G138" s="425" t="str">
        <x:v>Tulsa Golden Hurricane</x:v>
      </x:c>
      <x:c r="H138" s="425" t="str">
        <x:v>Scheduled team; player lineup and specialist roles unconfirmed</x:v>
      </x:c>
      <x:c r="I138" s="425" t="str">
        <x:v>Official ESPN schedule lists Tulsa Golden Hurricane at 1-0. Current starters, depth-chart usage, injuries and specialist roles require later confirmation.</x:v>
      </x:c>
      <x:c r="J138" s="425" t="str"/>
      <x:c r="K138" s="425" t="str"/>
      <x:c r="L138" s="425" t="str">
        <x:v>https://www.espn.com/college-football/game/_/gameId/401862707/tulsa-sam-houston</x:v>
      </x:c>
    </x:row>
    <x:row r="139" ht="38" customHeight="1">
      <x:c r="A139" s="425" t="str">
        <x:v>2026-09-12</x:v>
      </x:c>
      <x:c r="B139" s="425" t="str">
        <x:v>Football</x:v>
      </x:c>
      <x:c r="C139" s="425" t="str">
        <x:v>CFB</x:v>
      </x:c>
      <x:c r="D139" s="425" t="str">
        <x:v>Illinois State Redbirds at Northern Illinois Huskies</x:v>
      </x:c>
      <x:c r="E139" s="425" t="str">
        <x:v>2026-09-12T23:00Z</x:v>
      </x:c>
      <x:c r="F139" s="425" t="str">
        <x:v>PROSPECTIVE</x:v>
      </x:c>
      <x:c r="G139" s="425" t="str">
        <x:v>Northern Illinois Huskies</x:v>
      </x:c>
      <x:c r="H139" s="425" t="str">
        <x:v>Scheduled team; player lineup and specialist roles unconfirmed</x:v>
      </x:c>
      <x:c r="I139" s="425" t="str">
        <x:v>Official ESPN schedule lists Northern Illinois Huskies at 0-1. Current starters, depth-chart usage, injuries and specialist roles require later confirmation.</x:v>
      </x:c>
      <x:c r="J139" s="425" t="str"/>
      <x:c r="K139" s="425" t="str"/>
      <x:c r="L139" s="425" t="str">
        <x:v>https://www.espn.com/college-football/game/_/gameId/401864503/illinois-st-n-illinois</x:v>
      </x:c>
    </x:row>
    <x:row r="140" ht="38" customHeight="1">
      <x:c r="A140" s="425" t="str">
        <x:v>2026-09-12</x:v>
      </x:c>
      <x:c r="B140" s="425" t="str">
        <x:v>Football</x:v>
      </x:c>
      <x:c r="C140" s="425" t="str">
        <x:v>CFB</x:v>
      </x:c>
      <x:c r="D140" s="425" t="str">
        <x:v>Illinois State Redbirds at Northern Illinois Huskies</x:v>
      </x:c>
      <x:c r="E140" s="425" t="str">
        <x:v>2026-09-12T23:00Z</x:v>
      </x:c>
      <x:c r="F140" s="425" t="str">
        <x:v>PROSPECTIVE</x:v>
      </x:c>
      <x:c r="G140" s="425" t="str">
        <x:v>Illinois State Redbirds</x:v>
      </x:c>
      <x:c r="H140" s="425" t="str">
        <x:v>Scheduled team; player lineup and specialist roles unconfirmed</x:v>
      </x:c>
      <x:c r="I140" s="425" t="str">
        <x:v>Official ESPN schedule lists Illinois State Redbirds at 2-0. Current starters, depth-chart usage, injuries and specialist roles require later confirmation.</x:v>
      </x:c>
      <x:c r="J140" s="425" t="str"/>
      <x:c r="K140" s="425" t="str"/>
      <x:c r="L140" s="425" t="str">
        <x:v>https://www.espn.com/college-football/game/_/gameId/401864503/illinois-st-n-illinois</x:v>
      </x:c>
    </x:row>
    <x:row r="141" ht="38" customHeight="1">
      <x:c r="A141" s="425" t="str">
        <x:v>2026-09-12</x:v>
      </x:c>
      <x:c r="B141" s="425" t="str">
        <x:v>Football</x:v>
      </x:c>
      <x:c r="C141" s="425" t="str">
        <x:v>CFB</x:v>
      </x:c>
      <x:c r="D141" s="425" t="str">
        <x:v>South Alabama Jaguars at Tulane Green Wave</x:v>
      </x:c>
      <x:c r="E141" s="425" t="str">
        <x:v>2026-09-12T23:00Z</x:v>
      </x:c>
      <x:c r="F141" s="425" t="str">
        <x:v>PROSPECTIVE</x:v>
      </x:c>
      <x:c r="G141" s="425" t="str">
        <x:v>Tulane Green Wave</x:v>
      </x:c>
      <x:c r="H141" s="425" t="str">
        <x:v>Scheduled team; player lineup and specialist roles unconfirmed</x:v>
      </x:c>
      <x:c r="I141" s="425" t="str">
        <x:v>Official ESPN schedule lists Tulane Green Wave at 0-1. Current starters, depth-chart usage, injuries and specialist roles require later confirmation.</x:v>
      </x:c>
      <x:c r="J141" s="425" t="str"/>
      <x:c r="K141" s="425" t="str"/>
      <x:c r="L141" s="425" t="str">
        <x:v>https://www.espn.com/college-football/game/_/gameId/401864575/south-alabama-tulane</x:v>
      </x:c>
    </x:row>
    <x:row r="142" ht="38" customHeight="1">
      <x:c r="A142" s="425" t="str">
        <x:v>2026-09-12</x:v>
      </x:c>
      <x:c r="B142" s="425" t="str">
        <x:v>Football</x:v>
      </x:c>
      <x:c r="C142" s="425" t="str">
        <x:v>CFB</x:v>
      </x:c>
      <x:c r="D142" s="425" t="str">
        <x:v>South Alabama Jaguars at Tulane Green Wave</x:v>
      </x:c>
      <x:c r="E142" s="425" t="str">
        <x:v>2026-09-12T23:00Z</x:v>
      </x:c>
      <x:c r="F142" s="425" t="str">
        <x:v>PROSPECTIVE</x:v>
      </x:c>
      <x:c r="G142" s="425" t="str">
        <x:v>South Alabama Jaguars</x:v>
      </x:c>
      <x:c r="H142" s="425" t="str">
        <x:v>Scheduled team; player lineup and specialist roles unconfirmed</x:v>
      </x:c>
      <x:c r="I142" s="425" t="str">
        <x:v>Official ESPN schedule lists South Alabama Jaguars at 1-0. Current starters, depth-chart usage, injuries and specialist roles require later confirmation.</x:v>
      </x:c>
      <x:c r="J142" s="425" t="str"/>
      <x:c r="K142" s="425" t="str"/>
      <x:c r="L142" s="425" t="str">
        <x:v>https://www.espn.com/college-football/game/_/gameId/401864575/south-alabama-tulane</x:v>
      </x:c>
    </x:row>
    <x:row r="143" ht="38" customHeight="1">
      <x:c r="A143" s="425" t="str">
        <x:v>2026-09-12</x:v>
      </x:c>
      <x:c r="B143" s="425" t="str">
        <x:v>Football</x:v>
      </x:c>
      <x:c r="C143" s="425" t="str">
        <x:v>CFB</x:v>
      </x:c>
      <x:c r="D143" s="425" t="str">
        <x:v>West Georgia Wolves at Arkansas State Red Wolves</x:v>
      </x:c>
      <x:c r="E143" s="425" t="str">
        <x:v>2026-09-12T23:00Z</x:v>
      </x:c>
      <x:c r="F143" s="425" t="str">
        <x:v>PROSPECTIVE</x:v>
      </x:c>
      <x:c r="G143" s="425" t="str">
        <x:v>Arkansas State Red Wolves</x:v>
      </x:c>
      <x:c r="H143" s="425" t="str">
        <x:v>Scheduled team; player lineup and specialist roles unconfirmed</x:v>
      </x:c>
      <x:c r="I143" s="425" t="str">
        <x:v>Official ESPN schedule lists Arkansas State Red Wolves at 0-1. Current starters, depth-chart usage, injuries and specialist roles require later confirmation.</x:v>
      </x:c>
      <x:c r="J143" s="425" t="str"/>
      <x:c r="K143" s="425" t="str"/>
      <x:c r="L143" s="425" t="str">
        <x:v>https://www.espn.com/college-football/game/_/gameId/401868241/west-georgia-arkansas-st</x:v>
      </x:c>
    </x:row>
    <x:row r="144" ht="38" customHeight="1">
      <x:c r="A144" s="425" t="str">
        <x:v>2026-09-12</x:v>
      </x:c>
      <x:c r="B144" s="425" t="str">
        <x:v>Football</x:v>
      </x:c>
      <x:c r="C144" s="425" t="str">
        <x:v>CFB</x:v>
      </x:c>
      <x:c r="D144" s="425" t="str">
        <x:v>West Georgia Wolves at Arkansas State Red Wolves</x:v>
      </x:c>
      <x:c r="E144" s="425" t="str">
        <x:v>2026-09-12T23:00Z</x:v>
      </x:c>
      <x:c r="F144" s="425" t="str">
        <x:v>PROSPECTIVE</x:v>
      </x:c>
      <x:c r="G144" s="425" t="str">
        <x:v>West Georgia Wolves</x:v>
      </x:c>
      <x:c r="H144" s="425" t="str">
        <x:v>Scheduled team; player lineup and specialist roles unconfirmed</x:v>
      </x:c>
      <x:c r="I144" s="425" t="str">
        <x:v>Official ESPN schedule lists West Georgia Wolves at 0-2. Current starters, depth-chart usage, injuries and specialist roles require later confirmation.</x:v>
      </x:c>
      <x:c r="J144" s="425" t="str"/>
      <x:c r="K144" s="425" t="str"/>
      <x:c r="L144" s="425" t="str">
        <x:v>https://www.espn.com/college-football/game/_/gameId/401868241/west-georgia-arkansas-st</x:v>
      </x:c>
    </x:row>
    <x:row r="145" ht="38" customHeight="1">
      <x:c r="A145" s="425" t="str">
        <x:v>2026-09-12</x:v>
      </x:c>
      <x:c r="B145" s="425" t="str">
        <x:v>Football</x:v>
      </x:c>
      <x:c r="C145" s="425" t="str">
        <x:v>CFB</x:v>
      </x:c>
      <x:c r="D145" s="425" t="str">
        <x:v>Georgia State Panthers at Kennesaw State Owls</x:v>
      </x:c>
      <x:c r="E145" s="425" t="str">
        <x:v>2026-09-12T23:00Z</x:v>
      </x:c>
      <x:c r="F145" s="425" t="str">
        <x:v>PROSPECTIVE</x:v>
      </x:c>
      <x:c r="G145" s="425" t="str">
        <x:v>Kennesaw State Owls</x:v>
      </x:c>
      <x:c r="H145" s="425" t="str">
        <x:v>Scheduled team; player lineup and specialist roles unconfirmed</x:v>
      </x:c>
      <x:c r="I145" s="425" t="str">
        <x:v>Official ESPN schedule lists Kennesaw State Owls at 1-0. Current starters, depth-chart usage, injuries and specialist roles require later confirmation.</x:v>
      </x:c>
      <x:c r="J145" s="425" t="str"/>
      <x:c r="K145" s="425" t="str"/>
      <x:c r="L145" s="425" t="str">
        <x:v>https://www.espn.com/college-football/game/_/gameId/401869955/georgia-st-kennesaw-st</x:v>
      </x:c>
    </x:row>
    <x:row r="146" ht="38" customHeight="1">
      <x:c r="A146" s="425" t="str">
        <x:v>2026-09-12</x:v>
      </x:c>
      <x:c r="B146" s="425" t="str">
        <x:v>Football</x:v>
      </x:c>
      <x:c r="C146" s="425" t="str">
        <x:v>CFB</x:v>
      </x:c>
      <x:c r="D146" s="425" t="str">
        <x:v>Georgia State Panthers at Kennesaw State Owls</x:v>
      </x:c>
      <x:c r="E146" s="425" t="str">
        <x:v>2026-09-12T23:00Z</x:v>
      </x:c>
      <x:c r="F146" s="425" t="str">
        <x:v>PROSPECTIVE</x:v>
      </x:c>
      <x:c r="G146" s="425" t="str">
        <x:v>Georgia State Panthers</x:v>
      </x:c>
      <x:c r="H146" s="425" t="str">
        <x:v>Scheduled team; player lineup and specialist roles unconfirmed</x:v>
      </x:c>
      <x:c r="I146" s="425" t="str">
        <x:v>Official ESPN schedule lists Georgia State Panthers at 1-0. Current starters, depth-chart usage, injuries and specialist roles require later confirmation.</x:v>
      </x:c>
      <x:c r="J146" s="425" t="str"/>
      <x:c r="K146" s="425" t="str"/>
      <x:c r="L146" s="425" t="str">
        <x:v>https://www.espn.com/college-football/game/_/gameId/401869955/georgia-st-kennesaw-st</x:v>
      </x:c>
    </x:row>
    <x:row r="147" ht="38" customHeight="1">
      <x:c r="A147" s="425" t="str">
        <x:v>2026-09-12</x:v>
      </x:c>
      <x:c r="B147" s="425" t="str">
        <x:v>Football</x:v>
      </x:c>
      <x:c r="C147" s="425" t="str">
        <x:v>CFB</x:v>
      </x:c>
      <x:c r="D147" s="425" t="str">
        <x:v>Middle Tennessee Blue Raiders at Marshall Thundering Herd</x:v>
      </x:c>
      <x:c r="E147" s="425" t="str">
        <x:v>2026-09-12T23:00Z</x:v>
      </x:c>
      <x:c r="F147" s="425" t="str">
        <x:v>PROSPECTIVE</x:v>
      </x:c>
      <x:c r="G147" s="425" t="str">
        <x:v>Marshall Thundering Herd</x:v>
      </x:c>
      <x:c r="H147" s="425" t="str">
        <x:v>Scheduled team; player lineup and specialist roles unconfirmed</x:v>
      </x:c>
      <x:c r="I147" s="425" t="str">
        <x:v>Official ESPN schedule lists Marshall Thundering Herd at 0-1. Current starters, depth-chart usage, injuries and specialist roles require later confirmation.</x:v>
      </x:c>
      <x:c r="J147" s="425" t="str"/>
      <x:c r="K147" s="425" t="str"/>
      <x:c r="L147" s="425" t="str">
        <x:v>https://www.espn.com/college-football/game/_/gameId/401871045/mtsu-marshall</x:v>
      </x:c>
    </x:row>
    <x:row r="148" ht="38" customHeight="1">
      <x:c r="A148" s="425" t="str">
        <x:v>2026-09-12</x:v>
      </x:c>
      <x:c r="B148" s="425" t="str">
        <x:v>Football</x:v>
      </x:c>
      <x:c r="C148" s="425" t="str">
        <x:v>CFB</x:v>
      </x:c>
      <x:c r="D148" s="425" t="str">
        <x:v>Middle Tennessee Blue Raiders at Marshall Thundering Herd</x:v>
      </x:c>
      <x:c r="E148" s="425" t="str">
        <x:v>2026-09-12T23:00Z</x:v>
      </x:c>
      <x:c r="F148" s="425" t="str">
        <x:v>PROSPECTIVE</x:v>
      </x:c>
      <x:c r="G148" s="425" t="str">
        <x:v>Middle Tennessee Blue Raiders</x:v>
      </x:c>
      <x:c r="H148" s="425" t="str">
        <x:v>Scheduled team; player lineup and specialist roles unconfirmed</x:v>
      </x:c>
      <x:c r="I148" s="425" t="str">
        <x:v>Official ESPN schedule lists Middle Tennessee Blue Raiders at 1-0. Current starters, depth-chart usage, injuries and specialist roles require later confirmation.</x:v>
      </x:c>
      <x:c r="J148" s="425" t="str"/>
      <x:c r="K148" s="425" t="str"/>
      <x:c r="L148" s="425" t="str">
        <x:v>https://www.espn.com/college-football/game/_/gameId/401871045/mtsu-marshall</x:v>
      </x:c>
    </x:row>
    <x:row r="149" ht="38" customHeight="1">
      <x:c r="A149" s="425" t="str">
        <x:v>2026-09-12</x:v>
      </x:c>
      <x:c r="B149" s="425" t="str">
        <x:v>Football</x:v>
      </x:c>
      <x:c r="C149" s="425" t="str">
        <x:v>CFB</x:v>
      </x:c>
      <x:c r="D149" s="425" t="str">
        <x:v>Lindenwood Lions at Missouri State Bears</x:v>
      </x:c>
      <x:c r="E149" s="425" t="str">
        <x:v>2026-09-12T23:00Z</x:v>
      </x:c>
      <x:c r="F149" s="425" t="str">
        <x:v>PROSPECTIVE</x:v>
      </x:c>
      <x:c r="G149" s="425" t="str">
        <x:v>Missouri State Bears</x:v>
      </x:c>
      <x:c r="H149" s="425" t="str">
        <x:v>Scheduled team; player lineup and specialist roles unconfirmed</x:v>
      </x:c>
      <x:c r="I149" s="425" t="str">
        <x:v>Official ESPN schedule lists Missouri State Bears at 0-1. Current starters, depth-chart usage, injuries and specialist roles require later confirmation.</x:v>
      </x:c>
      <x:c r="J149" s="425" t="str"/>
      <x:c r="K149" s="425" t="str"/>
      <x:c r="L149" s="425" t="str">
        <x:v>https://www.espn.com/college-football/game/_/gameId/401871046/lindenwood-missouri-st</x:v>
      </x:c>
    </x:row>
    <x:row r="150" ht="38" customHeight="1">
      <x:c r="A150" s="425" t="str">
        <x:v>2026-09-12</x:v>
      </x:c>
      <x:c r="B150" s="425" t="str">
        <x:v>Football</x:v>
      </x:c>
      <x:c r="C150" s="425" t="str">
        <x:v>CFB</x:v>
      </x:c>
      <x:c r="D150" s="425" t="str">
        <x:v>Lindenwood Lions at Missouri State Bears</x:v>
      </x:c>
      <x:c r="E150" s="425" t="str">
        <x:v>2026-09-12T23:00Z</x:v>
      </x:c>
      <x:c r="F150" s="425" t="str">
        <x:v>PROSPECTIVE</x:v>
      </x:c>
      <x:c r="G150" s="425" t="str">
        <x:v>Lindenwood Lions</x:v>
      </x:c>
      <x:c r="H150" s="425" t="str">
        <x:v>Scheduled team; player lineup and specialist roles unconfirmed</x:v>
      </x:c>
      <x:c r="I150" s="425" t="str">
        <x:v>Official ESPN schedule lists Lindenwood Lions at 1-1. Current starters, depth-chart usage, injuries and specialist roles require later confirmation.</x:v>
      </x:c>
      <x:c r="J150" s="425" t="str"/>
      <x:c r="K150" s="425" t="str"/>
      <x:c r="L150" s="425" t="str">
        <x:v>https://www.espn.com/college-football/game/_/gameId/401871046/lindenwood-missouri-st</x:v>
      </x:c>
    </x:row>
    <x:row r="151" ht="38" customHeight="1">
      <x:c r="A151" s="425" t="str">
        <x:v>2026-09-12</x:v>
      </x:c>
      <x:c r="B151" s="425" t="str">
        <x:v>Football</x:v>
      </x:c>
      <x:c r="C151" s="425" t="str">
        <x:v>CFB</x:v>
      </x:c>
      <x:c r="D151" s="425" t="str">
        <x:v>San Diego State Aztecs at UCLA Bruins</x:v>
      </x:c>
      <x:c r="E151" s="425" t="str">
        <x:v>2026-09-12T23:15Z</x:v>
      </x:c>
      <x:c r="F151" s="425" t="str">
        <x:v>PROSPECTIVE</x:v>
      </x:c>
      <x:c r="G151" s="425" t="str">
        <x:v>UCLA Bruins</x:v>
      </x:c>
      <x:c r="H151" s="425" t="str">
        <x:v>Scheduled team; player lineup and specialist roles unconfirmed</x:v>
      </x:c>
      <x:c r="I151" s="425" t="str">
        <x:v>Official ESPN schedule lists UCLA Bruins at 1-0. Current starters, depth-chart usage, injuries and specialist roles require later confirmation.</x:v>
      </x:c>
      <x:c r="J151" s="425" t="str"/>
      <x:c r="K151" s="425" t="str"/>
      <x:c r="L151" s="425" t="str">
        <x:v>https://www.espn.com/college-football/game/_/gameId/401858443/san-diego-st-ucla</x:v>
      </x:c>
    </x:row>
    <x:row r="152" ht="38" customHeight="1">
      <x:c r="A152" s="425" t="str">
        <x:v>2026-09-12</x:v>
      </x:c>
      <x:c r="B152" s="425" t="str">
        <x:v>Football</x:v>
      </x:c>
      <x:c r="C152" s="425" t="str">
        <x:v>CFB</x:v>
      </x:c>
      <x:c r="D152" s="425" t="str">
        <x:v>San Diego State Aztecs at UCLA Bruins</x:v>
      </x:c>
      <x:c r="E152" s="425" t="str">
        <x:v>2026-09-12T23:15Z</x:v>
      </x:c>
      <x:c r="F152" s="425" t="str">
        <x:v>PROSPECTIVE</x:v>
      </x:c>
      <x:c r="G152" s="425" t="str">
        <x:v>San Diego State Aztecs</x:v>
      </x:c>
      <x:c r="H152" s="425" t="str">
        <x:v>Scheduled team; player lineup and specialist roles unconfirmed</x:v>
      </x:c>
      <x:c r="I152" s="425" t="str">
        <x:v>Official ESPN schedule lists San Diego State Aztecs at 1-0. Current starters, depth-chart usage, injuries and specialist roles require later confirmation.</x:v>
      </x:c>
      <x:c r="J152" s="425" t="str"/>
      <x:c r="K152" s="425" t="str"/>
      <x:c r="L152" s="425" t="str">
        <x:v>https://www.espn.com/college-football/game/_/gameId/401858443/san-diego-st-ucla</x:v>
      </x:c>
    </x:row>
    <x:row r="153" ht="38" customHeight="1">
      <x:c r="A153" s="425" t="str">
        <x:v>2026-09-12</x:v>
      </x:c>
      <x:c r="B153" s="425" t="str">
        <x:v>Football</x:v>
      </x:c>
      <x:c r="C153" s="425" t="str">
        <x:v>CFB</x:v>
      </x:c>
      <x:c r="D153" s="425" t="str">
        <x:v>Western Illinois Leathernecks at Wisconsin Badgers</x:v>
      </x:c>
      <x:c r="E153" s="425" t="str">
        <x:v>2026-09-12T23:15Z</x:v>
      </x:c>
      <x:c r="F153" s="425" t="str">
        <x:v>PROSPECTIVE</x:v>
      </x:c>
      <x:c r="G153" s="425" t="str">
        <x:v>Wisconsin Badgers</x:v>
      </x:c>
      <x:c r="H153" s="425" t="str">
        <x:v>Scheduled team; player lineup and specialist roles unconfirmed</x:v>
      </x:c>
      <x:c r="I153" s="425" t="str">
        <x:v>Official ESPN schedule lists Wisconsin Badgers at 0-1. Current starters, depth-chart usage, injuries and specialist roles require later confirmation.</x:v>
      </x:c>
      <x:c r="J153" s="425" t="str"/>
      <x:c r="K153" s="425" t="str"/>
      <x:c r="L153" s="425" t="str">
        <x:v>https://www.espn.com/college-football/game/_/gameId/401858447/w-illinois-wisconsin</x:v>
      </x:c>
    </x:row>
    <x:row r="154" ht="38" customHeight="1">
      <x:c r="A154" s="425" t="str">
        <x:v>2026-09-12</x:v>
      </x:c>
      <x:c r="B154" s="425" t="str">
        <x:v>Football</x:v>
      </x:c>
      <x:c r="C154" s="425" t="str">
        <x:v>CFB</x:v>
      </x:c>
      <x:c r="D154" s="425" t="str">
        <x:v>Western Illinois Leathernecks at Wisconsin Badgers</x:v>
      </x:c>
      <x:c r="E154" s="425" t="str">
        <x:v>2026-09-12T23:15Z</x:v>
      </x:c>
      <x:c r="F154" s="425" t="str">
        <x:v>PROSPECTIVE</x:v>
      </x:c>
      <x:c r="G154" s="425" t="str">
        <x:v>Western Illinois Leathernecks</x:v>
      </x:c>
      <x:c r="H154" s="425" t="str">
        <x:v>Scheduled team; player lineup and specialist roles unconfirmed</x:v>
      </x:c>
      <x:c r="I154" s="425" t="str">
        <x:v>Official ESPN schedule lists Western Illinois Leathernecks at 1-1. Current starters, depth-chart usage, injuries and specialist roles require later confirmation.</x:v>
      </x:c>
      <x:c r="J154" s="425" t="str"/>
      <x:c r="K154" s="425" t="str"/>
      <x:c r="L154" s="425" t="str">
        <x:v>https://www.espn.com/college-football/game/_/gameId/401858447/w-illinois-wisconsin</x:v>
      </x:c>
    </x:row>
    <x:row r="155" ht="38" customHeight="1">
      <x:c r="A155" s="425" t="str">
        <x:v>2026-09-12</x:v>
      </x:c>
      <x:c r="B155" s="425" t="str">
        <x:v>Football</x:v>
      </x:c>
      <x:c r="C155" s="425" t="str">
        <x:v>CFB</x:v>
      </x:c>
      <x:c r="D155" s="425" t="str">
        <x:v>Ohio State Buckeyes at Texas Longhorns</x:v>
      </x:c>
      <x:c r="E155" s="425" t="str">
        <x:v>2026-09-12T23:30Z</x:v>
      </x:c>
      <x:c r="F155" s="425" t="str">
        <x:v>PROSPECTIVE</x:v>
      </x:c>
      <x:c r="G155" s="425" t="str">
        <x:v>Texas Longhorns</x:v>
      </x:c>
      <x:c r="H155" s="425" t="str">
        <x:v>Scheduled team; player lineup and specialist roles unconfirmed</x:v>
      </x:c>
      <x:c r="I155" s="425" t="str">
        <x:v>Official ESPN schedule lists Texas Longhorns at 1-0. Current starters, depth-chart usage, injuries and specialist roles require later confirmation.</x:v>
      </x:c>
      <x:c r="J155" s="425" t="str"/>
      <x:c r="K155" s="425" t="str"/>
      <x:c r="L155" s="425" t="str">
        <x:v>https://www.espn.com/college-football/game/_/gameId/401856682/ohio-state-texas</x:v>
      </x:c>
    </x:row>
    <x:row r="156" ht="38" customHeight="1">
      <x:c r="A156" s="425" t="str">
        <x:v>2026-09-12</x:v>
      </x:c>
      <x:c r="B156" s="425" t="str">
        <x:v>Football</x:v>
      </x:c>
      <x:c r="C156" s="425" t="str">
        <x:v>CFB</x:v>
      </x:c>
      <x:c r="D156" s="425" t="str">
        <x:v>Ohio State Buckeyes at Texas Longhorns</x:v>
      </x:c>
      <x:c r="E156" s="425" t="str">
        <x:v>2026-09-12T23:30Z</x:v>
      </x:c>
      <x:c r="F156" s="425" t="str">
        <x:v>PROSPECTIVE</x:v>
      </x:c>
      <x:c r="G156" s="425" t="str">
        <x:v>Ohio State Buckeyes</x:v>
      </x:c>
      <x:c r="H156" s="425" t="str">
        <x:v>Scheduled team; player lineup and specialist roles unconfirmed</x:v>
      </x:c>
      <x:c r="I156" s="425" t="str">
        <x:v>Official ESPN schedule lists Ohio State Buckeyes at 1-0. Current starters, depth-chart usage, injuries and specialist roles require later confirmation.</x:v>
      </x:c>
      <x:c r="J156" s="425" t="str"/>
      <x:c r="K156" s="425" t="str"/>
      <x:c r="L156" s="425" t="str">
        <x:v>https://www.espn.com/college-football/game/_/gameId/401856682/ohio-state-texas</x:v>
      </x:c>
    </x:row>
    <x:row r="157" ht="38" customHeight="1">
      <x:c r="A157" s="425" t="str">
        <x:v>2026-09-12</x:v>
      </x:c>
      <x:c r="B157" s="425" t="str">
        <x:v>Football</x:v>
      </x:c>
      <x:c r="C157" s="425" t="str">
        <x:v>CFB</x:v>
      </x:c>
      <x:c r="D157" s="425" t="str">
        <x:v>Louisiana Tech Bulldogs at LSU Tigers</x:v>
      </x:c>
      <x:c r="E157" s="425" t="str">
        <x:v>2026-09-12T23:30Z</x:v>
      </x:c>
      <x:c r="F157" s="425" t="str">
        <x:v>PROSPECTIVE</x:v>
      </x:c>
      <x:c r="G157" s="425" t="str">
        <x:v>LSU Tigers</x:v>
      </x:c>
      <x:c r="H157" s="425" t="str">
        <x:v>Scheduled team; player lineup and specialist roles unconfirmed</x:v>
      </x:c>
      <x:c r="I157" s="425" t="str">
        <x:v>Official ESPN schedule lists LSU Tigers at 1-0. Current starters, depth-chart usage, injuries and specialist roles require later confirmation.</x:v>
      </x:c>
      <x:c r="J157" s="425" t="str"/>
      <x:c r="K157" s="425" t="str"/>
      <x:c r="L157" s="425" t="str">
        <x:v>https://www.espn.com/college-football/game/_/gameId/401867796/louisiana-tech-lsu</x:v>
      </x:c>
    </x:row>
    <x:row r="158" ht="38" customHeight="1">
      <x:c r="A158" s="425" t="str">
        <x:v>2026-09-12</x:v>
      </x:c>
      <x:c r="B158" s="425" t="str">
        <x:v>Football</x:v>
      </x:c>
      <x:c r="C158" s="425" t="str">
        <x:v>CFB</x:v>
      </x:c>
      <x:c r="D158" s="425" t="str">
        <x:v>Louisiana Tech Bulldogs at LSU Tigers</x:v>
      </x:c>
      <x:c r="E158" s="425" t="str">
        <x:v>2026-09-12T23:30Z</x:v>
      </x:c>
      <x:c r="F158" s="425" t="str">
        <x:v>PROSPECTIVE</x:v>
      </x:c>
      <x:c r="G158" s="425" t="str">
        <x:v>Louisiana Tech Bulldogs</x:v>
      </x:c>
      <x:c r="H158" s="425" t="str">
        <x:v>Scheduled team; player lineup and specialist roles unconfirmed</x:v>
      </x:c>
      <x:c r="I158" s="425" t="str">
        <x:v>Official ESPN schedule lists Louisiana Tech Bulldogs at 1-0. Current starters, depth-chart usage, injuries and specialist roles require later confirmation.</x:v>
      </x:c>
      <x:c r="J158" s="425" t="str"/>
      <x:c r="K158" s="425" t="str"/>
      <x:c r="L158" s="425" t="str">
        <x:v>https://www.espn.com/college-football/game/_/gameId/401867796/louisiana-tech-lsu</x:v>
      </x:c>
    </x:row>
    <x:row r="159" ht="38" customHeight="1">
      <x:c r="A159" s="425" t="str">
        <x:v>2026-09-12</x:v>
      </x:c>
      <x:c r="B159" s="425" t="str">
        <x:v>Football</x:v>
      </x:c>
      <x:c r="C159" s="425" t="str">
        <x:v>CFB</x:v>
      </x:c>
      <x:c r="D159" s="425" t="str">
        <x:v>Texas Tech Red Raiders at Oregon State Beavers</x:v>
      </x:c>
      <x:c r="E159" s="425" t="str">
        <x:v>2026-09-12T23:30Z</x:v>
      </x:c>
      <x:c r="F159" s="425" t="str">
        <x:v>PROSPECTIVE</x:v>
      </x:c>
      <x:c r="G159" s="425" t="str">
        <x:v>Oregon State Beavers</x:v>
      </x:c>
      <x:c r="H159" s="425" t="str">
        <x:v>Scheduled team; player lineup and specialist roles unconfirmed</x:v>
      </x:c>
      <x:c r="I159" s="425" t="str">
        <x:v>Official ESPN schedule lists Oregon State Beavers at 0-1. Current starters, depth-chart usage, injuries and specialist roles require later confirmation.</x:v>
      </x:c>
      <x:c r="J159" s="425" t="str"/>
      <x:c r="K159" s="425" t="str"/>
      <x:c r="L159" s="425" t="str">
        <x:v>https://www.espn.com/college-football/game/_/gameId/401856783/texas-tech-oregon-st</x:v>
      </x:c>
    </x:row>
    <x:row r="160" ht="38" customHeight="1">
      <x:c r="A160" s="425" t="str">
        <x:v>2026-09-12</x:v>
      </x:c>
      <x:c r="B160" s="425" t="str">
        <x:v>Football</x:v>
      </x:c>
      <x:c r="C160" s="425" t="str">
        <x:v>CFB</x:v>
      </x:c>
      <x:c r="D160" s="425" t="str">
        <x:v>Texas Tech Red Raiders at Oregon State Beavers</x:v>
      </x:c>
      <x:c r="E160" s="425" t="str">
        <x:v>2026-09-12T23:30Z</x:v>
      </x:c>
      <x:c r="F160" s="425" t="str">
        <x:v>PROSPECTIVE</x:v>
      </x:c>
      <x:c r="G160" s="425" t="str">
        <x:v>Texas Tech Red Raiders</x:v>
      </x:c>
      <x:c r="H160" s="425" t="str">
        <x:v>Scheduled team; player lineup and specialist roles unconfirmed</x:v>
      </x:c>
      <x:c r="I160" s="425" t="str">
        <x:v>Official ESPN schedule lists Texas Tech Red Raiders at 1-0. Current starters, depth-chart usage, injuries and specialist roles require later confirmation.</x:v>
      </x:c>
      <x:c r="J160" s="425" t="str"/>
      <x:c r="K160" s="425" t="str"/>
      <x:c r="L160" s="425" t="str">
        <x:v>https://www.espn.com/college-football/game/_/gameId/401856783/texas-tech-oregon-st</x:v>
      </x:c>
    </x:row>
    <x:row r="161" ht="38" customHeight="1">
      <x:c r="A161" s="425" t="str">
        <x:v>2026-09-12</x:v>
      </x:c>
      <x:c r="B161" s="425" t="str">
        <x:v>Football</x:v>
      </x:c>
      <x:c r="C161" s="425" t="str">
        <x:v>CFB</x:v>
      </x:c>
      <x:c r="D161" s="425" t="str">
        <x:v>Iowa State Cyclones at Iowa Hawkeyes</x:v>
      </x:c>
      <x:c r="E161" s="425" t="str">
        <x:v>2026-09-12T23:30Z</x:v>
      </x:c>
      <x:c r="F161" s="425" t="str">
        <x:v>PROSPECTIVE</x:v>
      </x:c>
      <x:c r="G161" s="425" t="str">
        <x:v>Iowa Hawkeyes</x:v>
      </x:c>
      <x:c r="H161" s="425" t="str">
        <x:v>Scheduled team; player lineup and specialist roles unconfirmed</x:v>
      </x:c>
      <x:c r="I161" s="425" t="str">
        <x:v>Official ESPN schedule lists Iowa Hawkeyes at 1-0. Current starters, depth-chart usage, injuries and specialist roles require later confirmation.</x:v>
      </x:c>
      <x:c r="J161" s="425" t="str"/>
      <x:c r="K161" s="425" t="str"/>
      <x:c r="L161" s="425" t="str">
        <x:v>https://www.espn.com/college-football/game/_/gameId/401856788/iowa-state-iowa</x:v>
      </x:c>
    </x:row>
    <x:row r="162" ht="38" customHeight="1">
      <x:c r="A162" s="425" t="str">
        <x:v>2026-09-12</x:v>
      </x:c>
      <x:c r="B162" s="425" t="str">
        <x:v>Football</x:v>
      </x:c>
      <x:c r="C162" s="425" t="str">
        <x:v>CFB</x:v>
      </x:c>
      <x:c r="D162" s="425" t="str">
        <x:v>Iowa State Cyclones at Iowa Hawkeyes</x:v>
      </x:c>
      <x:c r="E162" s="425" t="str">
        <x:v>2026-09-12T23:30Z</x:v>
      </x:c>
      <x:c r="F162" s="425" t="str">
        <x:v>PROSPECTIVE</x:v>
      </x:c>
      <x:c r="G162" s="425" t="str">
        <x:v>Iowa State Cyclones</x:v>
      </x:c>
      <x:c r="H162" s="425" t="str">
        <x:v>Scheduled team; player lineup and specialist roles unconfirmed</x:v>
      </x:c>
      <x:c r="I162" s="425" t="str">
        <x:v>Official ESPN schedule lists Iowa State Cyclones at 1-0. Current starters, depth-chart usage, injuries and specialist roles require later confirmation.</x:v>
      </x:c>
      <x:c r="J162" s="425" t="str"/>
      <x:c r="K162" s="425" t="str"/>
      <x:c r="L162" s="425" t="str">
        <x:v>https://www.espn.com/college-football/game/_/gameId/401856788/iowa-state-iowa</x:v>
      </x:c>
    </x:row>
    <x:row r="163" ht="38" customHeight="1">
      <x:c r="A163" s="425" t="str">
        <x:v>2026-09-12</x:v>
      </x:c>
      <x:c r="B163" s="425" t="str">
        <x:v>Football</x:v>
      </x:c>
      <x:c r="C163" s="425" t="str">
        <x:v>CFB</x:v>
      </x:c>
      <x:c r="D163" s="425" t="str">
        <x:v>Georgia Southern Eagles at Clemson Tigers</x:v>
      </x:c>
      <x:c r="E163" s="425" t="str">
        <x:v>2026-09-12T23:30Z</x:v>
      </x:c>
      <x:c r="F163" s="425" t="str">
        <x:v>PROSPECTIVE</x:v>
      </x:c>
      <x:c r="G163" s="425" t="str">
        <x:v>Clemson Tigers</x:v>
      </x:c>
      <x:c r="H163" s="425" t="str">
        <x:v>Scheduled team; player lineup and specialist roles unconfirmed</x:v>
      </x:c>
      <x:c r="I163" s="425" t="str">
        <x:v>Official ESPN schedule lists Clemson Tigers at 0-1. Current starters, depth-chart usage, injuries and specialist roles require later confirmation.</x:v>
      </x:c>
      <x:c r="J163" s="425" t="str"/>
      <x:c r="K163" s="425" t="str"/>
      <x:c r="L163" s="425" t="str">
        <x:v>https://www.espn.com/college-football/game/_/gameId/401858219/ga-southern-clemson</x:v>
      </x:c>
    </x:row>
    <x:row r="164" ht="38" customHeight="1">
      <x:c r="A164" s="425" t="str">
        <x:v>2026-09-12</x:v>
      </x:c>
      <x:c r="B164" s="425" t="str">
        <x:v>Football</x:v>
      </x:c>
      <x:c r="C164" s="425" t="str">
        <x:v>CFB</x:v>
      </x:c>
      <x:c r="D164" s="425" t="str">
        <x:v>Georgia Southern Eagles at Clemson Tigers</x:v>
      </x:c>
      <x:c r="E164" s="425" t="str">
        <x:v>2026-09-12T23:30Z</x:v>
      </x:c>
      <x:c r="F164" s="425" t="str">
        <x:v>PROSPECTIVE</x:v>
      </x:c>
      <x:c r="G164" s="425" t="str">
        <x:v>Georgia Southern Eagles</x:v>
      </x:c>
      <x:c r="H164" s="425" t="str">
        <x:v>Scheduled team; player lineup and specialist roles unconfirmed</x:v>
      </x:c>
      <x:c r="I164" s="425" t="str">
        <x:v>Official ESPN schedule lists Georgia Southern Eagles at 1-0. Current starters, depth-chart usage, injuries and specialist roles require later confirmation.</x:v>
      </x:c>
      <x:c r="J164" s="425" t="str"/>
      <x:c r="K164" s="425" t="str"/>
      <x:c r="L164" s="425" t="str">
        <x:v>https://www.espn.com/college-football/game/_/gameId/401858219/ga-southern-clemson</x:v>
      </x:c>
    </x:row>
    <x:row r="165" ht="38" customHeight="1">
      <x:c r="A165" s="425" t="str">
        <x:v>2026-09-12</x:v>
      </x:c>
      <x:c r="B165" s="425" t="str">
        <x:v>Football</x:v>
      </x:c>
      <x:c r="C165" s="425" t="str">
        <x:v>CFB</x:v>
      </x:c>
      <x:c r="D165" s="425" t="str">
        <x:v>Navy Midshipmen at Florida Atlantic Owls</x:v>
      </x:c>
      <x:c r="E165" s="425" t="str">
        <x:v>2026-09-12T23:30Z</x:v>
      </x:c>
      <x:c r="F165" s="425" t="str">
        <x:v>PROSPECTIVE</x:v>
      </x:c>
      <x:c r="G165" s="425" t="str">
        <x:v>Florida Atlantic Owls</x:v>
      </x:c>
      <x:c r="H165" s="425" t="str">
        <x:v>Scheduled team; player lineup and specialist roles unconfirmed</x:v>
      </x:c>
      <x:c r="I165" s="425" t="str">
        <x:v>Official ESPN schedule lists Florida Atlantic Owls at 0-1. Current starters, depth-chart usage, injuries and specialist roles require later confirmation.</x:v>
      </x:c>
      <x:c r="J165" s="425" t="str"/>
      <x:c r="K165" s="425" t="str"/>
      <x:c r="L165" s="425" t="str">
        <x:v>https://www.espn.com/college-football/game/_/gameId/401862703/navy-fau</x:v>
      </x:c>
    </x:row>
    <x:row r="166" ht="38" customHeight="1">
      <x:c r="A166" s="425" t="str">
        <x:v>2026-09-12</x:v>
      </x:c>
      <x:c r="B166" s="425" t="str">
        <x:v>Football</x:v>
      </x:c>
      <x:c r="C166" s="425" t="str">
        <x:v>CFB</x:v>
      </x:c>
      <x:c r="D166" s="425" t="str">
        <x:v>Navy Midshipmen at Florida Atlantic Owls</x:v>
      </x:c>
      <x:c r="E166" s="425" t="str">
        <x:v>2026-09-12T23:30Z</x:v>
      </x:c>
      <x:c r="F166" s="425" t="str">
        <x:v>PROSPECTIVE</x:v>
      </x:c>
      <x:c r="G166" s="425" t="str">
        <x:v>Navy Midshipmen</x:v>
      </x:c>
      <x:c r="H166" s="425" t="str">
        <x:v>Scheduled team; player lineup and specialist roles unconfirmed</x:v>
      </x:c>
      <x:c r="I166" s="425" t="str">
        <x:v>Official ESPN schedule lists Navy Midshipmen at 1-0. Current starters, depth-chart usage, injuries and specialist roles require later confirmation.</x:v>
      </x:c>
      <x:c r="J166" s="425" t="str"/>
      <x:c r="K166" s="425" t="str"/>
      <x:c r="L166" s="425" t="str">
        <x:v>https://www.espn.com/college-football/game/_/gameId/401862703/navy-fau</x:v>
      </x:c>
    </x:row>
    <x:row r="167" ht="38" customHeight="1">
      <x:c r="A167" s="425" t="str">
        <x:v>2026-09-12</x:v>
      </x:c>
      <x:c r="B167" s="425" t="str">
        <x:v>Football</x:v>
      </x:c>
      <x:c r="C167" s="425" t="str">
        <x:v>CFB</x:v>
      </x:c>
      <x:c r="D167" s="425" t="str">
        <x:v>Fordham Rams at Coastal Carolina Chanticleers</x:v>
      </x:c>
      <x:c r="E167" s="425" t="str">
        <x:v>2026-09-12T23:30Z</x:v>
      </x:c>
      <x:c r="F167" s="425" t="str">
        <x:v>PROSPECTIVE</x:v>
      </x:c>
      <x:c r="G167" s="425" t="str">
        <x:v>Coastal Carolina Chanticleers</x:v>
      </x:c>
      <x:c r="H167" s="425" t="str">
        <x:v>Scheduled team; player lineup and specialist roles unconfirmed</x:v>
      </x:c>
      <x:c r="I167" s="425" t="str">
        <x:v>Official ESPN schedule lists Coastal Carolina Chanticleers at 0-1. Current starters, depth-chart usage, injuries and specialist roles require later confirmation.</x:v>
      </x:c>
      <x:c r="J167" s="425" t="str"/>
      <x:c r="K167" s="425" t="str"/>
      <x:c r="L167" s="425" t="str">
        <x:v>https://www.espn.com/college-football/game/_/gameId/401868008/fordham-coastal</x:v>
      </x:c>
    </x:row>
    <x:row r="168" ht="38" customHeight="1">
      <x:c r="A168" s="425" t="str">
        <x:v>2026-09-12</x:v>
      </x:c>
      <x:c r="B168" s="425" t="str">
        <x:v>Football</x:v>
      </x:c>
      <x:c r="C168" s="425" t="str">
        <x:v>CFB</x:v>
      </x:c>
      <x:c r="D168" s="425" t="str">
        <x:v>Fordham Rams at Coastal Carolina Chanticleers</x:v>
      </x:c>
      <x:c r="E168" s="425" t="str">
        <x:v>2026-09-12T23:30Z</x:v>
      </x:c>
      <x:c r="F168" s="425" t="str">
        <x:v>PROSPECTIVE</x:v>
      </x:c>
      <x:c r="G168" s="425" t="str">
        <x:v>Fordham Rams</x:v>
      </x:c>
      <x:c r="H168" s="425" t="str">
        <x:v>Scheduled team; player lineup and specialist roles unconfirmed</x:v>
      </x:c>
      <x:c r="I168" s="425" t="str">
        <x:v>Official ESPN schedule lists Fordham Rams at 0-2. Current starters, depth-chart usage, injuries and specialist roles require later confirmation.</x:v>
      </x:c>
      <x:c r="J168" s="425" t="str"/>
      <x:c r="K168" s="425" t="str"/>
      <x:c r="L168" s="425" t="str">
        <x:v>https://www.espn.com/college-football/game/_/gameId/401868008/fordham-coastal</x:v>
      </x:c>
    </x:row>
    <x:row r="169" ht="38" customHeight="1">
      <x:c r="A169" s="425" t="str">
        <x:v>2026-09-12</x:v>
      </x:c>
      <x:c r="B169" s="425" t="str">
        <x:v>Football</x:v>
      </x:c>
      <x:c r="C169" s="425" t="str">
        <x:v>CFB</x:v>
      </x:c>
      <x:c r="D169" s="425" t="str">
        <x:v>Charlotte 49ers at Ole Miss Rebels</x:v>
      </x:c>
      <x:c r="E169" s="425" t="str">
        <x:v>2026-09-12T23:45Z</x:v>
      </x:c>
      <x:c r="F169" s="425" t="str">
        <x:v>PROSPECTIVE</x:v>
      </x:c>
      <x:c r="G169" s="425" t="str">
        <x:v>Ole Miss Rebels</x:v>
      </x:c>
      <x:c r="H169" s="425" t="str">
        <x:v>Scheduled team; player lineup and specialist roles unconfirmed</x:v>
      </x:c>
      <x:c r="I169" s="425" t="str">
        <x:v>Official ESPN schedule lists Ole Miss Rebels at 1-0. Current starters, depth-chart usage, injuries and specialist roles require later confirmation.</x:v>
      </x:c>
      <x:c r="J169" s="425" t="str"/>
      <x:c r="K169" s="425" t="str"/>
      <x:c r="L169" s="425" t="str">
        <x:v>https://www.espn.com/college-football/game/_/gameId/401856676/charlotte-ole-miss</x:v>
      </x:c>
    </x:row>
    <x:row r="170" ht="38" customHeight="1">
      <x:c r="A170" s="425" t="str">
        <x:v>2026-09-12</x:v>
      </x:c>
      <x:c r="B170" s="425" t="str">
        <x:v>Football</x:v>
      </x:c>
      <x:c r="C170" s="425" t="str">
        <x:v>CFB</x:v>
      </x:c>
      <x:c r="D170" s="425" t="str">
        <x:v>Charlotte 49ers at Ole Miss Rebels</x:v>
      </x:c>
      <x:c r="E170" s="425" t="str">
        <x:v>2026-09-12T23:45Z</x:v>
      </x:c>
      <x:c r="F170" s="425" t="str">
        <x:v>PROSPECTIVE</x:v>
      </x:c>
      <x:c r="G170" s="425" t="str">
        <x:v>Charlotte 49ers</x:v>
      </x:c>
      <x:c r="H170" s="425" t="str">
        <x:v>Scheduled team; player lineup and specialist roles unconfirmed</x:v>
      </x:c>
      <x:c r="I170" s="425" t="str">
        <x:v>Official ESPN schedule lists Charlotte 49ers at 0-1. Current starters, depth-chart usage, injuries and specialist roles require later confirmation.</x:v>
      </x:c>
      <x:c r="J170" s="425" t="str"/>
      <x:c r="K170" s="425" t="str"/>
      <x:c r="L170" s="425" t="str">
        <x:v>https://www.espn.com/college-football/game/_/gameId/401856676/charlotte-ole-miss</x:v>
      </x:c>
    </x:row>
    <x:row r="171" ht="38" customHeight="1">
      <x:c r="A171" s="425" t="str">
        <x:v>2026-09-12</x:v>
      </x:c>
      <x:c r="B171" s="425" t="str">
        <x:v>Football</x:v>
      </x:c>
      <x:c r="C171" s="425" t="str">
        <x:v>CFB</x:v>
      </x:c>
      <x:c r="D171" s="425" t="str">
        <x:v>Southern Miss Golden Eagles at Auburn Tigers</x:v>
      </x:c>
      <x:c r="E171" s="425" t="str">
        <x:v>2026-09-12T23:45Z</x:v>
      </x:c>
      <x:c r="F171" s="425" t="str">
        <x:v>PROSPECTIVE</x:v>
      </x:c>
      <x:c r="G171" s="425" t="str">
        <x:v>Auburn Tigers</x:v>
      </x:c>
      <x:c r="H171" s="425" t="str">
        <x:v>Scheduled team; player lineup and specialist roles unconfirmed</x:v>
      </x:c>
      <x:c r="I171" s="425" t="str">
        <x:v>Official ESPN schedule lists Auburn Tigers at 1-0. Current starters, depth-chart usage, injuries and specialist roles require later confirmation.</x:v>
      </x:c>
      <x:c r="J171" s="425" t="str"/>
      <x:c r="K171" s="425" t="str"/>
      <x:c r="L171" s="425" t="str">
        <x:v>https://www.espn.com/college-football/game/_/gameId/401856671/southern-miss-auburn</x:v>
      </x:c>
    </x:row>
    <x:row r="172" ht="38" customHeight="1">
      <x:c r="A172" s="425" t="str">
        <x:v>2026-09-12</x:v>
      </x:c>
      <x:c r="B172" s="425" t="str">
        <x:v>Football</x:v>
      </x:c>
      <x:c r="C172" s="425" t="str">
        <x:v>CFB</x:v>
      </x:c>
      <x:c r="D172" s="425" t="str">
        <x:v>Southern Miss Golden Eagles at Auburn Tigers</x:v>
      </x:c>
      <x:c r="E172" s="425" t="str">
        <x:v>2026-09-12T23:45Z</x:v>
      </x:c>
      <x:c r="F172" s="425" t="str">
        <x:v>PROSPECTIVE</x:v>
      </x:c>
      <x:c r="G172" s="425" t="str">
        <x:v>Southern Miss Golden Eagles</x:v>
      </x:c>
      <x:c r="H172" s="425" t="str">
        <x:v>Scheduled team; player lineup and specialist roles unconfirmed</x:v>
      </x:c>
      <x:c r="I172" s="425" t="str">
        <x:v>Official ESPN schedule lists Southern Miss Golden Eagles at 1-0. Current starters, depth-chart usage, injuries and specialist roles require later confirmation.</x:v>
      </x:c>
      <x:c r="J172" s="425" t="str"/>
      <x:c r="K172" s="425" t="str"/>
      <x:c r="L172" s="425" t="str">
        <x:v>https://www.espn.com/college-football/game/_/gameId/401856671/southern-miss-auburn</x:v>
      </x:c>
    </x:row>
    <x:row r="173" ht="38" customHeight="1">
      <x:c r="A173" s="425" t="str">
        <x:v>2026-09-12</x:v>
      </x:c>
      <x:c r="B173" s="425" t="str">
        <x:v>Football</x:v>
      </x:c>
      <x:c r="C173" s="425" t="str">
        <x:v>CFB</x:v>
      </x:c>
      <x:c r="D173" s="425" t="str">
        <x:v>Grambling Tigers at TCU Horned Frogs</x:v>
      </x:c>
      <x:c r="E173" s="425" t="str">
        <x:v>2026-09-13T00:00Z</x:v>
      </x:c>
      <x:c r="F173" s="425" t="str">
        <x:v>PROSPECTIVE</x:v>
      </x:c>
      <x:c r="G173" s="425" t="str">
        <x:v>TCU Horned Frogs</x:v>
      </x:c>
      <x:c r="H173" s="425" t="str">
        <x:v>Scheduled team; player lineup and specialist roles unconfirmed</x:v>
      </x:c>
      <x:c r="I173" s="425" t="str">
        <x:v>Official ESPN schedule lists TCU Horned Frogs at 0-1. Current starters, depth-chart usage, injuries and specialist roles require later confirmation.</x:v>
      </x:c>
      <x:c r="J173" s="425" t="str"/>
      <x:c r="K173" s="425" t="str"/>
      <x:c r="L173" s="425" t="str">
        <x:v>https://www.espn.com/college-football/game/_/gameId/401856789/grambling-tcu</x:v>
      </x:c>
    </x:row>
    <x:row r="174" ht="38" customHeight="1">
      <x:c r="A174" s="425" t="str">
        <x:v>2026-09-12</x:v>
      </x:c>
      <x:c r="B174" s="425" t="str">
        <x:v>Football</x:v>
      </x:c>
      <x:c r="C174" s="425" t="str">
        <x:v>CFB</x:v>
      </x:c>
      <x:c r="D174" s="425" t="str">
        <x:v>Grambling Tigers at TCU Horned Frogs</x:v>
      </x:c>
      <x:c r="E174" s="425" t="str">
        <x:v>2026-09-13T00:00Z</x:v>
      </x:c>
      <x:c r="F174" s="425" t="str">
        <x:v>PROSPECTIVE</x:v>
      </x:c>
      <x:c r="G174" s="425" t="str">
        <x:v>Grambling Tigers</x:v>
      </x:c>
      <x:c r="H174" s="425" t="str">
        <x:v>Scheduled team; player lineup and specialist roles unconfirmed</x:v>
      </x:c>
      <x:c r="I174" s="425" t="str">
        <x:v>Official ESPN schedule lists Grambling Tigers at 2-0. Current starters, depth-chart usage, injuries and specialist roles require later confirmation.</x:v>
      </x:c>
      <x:c r="J174" s="425" t="str"/>
      <x:c r="K174" s="425" t="str"/>
      <x:c r="L174" s="425" t="str">
        <x:v>https://www.espn.com/college-football/game/_/gameId/401856789/grambling-tcu</x:v>
      </x:c>
    </x:row>
    <x:row r="175" ht="38" customHeight="1">
      <x:c r="A175" s="425" t="str">
        <x:v>2026-09-12</x:v>
      </x:c>
      <x:c r="B175" s="425" t="str">
        <x:v>Football</x:v>
      </x:c>
      <x:c r="C175" s="425" t="str">
        <x:v>CFB</x:v>
      </x:c>
      <x:c r="D175" s="425" t="str">
        <x:v>Prairie View A&amp;M Panthers at Baylor Bears</x:v>
      </x:c>
      <x:c r="E175" s="425" t="str">
        <x:v>2026-09-13T00:08Z</x:v>
      </x:c>
      <x:c r="F175" s="425" t="str">
        <x:v>PROSPECTIVE</x:v>
      </x:c>
      <x:c r="G175" s="425" t="str">
        <x:v>Baylor Bears</x:v>
      </x:c>
      <x:c r="H175" s="425" t="str">
        <x:v>Scheduled team; player lineup and specialist roles unconfirmed</x:v>
      </x:c>
      <x:c r="I175" s="425" t="str">
        <x:v>Official ESPN schedule lists Baylor Bears at 0-1. Current starters, depth-chart usage, injuries and specialist roles require later confirmation.</x:v>
      </x:c>
      <x:c r="J175" s="425" t="str"/>
      <x:c r="K175" s="425" t="str"/>
      <x:c r="L175" s="425" t="str">
        <x:v>https://www.espn.com/college-football/game/_/gameId/401856784/prairie-view-baylor</x:v>
      </x:c>
    </x:row>
    <x:row r="176" ht="38" customHeight="1">
      <x:c r="A176" s="425" t="str">
        <x:v>2026-09-12</x:v>
      </x:c>
      <x:c r="B176" s="425" t="str">
        <x:v>Football</x:v>
      </x:c>
      <x:c r="C176" s="425" t="str">
        <x:v>CFB</x:v>
      </x:c>
      <x:c r="D176" s="425" t="str">
        <x:v>Prairie View A&amp;M Panthers at Baylor Bears</x:v>
      </x:c>
      <x:c r="E176" s="425" t="str">
        <x:v>2026-09-13T00:08Z</x:v>
      </x:c>
      <x:c r="F176" s="425" t="str">
        <x:v>PROSPECTIVE</x:v>
      </x:c>
      <x:c r="G176" s="425" t="str">
        <x:v>Prairie View A&amp;M Panthers</x:v>
      </x:c>
      <x:c r="H176" s="425" t="str">
        <x:v>Scheduled team; player lineup and specialist roles unconfirmed</x:v>
      </x:c>
      <x:c r="I176" s="425" t="str">
        <x:v>Official ESPN schedule lists Prairie View A&amp;M Panthers at 1-1. Current starters, depth-chart usage, injuries and specialist roles require later confirmation.</x:v>
      </x:c>
      <x:c r="J176" s="425" t="str"/>
      <x:c r="K176" s="425" t="str"/>
      <x:c r="L176" s="425" t="str">
        <x:v>https://www.espn.com/college-football/game/_/gameId/401856784/prairie-view-baylor</x:v>
      </x:c>
    </x:row>
    <x:row r="177" ht="38" customHeight="1">
      <x:c r="A177" s="425" t="str">
        <x:v>2026-09-12</x:v>
      </x:c>
      <x:c r="B177" s="425" t="str">
        <x:v>Football</x:v>
      </x:c>
      <x:c r="C177" s="425" t="str">
        <x:v>CFB</x:v>
      </x:c>
      <x:c r="D177" s="425" t="str">
        <x:v>Cal Poly Mustangs at San José State Spartans</x:v>
      </x:c>
      <x:c r="E177" s="425" t="str">
        <x:v>2026-09-13T01:00Z</x:v>
      </x:c>
      <x:c r="F177" s="425" t="str">
        <x:v>PROSPECTIVE</x:v>
      </x:c>
      <x:c r="G177" s="425" t="str">
        <x:v>San José State Spartans</x:v>
      </x:c>
      <x:c r="H177" s="425" t="str">
        <x:v>Scheduled team; player lineup and specialist roles unconfirmed</x:v>
      </x:c>
      <x:c r="I177" s="425" t="str">
        <x:v>Official ESPN schedule lists San José State Spartans at 1-1. Current starters, depth-chart usage, injuries and specialist roles require later confirmation.</x:v>
      </x:c>
      <x:c r="J177" s="425" t="str"/>
      <x:c r="K177" s="425" t="str"/>
      <x:c r="L177" s="425" t="str">
        <x:v>https://www.espn.com/college-football/game/_/gameId/401864504/cal-poly-san-jose-st</x:v>
      </x:c>
    </x:row>
    <x:row r="178" ht="38" customHeight="1">
      <x:c r="A178" s="425" t="str">
        <x:v>2026-09-12</x:v>
      </x:c>
      <x:c r="B178" s="425" t="str">
        <x:v>Football</x:v>
      </x:c>
      <x:c r="C178" s="425" t="str">
        <x:v>CFB</x:v>
      </x:c>
      <x:c r="D178" s="425" t="str">
        <x:v>Cal Poly Mustangs at San José State Spartans</x:v>
      </x:c>
      <x:c r="E178" s="425" t="str">
        <x:v>2026-09-13T01:00Z</x:v>
      </x:c>
      <x:c r="F178" s="425" t="str">
        <x:v>PROSPECTIVE</x:v>
      </x:c>
      <x:c r="G178" s="425" t="str">
        <x:v>Cal Poly Mustangs</x:v>
      </x:c>
      <x:c r="H178" s="425" t="str">
        <x:v>Scheduled team; player lineup and specialist roles unconfirmed</x:v>
      </x:c>
      <x:c r="I178" s="425" t="str">
        <x:v>Official ESPN schedule lists Cal Poly Mustangs at 2-0. Current starters, depth-chart usage, injuries and specialist roles require later confirmation.</x:v>
      </x:c>
      <x:c r="J178" s="425" t="str"/>
      <x:c r="K178" s="425" t="str"/>
      <x:c r="L178" s="425" t="str">
        <x:v>https://www.espn.com/college-football/game/_/gameId/401864504/cal-poly-san-jose-st</x:v>
      </x:c>
    </x:row>
    <x:row r="179" ht="38" customHeight="1">
      <x:c r="A179" s="425" t="str">
        <x:v>2026-09-12</x:v>
      </x:c>
      <x:c r="B179" s="425" t="str">
        <x:v>Football</x:v>
      </x:c>
      <x:c r="C179" s="425" t="str">
        <x:v>CFB</x:v>
      </x:c>
      <x:c r="D179" s="425" t="str">
        <x:v>Texas Southern Tigers at UTEP Miners</x:v>
      </x:c>
      <x:c r="E179" s="425" t="str">
        <x:v>2026-09-13T01:00Z</x:v>
      </x:c>
      <x:c r="F179" s="425" t="str">
        <x:v>PROSPECTIVE</x:v>
      </x:c>
      <x:c r="G179" s="425" t="str">
        <x:v>UTEP Miners</x:v>
      </x:c>
      <x:c r="H179" s="425" t="str">
        <x:v>Scheduled team; player lineup and specialist roles unconfirmed</x:v>
      </x:c>
      <x:c r="I179" s="425" t="str">
        <x:v>Official ESPN schedule lists UTEP Miners at 0-1. Current starters, depth-chart usage, injuries and specialist roles require later confirmation.</x:v>
      </x:c>
      <x:c r="J179" s="425" t="str"/>
      <x:c r="K179" s="425" t="str"/>
      <x:c r="L179" s="425" t="str">
        <x:v>https://www.espn.com/college-football/game/_/gameId/401864505/texas-southern-utep</x:v>
      </x:c>
    </x:row>
    <x:row r="180" ht="38" customHeight="1">
      <x:c r="A180" s="425" t="str">
        <x:v>2026-09-12</x:v>
      </x:c>
      <x:c r="B180" s="425" t="str">
        <x:v>Football</x:v>
      </x:c>
      <x:c r="C180" s="425" t="str">
        <x:v>CFB</x:v>
      </x:c>
      <x:c r="D180" s="425" t="str">
        <x:v>Texas Southern Tigers at UTEP Miners</x:v>
      </x:c>
      <x:c r="E180" s="425" t="str">
        <x:v>2026-09-13T01:00Z</x:v>
      </x:c>
      <x:c r="F180" s="425" t="str">
        <x:v>PROSPECTIVE</x:v>
      </x:c>
      <x:c r="G180" s="425" t="str">
        <x:v>Texas Southern Tigers</x:v>
      </x:c>
      <x:c r="H180" s="425" t="str">
        <x:v>Scheduled team; player lineup and specialist roles unconfirmed</x:v>
      </x:c>
      <x:c r="I180" s="425" t="str">
        <x:v>Official ESPN schedule lists Texas Southern Tigers at 1-1. Current starters, depth-chart usage, injuries and specialist roles require later confirmation.</x:v>
      </x:c>
      <x:c r="J180" s="425" t="str"/>
      <x:c r="K180" s="425" t="str"/>
      <x:c r="L180" s="425" t="str">
        <x:v>https://www.espn.com/college-football/game/_/gameId/401864505/texas-southern-utep</x:v>
      </x:c>
    </x:row>
    <x:row r="181" ht="38" customHeight="1">
      <x:c r="A181" s="425" t="str">
        <x:v>2026-09-12</x:v>
      </x:c>
      <x:c r="B181" s="425" t="str">
        <x:v>Football</x:v>
      </x:c>
      <x:c r="C181" s="425" t="str">
        <x:v>CFB</x:v>
      </x:c>
      <x:c r="D181" s="425" t="str">
        <x:v>North Dakota State Bison at Air Force Falcons</x:v>
      </x:c>
      <x:c r="E181" s="425" t="str">
        <x:v>2026-09-13T02:00Z</x:v>
      </x:c>
      <x:c r="F181" s="425" t="str">
        <x:v>PROSPECTIVE</x:v>
      </x:c>
      <x:c r="G181" s="425" t="str">
        <x:v>Air Force Falcons</x:v>
      </x:c>
      <x:c r="H181" s="425" t="str">
        <x:v>Scheduled team; player lineup and specialist roles unconfirmed</x:v>
      </x:c>
      <x:c r="I181" s="425" t="str">
        <x:v>Official ESPN schedule lists Air Force Falcons at 1-0. Current starters, depth-chart usage, injuries and specialist roles require later confirmation.</x:v>
      </x:c>
      <x:c r="J181" s="425" t="str"/>
      <x:c r="K181" s="425" t="str"/>
      <x:c r="L181" s="425" t="str">
        <x:v>https://www.espn.com/college-football/game/_/gameId/401864502/n-dakota-st-air-force</x:v>
      </x:c>
    </x:row>
    <x:row r="182" ht="38" customHeight="1">
      <x:c r="A182" s="425" t="str">
        <x:v>2026-09-12</x:v>
      </x:c>
      <x:c r="B182" s="425" t="str">
        <x:v>Football</x:v>
      </x:c>
      <x:c r="C182" s="425" t="str">
        <x:v>CFB</x:v>
      </x:c>
      <x:c r="D182" s="425" t="str">
        <x:v>North Dakota State Bison at Air Force Falcons</x:v>
      </x:c>
      <x:c r="E182" s="425" t="str">
        <x:v>2026-09-13T02:00Z</x:v>
      </x:c>
      <x:c r="F182" s="425" t="str">
        <x:v>PROSPECTIVE</x:v>
      </x:c>
      <x:c r="G182" s="425" t="str">
        <x:v>North Dakota State Bison</x:v>
      </x:c>
      <x:c r="H182" s="425" t="str">
        <x:v>Scheduled team; player lineup and specialist roles unconfirmed</x:v>
      </x:c>
      <x:c r="I182" s="425" t="str">
        <x:v>Official ESPN schedule lists North Dakota State Bison at 2-0. Current starters, depth-chart usage, injuries and specialist roles require later confirmation.</x:v>
      </x:c>
      <x:c r="J182" s="425" t="str"/>
      <x:c r="K182" s="425" t="str"/>
      <x:c r="L182" s="425" t="str">
        <x:v>https://www.espn.com/college-football/game/_/gameId/401864502/n-dakota-st-air-force</x:v>
      </x:c>
    </x:row>
    <x:row r="183" ht="38" customHeight="1">
      <x:c r="A183" s="425" t="str">
        <x:v>2026-09-12</x:v>
      </x:c>
      <x:c r="B183" s="425" t="str">
        <x:v>Football</x:v>
      </x:c>
      <x:c r="C183" s="425" t="str">
        <x:v>CFB</x:v>
      </x:c>
      <x:c r="D183" s="425" t="str">
        <x:v>Arkansas Razorbacks at Utah Utes</x:v>
      </x:c>
      <x:c r="E183" s="425" t="str">
        <x:v>2026-09-13T02:15Z</x:v>
      </x:c>
      <x:c r="F183" s="425" t="str">
        <x:v>PROSPECTIVE</x:v>
      </x:c>
      <x:c r="G183" s="425" t="str">
        <x:v>Utah Utes</x:v>
      </x:c>
      <x:c r="H183" s="425" t="str">
        <x:v>Scheduled team; player lineup and specialist roles unconfirmed</x:v>
      </x:c>
      <x:c r="I183" s="425" t="str">
        <x:v>Official ESPN schedule lists Utah Utes at 1-0. Current starters, depth-chart usage, injuries and specialist roles require later confirmation.</x:v>
      </x:c>
      <x:c r="J183" s="425" t="str"/>
      <x:c r="K183" s="425" t="str"/>
      <x:c r="L183" s="425" t="str">
        <x:v>https://www.espn.com/college-football/game/_/gameId/401856670/arkansas-utah</x:v>
      </x:c>
    </x:row>
    <x:row r="184" ht="38" customHeight="1">
      <x:c r="A184" s="425" t="str">
        <x:v>2026-09-12</x:v>
      </x:c>
      <x:c r="B184" s="425" t="str">
        <x:v>Football</x:v>
      </x:c>
      <x:c r="C184" s="425" t="str">
        <x:v>CFB</x:v>
      </x:c>
      <x:c r="D184" s="425" t="str">
        <x:v>Arkansas Razorbacks at Utah Utes</x:v>
      </x:c>
      <x:c r="E184" s="425" t="str">
        <x:v>2026-09-13T02:15Z</x:v>
      </x:c>
      <x:c r="F184" s="425" t="str">
        <x:v>PROSPECTIVE</x:v>
      </x:c>
      <x:c r="G184" s="425" t="str">
        <x:v>Arkansas Razorbacks</x:v>
      </x:c>
      <x:c r="H184" s="425" t="str">
        <x:v>Scheduled team; player lineup and specialist roles unconfirmed</x:v>
      </x:c>
      <x:c r="I184" s="425" t="str">
        <x:v>Official ESPN schedule lists Arkansas Razorbacks at 1-0. Current starters, depth-chart usage, injuries and specialist roles require later confirmation.</x:v>
      </x:c>
      <x:c r="J184" s="425" t="str"/>
      <x:c r="K184" s="425" t="str"/>
      <x:c r="L184" s="425" t="str">
        <x:v>https://www.espn.com/college-football/game/_/gameId/401856670/arkansas-utah</x:v>
      </x:c>
    </x:row>
    <x:row r="185" ht="38" customHeight="1">
      <x:c r="A185" s="425" t="str">
        <x:v>2026-09-12</x:v>
      </x:c>
      <x:c r="B185" s="425" t="str">
        <x:v>Football</x:v>
      </x:c>
      <x:c r="C185" s="425" t="str">
        <x:v>CFB</x:v>
      </x:c>
      <x:c r="D185" s="425" t="str">
        <x:v>Sacramento State Hornets at Fresno State Bulldogs</x:v>
      </x:c>
      <x:c r="E185" s="425" t="str">
        <x:v>2026-09-13T02:30Z</x:v>
      </x:c>
      <x:c r="F185" s="425" t="str">
        <x:v>PROSPECTIVE</x:v>
      </x:c>
      <x:c r="G185" s="425" t="str">
        <x:v>Fresno State Bulldogs</x:v>
      </x:c>
      <x:c r="H185" s="425" t="str">
        <x:v>Scheduled team; player lineup and specialist roles unconfirmed</x:v>
      </x:c>
      <x:c r="I185" s="425" t="str">
        <x:v>Official ESPN schedule lists Fresno State Bulldogs at 0-1. Current starters, depth-chart usage, injuries and specialist roles require later confirmation.</x:v>
      </x:c>
      <x:c r="J185" s="425" t="str"/>
      <x:c r="K185" s="425" t="str"/>
      <x:c r="L185" s="425" t="str">
        <x:v>https://www.espn.com/college-football/game/_/gameId/401860883/sacramento-st-fresno-st</x:v>
      </x:c>
    </x:row>
    <x:row r="186" ht="38" customHeight="1">
      <x:c r="A186" s="425" t="str">
        <x:v>2026-09-12</x:v>
      </x:c>
      <x:c r="B186" s="425" t="str">
        <x:v>Football</x:v>
      </x:c>
      <x:c r="C186" s="425" t="str">
        <x:v>CFB</x:v>
      </x:c>
      <x:c r="D186" s="425" t="str">
        <x:v>Sacramento State Hornets at Fresno State Bulldogs</x:v>
      </x:c>
      <x:c r="E186" s="425" t="str">
        <x:v>2026-09-13T02:30Z</x:v>
      </x:c>
      <x:c r="F186" s="425" t="str">
        <x:v>PROSPECTIVE</x:v>
      </x:c>
      <x:c r="G186" s="425" t="str">
        <x:v>Sacramento State Hornets</x:v>
      </x:c>
      <x:c r="H186" s="425" t="str">
        <x:v>Scheduled team; player lineup and specialist roles unconfirmed</x:v>
      </x:c>
      <x:c r="I186" s="425" t="str">
        <x:v>Official ESPN schedule lists Sacramento State Hornets at 1-1. Current starters, depth-chart usage, injuries and specialist roles require later confirmation.</x:v>
      </x:c>
      <x:c r="J186" s="425" t="str"/>
      <x:c r="K186" s="425" t="str"/>
      <x:c r="L186" s="425" t="str">
        <x:v>https://www.espn.com/college-football/game/_/gameId/401860883/sacramento-st-fresno-st</x:v>
      </x:c>
    </x:row>
    <x:row r="187" ht="38" customHeight="1">
      <x:c r="A187" s="425" t="str">
        <x:v>2026-09-12</x:v>
      </x:c>
      <x:c r="B187" s="425" t="str">
        <x:v>Football</x:v>
      </x:c>
      <x:c r="C187" s="425" t="str">
        <x:v>CFB</x:v>
      </x:c>
      <x:c r="D187" s="425" t="str">
        <x:v>Montana State Bobcats at Nevada Wolf Pack</x:v>
      </x:c>
      <x:c r="E187" s="425" t="str">
        <x:v>2026-09-13T02:30Z</x:v>
      </x:c>
      <x:c r="F187" s="425" t="str">
        <x:v>PROSPECTIVE</x:v>
      </x:c>
      <x:c r="G187" s="425" t="str">
        <x:v>Nevada Wolf Pack</x:v>
      </x:c>
      <x:c r="H187" s="425" t="str">
        <x:v>Scheduled team; player lineup and specialist roles unconfirmed</x:v>
      </x:c>
      <x:c r="I187" s="425" t="str">
        <x:v>Official ESPN schedule lists Nevada Wolf Pack at 1-0. Current starters, depth-chart usage, injuries and specialist roles require later confirmation.</x:v>
      </x:c>
      <x:c r="J187" s="425" t="str"/>
      <x:c r="K187" s="425" t="str"/>
      <x:c r="L187" s="425" t="str">
        <x:v>https://www.espn.com/college-football/game/_/gameId/401864500/montana-st-nevada</x:v>
      </x:c>
    </x:row>
    <x:row r="188" ht="38" customHeight="1">
      <x:c r="A188" s="425" t="str">
        <x:v>2026-09-12</x:v>
      </x:c>
      <x:c r="B188" s="425" t="str">
        <x:v>Football</x:v>
      </x:c>
      <x:c r="C188" s="425" t="str">
        <x:v>CFB</x:v>
      </x:c>
      <x:c r="D188" s="425" t="str">
        <x:v>Montana State Bobcats at Nevada Wolf Pack</x:v>
      </x:c>
      <x:c r="E188" s="425" t="str">
        <x:v>2026-09-13T02:30Z</x:v>
      </x:c>
      <x:c r="F188" s="425" t="str">
        <x:v>PROSPECTIVE</x:v>
      </x:c>
      <x:c r="G188" s="425" t="str">
        <x:v>Montana State Bobcats</x:v>
      </x:c>
      <x:c r="H188" s="425" t="str">
        <x:v>Scheduled team; player lineup and specialist roles unconfirmed</x:v>
      </x:c>
      <x:c r="I188" s="425" t="str">
        <x:v>Official ESPN schedule lists Montana State Bobcats at 2-0. Current starters, depth-chart usage, injuries and specialist roles require later confirmation.</x:v>
      </x:c>
      <x:c r="J188" s="425" t="str"/>
      <x:c r="K188" s="425" t="str"/>
      <x:c r="L188" s="425" t="str">
        <x:v>https://www.espn.com/college-football/game/_/gameId/401864500/montana-st-nevada</x:v>
      </x:c>
    </x:row>
    <x:row r="189" ht="38" customHeight="1">
      <x:c r="A189" s="425" t="str">
        <x:v>2026-09-12</x:v>
      </x:c>
      <x:c r="B189" s="425" t="str">
        <x:v>Football</x:v>
      </x:c>
      <x:c r="C189" s="425" t="str">
        <x:v>CFB</x:v>
      </x:c>
      <x:c r="D189" s="425" t="str">
        <x:v>Louisiana Ragin' Cajuns at USC Trojans</x:v>
      </x:c>
      <x:c r="E189" s="425" t="str">
        <x:v>2026-09-13T03:00Z</x:v>
      </x:c>
      <x:c r="F189" s="425" t="str">
        <x:v>PROSPECTIVE</x:v>
      </x:c>
      <x:c r="G189" s="425" t="str">
        <x:v>USC Trojans</x:v>
      </x:c>
      <x:c r="H189" s="425" t="str">
        <x:v>Scheduled team; player lineup and specialist roles unconfirmed</x:v>
      </x:c>
      <x:c r="I189" s="425" t="str">
        <x:v>Official ESPN schedule lists USC Trojans at 2-0. Current starters, depth-chart usage, injuries and specialist roles require later confirmation.</x:v>
      </x:c>
      <x:c r="J189" s="425" t="str"/>
      <x:c r="K189" s="425" t="str"/>
      <x:c r="L189" s="425" t="str">
        <x:v>https://www.espn.com/college-football/game/_/gameId/401858445/louisiana-usc</x:v>
      </x:c>
    </x:row>
    <x:row r="190" ht="38" customHeight="1">
      <x:c r="A190" s="425" t="str">
        <x:v>2026-09-12</x:v>
      </x:c>
      <x:c r="B190" s="425" t="str">
        <x:v>Football</x:v>
      </x:c>
      <x:c r="C190" s="425" t="str">
        <x:v>CFB</x:v>
      </x:c>
      <x:c r="D190" s="425" t="str">
        <x:v>Louisiana Ragin' Cajuns at USC Trojans</x:v>
      </x:c>
      <x:c r="E190" s="425" t="str">
        <x:v>2026-09-13T03:00Z</x:v>
      </x:c>
      <x:c r="F190" s="425" t="str">
        <x:v>PROSPECTIVE</x:v>
      </x:c>
      <x:c r="G190" s="425" t="str">
        <x:v>Louisiana Ragin' Cajuns</x:v>
      </x:c>
      <x:c r="H190" s="425" t="str">
        <x:v>Scheduled team; player lineup and specialist roles unconfirmed</x:v>
      </x:c>
      <x:c r="I190" s="425" t="str">
        <x:v>Official ESPN schedule lists Louisiana Ragin' Cajuns at 1-0. Current starters, depth-chart usage, injuries and specialist roles require later confirmation.</x:v>
      </x:c>
      <x:c r="J190" s="425" t="str"/>
      <x:c r="K190" s="425" t="str"/>
      <x:c r="L190" s="425" t="str">
        <x:v>https://www.espn.com/college-football/game/_/gameId/401858445/louisiana-usc</x:v>
      </x:c>
    </x:row>
    <x:row r="191" ht="38" customHeight="1">
      <x:c r="A191" s="425" t="str">
        <x:v>2026-09-12</x:v>
      </x:c>
      <x:c r="B191" s="425" t="str">
        <x:v>Football</x:v>
      </x:c>
      <x:c r="C191" s="425" t="str">
        <x:v>CFB</x:v>
      </x:c>
      <x:c r="D191" s="425" t="str">
        <x:v>New Mexico State Aggies at Hawai'i Rainbow Warriors</x:v>
      </x:c>
      <x:c r="E191" s="425" t="str">
        <x:v>2026-09-13T03:59Z</x:v>
      </x:c>
      <x:c r="F191" s="425" t="str">
        <x:v>PROSPECTIVE</x:v>
      </x:c>
      <x:c r="G191" s="425" t="str">
        <x:v>Hawai'i Rainbow Warriors</x:v>
      </x:c>
      <x:c r="H191" s="425" t="str">
        <x:v>Scheduled team; player lineup and specialist roles unconfirmed</x:v>
      </x:c>
      <x:c r="I191" s="425" t="str">
        <x:v>Official ESPN schedule lists Hawai'i Rainbow Warriors at 0-2. Current starters, depth-chart usage, injuries and specialist roles require later confirmation.</x:v>
      </x:c>
      <x:c r="J191" s="425" t="str"/>
      <x:c r="K191" s="425" t="str"/>
      <x:c r="L191" s="425" t="str">
        <x:v>https://www.espn.com/college-football/game/_/gameId/401864578/new-mexico-st-hawaii</x:v>
      </x:c>
    </x:row>
    <x:row r="192" ht="38" customHeight="1">
      <x:c r="A192" s="425" t="str">
        <x:v>2026-09-12</x:v>
      </x:c>
      <x:c r="B192" s="425" t="str">
        <x:v>Football</x:v>
      </x:c>
      <x:c r="C192" s="425" t="str">
        <x:v>CFB</x:v>
      </x:c>
      <x:c r="D192" s="425" t="str">
        <x:v>New Mexico State Aggies at Hawai'i Rainbow Warriors</x:v>
      </x:c>
      <x:c r="E192" s="425" t="str">
        <x:v>2026-09-13T03:59Z</x:v>
      </x:c>
      <x:c r="F192" s="425" t="str">
        <x:v>PROSPECTIVE</x:v>
      </x:c>
      <x:c r="G192" s="425" t="str">
        <x:v>New Mexico State Aggies</x:v>
      </x:c>
      <x:c r="H192" s="425" t="str">
        <x:v>Scheduled team; player lineup and specialist roles unconfirmed</x:v>
      </x:c>
      <x:c r="I192" s="425" t="str">
        <x:v>Official ESPN schedule lists New Mexico State Aggies at 1-1. Current starters, depth-chart usage, injuries and specialist roles require later confirmation.</x:v>
      </x:c>
      <x:c r="J192" s="425" t="str"/>
      <x:c r="K192" s="425" t="str"/>
      <x:c r="L192" s="425" t="str">
        <x:v>https://www.espn.com/college-football/game/_/gameId/401864578/new-mexico-st-hawaii</x:v>
      </x:c>
    </x:row>
    <x:row r="193" ht="38" customHeight="1">
      <x:c r="A193" s="425" t="str">
        <x:v>2026-09-12</x:v>
      </x:c>
      <x:c r="B193" s="425" t="str">
        <x:v>Soccer</x:v>
      </x:c>
      <x:c r="C193" s="425" t="str">
        <x:v>EPL</x:v>
      </x:c>
      <x:c r="D193" s="425" t="str">
        <x:v>Brentford at AFC Bournemouth</x:v>
      </x:c>
      <x:c r="E193" s="425" t="str">
        <x:v>2026-09-12T14:00Z</x:v>
      </x:c>
      <x:c r="F193" s="425" t="str">
        <x:v>PROSPECTIVE</x:v>
      </x:c>
      <x:c r="G193" s="425" t="str">
        <x:v>AFC Bournemouth</x:v>
      </x:c>
      <x:c r="H193" s="425" t="str">
        <x:v>Scheduled team; player lineup and specialist roles unconfirmed</x:v>
      </x:c>
      <x:c r="I193" s="425" t="str">
        <x:v>Official ESPN schedule lists AFC Bournemouth at 0-2-1. Current starters, depth-chart usage, injuries and specialist roles require later confirmation.</x:v>
      </x:c>
      <x:c r="J193" s="425" t="str"/>
      <x:c r="K193" s="425" t="str"/>
      <x:c r="L193" s="425" t="str">
        <x:v>https://www.espn.com/soccer/scoreboard/_/league/eng.1/date/20260912</x:v>
      </x:c>
    </x:row>
    <x:row r="194" ht="38" customHeight="1">
      <x:c r="A194" s="425" t="str">
        <x:v>2026-09-12</x:v>
      </x:c>
      <x:c r="B194" s="425" t="str">
        <x:v>Soccer</x:v>
      </x:c>
      <x:c r="C194" s="425" t="str">
        <x:v>EPL</x:v>
      </x:c>
      <x:c r="D194" s="425" t="str">
        <x:v>Brentford at AFC Bournemouth</x:v>
      </x:c>
      <x:c r="E194" s="425" t="str">
        <x:v>2026-09-12T14:00Z</x:v>
      </x:c>
      <x:c r="F194" s="425" t="str">
        <x:v>PROSPECTIVE</x:v>
      </x:c>
      <x:c r="G194" s="425" t="str">
        <x:v>Brentford</x:v>
      </x:c>
      <x:c r="H194" s="425" t="str">
        <x:v>Scheduled team; player lineup and specialist roles unconfirmed</x:v>
      </x:c>
      <x:c r="I194" s="425" t="str">
        <x:v>Official ESPN schedule lists Brentford at 1-2-0. Current starters, depth-chart usage, injuries and specialist roles require later confirmation.</x:v>
      </x:c>
      <x:c r="J194" s="425" t="str"/>
      <x:c r="K194" s="425" t="str"/>
      <x:c r="L194" s="425" t="str">
        <x:v>https://www.espn.com/soccer/scoreboard/_/league/eng.1/date/20260912</x:v>
      </x:c>
    </x:row>
    <x:row r="195" ht="38" customHeight="1">
      <x:c r="A195" s="425" t="str">
        <x:v>2026-09-12</x:v>
      </x:c>
      <x:c r="B195" s="425" t="str">
        <x:v>Soccer</x:v>
      </x:c>
      <x:c r="C195" s="425" t="str">
        <x:v>EPL</x:v>
      </x:c>
      <x:c r="D195" s="425" t="str">
        <x:v>Nottingham Forest at Aston Villa</x:v>
      </x:c>
      <x:c r="E195" s="425" t="str">
        <x:v>2026-09-12T14:00Z</x:v>
      </x:c>
      <x:c r="F195" s="425" t="str">
        <x:v>PROSPECTIVE</x:v>
      </x:c>
      <x:c r="G195" s="425" t="str">
        <x:v>Aston Villa</x:v>
      </x:c>
      <x:c r="H195" s="425" t="str">
        <x:v>Scheduled team; player lineup and specialist roles unconfirmed</x:v>
      </x:c>
      <x:c r="I195" s="425" t="str">
        <x:v>Official ESPN schedule lists Aston Villa at 0-1-2. Current starters, depth-chart usage, injuries and specialist roles require later confirmation.</x:v>
      </x:c>
      <x:c r="J195" s="425" t="str"/>
      <x:c r="K195" s="425" t="str"/>
      <x:c r="L195" s="425" t="str">
        <x:v>https://www.espn.com/soccer/scoreboard/_/league/eng.1/date/20260912</x:v>
      </x:c>
    </x:row>
    <x:row r="196" ht="38" customHeight="1">
      <x:c r="A196" s="425" t="str">
        <x:v>2026-09-12</x:v>
      </x:c>
      <x:c r="B196" s="425" t="str">
        <x:v>Soccer</x:v>
      </x:c>
      <x:c r="C196" s="425" t="str">
        <x:v>EPL</x:v>
      </x:c>
      <x:c r="D196" s="425" t="str">
        <x:v>Nottingham Forest at Aston Villa</x:v>
      </x:c>
      <x:c r="E196" s="425" t="str">
        <x:v>2026-09-12T14:00Z</x:v>
      </x:c>
      <x:c r="F196" s="425" t="str">
        <x:v>PROSPECTIVE</x:v>
      </x:c>
      <x:c r="G196" s="425" t="str">
        <x:v>Nottingham Forest</x:v>
      </x:c>
      <x:c r="H196" s="425" t="str">
        <x:v>Scheduled team; player lineup and specialist roles unconfirmed</x:v>
      </x:c>
      <x:c r="I196" s="425" t="str">
        <x:v>Official ESPN schedule lists Nottingham Forest at 0-2-1. Current starters, depth-chart usage, injuries and specialist roles require later confirmation.</x:v>
      </x:c>
      <x:c r="J196" s="425" t="str"/>
      <x:c r="K196" s="425" t="str"/>
      <x:c r="L196" s="425" t="str">
        <x:v>https://www.espn.com/soccer/scoreboard/_/league/eng.1/date/20260912</x:v>
      </x:c>
    </x:row>
    <x:row r="197" ht="38" customHeight="1">
      <x:c r="A197" s="425" t="str">
        <x:v>2026-09-12</x:v>
      </x:c>
      <x:c r="B197" s="425" t="str">
        <x:v>Soccer</x:v>
      </x:c>
      <x:c r="C197" s="425" t="str">
        <x:v>EPL</x:v>
      </x:c>
      <x:c r="D197" s="425" t="str">
        <x:v>Hull City at Chelsea</x:v>
      </x:c>
      <x:c r="E197" s="425" t="str">
        <x:v>2026-09-12T14:00Z</x:v>
      </x:c>
      <x:c r="F197" s="425" t="str">
        <x:v>PROSPECTIVE</x:v>
      </x:c>
      <x:c r="G197" s="425" t="str">
        <x:v>Chelsea</x:v>
      </x:c>
      <x:c r="H197" s="425" t="str">
        <x:v>Scheduled team; player lineup and specialist roles unconfirmed</x:v>
      </x:c>
      <x:c r="I197" s="425" t="str">
        <x:v>Official ESPN schedule lists Chelsea at 2-0-1. Current starters, depth-chart usage, injuries and specialist roles require later confirmation.</x:v>
      </x:c>
      <x:c r="J197" s="425" t="str"/>
      <x:c r="K197" s="425" t="str"/>
      <x:c r="L197" s="425" t="str">
        <x:v>https://www.espn.com/soccer/scoreboard/_/league/eng.1/date/20260912</x:v>
      </x:c>
    </x:row>
    <x:row r="198" ht="38" customHeight="1">
      <x:c r="A198" s="425" t="str">
        <x:v>2026-09-12</x:v>
      </x:c>
      <x:c r="B198" s="425" t="str">
        <x:v>Soccer</x:v>
      </x:c>
      <x:c r="C198" s="425" t="str">
        <x:v>EPL</x:v>
      </x:c>
      <x:c r="D198" s="425" t="str">
        <x:v>Hull City at Chelsea</x:v>
      </x:c>
      <x:c r="E198" s="425" t="str">
        <x:v>2026-09-12T14:00Z</x:v>
      </x:c>
      <x:c r="F198" s="425" t="str">
        <x:v>PROSPECTIVE</x:v>
      </x:c>
      <x:c r="G198" s="425" t="str">
        <x:v>Hull City</x:v>
      </x:c>
      <x:c r="H198" s="425" t="str">
        <x:v>Scheduled team; player lineup and specialist roles unconfirmed</x:v>
      </x:c>
      <x:c r="I198" s="425" t="str">
        <x:v>Official ESPN schedule lists Hull City at 2-1-0. Current starters, depth-chart usage, injuries and specialist roles require later confirmation.</x:v>
      </x:c>
      <x:c r="J198" s="425" t="str"/>
      <x:c r="K198" s="425" t="str"/>
      <x:c r="L198" s="425" t="str">
        <x:v>https://www.espn.com/soccer/scoreboard/_/league/eng.1/date/20260912</x:v>
      </x:c>
    </x:row>
    <x:row r="199" ht="38" customHeight="1">
      <x:c r="A199" s="425" t="str">
        <x:v>2026-09-12</x:v>
      </x:c>
      <x:c r="B199" s="425" t="str">
        <x:v>Soccer</x:v>
      </x:c>
      <x:c r="C199" s="425" t="str">
        <x:v>EPL</x:v>
      </x:c>
      <x:c r="D199" s="425" t="str">
        <x:v>Ipswich Town at Crystal Palace</x:v>
      </x:c>
      <x:c r="E199" s="425" t="str">
        <x:v>2026-09-12T14:00Z</x:v>
      </x:c>
      <x:c r="F199" s="425" t="str">
        <x:v>PROSPECTIVE</x:v>
      </x:c>
      <x:c r="G199" s="425" t="str">
        <x:v>Crystal Palace</x:v>
      </x:c>
      <x:c r="H199" s="425" t="str">
        <x:v>Scheduled team; player lineup and specialist roles unconfirmed</x:v>
      </x:c>
      <x:c r="I199" s="425" t="str">
        <x:v>Official ESPN schedule lists Crystal Palace at 1-0-2. Current starters, depth-chart usage, injuries and specialist roles require later confirmation.</x:v>
      </x:c>
      <x:c r="J199" s="425" t="str"/>
      <x:c r="K199" s="425" t="str"/>
      <x:c r="L199" s="425" t="str">
        <x:v>https://www.espn.com/soccer/scoreboard/_/league/eng.1/date/20260912</x:v>
      </x:c>
    </x:row>
    <x:row r="200" ht="38" customHeight="1">
      <x:c r="A200" s="425" t="str">
        <x:v>2026-09-12</x:v>
      </x:c>
      <x:c r="B200" s="425" t="str">
        <x:v>Soccer</x:v>
      </x:c>
      <x:c r="C200" s="425" t="str">
        <x:v>EPL</x:v>
      </x:c>
      <x:c r="D200" s="425" t="str">
        <x:v>Ipswich Town at Crystal Palace</x:v>
      </x:c>
      <x:c r="E200" s="425" t="str">
        <x:v>2026-09-12T14:00Z</x:v>
      </x:c>
      <x:c r="F200" s="425" t="str">
        <x:v>PROSPECTIVE</x:v>
      </x:c>
      <x:c r="G200" s="425" t="str">
        <x:v>Ipswich Town</x:v>
      </x:c>
      <x:c r="H200" s="425" t="str">
        <x:v>Scheduled team; player lineup and specialist roles unconfirmed</x:v>
      </x:c>
      <x:c r="I200" s="425" t="str">
        <x:v>Official ESPN schedule lists Ipswich Town at 1-0-2. Current starters, depth-chart usage, injuries and specialist roles require later confirmation.</x:v>
      </x:c>
      <x:c r="J200" s="425" t="str"/>
      <x:c r="K200" s="425" t="str"/>
      <x:c r="L200" s="425" t="str">
        <x:v>https://www.espn.com/soccer/scoreboard/_/league/eng.1/date/20260912</x:v>
      </x:c>
    </x:row>
    <x:row r="201" ht="38" customHeight="1">
      <x:c r="A201" s="425" t="str">
        <x:v>2026-09-12</x:v>
      </x:c>
      <x:c r="B201" s="425" t="str">
        <x:v>Soccer</x:v>
      </x:c>
      <x:c r="C201" s="425" t="str">
        <x:v>EPL</x:v>
      </x:c>
      <x:c r="D201" s="425" t="str">
        <x:v>Fulham at Liverpool</x:v>
      </x:c>
      <x:c r="E201" s="425" t="str">
        <x:v>2026-09-12T14:00Z</x:v>
      </x:c>
      <x:c r="F201" s="425" t="str">
        <x:v>PROSPECTIVE</x:v>
      </x:c>
      <x:c r="G201" s="425" t="str">
        <x:v>Liverpool</x:v>
      </x:c>
      <x:c r="H201" s="425" t="str">
        <x:v>Scheduled team; player lineup and specialist roles unconfirmed</x:v>
      </x:c>
      <x:c r="I201" s="425" t="str">
        <x:v>Official ESPN schedule lists Liverpool at 1-2-0. Current starters, depth-chart usage, injuries and specialist roles require later confirmation.</x:v>
      </x:c>
      <x:c r="J201" s="425" t="str"/>
      <x:c r="K201" s="425" t="str"/>
      <x:c r="L201" s="425" t="str">
        <x:v>https://www.espn.com/soccer/scoreboard/_/league/eng.1/date/20260912</x:v>
      </x:c>
    </x:row>
    <x:row r="202" ht="38" customHeight="1">
      <x:c r="A202" s="425" t="str">
        <x:v>2026-09-12</x:v>
      </x:c>
      <x:c r="B202" s="425" t="str">
        <x:v>Soccer</x:v>
      </x:c>
      <x:c r="C202" s="425" t="str">
        <x:v>EPL</x:v>
      </x:c>
      <x:c r="D202" s="425" t="str">
        <x:v>Fulham at Liverpool</x:v>
      </x:c>
      <x:c r="E202" s="425" t="str">
        <x:v>2026-09-12T14:00Z</x:v>
      </x:c>
      <x:c r="F202" s="425" t="str">
        <x:v>PROSPECTIVE</x:v>
      </x:c>
      <x:c r="G202" s="425" t="str">
        <x:v>Fulham</x:v>
      </x:c>
      <x:c r="H202" s="425" t="str">
        <x:v>Scheduled team; player lineup and specialist roles unconfirmed</x:v>
      </x:c>
      <x:c r="I202" s="425" t="str">
        <x:v>Official ESPN schedule lists Fulham at 0-0-3. Current starters, depth-chart usage, injuries and specialist roles require later confirmation.</x:v>
      </x:c>
      <x:c r="J202" s="425" t="str"/>
      <x:c r="K202" s="425" t="str"/>
      <x:c r="L202" s="425" t="str">
        <x:v>https://www.espn.com/soccer/scoreboard/_/league/eng.1/date/20260912</x:v>
      </x:c>
    </x:row>
    <x:row r="203" ht="38" customHeight="1">
      <x:c r="A203" s="425" t="str">
        <x:v>2026-09-12</x:v>
      </x:c>
      <x:c r="B203" s="425" t="str">
        <x:v>Soccer</x:v>
      </x:c>
      <x:c r="C203" s="425" t="str">
        <x:v>EPL</x:v>
      </x:c>
      <x:c r="D203" s="425" t="str">
        <x:v>Everton at Tottenham Hotspur</x:v>
      </x:c>
      <x:c r="E203" s="425" t="str">
        <x:v>2026-09-12T16:30Z</x:v>
      </x:c>
      <x:c r="F203" s="425" t="str">
        <x:v>PROSPECTIVE</x:v>
      </x:c>
      <x:c r="G203" s="425" t="str">
        <x:v>Tottenham Hotspur</x:v>
      </x:c>
      <x:c r="H203" s="425" t="str">
        <x:v>Scheduled team; player lineup and specialist roles unconfirmed</x:v>
      </x:c>
      <x:c r="I203" s="425" t="str">
        <x:v>Official ESPN schedule lists Tottenham Hotspur at 0-1-2. Current starters, depth-chart usage, injuries and specialist roles require later confirmation.</x:v>
      </x:c>
      <x:c r="J203" s="425" t="str"/>
      <x:c r="K203" s="425" t="str"/>
      <x:c r="L203" s="425" t="str">
        <x:v>https://www.espn.com/soccer/match/_/gameId/401879277/everton-tottenham-hotspur</x:v>
      </x:c>
    </x:row>
    <x:row r="204" ht="38" customHeight="1">
      <x:c r="A204" s="425" t="str">
        <x:v>2026-09-12</x:v>
      </x:c>
      <x:c r="B204" s="425" t="str">
        <x:v>Soccer</x:v>
      </x:c>
      <x:c r="C204" s="425" t="str">
        <x:v>EPL</x:v>
      </x:c>
      <x:c r="D204" s="425" t="str">
        <x:v>Everton at Tottenham Hotspur</x:v>
      </x:c>
      <x:c r="E204" s="425" t="str">
        <x:v>2026-09-12T16:30Z</x:v>
      </x:c>
      <x:c r="F204" s="425" t="str">
        <x:v>PROSPECTIVE</x:v>
      </x:c>
      <x:c r="G204" s="425" t="str">
        <x:v>Everton</x:v>
      </x:c>
      <x:c r="H204" s="425" t="str">
        <x:v>Scheduled team; player lineup and specialist roles unconfirmed</x:v>
      </x:c>
      <x:c r="I204" s="425" t="str">
        <x:v>Official ESPN schedule lists Everton at 1-2-0. Current starters, depth-chart usage, injuries and specialist roles require later confirmation.</x:v>
      </x:c>
      <x:c r="J204" s="425" t="str"/>
      <x:c r="K204" s="425" t="str"/>
      <x:c r="L204" s="425" t="str">
        <x:v>https://www.espn.com/soccer/match/_/gameId/401879277/everton-tottenham-hotspur</x:v>
      </x:c>
    </x:row>
    <x:row r="205" ht="38" customHeight="1">
      <x:c r="A205" s="425" t="str">
        <x:v>2026-09-12</x:v>
      </x:c>
      <x:c r="B205" s="425" t="str">
        <x:v>Soccer</x:v>
      </x:c>
      <x:c r="C205" s="425" t="str">
        <x:v>EPL</x:v>
      </x:c>
      <x:c r="D205" s="425" t="str">
        <x:v>Arsenal at Sunderland</x:v>
      </x:c>
      <x:c r="E205" s="425" t="str">
        <x:v>2026-09-12T19:00Z</x:v>
      </x:c>
      <x:c r="F205" s="425" t="str">
        <x:v>PROSPECTIVE</x:v>
      </x:c>
      <x:c r="G205" s="425" t="str">
        <x:v>Sunderland</x:v>
      </x:c>
      <x:c r="H205" s="425" t="str">
        <x:v>Scheduled team; player lineup and specialist roles unconfirmed</x:v>
      </x:c>
      <x:c r="I205" s="425" t="str">
        <x:v>Official ESPN schedule lists Sunderland at 1-1-1. Current starters, depth-chart usage, injuries and specialist roles require later confirmation.</x:v>
      </x:c>
      <x:c r="J205" s="425" t="str"/>
      <x:c r="K205" s="425" t="str"/>
      <x:c r="L205" s="425" t="str">
        <x:v>https://www.espn.com/soccer/match/_/gameId/401878779/arsenal-sunderland</x:v>
      </x:c>
    </x:row>
    <x:row r="206" ht="38" customHeight="1">
      <x:c r="A206" s="425" t="str">
        <x:v>2026-09-12</x:v>
      </x:c>
      <x:c r="B206" s="425" t="str">
        <x:v>Soccer</x:v>
      </x:c>
      <x:c r="C206" s="425" t="str">
        <x:v>EPL</x:v>
      </x:c>
      <x:c r="D206" s="425" t="str">
        <x:v>Arsenal at Sunderland</x:v>
      </x:c>
      <x:c r="E206" s="425" t="str">
        <x:v>2026-09-12T19:00Z</x:v>
      </x:c>
      <x:c r="F206" s="425" t="str">
        <x:v>PROSPECTIVE</x:v>
      </x:c>
      <x:c r="G206" s="425" t="str">
        <x:v>Arsenal</x:v>
      </x:c>
      <x:c r="H206" s="425" t="str">
        <x:v>Scheduled team; player lineup and specialist roles unconfirmed</x:v>
      </x:c>
      <x:c r="I206" s="425" t="str">
        <x:v>Official ESPN schedule lists Arsenal at 3-0-0. Current starters, depth-chart usage, injuries and specialist roles require later confirmation.</x:v>
      </x:c>
      <x:c r="J206" s="425" t="str"/>
      <x:c r="K206" s="425" t="str"/>
      <x:c r="L206" s="425" t="str">
        <x:v>https://www.espn.com/soccer/match/_/gameId/401878779/arsenal-sunderland</x:v>
      </x:c>
    </x:row>
    <x:row r="207" ht="38" customHeight="1">
      <x:c r="A207" s="425" t="str">
        <x:v>2026-09-12</x:v>
      </x:c>
      <x:c r="B207" s="425" t="str">
        <x:v>Soccer</x:v>
      </x:c>
      <x:c r="C207" s="425" t="str">
        <x:v>LA LIGA</x:v>
      </x:c>
      <x:c r="D207" s="425" t="str">
        <x:v>Alavés at Racing Santander</x:v>
      </x:c>
      <x:c r="E207" s="425" t="str">
        <x:v>2026-09-12T12:00Z</x:v>
      </x:c>
      <x:c r="F207" s="425" t="str">
        <x:v>PROSPECTIVE</x:v>
      </x:c>
      <x:c r="G207" s="425" t="str">
        <x:v>Racing Santander</x:v>
      </x:c>
      <x:c r="H207" s="425" t="str">
        <x:v>Scheduled team; player lineup and specialist roles unconfirmed</x:v>
      </x:c>
      <x:c r="I207" s="425" t="str">
        <x:v>Official ESPN schedule lists Racing Santander at 2-1-2. Current starters, depth-chart usage, injuries and specialist roles require later confirmation.</x:v>
      </x:c>
      <x:c r="J207" s="425" t="str"/>
      <x:c r="K207" s="425" t="str"/>
      <x:c r="L207" s="425" t="str">
        <x:v>https://www.espn.com/soccer/match/_/gameId/401882881/alaves-racing-santander</x:v>
      </x:c>
    </x:row>
    <x:row r="208" ht="38" customHeight="1">
      <x:c r="A208" s="425" t="str">
        <x:v>2026-09-12</x:v>
      </x:c>
      <x:c r="B208" s="425" t="str">
        <x:v>Soccer</x:v>
      </x:c>
      <x:c r="C208" s="425" t="str">
        <x:v>LA LIGA</x:v>
      </x:c>
      <x:c r="D208" s="425" t="str">
        <x:v>Alavés at Racing Santander</x:v>
      </x:c>
      <x:c r="E208" s="425" t="str">
        <x:v>2026-09-12T12:00Z</x:v>
      </x:c>
      <x:c r="F208" s="425" t="str">
        <x:v>PROSPECTIVE</x:v>
      </x:c>
      <x:c r="G208" s="425" t="str">
        <x:v>Alavés</x:v>
      </x:c>
      <x:c r="H208" s="425" t="str">
        <x:v>Scheduled team; player lineup and specialist roles unconfirmed</x:v>
      </x:c>
      <x:c r="I208" s="425" t="str">
        <x:v>Official ESPN schedule lists Alavés at 3-1-1. Current starters, depth-chart usage, injuries and specialist roles require later confirmation.</x:v>
      </x:c>
      <x:c r="J208" s="425" t="str"/>
      <x:c r="K208" s="425" t="str"/>
      <x:c r="L208" s="425" t="str">
        <x:v>https://www.espn.com/soccer/match/_/gameId/401882881/alaves-racing-santander</x:v>
      </x:c>
    </x:row>
    <x:row r="209" ht="38" customHeight="1">
      <x:c r="A209" s="425" t="str">
        <x:v>2026-09-12</x:v>
      </x:c>
      <x:c r="B209" s="425" t="str">
        <x:v>Soccer</x:v>
      </x:c>
      <x:c r="C209" s="425" t="str">
        <x:v>LA LIGA</x:v>
      </x:c>
      <x:c r="D209" s="425" t="str">
        <x:v>Espanyol at Osasuna</x:v>
      </x:c>
      <x:c r="E209" s="425" t="str">
        <x:v>2026-09-12T14:15Z</x:v>
      </x:c>
      <x:c r="F209" s="425" t="str">
        <x:v>PROSPECTIVE</x:v>
      </x:c>
      <x:c r="G209" s="425" t="str">
        <x:v>Osasuna</x:v>
      </x:c>
      <x:c r="H209" s="425" t="str">
        <x:v>Scheduled team; player lineup and specialist roles unconfirmed</x:v>
      </x:c>
      <x:c r="I209" s="425" t="str">
        <x:v>Official ESPN schedule lists Osasuna at 2-1-1. Current starters, depth-chart usage, injuries and specialist roles require later confirmation.</x:v>
      </x:c>
      <x:c r="J209" s="425" t="str"/>
      <x:c r="K209" s="425" t="str"/>
      <x:c r="L209" s="425" t="str">
        <x:v>https://www.espn.com/soccer/match/_/gameId/401882882/espanyol-osasuna</x:v>
      </x:c>
    </x:row>
    <x:row r="210" ht="38" customHeight="1">
      <x:c r="A210" s="425" t="str">
        <x:v>2026-09-12</x:v>
      </x:c>
      <x:c r="B210" s="425" t="str">
        <x:v>Soccer</x:v>
      </x:c>
      <x:c r="C210" s="425" t="str">
        <x:v>LA LIGA</x:v>
      </x:c>
      <x:c r="D210" s="425" t="str">
        <x:v>Espanyol at Osasuna</x:v>
      </x:c>
      <x:c r="E210" s="425" t="str">
        <x:v>2026-09-12T14:15Z</x:v>
      </x:c>
      <x:c r="F210" s="425" t="str">
        <x:v>PROSPECTIVE</x:v>
      </x:c>
      <x:c r="G210" s="425" t="str">
        <x:v>Espanyol</x:v>
      </x:c>
      <x:c r="H210" s="425" t="str">
        <x:v>Scheduled team; player lineup and specialist roles unconfirmed</x:v>
      </x:c>
      <x:c r="I210" s="425" t="str">
        <x:v>Official ESPN schedule lists Espanyol at 1-1-2. Current starters, depth-chart usage, injuries and specialist roles require later confirmation.</x:v>
      </x:c>
      <x:c r="J210" s="425" t="str"/>
      <x:c r="K210" s="425" t="str"/>
      <x:c r="L210" s="425" t="str">
        <x:v>https://www.espn.com/soccer/match/_/gameId/401882882/espanyol-osasuna</x:v>
      </x:c>
    </x:row>
    <x:row r="211" ht="38" customHeight="1">
      <x:c r="A211" s="425" t="str">
        <x:v>2026-09-12</x:v>
      </x:c>
      <x:c r="B211" s="425" t="str">
        <x:v>Soccer</x:v>
      </x:c>
      <x:c r="C211" s="425" t="str">
        <x:v>LA LIGA</x:v>
      </x:c>
      <x:c r="D211" s="425" t="str">
        <x:v>Elche at Athletic Club</x:v>
      </x:c>
      <x:c r="E211" s="425" t="str">
        <x:v>2026-09-12T16:30Z</x:v>
      </x:c>
      <x:c r="F211" s="425" t="str">
        <x:v>PROSPECTIVE</x:v>
      </x:c>
      <x:c r="G211" s="425" t="str">
        <x:v>Athletic Club</x:v>
      </x:c>
      <x:c r="H211" s="425" t="str">
        <x:v>Scheduled team; player lineup and specialist roles unconfirmed</x:v>
      </x:c>
      <x:c r="I211" s="425" t="str">
        <x:v>Official ESPN schedule lists Athletic Club at 2-0-2. Current starters, depth-chart usage, injuries and specialist roles require later confirmation.</x:v>
      </x:c>
      <x:c r="J211" s="425" t="str"/>
      <x:c r="K211" s="425" t="str"/>
      <x:c r="L211" s="425" t="str">
        <x:v>https://www.espn.com/soccer/match/_/gameId/401882886/elche-athletic-club</x:v>
      </x:c>
    </x:row>
    <x:row r="212" ht="38" customHeight="1">
      <x:c r="A212" s="425" t="str">
        <x:v>2026-09-12</x:v>
      </x:c>
      <x:c r="B212" s="425" t="str">
        <x:v>Soccer</x:v>
      </x:c>
      <x:c r="C212" s="425" t="str">
        <x:v>LA LIGA</x:v>
      </x:c>
      <x:c r="D212" s="425" t="str">
        <x:v>Elche at Athletic Club</x:v>
      </x:c>
      <x:c r="E212" s="425" t="str">
        <x:v>2026-09-12T16:30Z</x:v>
      </x:c>
      <x:c r="F212" s="425" t="str">
        <x:v>PROSPECTIVE</x:v>
      </x:c>
      <x:c r="G212" s="425" t="str">
        <x:v>Elche</x:v>
      </x:c>
      <x:c r="H212" s="425" t="str">
        <x:v>Scheduled team; player lineup and specialist roles unconfirmed</x:v>
      </x:c>
      <x:c r="I212" s="425" t="str">
        <x:v>Official ESPN schedule lists Elche at 0-1-3. Current starters, depth-chart usage, injuries and specialist roles require later confirmation.</x:v>
      </x:c>
      <x:c r="J212" s="425" t="str"/>
      <x:c r="K212" s="425" t="str"/>
      <x:c r="L212" s="425" t="str">
        <x:v>https://www.espn.com/soccer/match/_/gameId/401882886/elche-athletic-club</x:v>
      </x:c>
    </x:row>
    <x:row r="213" ht="38" customHeight="1">
      <x:c r="A213" s="425" t="str">
        <x:v>2026-09-12</x:v>
      </x:c>
      <x:c r="B213" s="425" t="str">
        <x:v>Soccer</x:v>
      </x:c>
      <x:c r="C213" s="425" t="str">
        <x:v>LA LIGA</x:v>
      </x:c>
      <x:c r="D213" s="425" t="str">
        <x:v>Rayo Vallecano at Real Madrid</x:v>
      </x:c>
      <x:c r="E213" s="425" t="str">
        <x:v>2026-09-12T19:00Z</x:v>
      </x:c>
      <x:c r="F213" s="425" t="str">
        <x:v>PROSPECTIVE</x:v>
      </x:c>
      <x:c r="G213" s="425" t="str">
        <x:v>Real Madrid</x:v>
      </x:c>
      <x:c r="H213" s="425" t="str">
        <x:v>Scheduled team; player lineup and specialist roles unconfirmed</x:v>
      </x:c>
      <x:c r="I213" s="425" t="str">
        <x:v>Official ESPN schedule lists Real Madrid at 3-0-1. Current starters, depth-chart usage, injuries and specialist roles require later confirmation.</x:v>
      </x:c>
      <x:c r="J213" s="425" t="str"/>
      <x:c r="K213" s="425" t="str"/>
      <x:c r="L213" s="425" t="str">
        <x:v>https://www.espn.com/soccer/match/_/gameId/401882880/rayo-vallecano-real-madrid</x:v>
      </x:c>
    </x:row>
    <x:row r="214" ht="38" customHeight="1">
      <x:c r="A214" s="425" t="str">
        <x:v>2026-09-12</x:v>
      </x:c>
      <x:c r="B214" s="425" t="str">
        <x:v>Soccer</x:v>
      </x:c>
      <x:c r="C214" s="425" t="str">
        <x:v>LA LIGA</x:v>
      </x:c>
      <x:c r="D214" s="425" t="str">
        <x:v>Rayo Vallecano at Real Madrid</x:v>
      </x:c>
      <x:c r="E214" s="425" t="str">
        <x:v>2026-09-12T19:00Z</x:v>
      </x:c>
      <x:c r="F214" s="425" t="str">
        <x:v>PROSPECTIVE</x:v>
      </x:c>
      <x:c r="G214" s="425" t="str">
        <x:v>Rayo Vallecano</x:v>
      </x:c>
      <x:c r="H214" s="425" t="str">
        <x:v>Scheduled team; player lineup and specialist roles unconfirmed</x:v>
      </x:c>
      <x:c r="I214" s="425" t="str">
        <x:v>Official ESPN schedule lists Rayo Vallecano at 1-1-2. Current starters, depth-chart usage, injuries and specialist roles require later confirmation.</x:v>
      </x:c>
      <x:c r="J214" s="425" t="str"/>
      <x:c r="K214" s="425" t="str"/>
      <x:c r="L214" s="425" t="str">
        <x:v>https://www.espn.com/soccer/match/_/gameId/401882880/rayo-vallecano-real-madrid</x:v>
      </x:c>
    </x:row>
    <x:row r="215" ht="38" customHeight="1">
      <x:c r="A215" s="425" t="str">
        <x:v>2026-09-12</x:v>
      </x:c>
      <x:c r="B215" s="425" t="str">
        <x:v>Soccer</x:v>
      </x:c>
      <x:c r="C215" s="425" t="str">
        <x:v>BUNDESLIGA</x:v>
      </x:c>
      <x:c r="D215" s="425" t="str">
        <x:v>SC Paderborn 07 at Borussia Dortmund</x:v>
      </x:c>
      <x:c r="E215" s="425" t="str">
        <x:v>2026-09-12T13:30Z</x:v>
      </x:c>
      <x:c r="F215" s="425" t="str">
        <x:v>PROSPECTIVE</x:v>
      </x:c>
      <x:c r="G215" s="425" t="str">
        <x:v>Borussia Dortmund</x:v>
      </x:c>
      <x:c r="H215" s="425" t="str">
        <x:v>Scheduled team; player lineup and specialist roles unconfirmed</x:v>
      </x:c>
      <x:c r="I215" s="425" t="str">
        <x:v>Official ESPN schedule lists Borussia Dortmund at 2-0-0. Current starters, depth-chart usage, injuries and specialist roles require later confirmation.</x:v>
      </x:c>
      <x:c r="J215" s="425" t="str"/>
      <x:c r="K215" s="425" t="str"/>
      <x:c r="L215" s="425" t="str">
        <x:v>https://www.espn.com/soccer/scoreboard/_/league/ger.1/date/20260912</x:v>
      </x:c>
    </x:row>
    <x:row r="216" ht="38" customHeight="1">
      <x:c r="A216" s="425" t="str">
        <x:v>2026-09-12</x:v>
      </x:c>
      <x:c r="B216" s="425" t="str">
        <x:v>Soccer</x:v>
      </x:c>
      <x:c r="C216" s="425" t="str">
        <x:v>BUNDESLIGA</x:v>
      </x:c>
      <x:c r="D216" s="425" t="str">
        <x:v>SC Paderborn 07 at Borussia Dortmund</x:v>
      </x:c>
      <x:c r="E216" s="425" t="str">
        <x:v>2026-09-12T13:30Z</x:v>
      </x:c>
      <x:c r="F216" s="425" t="str">
        <x:v>PROSPECTIVE</x:v>
      </x:c>
      <x:c r="G216" s="425" t="str">
        <x:v>SC Paderborn 07</x:v>
      </x:c>
      <x:c r="H216" s="425" t="str">
        <x:v>Scheduled team; player lineup and specialist roles unconfirmed</x:v>
      </x:c>
      <x:c r="I216" s="425" t="str">
        <x:v>Official ESPN schedule lists SC Paderborn 07 at 0-1-1. Current starters, depth-chart usage, injuries and specialist roles require later confirmation.</x:v>
      </x:c>
      <x:c r="J216" s="425" t="str"/>
      <x:c r="K216" s="425" t="str"/>
      <x:c r="L216" s="425" t="str">
        <x:v>https://www.espn.com/soccer/scoreboard/_/league/ger.1/date/20260912</x:v>
      </x:c>
    </x:row>
    <x:row r="217" ht="38" customHeight="1">
      <x:c r="A217" s="425" t="str">
        <x:v>2026-09-12</x:v>
      </x:c>
      <x:c r="B217" s="425" t="str">
        <x:v>Soccer</x:v>
      </x:c>
      <x:c r="C217" s="425" t="str">
        <x:v>BUNDESLIGA</x:v>
      </x:c>
      <x:c r="D217" s="425" t="str">
        <x:v>Bayer Leverkusen at FC Augsburg</x:v>
      </x:c>
      <x:c r="E217" s="425" t="str">
        <x:v>2026-09-12T13:30Z</x:v>
      </x:c>
      <x:c r="F217" s="425" t="str">
        <x:v>PROSPECTIVE</x:v>
      </x:c>
      <x:c r="G217" s="425" t="str">
        <x:v>FC Augsburg</x:v>
      </x:c>
      <x:c r="H217" s="425" t="str">
        <x:v>Scheduled team; player lineup and specialist roles unconfirmed</x:v>
      </x:c>
      <x:c r="I217" s="425" t="str">
        <x:v>Official ESPN schedule lists FC Augsburg at 2-0-0. Current starters, depth-chart usage, injuries and specialist roles require later confirmation.</x:v>
      </x:c>
      <x:c r="J217" s="425" t="str"/>
      <x:c r="K217" s="425" t="str"/>
      <x:c r="L217" s="425" t="str">
        <x:v>https://www.espn.com/soccer/scoreboard/_/league/ger.1/date/20260912</x:v>
      </x:c>
    </x:row>
    <x:row r="218" ht="38" customHeight="1">
      <x:c r="A218" s="425" t="str">
        <x:v>2026-09-12</x:v>
      </x:c>
      <x:c r="B218" s="425" t="str">
        <x:v>Soccer</x:v>
      </x:c>
      <x:c r="C218" s="425" t="str">
        <x:v>BUNDESLIGA</x:v>
      </x:c>
      <x:c r="D218" s="425" t="str">
        <x:v>Bayer Leverkusen at FC Augsburg</x:v>
      </x:c>
      <x:c r="E218" s="425" t="str">
        <x:v>2026-09-12T13:30Z</x:v>
      </x:c>
      <x:c r="F218" s="425" t="str">
        <x:v>PROSPECTIVE</x:v>
      </x:c>
      <x:c r="G218" s="425" t="str">
        <x:v>Bayer Leverkusen</x:v>
      </x:c>
      <x:c r="H218" s="425" t="str">
        <x:v>Scheduled team; player lineup and specialist roles unconfirmed</x:v>
      </x:c>
      <x:c r="I218" s="425" t="str">
        <x:v>Official ESPN schedule lists Bayer Leverkusen at 1-0-1. Current starters, depth-chart usage, injuries and specialist roles require later confirmation.</x:v>
      </x:c>
      <x:c r="J218" s="425" t="str"/>
      <x:c r="K218" s="425" t="str"/>
      <x:c r="L218" s="425" t="str">
        <x:v>https://www.espn.com/soccer/scoreboard/_/league/ger.1/date/20260912</x:v>
      </x:c>
    </x:row>
    <x:row r="219" ht="38" customHeight="1">
      <x:c r="A219" s="425" t="str">
        <x:v>2026-09-12</x:v>
      </x:c>
      <x:c r="B219" s="425" t="str">
        <x:v>Soccer</x:v>
      </x:c>
      <x:c r="C219" s="425" t="str">
        <x:v>BUNDESLIGA</x:v>
      </x:c>
      <x:c r="D219" s="425" t="str">
        <x:v>Eintracht Frankfurt at Mainz</x:v>
      </x:c>
      <x:c r="E219" s="425" t="str">
        <x:v>2026-09-12T13:30Z</x:v>
      </x:c>
      <x:c r="F219" s="425" t="str">
        <x:v>PROSPECTIVE</x:v>
      </x:c>
      <x:c r="G219" s="425" t="str">
        <x:v>Mainz</x:v>
      </x:c>
      <x:c r="H219" s="425" t="str">
        <x:v>Scheduled team; player lineup and specialist roles unconfirmed</x:v>
      </x:c>
      <x:c r="I219" s="425" t="str">
        <x:v>Official ESPN schedule lists Mainz at 1-1-0. Current starters, depth-chart usage, injuries and specialist roles require later confirmation.</x:v>
      </x:c>
      <x:c r="J219" s="425" t="str"/>
      <x:c r="K219" s="425" t="str"/>
      <x:c r="L219" s="425" t="str">
        <x:v>https://www.espn.com/soccer/scoreboard/_/league/ger.1/date/20260912</x:v>
      </x:c>
    </x:row>
    <x:row r="220" ht="38" customHeight="1">
      <x:c r="A220" s="425" t="str">
        <x:v>2026-09-12</x:v>
      </x:c>
      <x:c r="B220" s="425" t="str">
        <x:v>Soccer</x:v>
      </x:c>
      <x:c r="C220" s="425" t="str">
        <x:v>BUNDESLIGA</x:v>
      </x:c>
      <x:c r="D220" s="425" t="str">
        <x:v>Eintracht Frankfurt at Mainz</x:v>
      </x:c>
      <x:c r="E220" s="425" t="str">
        <x:v>2026-09-12T13:30Z</x:v>
      </x:c>
      <x:c r="F220" s="425" t="str">
        <x:v>PROSPECTIVE</x:v>
      </x:c>
      <x:c r="G220" s="425" t="str">
        <x:v>Eintracht Frankfurt</x:v>
      </x:c>
      <x:c r="H220" s="425" t="str">
        <x:v>Scheduled team; player lineup and specialist roles unconfirmed</x:v>
      </x:c>
      <x:c r="I220" s="425" t="str">
        <x:v>Official ESPN schedule lists Eintracht Frankfurt at 0-1-1. Current starters, depth-chart usage, injuries and specialist roles require later confirmation.</x:v>
      </x:c>
      <x:c r="J220" s="425" t="str"/>
      <x:c r="K220" s="425" t="str"/>
      <x:c r="L220" s="425" t="str">
        <x:v>https://www.espn.com/soccer/scoreboard/_/league/ger.1/date/20260912</x:v>
      </x:c>
    </x:row>
    <x:row r="221" ht="38" customHeight="1">
      <x:c r="A221" s="425" t="str">
        <x:v>2026-09-12</x:v>
      </x:c>
      <x:c r="B221" s="425" t="str">
        <x:v>Soccer</x:v>
      </x:c>
      <x:c r="C221" s="425" t="str">
        <x:v>BUNDESLIGA</x:v>
      </x:c>
      <x:c r="D221" s="425" t="str">
        <x:v>Borussia Mönchengladbach at SC Freiburg</x:v>
      </x:c>
      <x:c r="E221" s="425" t="str">
        <x:v>2026-09-12T13:30Z</x:v>
      </x:c>
      <x:c r="F221" s="425" t="str">
        <x:v>PROSPECTIVE</x:v>
      </x:c>
      <x:c r="G221" s="425" t="str">
        <x:v>SC Freiburg</x:v>
      </x:c>
      <x:c r="H221" s="425" t="str">
        <x:v>Scheduled team; player lineup and specialist roles unconfirmed</x:v>
      </x:c>
      <x:c r="I221" s="425" t="str">
        <x:v>Official ESPN schedule lists SC Freiburg at 2-0-0. Current starters, depth-chart usage, injuries and specialist roles require later confirmation.</x:v>
      </x:c>
      <x:c r="J221" s="425" t="str"/>
      <x:c r="K221" s="425" t="str"/>
      <x:c r="L221" s="425" t="str">
        <x:v>https://www.espn.com/soccer/scoreboard/_/league/ger.1/date/20260912</x:v>
      </x:c>
    </x:row>
    <x:row r="222" ht="38" customHeight="1">
      <x:c r="A222" s="425" t="str">
        <x:v>2026-09-12</x:v>
      </x:c>
      <x:c r="B222" s="425" t="str">
        <x:v>Soccer</x:v>
      </x:c>
      <x:c r="C222" s="425" t="str">
        <x:v>BUNDESLIGA</x:v>
      </x:c>
      <x:c r="D222" s="425" t="str">
        <x:v>Borussia Mönchengladbach at SC Freiburg</x:v>
      </x:c>
      <x:c r="E222" s="425" t="str">
        <x:v>2026-09-12T13:30Z</x:v>
      </x:c>
      <x:c r="F222" s="425" t="str">
        <x:v>PROSPECTIVE</x:v>
      </x:c>
      <x:c r="G222" s="425" t="str">
        <x:v>Borussia Mönchengladbach</x:v>
      </x:c>
      <x:c r="H222" s="425" t="str">
        <x:v>Scheduled team; player lineup and specialist roles unconfirmed</x:v>
      </x:c>
      <x:c r="I222" s="425" t="str">
        <x:v>Official ESPN schedule lists Borussia Mönchengladbach at 0-0-2. Current starters, depth-chart usage, injuries and specialist roles require later confirmation.</x:v>
      </x:c>
      <x:c r="J222" s="425" t="str"/>
      <x:c r="K222" s="425" t="str"/>
      <x:c r="L222" s="425" t="str">
        <x:v>https://www.espn.com/soccer/scoreboard/_/league/ger.1/date/20260912</x:v>
      </x:c>
    </x:row>
    <x:row r="223" ht="38" customHeight="1">
      <x:c r="A223" s="425" t="str">
        <x:v>2026-09-12</x:v>
      </x:c>
      <x:c r="B223" s="425" t="str">
        <x:v>Soccer</x:v>
      </x:c>
      <x:c r="C223" s="425" t="str">
        <x:v>BUNDESLIGA</x:v>
      </x:c>
      <x:c r="D223" s="425" t="str">
        <x:v>VfB Stuttgart at TSG Hoffenheim</x:v>
      </x:c>
      <x:c r="E223" s="425" t="str">
        <x:v>2026-09-12T13:30Z</x:v>
      </x:c>
      <x:c r="F223" s="425" t="str">
        <x:v>PROSPECTIVE</x:v>
      </x:c>
      <x:c r="G223" s="425" t="str">
        <x:v>TSG Hoffenheim</x:v>
      </x:c>
      <x:c r="H223" s="425" t="str">
        <x:v>Scheduled team; player lineup and specialist roles unconfirmed</x:v>
      </x:c>
      <x:c r="I223" s="425" t="str">
        <x:v>Official ESPN schedule lists TSG Hoffenheim at 0-0-2. Current starters, depth-chart usage, injuries and specialist roles require later confirmation.</x:v>
      </x:c>
      <x:c r="J223" s="425" t="str"/>
      <x:c r="K223" s="425" t="str"/>
      <x:c r="L223" s="425" t="str">
        <x:v>https://www.espn.com/soccer/scoreboard/_/league/ger.1/date/20260912</x:v>
      </x:c>
    </x:row>
    <x:row r="224" ht="38" customHeight="1">
      <x:c r="A224" s="425" t="str">
        <x:v>2026-09-12</x:v>
      </x:c>
      <x:c r="B224" s="425" t="str">
        <x:v>Soccer</x:v>
      </x:c>
      <x:c r="C224" s="425" t="str">
        <x:v>BUNDESLIGA</x:v>
      </x:c>
      <x:c r="D224" s="425" t="str">
        <x:v>VfB Stuttgart at TSG Hoffenheim</x:v>
      </x:c>
      <x:c r="E224" s="425" t="str">
        <x:v>2026-09-12T13:30Z</x:v>
      </x:c>
      <x:c r="F224" s="425" t="str">
        <x:v>PROSPECTIVE</x:v>
      </x:c>
      <x:c r="G224" s="425" t="str">
        <x:v>VfB Stuttgart</x:v>
      </x:c>
      <x:c r="H224" s="425" t="str">
        <x:v>Scheduled team; player lineup and specialist roles unconfirmed</x:v>
      </x:c>
      <x:c r="I224" s="425" t="str">
        <x:v>Official ESPN schedule lists VfB Stuttgart at 1-0-1. Current starters, depth-chart usage, injuries and specialist roles require later confirmation.</x:v>
      </x:c>
      <x:c r="J224" s="425" t="str"/>
      <x:c r="K224" s="425" t="str"/>
      <x:c r="L224" s="425" t="str">
        <x:v>https://www.espn.com/soccer/scoreboard/_/league/ger.1/date/20260912</x:v>
      </x:c>
    </x:row>
    <x:row r="225" ht="38" customHeight="1">
      <x:c r="A225" s="425" t="str">
        <x:v>2026-09-12</x:v>
      </x:c>
      <x:c r="B225" s="425" t="str">
        <x:v>Soccer</x:v>
      </x:c>
      <x:c r="C225" s="425" t="str">
        <x:v>BUNDESLIGA</x:v>
      </x:c>
      <x:c r="D225" s="425" t="str">
        <x:v>Werder Bremen at FC Cologne</x:v>
      </x:c>
      <x:c r="E225" s="425" t="str">
        <x:v>2026-09-12T16:30Z</x:v>
      </x:c>
      <x:c r="F225" s="425" t="str">
        <x:v>PROSPECTIVE</x:v>
      </x:c>
      <x:c r="G225" s="425" t="str">
        <x:v>FC Cologne</x:v>
      </x:c>
      <x:c r="H225" s="425" t="str">
        <x:v>Scheduled team; player lineup and specialist roles unconfirmed</x:v>
      </x:c>
      <x:c r="I225" s="425" t="str">
        <x:v>Official ESPN schedule lists FC Cologne at 1-0-1. Current starters, depth-chart usage, injuries and specialist roles require later confirmation.</x:v>
      </x:c>
      <x:c r="J225" s="425" t="str"/>
      <x:c r="K225" s="425" t="str"/>
      <x:c r="L225" s="425" t="str">
        <x:v>https://www.espn.com/soccer/match/_/gameId/401884792/werder-bremen-fc-cologne</x:v>
      </x:c>
    </x:row>
    <x:row r="226" ht="38" customHeight="1">
      <x:c r="A226" s="425" t="str">
        <x:v>2026-09-12</x:v>
      </x:c>
      <x:c r="B226" s="425" t="str">
        <x:v>Soccer</x:v>
      </x:c>
      <x:c r="C226" s="425" t="str">
        <x:v>BUNDESLIGA</x:v>
      </x:c>
      <x:c r="D226" s="425" t="str">
        <x:v>Werder Bremen at FC Cologne</x:v>
      </x:c>
      <x:c r="E226" s="425" t="str">
        <x:v>2026-09-12T16:30Z</x:v>
      </x:c>
      <x:c r="F226" s="425" t="str">
        <x:v>PROSPECTIVE</x:v>
      </x:c>
      <x:c r="G226" s="425" t="str">
        <x:v>Werder Bremen</x:v>
      </x:c>
      <x:c r="H226" s="425" t="str">
        <x:v>Scheduled team; player lineup and specialist roles unconfirmed</x:v>
      </x:c>
      <x:c r="I226" s="425" t="str">
        <x:v>Official ESPN schedule lists Werder Bremen at 1-0-1. Current starters, depth-chart usage, injuries and specialist roles require later confirmation.</x:v>
      </x:c>
      <x:c r="J226" s="425" t="str"/>
      <x:c r="K226" s="425" t="str"/>
      <x:c r="L226" s="425" t="str">
        <x:v>https://www.espn.com/soccer/match/_/gameId/401884792/werder-bremen-fc-cologne</x:v>
      </x:c>
    </x:row>
    <x:row r="227" ht="38" customHeight="1">
      <x:c r="A227" s="425" t="str">
        <x:v>2026-09-12</x:v>
      </x:c>
      <x:c r="B227" s="425" t="str">
        <x:v>Soccer</x:v>
      </x:c>
      <x:c r="C227" s="425" t="str">
        <x:v>SERIE A</x:v>
      </x:c>
      <x:c r="D227" s="425" t="str">
        <x:v>Frosinone at Genoa</x:v>
      </x:c>
      <x:c r="E227" s="425" t="str">
        <x:v>2026-09-12T13:00Z</x:v>
      </x:c>
      <x:c r="F227" s="425" t="str">
        <x:v>PROSPECTIVE</x:v>
      </x:c>
      <x:c r="G227" s="425" t="str">
        <x:v>Genoa</x:v>
      </x:c>
      <x:c r="H227" s="425" t="str">
        <x:v>Scheduled team; player lineup and specialist roles unconfirmed</x:v>
      </x:c>
      <x:c r="I227" s="425" t="str">
        <x:v>Official ESPN schedule lists Genoa at 0-0-3. Current starters, depth-chart usage, injuries and specialist roles require later confirmation.</x:v>
      </x:c>
      <x:c r="J227" s="425" t="str"/>
      <x:c r="K227" s="425" t="str"/>
      <x:c r="L227" s="425" t="str">
        <x:v>https://www.espn.com/soccer/scoreboard/_/league/ita.1/date/20260912</x:v>
      </x:c>
    </x:row>
    <x:row r="228" ht="38" customHeight="1">
      <x:c r="A228" s="425" t="str">
        <x:v>2026-09-12</x:v>
      </x:c>
      <x:c r="B228" s="425" t="str">
        <x:v>Soccer</x:v>
      </x:c>
      <x:c r="C228" s="425" t="str">
        <x:v>SERIE A</x:v>
      </x:c>
      <x:c r="D228" s="425" t="str">
        <x:v>Frosinone at Genoa</x:v>
      </x:c>
      <x:c r="E228" s="425" t="str">
        <x:v>2026-09-12T13:00Z</x:v>
      </x:c>
      <x:c r="F228" s="425" t="str">
        <x:v>PROSPECTIVE</x:v>
      </x:c>
      <x:c r="G228" s="425" t="str">
        <x:v>Frosinone</x:v>
      </x:c>
      <x:c r="H228" s="425" t="str">
        <x:v>Scheduled team; player lineup and specialist roles unconfirmed</x:v>
      </x:c>
      <x:c r="I228" s="425" t="str">
        <x:v>Official ESPN schedule lists Frosinone at 2-0-1. Current starters, depth-chart usage, injuries and specialist roles require later confirmation.</x:v>
      </x:c>
      <x:c r="J228" s="425" t="str"/>
      <x:c r="K228" s="425" t="str"/>
      <x:c r="L228" s="425" t="str">
        <x:v>https://www.espn.com/soccer/scoreboard/_/league/ita.1/date/20260912</x:v>
      </x:c>
    </x:row>
    <x:row r="229" ht="38" customHeight="1">
      <x:c r="A229" s="425" t="str">
        <x:v>2026-09-12</x:v>
      </x:c>
      <x:c r="B229" s="425" t="str">
        <x:v>Soccer</x:v>
      </x:c>
      <x:c r="C229" s="425" t="str">
        <x:v>SERIE A</x:v>
      </x:c>
      <x:c r="D229" s="425" t="str">
        <x:v>AC Milan at Lazio</x:v>
      </x:c>
      <x:c r="E229" s="425" t="str">
        <x:v>2026-09-12T16:00Z</x:v>
      </x:c>
      <x:c r="F229" s="425" t="str">
        <x:v>PROSPECTIVE</x:v>
      </x:c>
      <x:c r="G229" s="425" t="str">
        <x:v>Lazio</x:v>
      </x:c>
      <x:c r="H229" s="425" t="str">
        <x:v>Scheduled team; player lineup and specialist roles unconfirmed</x:v>
      </x:c>
      <x:c r="I229" s="425" t="str">
        <x:v>Official ESPN schedule lists Lazio at 3-0-0. Current starters, depth-chart usage, injuries and specialist roles require later confirmation.</x:v>
      </x:c>
      <x:c r="J229" s="425" t="str"/>
      <x:c r="K229" s="425" t="str"/>
      <x:c r="L229" s="425" t="str">
        <x:v>https://www.espn.com/soccer/match/_/gameId/401874941/ac-milan-lazio</x:v>
      </x:c>
    </x:row>
    <x:row r="230" ht="38" customHeight="1">
      <x:c r="A230" s="425" t="str">
        <x:v>2026-09-12</x:v>
      </x:c>
      <x:c r="B230" s="425" t="str">
        <x:v>Soccer</x:v>
      </x:c>
      <x:c r="C230" s="425" t="str">
        <x:v>SERIE A</x:v>
      </x:c>
      <x:c r="D230" s="425" t="str">
        <x:v>AC Milan at Lazio</x:v>
      </x:c>
      <x:c r="E230" s="425" t="str">
        <x:v>2026-09-12T16:00Z</x:v>
      </x:c>
      <x:c r="F230" s="425" t="str">
        <x:v>PROSPECTIVE</x:v>
      </x:c>
      <x:c r="G230" s="425" t="str">
        <x:v>AC Milan</x:v>
      </x:c>
      <x:c r="H230" s="425" t="str">
        <x:v>Scheduled team; player lineup and specialist roles unconfirmed</x:v>
      </x:c>
      <x:c r="I230" s="425" t="str">
        <x:v>Official ESPN schedule lists AC Milan at 2-1-0. Current starters, depth-chart usage, injuries and specialist roles require later confirmation.</x:v>
      </x:c>
      <x:c r="J230" s="425" t="str"/>
      <x:c r="K230" s="425" t="str"/>
      <x:c r="L230" s="425" t="str">
        <x:v>https://www.espn.com/soccer/match/_/gameId/401874941/ac-milan-lazio</x:v>
      </x:c>
    </x:row>
    <x:row r="231" ht="38" customHeight="1">
      <x:c r="A231" s="425" t="str">
        <x:v>2026-09-12</x:v>
      </x:c>
      <x:c r="B231" s="425" t="str">
        <x:v>Soccer</x:v>
      </x:c>
      <x:c r="C231" s="425" t="str">
        <x:v>SERIE A</x:v>
      </x:c>
      <x:c r="D231" s="425" t="str">
        <x:v>Cagliari at Atalanta</x:v>
      </x:c>
      <x:c r="E231" s="425" t="str">
        <x:v>2026-09-12T18:45Z</x:v>
      </x:c>
      <x:c r="F231" s="425" t="str">
        <x:v>PROSPECTIVE</x:v>
      </x:c>
      <x:c r="G231" s="425" t="str">
        <x:v>Atalanta</x:v>
      </x:c>
      <x:c r="H231" s="425" t="str">
        <x:v>Scheduled team; player lineup and specialist roles unconfirmed</x:v>
      </x:c>
      <x:c r="I231" s="425" t="str">
        <x:v>Official ESPN schedule lists Atalanta at 2-0-1. Current starters, depth-chart usage, injuries and specialist roles require later confirmation.</x:v>
      </x:c>
      <x:c r="J231" s="425" t="str"/>
      <x:c r="K231" s="425" t="str"/>
      <x:c r="L231" s="425" t="str">
        <x:v>https://www.espn.com/soccer/match/_/gameId/401874979/cagliari-atalanta</x:v>
      </x:c>
    </x:row>
    <x:row r="232" ht="38" customHeight="1">
      <x:c r="A232" s="425" t="str">
        <x:v>2026-09-12</x:v>
      </x:c>
      <x:c r="B232" s="425" t="str">
        <x:v>Soccer</x:v>
      </x:c>
      <x:c r="C232" s="425" t="str">
        <x:v>SERIE A</x:v>
      </x:c>
      <x:c r="D232" s="425" t="str">
        <x:v>Cagliari at Atalanta</x:v>
      </x:c>
      <x:c r="E232" s="425" t="str">
        <x:v>2026-09-12T18:45Z</x:v>
      </x:c>
      <x:c r="F232" s="425" t="str">
        <x:v>PROSPECTIVE</x:v>
      </x:c>
      <x:c r="G232" s="425" t="str">
        <x:v>Cagliari</x:v>
      </x:c>
      <x:c r="H232" s="425" t="str">
        <x:v>Scheduled team; player lineup and specialist roles unconfirmed</x:v>
      </x:c>
      <x:c r="I232" s="425" t="str">
        <x:v>Official ESPN schedule lists Cagliari at 2-0-1. Current starters, depth-chart usage, injuries and specialist roles require later confirmation.</x:v>
      </x:c>
      <x:c r="J232" s="425" t="str"/>
      <x:c r="K232" s="425" t="str"/>
      <x:c r="L232" s="425" t="str">
        <x:v>https://www.espn.com/soccer/match/_/gameId/401874979/cagliari-atalanta</x:v>
      </x:c>
    </x:row>
    <x:row r="233" ht="38" customHeight="1">
      <x:c r="A233" s="425" t="str">
        <x:v>2026-09-12</x:v>
      </x:c>
      <x:c r="B233" s="425" t="str">
        <x:v>Soccer</x:v>
      </x:c>
      <x:c r="C233" s="425" t="str">
        <x:v>LIGUE 1</x:v>
      </x:c>
      <x:c r="D233" s="425" t="str">
        <x:v>AS Monaco at Strasbourg</x:v>
      </x:c>
      <x:c r="E233" s="425" t="str">
        <x:v>2026-09-12T15:15Z</x:v>
      </x:c>
      <x:c r="F233" s="425" t="str">
        <x:v>PROSPECTIVE</x:v>
      </x:c>
      <x:c r="G233" s="425" t="str">
        <x:v>Strasbourg</x:v>
      </x:c>
      <x:c r="H233" s="425" t="str">
        <x:v>Scheduled team; player lineup and specialist roles unconfirmed</x:v>
      </x:c>
      <x:c r="I233" s="425" t="str">
        <x:v>Official ESPN schedule lists Strasbourg at 2-0-1. Current starters, depth-chart usage, injuries and specialist roles require later confirmation.</x:v>
      </x:c>
      <x:c r="J233" s="425" t="str"/>
      <x:c r="K233" s="425" t="str"/>
      <x:c r="L233" s="425" t="str">
        <x:v>https://www.espn.com/soccer/match/_/gameId/401876458/as-monaco-strasbourg</x:v>
      </x:c>
    </x:row>
    <x:row r="234" ht="38" customHeight="1">
      <x:c r="A234" s="425" t="str">
        <x:v>2026-09-12</x:v>
      </x:c>
      <x:c r="B234" s="425" t="str">
        <x:v>Soccer</x:v>
      </x:c>
      <x:c r="C234" s="425" t="str">
        <x:v>LIGUE 1</x:v>
      </x:c>
      <x:c r="D234" s="425" t="str">
        <x:v>AS Monaco at Strasbourg</x:v>
      </x:c>
      <x:c r="E234" s="425" t="str">
        <x:v>2026-09-12T15:15Z</x:v>
      </x:c>
      <x:c r="F234" s="425" t="str">
        <x:v>PROSPECTIVE</x:v>
      </x:c>
      <x:c r="G234" s="425" t="str">
        <x:v>AS Monaco</x:v>
      </x:c>
      <x:c r="H234" s="425" t="str">
        <x:v>Scheduled team; player lineup and specialist roles unconfirmed</x:v>
      </x:c>
      <x:c r="I234" s="425" t="str">
        <x:v>Official ESPN schedule lists AS Monaco at 3-0-0. Current starters, depth-chart usage, injuries and specialist roles require later confirmation.</x:v>
      </x:c>
      <x:c r="J234" s="425" t="str"/>
      <x:c r="K234" s="425" t="str"/>
      <x:c r="L234" s="425" t="str">
        <x:v>https://www.espn.com/soccer/match/_/gameId/401876458/as-monaco-strasbourg</x:v>
      </x:c>
    </x:row>
    <x:row r="235" ht="38" customHeight="1">
      <x:c r="A235" s="425" t="str">
        <x:v>2026-09-12</x:v>
      </x:c>
      <x:c r="B235" s="425" t="str">
        <x:v>Soccer</x:v>
      </x:c>
      <x:c r="C235" s="425" t="str">
        <x:v>LIGUE 1</x:v>
      </x:c>
      <x:c r="D235" s="425" t="str">
        <x:v>Nice at AJ Auxerre</x:v>
      </x:c>
      <x:c r="E235" s="425" t="str">
        <x:v>2026-09-12T18:45Z</x:v>
      </x:c>
      <x:c r="F235" s="425" t="str">
        <x:v>PROSPECTIVE</x:v>
      </x:c>
      <x:c r="G235" s="425" t="str">
        <x:v>AJ Auxerre</x:v>
      </x:c>
      <x:c r="H235" s="425" t="str">
        <x:v>Scheduled team; player lineup and specialist roles unconfirmed</x:v>
      </x:c>
      <x:c r="I235" s="425" t="str">
        <x:v>Official ESPN schedule lists AJ Auxerre at 0-0-3. Current starters, depth-chart usage, injuries and specialist roles require later confirmation.</x:v>
      </x:c>
      <x:c r="J235" s="425" t="str"/>
      <x:c r="K235" s="425" t="str"/>
      <x:c r="L235" s="425" t="str">
        <x:v>https://www.espn.com/soccer/match/_/gameId/401876466/nice-aj-auxerre</x:v>
      </x:c>
    </x:row>
    <x:row r="236" ht="38" customHeight="1">
      <x:c r="A236" s="425" t="str">
        <x:v>2026-09-12</x:v>
      </x:c>
      <x:c r="B236" s="425" t="str">
        <x:v>Soccer</x:v>
      </x:c>
      <x:c r="C236" s="425" t="str">
        <x:v>LIGUE 1</x:v>
      </x:c>
      <x:c r="D236" s="425" t="str">
        <x:v>Nice at AJ Auxerre</x:v>
      </x:c>
      <x:c r="E236" s="425" t="str">
        <x:v>2026-09-12T18:45Z</x:v>
      </x:c>
      <x:c r="F236" s="425" t="str">
        <x:v>PROSPECTIVE</x:v>
      </x:c>
      <x:c r="G236" s="425" t="str">
        <x:v>Nice</x:v>
      </x:c>
      <x:c r="H236" s="425" t="str">
        <x:v>Scheduled team; player lineup and specialist roles unconfirmed</x:v>
      </x:c>
      <x:c r="I236" s="425" t="str">
        <x:v>Official ESPN schedule lists Nice at 0-2-1. Current starters, depth-chart usage, injuries and specialist roles require later confirmation.</x:v>
      </x:c>
      <x:c r="J236" s="425" t="str"/>
      <x:c r="K236" s="425" t="str"/>
      <x:c r="L236" s="425" t="str">
        <x:v>https://www.espn.com/soccer/match/_/gameId/401876466/nice-aj-auxerre</x:v>
      </x:c>
    </x:row>
    <x:row r="237" ht="38" customHeight="1">
      <x:c r="A237" s="425" t="str">
        <x:v>2026-09-12</x:v>
      </x:c>
      <x:c r="B237" s="425" t="str">
        <x:v>Soccer</x:v>
      </x:c>
      <x:c r="C237" s="425" t="str">
        <x:v>LIGUE 1</x:v>
      </x:c>
      <x:c r="D237" s="425" t="str">
        <x:v>Angers at Le Havre AC</x:v>
      </x:c>
      <x:c r="E237" s="425" t="str">
        <x:v>2026-09-12T18:45Z</x:v>
      </x:c>
      <x:c r="F237" s="425" t="str">
        <x:v>PROSPECTIVE</x:v>
      </x:c>
      <x:c r="G237" s="425" t="str">
        <x:v>Le Havre AC</x:v>
      </x:c>
      <x:c r="H237" s="425" t="str">
        <x:v>Scheduled team; player lineup and specialist roles unconfirmed</x:v>
      </x:c>
      <x:c r="I237" s="425" t="str">
        <x:v>Official ESPN schedule lists Le Havre AC at 0-1-2. Current starters, depth-chart usage, injuries and specialist roles require later confirmation.</x:v>
      </x:c>
      <x:c r="J237" s="425" t="str"/>
      <x:c r="K237" s="425" t="str"/>
      <x:c r="L237" s="425" t="str">
        <x:v>https://www.espn.com/soccer/match/_/gameId/401876464/angers-le-havre-ac</x:v>
      </x:c>
    </x:row>
    <x:row r="238" ht="38" customHeight="1">
      <x:c r="A238" s="425" t="str">
        <x:v>2026-09-12</x:v>
      </x:c>
      <x:c r="B238" s="425" t="str">
        <x:v>Soccer</x:v>
      </x:c>
      <x:c r="C238" s="425" t="str">
        <x:v>LIGUE 1</x:v>
      </x:c>
      <x:c r="D238" s="425" t="str">
        <x:v>Angers at Le Havre AC</x:v>
      </x:c>
      <x:c r="E238" s="425" t="str">
        <x:v>2026-09-12T18:45Z</x:v>
      </x:c>
      <x:c r="F238" s="425" t="str">
        <x:v>PROSPECTIVE</x:v>
      </x:c>
      <x:c r="G238" s="425" t="str">
        <x:v>Angers</x:v>
      </x:c>
      <x:c r="H238" s="425" t="str">
        <x:v>Scheduled team; player lineup and specialist roles unconfirmed</x:v>
      </x:c>
      <x:c r="I238" s="425" t="str">
        <x:v>Official ESPN schedule lists Angers at 1-0-2. Current starters, depth-chart usage, injuries and specialist roles require later confirmation.</x:v>
      </x:c>
      <x:c r="J238" s="425" t="str"/>
      <x:c r="K238" s="425" t="str"/>
      <x:c r="L238" s="425" t="str">
        <x:v>https://www.espn.com/soccer/match/_/gameId/401876464/angers-le-havre-ac</x:v>
      </x:c>
    </x:row>
    <x:row r="239" ht="38" customHeight="1">
      <x:c r="A239" s="425" t="str">
        <x:v>2026-09-12</x:v>
      </x:c>
      <x:c r="B239" s="425" t="str">
        <x:v>Soccer</x:v>
      </x:c>
      <x:c r="C239" s="425" t="str">
        <x:v>LIGUE 1</x:v>
      </x:c>
      <x:c r="D239" s="425" t="str">
        <x:v>Toulouse at Lorient</x:v>
      </x:c>
      <x:c r="E239" s="425" t="str">
        <x:v>2026-09-12T18:45Z</x:v>
      </x:c>
      <x:c r="F239" s="425" t="str">
        <x:v>PROSPECTIVE</x:v>
      </x:c>
      <x:c r="G239" s="425" t="str">
        <x:v>Lorient</x:v>
      </x:c>
      <x:c r="H239" s="425" t="str">
        <x:v>Scheduled team; player lineup and specialist roles unconfirmed</x:v>
      </x:c>
      <x:c r="I239" s="425" t="str">
        <x:v>Official ESPN schedule lists Lorient at 1-1-1. Current starters, depth-chart usage, injuries and specialist roles require later confirmation.</x:v>
      </x:c>
      <x:c r="J239" s="425" t="str"/>
      <x:c r="K239" s="425" t="str"/>
      <x:c r="L239" s="425" t="str">
        <x:v>https://www.espn.com/soccer/match/_/gameId/401876461/toulouse-lorient</x:v>
      </x:c>
    </x:row>
    <x:row r="240" ht="38" customHeight="1">
      <x:c r="A240" s="425" t="str">
        <x:v>2026-09-12</x:v>
      </x:c>
      <x:c r="B240" s="425" t="str">
        <x:v>Soccer</x:v>
      </x:c>
      <x:c r="C240" s="425" t="str">
        <x:v>LIGUE 1</x:v>
      </x:c>
      <x:c r="D240" s="425" t="str">
        <x:v>Toulouse at Lorient</x:v>
      </x:c>
      <x:c r="E240" s="425" t="str">
        <x:v>2026-09-12T18:45Z</x:v>
      </x:c>
      <x:c r="F240" s="425" t="str">
        <x:v>PROSPECTIVE</x:v>
      </x:c>
      <x:c r="G240" s="425" t="str">
        <x:v>Toulouse</x:v>
      </x:c>
      <x:c r="H240" s="425" t="str">
        <x:v>Scheduled team; player lineup and specialist roles unconfirmed</x:v>
      </x:c>
      <x:c r="I240" s="425" t="str">
        <x:v>Official ESPN schedule lists Toulouse at 0-1-2. Current starters, depth-chart usage, injuries and specialist roles require later confirmation.</x:v>
      </x:c>
      <x:c r="J240" s="425" t="str"/>
      <x:c r="K240" s="425" t="str"/>
      <x:c r="L240" s="425" t="str">
        <x:v>https://www.espn.com/soccer/match/_/gameId/401876461/toulouse-lorient</x:v>
      </x:c>
    </x:row>
    <x:row r="241" ht="38" customHeight="1">
      <x:c r="A241" s="425" t="str">
        <x:v>2026-09-12</x:v>
      </x:c>
      <x:c r="B241" s="425" t="str">
        <x:v>Soccer</x:v>
      </x:c>
      <x:c r="C241" s="425" t="str">
        <x:v>LIGUE 1</x:v>
      </x:c>
      <x:c r="D241" s="425" t="str">
        <x:v>Lyon at Paris FC</x:v>
      </x:c>
      <x:c r="E241" s="425" t="str">
        <x:v>2026-09-12T18:45Z</x:v>
      </x:c>
      <x:c r="F241" s="425" t="str">
        <x:v>PROSPECTIVE</x:v>
      </x:c>
      <x:c r="G241" s="425" t="str">
        <x:v>Paris FC</x:v>
      </x:c>
      <x:c r="H241" s="425" t="str">
        <x:v>Scheduled team; player lineup and specialist roles unconfirmed</x:v>
      </x:c>
      <x:c r="I241" s="425" t="str">
        <x:v>Official ESPN schedule lists Paris FC at 2-1-0. Current starters, depth-chart usage, injuries and specialist roles require later confirmation.</x:v>
      </x:c>
      <x:c r="J241" s="425" t="str"/>
      <x:c r="K241" s="425" t="str"/>
      <x:c r="L241" s="425" t="str">
        <x:v>https://www.espn.com/soccer/match/_/gameId/401876460/lyon-paris-fc</x:v>
      </x:c>
    </x:row>
    <x:row r="242" ht="38" customHeight="1">
      <x:c r="A242" s="425" t="str">
        <x:v>2026-09-12</x:v>
      </x:c>
      <x:c r="B242" s="425" t="str">
        <x:v>Soccer</x:v>
      </x:c>
      <x:c r="C242" s="425" t="str">
        <x:v>LIGUE 1</x:v>
      </x:c>
      <x:c r="D242" s="425" t="str">
        <x:v>Lyon at Paris FC</x:v>
      </x:c>
      <x:c r="E242" s="425" t="str">
        <x:v>2026-09-12T18:45Z</x:v>
      </x:c>
      <x:c r="F242" s="425" t="str">
        <x:v>PROSPECTIVE</x:v>
      </x:c>
      <x:c r="G242" s="425" t="str">
        <x:v>Lyon</x:v>
      </x:c>
      <x:c r="H242" s="425" t="str">
        <x:v>Scheduled team; player lineup and specialist roles unconfirmed</x:v>
      </x:c>
      <x:c r="I242" s="425" t="str">
        <x:v>Official ESPN schedule lists Lyon at 2-1-0. Current starters, depth-chart usage, injuries and specialist roles require later confirmation.</x:v>
      </x:c>
      <x:c r="J242" s="425" t="str"/>
      <x:c r="K242" s="425" t="str"/>
      <x:c r="L242" s="425" t="str">
        <x:v>https://www.espn.com/soccer/match/_/gameId/401876460/lyon-paris-fc</x:v>
      </x:c>
    </x:row>
    <x:row r="243" ht="38" customHeight="1">
      <x:c r="A243" s="425" t="str">
        <x:v>2026-09-12</x:v>
      </x:c>
      <x:c r="B243" s="425" t="str">
        <x:v>MLB</x:v>
      </x:c>
      <x:c r="C243" s="425" t="str">
        <x:v>MLB</x:v>
      </x:c>
      <x:c r="D243" s="425" t="str">
        <x:v>Cleveland Guardians at Minnesota Twins</x:v>
      </x:c>
      <x:c r="E243" s="425" t="str"/>
      <x:c r="F243" s="425" t="str">
        <x:v>CANDIDATE</x:v>
      </x:c>
      <x:c r="G243" s="425" t="str">
        <x:v>Daniel Espino</x:v>
      </x:c>
      <x:c r="H243" s="425" t="str">
        <x:v>Probable away starter</x:v>
      </x:c>
      <x:c r="I243" s="425" t="str">
        <x:v>The official rate screen places this starter near the top of today’s strikeout pool. Official 2026 line: 0 GS, 10.0 IP, 2.70 ERA, 1.30 WHIP, 16.20 K/9, 3.60 BB/9 and 8.10 H/9. Exact DraftKings threshold/price, confirmed opponent lineup, pitch-count expectation and weather remain required.</x:v>
      </x:c>
      <x:c r="J243" s="425" t="str">
        <x:v>Pitcher strikeouts / outs</x:v>
      </x:c>
      <x:c r="K243" s="425" t="str">
        <x:v>INDEPENDENT</x:v>
      </x:c>
      <x:c r="L243" s="425" t="str">
        <x:v>https://www.mlb.com/gameday/823657</x:v>
      </x:c>
    </x:row>
    <x:row r="244" ht="38" customHeight="1">
      <x:c r="A244" s="425" t="str">
        <x:v>2026-09-12</x:v>
      </x:c>
      <x:c r="B244" s="425" t="str">
        <x:v>MLB</x:v>
      </x:c>
      <x:c r="C244" s="425" t="str">
        <x:v>MLB</x:v>
      </x:c>
      <x:c r="D244" s="425" t="str">
        <x:v>Los Angeles Dodgers at Miami Marlins</x:v>
      </x:c>
      <x:c r="E244" s="425" t="str"/>
      <x:c r="F244" s="425" t="str">
        <x:v>CANDIDATE</x:v>
      </x:c>
      <x:c r="G244" s="425" t="str">
        <x:v>Tyler Glasnow</x:v>
      </x:c>
      <x:c r="H244" s="425" t="str">
        <x:v>Probable away starter</x:v>
      </x:c>
      <x:c r="I244" s="425" t="str">
        <x:v>The official rate screen places this starter near the top of today’s strikeout pool. Official 2026 line: 10 GS, 57.7 IP, 3.12 ERA, 0.88 WHIP, 10.92 K/9, 2.65 BB/9 and 5.31 H/9. Exact DraftKings threshold/price, confirmed opponent lineup, pitch-count expectation and weather remain required.</x:v>
      </x:c>
      <x:c r="J244" s="425" t="str">
        <x:v>Pitcher strikeouts / outs</x:v>
      </x:c>
      <x:c r="K244" s="425" t="str">
        <x:v>INDEPENDENT</x:v>
      </x:c>
      <x:c r="L244" s="425" t="str">
        <x:v>https://www.mlb.com/gameday/823819</x:v>
      </x:c>
    </x:row>
    <x:row r="245" ht="38" customHeight="1">
      <x:c r="A245" s="425" t="str">
        <x:v>2026-09-12</x:v>
      </x:c>
      <x:c r="B245" s="425" t="str">
        <x:v>MLB</x:v>
      </x:c>
      <x:c r="C245" s="425" t="str">
        <x:v>MLB</x:v>
      </x:c>
      <x:c r="D245" s="425" t="str">
        <x:v>Houston Astros at Tampa Bay Rays</x:v>
      </x:c>
      <x:c r="E245" s="425" t="str"/>
      <x:c r="F245" s="425" t="str">
        <x:v>CANDIDATE</x:v>
      </x:c>
      <x:c r="G245" s="425" t="str">
        <x:v>Ian Seymour</x:v>
      </x:c>
      <x:c r="H245" s="425" t="str">
        <x:v>Probable home starter</x:v>
      </x:c>
      <x:c r="I245" s="425" t="str">
        <x:v>The official rate screen places this starter near the top of today’s strikeout pool. Official 2026 line: 13 GS, 116.3 IP, 4.33 ERA, 1.16 WHIP, 10.83 K/9, 2.55 BB/9 and 7.89 H/9. Exact DraftKings threshold/price, confirmed opponent lineup, pitch-count expectation and weather remain required.</x:v>
      </x:c>
      <x:c r="J245" s="425" t="str">
        <x:v>Pitcher strikeouts / outs</x:v>
      </x:c>
      <x:c r="K245" s="425" t="str">
        <x:v>INDEPENDENT</x:v>
      </x:c>
      <x:c r="L245" s="425" t="str">
        <x:v>https://www.mlb.com/gameday/822927</x:v>
      </x:c>
    </x:row>
    <x:row r="246" ht="38" customHeight="1">
      <x:c r="A246" s="425" t="str">
        <x:v>2026-09-12</x:v>
      </x:c>
      <x:c r="B246" s="425" t="str">
        <x:v>MLB</x:v>
      </x:c>
      <x:c r="C246" s="425" t="str">
        <x:v>MLB</x:v>
      </x:c>
      <x:c r="D246" s="425" t="str">
        <x:v>Pittsburgh Pirates at Chicago Cubs</x:v>
      </x:c>
      <x:c r="E246" s="425" t="str"/>
      <x:c r="F246" s="425" t="str">
        <x:v>CANDIDATE</x:v>
      </x:c>
      <x:c r="G246" s="425" t="str">
        <x:v>Paul Skenes</x:v>
      </x:c>
      <x:c r="H246" s="425" t="str">
        <x:v>Probable away starter</x:v>
      </x:c>
      <x:c r="I246" s="425" t="str">
        <x:v>The official rate screen places this starter near the top of today’s strikeout pool. Official 2026 line: 29 GS, 155.0 IP, 3.83 ERA, 1.15 WHIP, 10.51 K/9, 2.61 BB/9 and 7.72 H/9. Exact DraftKings threshold/price, confirmed opponent lineup, pitch-count expectation and weather remain required.</x:v>
      </x:c>
      <x:c r="J246" s="425" t="str">
        <x:v>Pitcher strikeouts / outs</x:v>
      </x:c>
      <x:c r="K246" s="425" t="str">
        <x:v>INDEPENDENT</x:v>
      </x:c>
      <x:c r="L246" s="425" t="str">
        <x:v>https://www.mlb.com/gameday/824630</x:v>
      </x:c>
    </x:row>
    <x:row r="247" ht="38" customHeight="1">
      <x:c r="A247" s="425" t="str">
        <x:v>2026-09-12</x:v>
      </x:c>
      <x:c r="B247" s="425" t="str">
        <x:v>MLB</x:v>
      </x:c>
      <x:c r="C247" s="425" t="str">
        <x:v>MLB</x:v>
      </x:c>
      <x:c r="D247" s="425" t="str">
        <x:v>Los Angeles Angels at Washington Nationals</x:v>
      </x:c>
      <x:c r="E247" s="425" t="str"/>
      <x:c r="F247" s="425" t="str">
        <x:v>CANDIDATE</x:v>
      </x:c>
      <x:c r="G247" s="425" t="str">
        <x:v>Walbert Ureña</x:v>
      </x:c>
      <x:c r="H247" s="425" t="str">
        <x:v>Probable away starter</x:v>
      </x:c>
      <x:c r="I247" s="425" t="str">
        <x:v>The official rate screen flags elevated walk exposure. Official 2026 line: 24 GS, 131.3 IP, 2.74 ERA, 1.21 WHIP, 8.50 K/9, 4.45 BB/9 and 6.44 H/9. Exact DraftKings threshold/price, confirmed opponent lineup, pitch-count expectation and weather remain required.</x:v>
      </x:c>
      <x:c r="J247" s="425" t="str">
        <x:v>Pitcher walks allowed</x:v>
      </x:c>
      <x:c r="K247" s="425" t="str">
        <x:v>INDEPENDENT</x:v>
      </x:c>
      <x:c r="L247" s="425" t="str">
        <x:v>https://www.mlb.com/gameday/822685</x:v>
      </x:c>
    </x:row>
    <x:row r="248" ht="38" customHeight="1">
      <x:c r="A248" s="425" t="str">
        <x:v>2026-09-12</x:v>
      </x:c>
      <x:c r="B248" s="425" t="str">
        <x:v>MLB</x:v>
      </x:c>
      <x:c r="C248" s="425" t="str">
        <x:v>MLB</x:v>
      </x:c>
      <x:c r="D248" s="425" t="str">
        <x:v>Seattle Mariners at Athletics</x:v>
      </x:c>
      <x:c r="E248" s="425" t="str"/>
      <x:c r="F248" s="425" t="str">
        <x:v>CANDIDATE</x:v>
      </x:c>
      <x:c r="G248" s="425" t="str">
        <x:v>Gage Jump</x:v>
      </x:c>
      <x:c r="H248" s="425" t="str">
        <x:v>Probable home starter</x:v>
      </x:c>
      <x:c r="I248" s="425" t="str">
        <x:v>The official rate screen flags elevated walk exposure. Official 2026 line: 19 GS, 96.7 IP, 5.12 ERA, 1.49 WHIP, 9.87 K/9, 4.19 BB/9 and 9.22 H/9. Exact DraftKings threshold/price, confirmed opponent lineup, pitch-count expectation and weather remain required.</x:v>
      </x:c>
      <x:c r="J248" s="425" t="str">
        <x:v>Pitcher walks allowed</x:v>
      </x:c>
      <x:c r="K248" s="425" t="str">
        <x:v>INDEPENDENT</x:v>
      </x:c>
      <x:c r="L248" s="425" t="str">
        <x:v>https://www.mlb.com/gameday/824955</x:v>
      </x:c>
    </x:row>
    <x:row r="249" ht="38" customHeight="1">
      <x:c r="A249" s="425" t="str">
        <x:v>2026-09-12</x:v>
      </x:c>
      <x:c r="B249" s="425" t="str">
        <x:v>MLB</x:v>
      </x:c>
      <x:c r="C249" s="425" t="str">
        <x:v>MLB</x:v>
      </x:c>
      <x:c r="D249" s="425" t="str">
        <x:v>Colorado Rockies at Detroit Tigers</x:v>
      </x:c>
      <x:c r="E249" s="425" t="str"/>
      <x:c r="F249" s="425" t="str">
        <x:v>CANDIDATE</x:v>
      </x:c>
      <x:c r="G249" s="425" t="str">
        <x:v>Tanner Gordon</x:v>
      </x:c>
      <x:c r="H249" s="425" t="str">
        <x:v>Probable away starter</x:v>
      </x:c>
      <x:c r="I249" s="425" t="str">
        <x:v>The official rate screen flags elevated hit traffic for a market-expression comparison. Official 2026 line: 9 GS, 93.3 IP, 5.40 ERA, 1.43 WHIP, 7.33 K/9, 1.64 BB/9 and 11.19 H/9. Exact DraftKings threshold/price, confirmed opponent lineup, pitch-count expectation and weather remain required.</x:v>
      </x:c>
      <x:c r="J249" s="425" t="str">
        <x:v>Pitcher hits allowed / outs</x:v>
      </x:c>
      <x:c r="K249" s="425" t="str">
        <x:v>INDEPENDENT</x:v>
      </x:c>
      <x:c r="L249" s="425" t="str">
        <x:v>https://www.mlb.com/gameday/824224</x:v>
      </x:c>
    </x:row>
    <x:row r="250" ht="38" customHeight="1">
      <x:c r="A250" s="425" t="str">
        <x:v>2026-09-12</x:v>
      </x:c>
      <x:c r="B250" s="425" t="str">
        <x:v>MLB</x:v>
      </x:c>
      <x:c r="C250" s="425" t="str">
        <x:v>MLB</x:v>
      </x:c>
      <x:c r="D250" s="425" t="str">
        <x:v>Cincinnati Reds at Milwaukee Brewers</x:v>
      </x:c>
      <x:c r="E250" s="425" t="str"/>
      <x:c r="F250" s="425" t="str">
        <x:v>CANDIDATE</x:v>
      </x:c>
      <x:c r="G250" s="425" t="str">
        <x:v>Brady Singer</x:v>
      </x:c>
      <x:c r="H250" s="425" t="str">
        <x:v>Probable away starter</x:v>
      </x:c>
      <x:c r="I250" s="425" t="str">
        <x:v>The official rate screen flags elevated hit traffic for a market-expression comparison. Official 2026 line: 28 GS, 146.7 IP, 5.03 ERA, 1.47 WHIP, 7.36 K/9, 3.13 BB/9 and 10.06 H/9. Exact DraftKings threshold/price, confirmed opponent lineup, pitch-count expectation and weather remain required.</x:v>
      </x:c>
      <x:c r="J250" s="425" t="str">
        <x:v>Pitcher hits allowed / outs</x:v>
      </x:c>
      <x:c r="K250" s="425" t="str">
        <x:v>INDEPENDENT</x:v>
      </x:c>
      <x:c r="L250" s="425" t="str">
        <x:v>https://www.mlb.com/gameday/823737</x:v>
      </x:c>
    </x:row>
    <x:row r="251" ht="38" customHeight="1">
      <x:c r="A251" s="425" t="str">
        <x:v>2026-09-12</x:v>
      </x:c>
      <x:c r="B251" s="425" t="str">
        <x:v>Football</x:v>
      </x:c>
      <x:c r="C251" s="425" t="str">
        <x:v>NCAAF</x:v>
      </x:c>
      <x:c r="D251" s="425" t="str">
        <x:v>Oregon Ducks at Oklahoma State Cowboys</x:v>
      </x:c>
      <x:c r="E251" s="425" t="str"/>
      <x:c r="F251" s="425" t="str">
        <x:v>CANDIDATE</x:v>
      </x:c>
      <x:c r="G251" s="425" t="str">
        <x:v>Oregon Ducks at Oklahoma State Cowboys</x:v>
      </x:c>
      <x:c r="H251" s="425" t="str">
        <x:v>Scheduled matchup; player roles unconfirmed</x:v>
      </x:c>
      <x:c r="I251" s="425" t="str">
        <x:v>Official ESPN schedule records Oklahoma State Cowboys 0-1 versus Oregon Ducks 1-0. This is a game-market audit only; depth charts, recent workload, blowout continuity, injuries and exact DraftKings prices must be verified before any candidate is promoted.</x:v>
      </x:c>
      <x:c r="J251" s="425" t="str">
        <x:v>CFB side / first-half / team-total comparison</x:v>
      </x:c>
      <x:c r="K251" s="425" t="str">
        <x:v>INDEPENDENT</x:v>
      </x:c>
      <x:c r="L251" s="425" t="str">
        <x:v>https://www.espn.com/college-football/game/_/gameId/401856782/oregon-oklahoma-st</x:v>
      </x:c>
    </x:row>
    <x:row r="252" ht="38" customHeight="1">
      <x:c r="A252" s="425" t="str">
        <x:v>2026-09-12</x:v>
      </x:c>
      <x:c r="B252" s="425" t="str">
        <x:v>Football</x:v>
      </x:c>
      <x:c r="C252" s="425" t="str">
        <x:v>NCAAF</x:v>
      </x:c>
      <x:c r="D252" s="425" t="str">
        <x:v>Washington State Cougars at Kansas State Wildcats</x:v>
      </x:c>
      <x:c r="E252" s="425" t="str"/>
      <x:c r="F252" s="425" t="str">
        <x:v>CANDIDATE</x:v>
      </x:c>
      <x:c r="G252" s="425" t="str">
        <x:v>Washington State Cougars at Kansas State Wildcats</x:v>
      </x:c>
      <x:c r="H252" s="425" t="str">
        <x:v>Scheduled matchup; player roles unconfirmed</x:v>
      </x:c>
      <x:c r="I252" s="425" t="str">
        <x:v>Official ESPN schedule records Kansas State Wildcats 1-0 versus Washington State Cougars 0-1. This is a game-market audit only; depth charts, recent workload, blowout continuity, injuries and exact DraftKings prices must be verified before any candidate is promoted.</x:v>
      </x:c>
      <x:c r="J252" s="425" t="str">
        <x:v>CFB side / first-half / team-total comparison</x:v>
      </x:c>
      <x:c r="K252" s="425" t="str">
        <x:v>INDEPENDENT</x:v>
      </x:c>
      <x:c r="L252" s="425" t="str">
        <x:v>https://www.espn.com/college-football/game/_/gameId/401856781/washington-st-kansas-st</x:v>
      </x:c>
    </x:row>
    <x:row r="253" ht="38" customHeight="1">
      <x:c r="A253" s="425" t="str">
        <x:v>2026-09-12</x:v>
      </x:c>
      <x:c r="B253" s="425" t="str">
        <x:v>Soccer</x:v>
      </x:c>
      <x:c r="C253" s="425" t="str">
        <x:v>EPL</x:v>
      </x:c>
      <x:c r="D253" s="425" t="str">
        <x:v>Everton at Tottenham Hotspur</x:v>
      </x:c>
      <x:c r="E253" s="425" t="str"/>
      <x:c r="F253" s="425" t="str">
        <x:v>CANDIDATE</x:v>
      </x:c>
      <x:c r="G253" s="425" t="str">
        <x:v>Everton at Tottenham Hotspur</x:v>
      </x:c>
      <x:c r="H253" s="425" t="str">
        <x:v>Scheduled matchup; XI and set-piece roles unconfirmed</x:v>
      </x:c>
      <x:c r="I253" s="425" t="str">
        <x:v>Official ESPN schedule confirms the EPL fixture. Starting XIs, recent minutes, rotation, injuries, set-piece specialists and exact DraftKings markets/prices remain required; no wager or numeric grade is inferred.</x:v>
      </x:c>
      <x:c r="J253" s="425" t="str">
        <x:v>Match result / goals / team-total comparison</x:v>
      </x:c>
      <x:c r="K253" s="425" t="str">
        <x:v>INDEPENDENT</x:v>
      </x:c>
      <x:c r="L253" s="425" t="str">
        <x:v>https://www.espn.com/soccer/match/_/gameId/401879277/everton-tottenham-hotspur</x:v>
      </x:c>
    </x:row>
    <x:row r="254" ht="38" customHeight="1">
      <x:c r="A254" s="425" t="str">
        <x:v>2026-09-12</x:v>
      </x:c>
      <x:c r="B254" s="425" t="str">
        <x:v>Soccer</x:v>
      </x:c>
      <x:c r="C254" s="425" t="str">
        <x:v>EPL</x:v>
      </x:c>
      <x:c r="D254" s="425" t="str">
        <x:v>Arsenal at Sunderland</x:v>
      </x:c>
      <x:c r="E254" s="425" t="str"/>
      <x:c r="F254" s="425" t="str">
        <x:v>CANDIDATE</x:v>
      </x:c>
      <x:c r="G254" s="425" t="str">
        <x:v>Arsenal at Sunderland</x:v>
      </x:c>
      <x:c r="H254" s="425" t="str">
        <x:v>Scheduled matchup; XI and set-piece roles unconfirmed</x:v>
      </x:c>
      <x:c r="I254" s="425" t="str">
        <x:v>Official ESPN schedule confirms the EPL fixture. Starting XIs, recent minutes, rotation, injuries, set-piece specialists and exact DraftKings markets/prices remain required; no wager or numeric grade is inferred.</x:v>
      </x:c>
      <x:c r="J254" s="425" t="str">
        <x:v>Match result / goals / team-total comparison</x:v>
      </x:c>
      <x:c r="K254" s="425" t="str">
        <x:v>INDEPENDENT</x:v>
      </x:c>
      <x:c r="L254" s="425" t="str">
        <x:v>https://www.espn.com/soccer/match/_/gameId/401878779/arsenal-sunderland</x:v>
      </x:c>
    </x:row>
  </x:sheetData>
  <x:mergeCells>
    <x:mergeCell ref="A2:L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31C77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24" hidden="0" customWidth="1"/>
    <x:col min="5" max="5" width="28" hidden="0" customWidth="1"/>
    <x:col min="6" max="6" width="42" hidden="0" customWidth="1"/>
    <x:col min="7" max="7" width="18" hidden="0" customWidth="1"/>
    <x:col min="8" max="8" width="12" hidden="0" customWidth="1"/>
    <x:col min="9" max="9" width="14" hidden="0" customWidth="1"/>
    <x:col min="10" max="10" width="16" hidden="0" customWidth="1"/>
    <x:col min="11" max="11" width="58" hidden="0" customWidth="1"/>
  </x:cols>
  <x:sheetData>
    <x:row r="1" ht="30" customHeight="1">
      <x:c r="A1" s="509" t="str">
        <x:v>TODAY BOARD</x:v>
      </x:c>
    </x:row>
    <x:row r="2" ht="22" customHeight="1">
      <x:c r="A2" s="511" t="str">
        <x:v>Daily real, final-check, and paper research — 2026-09-12</x:v>
      </x:c>
    </x:row>
    <x:row r="4" ht="32" customHeight="1">
      <x:c r="A4" s="516" t="str">
        <x:v>Bucket</x:v>
      </x:c>
      <x:c r="B4" s="516" t="str">
        <x:v>ID</x:v>
      </x:c>
      <x:c r="C4" s="516" t="str">
        <x:v>Sport</x:v>
      </x:c>
      <x:c r="D4" s="516" t="str">
        <x:v>Entity / Ticket</x:v>
      </x:c>
      <x:c r="E4" s="516" t="str">
        <x:v>Event / Promo</x:v>
      </x:c>
      <x:c r="F4" s="516" t="str">
        <x:v>Market / Legs</x:v>
      </x:c>
      <x:c r="G4" s="516" t="str">
        <x:v>Price</x:v>
      </x:c>
      <x:c r="H4" s="516" t="str">
        <x:v>Chat Grade</x:v>
      </x:c>
      <x:c r="I4" s="516" t="str">
        <x:v>Leg Grade /100</x:v>
      </x:c>
      <x:c r="J4" s="516" t="str">
        <x:v>Confidence /100</x:v>
      </x:c>
      <x:c r="K4" s="516" t="str">
        <x:v>Status / Research Read</x:v>
      </x:c>
    </x:row>
    <x:row r="5" ht="42" customHeight="1">
      <x:c r="A5" s="0" t="str">
        <x:v>REAL</x:v>
      </x:c>
      <x:c r="B5" s="0" t="str">
        <x:v>S12-T01</x:v>
      </x:c>
      <x:c r="C5" s="0" t="str">
        <x:v>Soccer</x:v>
      </x:c>
      <x:c r="D5" s="0" t="str">
        <x:v>Serhou Guirassy 2+ shots on target</x:v>
      </x:c>
      <x:c r="E5" s="0" t="str">
        <x:v>No promo recorded</x:v>
      </x:c>
      <x:c r="F5" s="0" t="str">
        <x:v>Serhou Guirassy 2+ shots on target (-170)</x:v>
      </x:c>
      <x:c r="G5" s="0" t="str">
        <x:v>-170</x:v>
      </x:c>
      <x:c r="H5" s="0" t="str"/>
      <x:c r="I5" s="0" t="str"/>
      <x:c r="J5" s="0" t="str"/>
      <x:c r="K5" s="0" t="str">
        <x:v>PLACED_USER_CONFIRMED — The independent soccer pass qualified Guirassy’s confirmed starting role and recent shot-on-target volume. The user confirmed this and the Isak single as placed.</x:v>
      </x:c>
    </x:row>
    <x:row r="6" ht="42" customHeight="1">
      <x:c r="A6" s="0" t="str">
        <x:v>REAL</x:v>
      </x:c>
      <x:c r="B6" s="0" t="str">
        <x:v>S12-T02</x:v>
      </x:c>
      <x:c r="C6" s="0" t="str">
        <x:v>Soccer</x:v>
      </x:c>
      <x:c r="D6" s="0" t="str">
        <x:v>Alexander Isak 2+ shots on target</x:v>
      </x:c>
      <x:c r="E6" s="0" t="str">
        <x:v>No promo recorded</x:v>
      </x:c>
      <x:c r="F6" s="0" t="str">
        <x:v>Alexander Isak 2+ shots on target (+110)</x:v>
      </x:c>
      <x:c r="G6" s="0" t="str">
        <x:v>+110</x:v>
      </x:c>
      <x:c r="H6" s="0" t="str"/>
      <x:c r="I6" s="0" t="str"/>
      <x:c r="J6" s="0" t="str"/>
      <x:c r="K6" s="0" t="str">
        <x:v>PLACED_USER_CONFIRMED — The independent soccer pass preferred Isak’s 2+ shots-on-target threshold at plus money. The user confirmed this and the Guirassy single as placed.</x:v>
      </x:c>
    </x:row>
    <x:row r="7" ht="42" customHeight="1">
      <x:c r="A7" s="0" t="str">
        <x:v>REAL</x:v>
      </x:c>
      <x:c r="B7" s="0" t="str">
        <x:v>S12-T03</x:v>
      </x:c>
      <x:c r="C7" s="0" t="str">
        <x:v>Soccer</x:v>
      </x:c>
      <x:c r="D7" s="0" t="str">
        <x:v>Patrik Schick 2+ shots on target</x:v>
      </x:c>
      <x:c r="E7" s="0" t="str">
        <x:v>No promo recorded</x:v>
      </x:c>
      <x:c r="F7" s="0" t="str">
        <x:v>Patrik Schick 2+ shots on target (+115)</x:v>
      </x:c>
      <x:c r="G7" s="0" t="str">
        <x:v>+115</x:v>
      </x:c>
      <x:c r="H7" s="0" t="str"/>
      <x:c r="I7" s="0" t="str"/>
      <x:c r="J7" s="0" t="str"/>
      <x:c r="K7" s="0" t="str">
        <x:v>PLACED_USER_CONFIRMED — The independent review preferred Schick’s player-volume market over heavily priced Leverkusen team totals. The user immediately confirmed placement.</x:v>
      </x:c>
    </x:row>
    <x:row r="8" ht="42" customHeight="1">
      <x:c r="A8" s="0" t="str">
        <x:v>REAL</x:v>
      </x:c>
      <x:c r="B8" s="0" t="str">
        <x:v>S12-T04</x:v>
      </x:c>
      <x:c r="C8" s="0" t="str">
        <x:v>NCAAF</x:v>
      </x:c>
      <x:c r="D8" s="0" t="str">
        <x:v>Nate Sheppard 24+ rushing attempts</x:v>
      </x:c>
      <x:c r="E8" s="0" t="str">
        <x:v>50% CFB Saturday profit boost</x:v>
      </x:c>
      <x:c r="F8" s="0" t="str">
        <x:v>Nate Sheppard 24+ rushing attempts (-123 before boost)</x:v>
      </x:c>
      <x:c r="G8" s="0" t="str">
        <x:v>-123 before boost</x:v>
      </x:c>
      <x:c r="H8" s="0" t="str"/>
      <x:c r="I8" s="0" t="str"/>
      <x:c r="J8" s="0" t="str"/>
      <x:c r="K8" s="0" t="str">
        <x:v>PLACED_USER_CONFIRMED — The independent role audit selected rushing attempts over rushing yards to express expected workload directly. The final boosted display price was not captured.</x:v>
      </x:c>
    </x:row>
    <x:row r="9" ht="42" customHeight="1">
      <x:c r="A9" s="0" t="str">
        <x:v>REAL</x:v>
      </x:c>
      <x:c r="B9" s="0" t="str">
        <x:v>S12-T05</x:v>
      </x:c>
      <x:c r="C9" s="0" t="str">
        <x:v>NCAAF</x:v>
      </x:c>
      <x:c r="D9" s="0" t="str">
        <x:v>McAfee Tailgate Overs</x:v>
      </x:c>
      <x:c r="E9" s="0" t="str">
        <x:v>McAfee Tailgate Overs fixed proposition</x:v>
      </x:c>
      <x:c r="F9" s="0" t="str">
        <x:v>Mississippi State at Minnesota over 50.5 | Tennessee at Georgia Tech over 50.5 | Arizona State at Texas A&amp;M over 45.5</x:v>
      </x:c>
      <x:c r="G9" s="0" t="str">
        <x:v>+400 boosted</x:v>
      </x:c>
      <x:c r="H9" s="0" t="str"/>
      <x:c r="I9" s="0" t="str"/>
      <x:c r="J9" s="0" t="str"/>
      <x:c r="K9" s="0" t="str">
        <x:v>PLACED_USER_CONFIRMED — The independent audit treated this as one fixed sportsbook proposition, not three independent selections. The user explicitly confirmed it as placed.</x:v>
      </x:c>
    </x:row>
    <x:row r="10" ht="42" customHeight="1">
      <x:c r="A10" s="0" t="str">
        <x:v>REAL</x:v>
      </x:c>
      <x:c r="B10" s="0" t="str">
        <x:v>S12-T06</x:v>
      </x:c>
      <x:c r="C10" s="0" t="str">
        <x:v>Soccer</x:v>
      </x:c>
      <x:c r="D10" s="0" t="str">
        <x:v>Athletic Bilbao first-half moneyline</x:v>
      </x:c>
      <x:c r="E10" s="0" t="str">
        <x:v>No promo recorded</x:v>
      </x:c>
      <x:c r="F10" s="0" t="str">
        <x:v>Athletic Bilbao first-half moneyline (-125)</x:v>
      </x:c>
      <x:c r="G10" s="0" t="str">
        <x:v>-125</x:v>
      </x:c>
      <x:c r="H10" s="0" t="str"/>
      <x:c r="I10" s="0" t="str"/>
      <x:c r="J10" s="0" t="str"/>
      <x:c r="K10" s="0" t="str">
        <x:v>PLACED_USER_CONFIRMED — The independent lineup and early-game review preferred Athletic’s first-half moneyline to expensive team totals and player-shot ladders. The user immediately confirmed placement.</x:v>
      </x:c>
    </x:row>
    <x:row r="11" ht="42" customHeight="1">
      <x:c r="A11" s="0" t="str">
        <x:v>REAL</x:v>
      </x:c>
      <x:c r="B11" s="0" t="str">
        <x:v>S12-T07</x:v>
      </x:c>
      <x:c r="C11" s="0" t="str">
        <x:v>NCAAF</x:v>
      </x:c>
      <x:c r="D11" s="0" t="str">
        <x:v>Oregon Ducks first-half team total over 21.5</x:v>
      </x:c>
      <x:c r="E11" s="0" t="str">
        <x:v>No promo recorded</x:v>
      </x:c>
      <x:c r="F11" s="0" t="str">
        <x:v>Oregon Ducks first-half team total over 21.5 (+100)</x:v>
      </x:c>
      <x:c r="G11" s="0" t="str">
        <x:v>+100</x:v>
      </x:c>
      <x:c r="H11" s="0" t="str"/>
      <x:c r="I11" s="0" t="str"/>
      <x:c r="J11" s="0" t="str"/>
      <x:c r="K11" s="0" t="str">
        <x:v>PLACED_USER_CONFIRMED — The source-blind morning scan identified the game for first-half/team-total comparison. A later price gate selected over 21.5 at +100, and the user confirmed placement.</x:v>
      </x:c>
    </x:row>
    <x:row r="12" ht="42" customHeight="1">
      <x:c r="A12" s="0" t="str">
        <x:v>REAL</x:v>
      </x:c>
      <x:c r="B12" s="0" t="str">
        <x:v>S12-T08</x:v>
      </x:c>
      <x:c r="C12" s="0" t="str">
        <x:v>MLB</x:v>
      </x:c>
      <x:c r="D12" s="0" t="str">
        <x:v>Zac Thornton over 4.5 hits allowed</x:v>
      </x:c>
      <x:c r="E12" s="0" t="str">
        <x:v>No promo recorded</x:v>
      </x:c>
      <x:c r="F12" s="0" t="str">
        <x:v>Zac Thornton over 4.5 hits allowed (-158)</x:v>
      </x:c>
      <x:c r="G12" s="0" t="str">
        <x:v>-158</x:v>
      </x:c>
      <x:c r="H12" s="0" t="str"/>
      <x:c r="I12" s="0" t="str"/>
      <x:c r="J12" s="0" t="str"/>
      <x:c r="K12" s="0" t="str">
        <x:v>PLACED_USER_CONFIRMED — The frozen system decision was Thornton over 5.5 hits at a plus price. The user’s DraftKings execution used the lower 4.5 threshold at -158; system decision and user execution remain separate.</x:v>
      </x:c>
    </x:row>
    <x:row r="13" ht="42" customHeight="1">
      <x:c r="A13" s="0" t="str">
        <x:v>REAL</x:v>
      </x:c>
      <x:c r="B13" s="0" t="str">
        <x:v>S12-T09</x:v>
      </x:c>
      <x:c r="C13" s="0" t="str">
        <x:v>NCAAF</x:v>
      </x:c>
      <x:c r="D13" s="0" t="str">
        <x:v>Michigan live spread -4.5</x:v>
      </x:c>
      <x:c r="E13" s="0" t="str">
        <x:v>50% live CFB boost</x:v>
      </x:c>
      <x:c r="F13" s="0" t="str">
        <x:v>Michigan -4.5 live spread (-114 before boost)</x:v>
      </x:c>
      <x:c r="G13" s="0" t="str">
        <x:v>-114 before boost</x:v>
      </x:c>
      <x:c r="H13" s="0" t="str"/>
      <x:c r="I13" s="0" t="str"/>
      <x:c r="J13" s="0" t="str"/>
      <x:c r="K13" s="0" t="str">
        <x:v>PLACED_USER_CONFIRMED — The live state was requalified independently before execution. The user confirmed Michigan -4.5 at -114 with the 50% live CFB boost; the exact final boosted display price was not captured.</x:v>
      </x:c>
    </x:row>
    <x:row r="14" ht="42" customHeight="1">
      <x:c r="A14" s="0" t="str">
        <x:v>REAL</x:v>
      </x:c>
      <x:c r="B14" s="0" t="str">
        <x:v>S12-T10</x:v>
      </x:c>
      <x:c r="C14" s="0" t="str">
        <x:v>MLB</x:v>
      </x:c>
      <x:c r="D14" s="0" t="str">
        <x:v>Kyle Bradish over 2.5 walks allowed</x:v>
      </x:c>
      <x:c r="E14" s="0" t="str">
        <x:v>No promo recorded</x:v>
      </x:c>
      <x:c r="F14" s="0" t="str">
        <x:v>Kyle Bradish over 2.5 walks allowed (+145)</x:v>
      </x:c>
      <x:c r="G14" s="0" t="str">
        <x:v>+145</x:v>
      </x:c>
      <x:c r="H14" s="0" t="str"/>
      <x:c r="I14" s="0" t="str"/>
      <x:c r="J14" s="0" t="str"/>
      <x:c r="K14" s="0" t="str">
        <x:v>PLACED_USER_CONFIRMED — A live-before-first-pitch requalification selected the higher 2.5-walk threshold at plus money over the hits market. The user confirmed this and Ureña as placed.</x:v>
      </x:c>
    </x:row>
    <x:row r="15" ht="42" customHeight="1">
      <x:c r="A15" s="0" t="str">
        <x:v>REAL</x:v>
      </x:c>
      <x:c r="B15" s="0" t="str">
        <x:v>S12-T11</x:v>
      </x:c>
      <x:c r="C15" s="0" t="str">
        <x:v>MLB</x:v>
      </x:c>
      <x:c r="D15" s="0" t="str">
        <x:v>Walbert Ureña over 16.5 pitching outs</x:v>
      </x:c>
      <x:c r="E15" s="0" t="str">
        <x:v>No promo recorded</x:v>
      </x:c>
      <x:c r="F15" s="0" t="str">
        <x:v>Walbert Ureña over 16.5 pitching outs (-115)</x:v>
      </x:c>
      <x:c r="G15" s="0" t="str">
        <x:v>-115</x:v>
      </x:c>
      <x:c r="H15" s="0" t="str"/>
      <x:c r="I15" s="0" t="str"/>
      <x:c r="J15" s="0" t="str"/>
      <x:c r="K15" s="0" t="str">
        <x:v>PLACED_USER_CONFIRMED — The independent workload audit preferred the improved 16.5-outs threshold over the earlier 17.5 line and alternate strikeout markets. The user confirmed this and Bradish as placed.</x:v>
      </x:c>
    </x:row>
    <x:row r="16" ht="42" customHeight="1">
      <x:c r="A16" s="0" t="str">
        <x:v>REAL</x:v>
      </x:c>
      <x:c r="B16" s="0" t="str">
        <x:v>S12-T12</x:v>
      </x:c>
      <x:c r="C16" s="0" t="str">
        <x:v>NCAAF</x:v>
      </x:c>
      <x:c r="D16" s="0" t="str">
        <x:v>Arizona +7.5 / Kentucky +10.5 / UConn +12.5 parlay</x:v>
      </x:c>
      <x:c r="E16" s="0" t="str">
        <x:v>50% CFB Mystery Parlay Boost</x:v>
      </x:c>
      <x:c r="F16" s="0" t="str">
        <x:v>Arizona +7.5 at BYU | Kentucky +10.5 vs Alabama | UConn +12.5 vs Maryland</x:v>
      </x:c>
      <x:c r="G16" s="0" t="str">
        <x:v>+435 raw / +652 effective</x:v>
      </x:c>
      <x:c r="H16" s="0" t="str"/>
      <x:c r="I16" s="0" t="str"/>
      <x:c r="J16" s="0" t="str"/>
      <x:c r="K16" s="0" t="str">
        <x:v>PLACED_USER_CONFIRMED — The 3:30 CFB audit qualified each spread before packaging. The user confirmed the exact three-leg, $1, 50%-boosted construction after a final confidence check.</x:v>
      </x:c>
    </x:row>
    <x:row r="17" ht="42" customHeight="1">
      <x:c r="A17" s="0" t="str">
        <x:v>REAL</x:v>
      </x:c>
      <x:c r="B17" s="0" t="str">
        <x:v>S12-T13</x:v>
      </x:c>
      <x:c r="C17" s="0" t="str">
        <x:v>NCAAF</x:v>
      </x:c>
      <x:c r="D17" s="0" t="str">
        <x:v>Keelon Russell 50+ rushing yards</x:v>
      </x:c>
      <x:c r="E17" s="0" t="str">
        <x:v>No promo recorded</x:v>
      </x:c>
      <x:c r="F17" s="0" t="str">
        <x:v>Keelon Russell 50+ rushing yards (-107)</x:v>
      </x:c>
      <x:c r="G17" s="0" t="str">
        <x:v>-107</x:v>
      </x:c>
      <x:c r="H17" s="0" t="str"/>
      <x:c r="I17" s="0" t="str"/>
      <x:c r="J17" s="0" t="str"/>
      <x:c r="K17" s="0" t="str">
        <x:v>PLACED_USER_CONFIRMED — The player-board audit preferred a lower 50+ threshold at a better price than the previously evaluated 53+ line. The user immediately confirmed placement.</x:v>
      </x:c>
    </x:row>
    <x:row r="18" ht="42" customHeight="1">
      <x:c r="A18" s="0" t="str">
        <x:v>REAL</x:v>
      </x:c>
      <x:c r="B18" s="0" t="str">
        <x:v>S12-T14</x:v>
      </x:c>
      <x:c r="C18" s="0" t="str">
        <x:v>NCAAF</x:v>
      </x:c>
      <x:c r="D18" s="0" t="str">
        <x:v>Ryan Wingo 60+ receiving yards</x:v>
      </x:c>
      <x:c r="E18" s="0" t="str">
        <x:v>50% OSU–Texas profit boost</x:v>
      </x:c>
      <x:c r="F18" s="0" t="str">
        <x:v>Ryan Wingo 60+ receiving yards (+120 before boost)</x:v>
      </x:c>
      <x:c r="G18" s="0" t="str">
        <x:v>+120 before boost</x:v>
      </x:c>
      <x:c r="H18" s="0" t="str"/>
      <x:c r="I18" s="0" t="str"/>
      <x:c r="J18" s="0" t="str"/>
      <x:c r="K18" s="0" t="str">
        <x:v>PLACED_USER_CONFIRMED — The independent evening audit preferred Wingo's 60+ receiving-yards threshold over the supplied Jeremiah Smith markets. The displayed +120 price qualified before the promo, and the user explicitly confirmed placement.</x:v>
      </x:c>
    </x:row>
    <x:row r="19" ht="42" customHeight="1">
      <x:c r="A19" s="0" t="str">
        <x:v>FINAL CHECK</x:v>
      </x:c>
      <x:c r="B19" s="0" t="str">
        <x:v>S12-A01</x:v>
      </x:c>
      <x:c r="C19" s="0" t="str">
        <x:v>MLB</x:v>
      </x:c>
      <x:c r="D19" s="0" t="str">
        <x:v>Daniel Espino</x:v>
      </x:c>
      <x:c r="E19" s="0" t="str">
        <x:v>Cleveland Guardians at Minnesota Twins</x:v>
      </x:c>
      <x:c r="F19" s="0" t="str">
        <x:v>Pitcher strikeouts / outs</x:v>
      </x:c>
      <x:c r="G19" s="0" t="str">
        <x:v>DraftKings price unavailable</x:v>
      </x:c>
      <x:c r="H19" s="0" t="str"/>
      <x:c r="I19" s="0" t="str"/>
      <x:c r="J19" s="0" t="str"/>
      <x:c r="K19" s="0" t="str">
        <x:v>PROSPECTIVE_PRICE_CHECK — The official rate screen places this starter near the top of today’s strikeout pool. Official 2026 line: 0 GS, 10.0 IP, 2.70 ERA, 1.30 WHIP, 16.20 K/9, 3.60 BB/9 and 8.10 H/9. Exact DraftKings threshold/price, confirmed opponent lineup, pitch-count expectation and weather remain required.</x:v>
      </x:c>
    </x:row>
    <x:row r="20" ht="42" customHeight="1">
      <x:c r="A20" s="0" t="str">
        <x:v>FINAL CHECK</x:v>
      </x:c>
      <x:c r="B20" s="0" t="str">
        <x:v>S12-A02</x:v>
      </x:c>
      <x:c r="C20" s="0" t="str">
        <x:v>MLB</x:v>
      </x:c>
      <x:c r="D20" s="0" t="str">
        <x:v>Tyler Glasnow</x:v>
      </x:c>
      <x:c r="E20" s="0" t="str">
        <x:v>Los Angeles Dodgers at Miami Marlins</x:v>
      </x:c>
      <x:c r="F20" s="0" t="str">
        <x:v>Pitcher strikeouts / outs</x:v>
      </x:c>
      <x:c r="G20" s="0" t="str">
        <x:v>DraftKings price unavailable</x:v>
      </x:c>
      <x:c r="H20" s="0" t="str"/>
      <x:c r="I20" s="0" t="str"/>
      <x:c r="J20" s="0" t="str"/>
      <x:c r="K20" s="0" t="str">
        <x:v>PROSPECTIVE_PRICE_CHECK — The official rate screen places this starter near the top of today’s strikeout pool. Official 2026 line: 10 GS, 57.7 IP, 3.12 ERA, 0.88 WHIP, 10.92 K/9, 2.65 BB/9 and 5.31 H/9. Exact DraftKings threshold/price, confirmed opponent lineup, pitch-count expectation and weather remain required.</x:v>
      </x:c>
    </x:row>
    <x:row r="21" ht="42" customHeight="1">
      <x:c r="A21" s="0" t="str">
        <x:v>FINAL CHECK</x:v>
      </x:c>
      <x:c r="B21" s="0" t="str">
        <x:v>S12-A03</x:v>
      </x:c>
      <x:c r="C21" s="0" t="str">
        <x:v>MLB</x:v>
      </x:c>
      <x:c r="D21" s="0" t="str">
        <x:v>Ian Seymour</x:v>
      </x:c>
      <x:c r="E21" s="0" t="str">
        <x:v>Houston Astros at Tampa Bay Rays</x:v>
      </x:c>
      <x:c r="F21" s="0" t="str">
        <x:v>Pitcher strikeouts / outs</x:v>
      </x:c>
      <x:c r="G21" s="0" t="str">
        <x:v>DraftKings price unavailable</x:v>
      </x:c>
      <x:c r="H21" s="0" t="str"/>
      <x:c r="I21" s="0" t="str"/>
      <x:c r="J21" s="0" t="str"/>
      <x:c r="K21" s="0" t="str">
        <x:v>PROSPECTIVE_PRICE_CHECK — The official rate screen places this starter near the top of today’s strikeout pool. Official 2026 line: 13 GS, 116.3 IP, 4.33 ERA, 1.16 WHIP, 10.83 K/9, 2.55 BB/9 and 7.89 H/9. Exact DraftKings threshold/price, confirmed opponent lineup, pitch-count expectation and weather remain required.</x:v>
      </x:c>
    </x:row>
    <x:row r="22" ht="42" customHeight="1">
      <x:c r="A22" s="0" t="str">
        <x:v>FINAL CHECK</x:v>
      </x:c>
      <x:c r="B22" s="0" t="str">
        <x:v>S12-A04</x:v>
      </x:c>
      <x:c r="C22" s="0" t="str">
        <x:v>MLB</x:v>
      </x:c>
      <x:c r="D22" s="0" t="str">
        <x:v>Paul Skenes</x:v>
      </x:c>
      <x:c r="E22" s="0" t="str">
        <x:v>Pittsburgh Pirates at Chicago Cubs</x:v>
      </x:c>
      <x:c r="F22" s="0" t="str">
        <x:v>Pitcher strikeouts / outs</x:v>
      </x:c>
      <x:c r="G22" s="0" t="str">
        <x:v>DraftKings price unavailable</x:v>
      </x:c>
      <x:c r="H22" s="0" t="str"/>
      <x:c r="I22" s="0" t="str"/>
      <x:c r="J22" s="0" t="str"/>
      <x:c r="K22" s="0" t="str">
        <x:v>PROSPECTIVE_PRICE_CHECK — The official rate screen places this starter near the top of today’s strikeout pool. Official 2026 line: 29 GS, 155.0 IP, 3.83 ERA, 1.15 WHIP, 10.51 K/9, 2.61 BB/9 and 7.72 H/9. Exact DraftKings threshold/price, confirmed opponent lineup, pitch-count expectation and weather remain required.</x:v>
      </x:c>
    </x:row>
    <x:row r="23" ht="42" customHeight="1">
      <x:c r="A23" s="0" t="str">
        <x:v>FINAL CHECK</x:v>
      </x:c>
      <x:c r="B23" s="0" t="str">
        <x:v>S12-A05</x:v>
      </x:c>
      <x:c r="C23" s="0" t="str">
        <x:v>MLB</x:v>
      </x:c>
      <x:c r="D23" s="0" t="str">
        <x:v>Walbert Ureña</x:v>
      </x:c>
      <x:c r="E23" s="0" t="str">
        <x:v>Los Angeles Angels at Washington Nationals</x:v>
      </x:c>
      <x:c r="F23" s="0" t="str">
        <x:v>Pitcher walks allowed</x:v>
      </x:c>
      <x:c r="G23" s="0" t="str">
        <x:v>DraftKings price unavailable</x:v>
      </x:c>
      <x:c r="H23" s="0" t="str"/>
      <x:c r="I23" s="0" t="str"/>
      <x:c r="J23" s="0" t="str"/>
      <x:c r="K23" s="0" t="str">
        <x:v>PROSPECTIVE_PRICE_CHECK — The official rate screen flags elevated walk exposure. Official 2026 line: 24 GS, 131.3 IP, 2.74 ERA, 1.21 WHIP, 8.50 K/9, 4.45 BB/9 and 6.44 H/9. Exact DraftKings threshold/price, confirmed opponent lineup, pitch-count expectation and weather remain required.</x:v>
      </x:c>
    </x:row>
    <x:row r="24" ht="42" customHeight="1">
      <x:c r="A24" s="0" t="str">
        <x:v>FINAL CHECK</x:v>
      </x:c>
      <x:c r="B24" s="0" t="str">
        <x:v>S12-A06</x:v>
      </x:c>
      <x:c r="C24" s="0" t="str">
        <x:v>MLB</x:v>
      </x:c>
      <x:c r="D24" s="0" t="str">
        <x:v>Gage Jump</x:v>
      </x:c>
      <x:c r="E24" s="0" t="str">
        <x:v>Seattle Mariners at Athletics</x:v>
      </x:c>
      <x:c r="F24" s="0" t="str">
        <x:v>Pitcher walks allowed</x:v>
      </x:c>
      <x:c r="G24" s="0" t="str">
        <x:v>DraftKings price unavailable</x:v>
      </x:c>
      <x:c r="H24" s="0" t="str"/>
      <x:c r="I24" s="0" t="str"/>
      <x:c r="J24" s="0" t="str"/>
      <x:c r="K24" s="0" t="str">
        <x:v>PROSPECTIVE_PRICE_CHECK — The official rate screen flags elevated walk exposure. Official 2026 line: 19 GS, 96.7 IP, 5.12 ERA, 1.49 WHIP, 9.87 K/9, 4.19 BB/9 and 9.22 H/9. Exact DraftKings threshold/price, confirmed opponent lineup, pitch-count expectation and weather remain required.</x:v>
      </x:c>
    </x:row>
    <x:row r="25" ht="42" customHeight="1">
      <x:c r="A25" s="0" t="str">
        <x:v>FINAL CHECK</x:v>
      </x:c>
      <x:c r="B25" s="0" t="str">
        <x:v>S12-A07</x:v>
      </x:c>
      <x:c r="C25" s="0" t="str">
        <x:v>MLB</x:v>
      </x:c>
      <x:c r="D25" s="0" t="str">
        <x:v>Tanner Gordon</x:v>
      </x:c>
      <x:c r="E25" s="0" t="str">
        <x:v>Colorado Rockies at Detroit Tigers</x:v>
      </x:c>
      <x:c r="F25" s="0" t="str">
        <x:v>Pitcher hits allowed / outs</x:v>
      </x:c>
      <x:c r="G25" s="0" t="str">
        <x:v>DraftKings price unavailable</x:v>
      </x:c>
      <x:c r="H25" s="0" t="str"/>
      <x:c r="I25" s="0" t="str"/>
      <x:c r="J25" s="0" t="str"/>
      <x:c r="K25" s="0" t="str">
        <x:v>PROSPECTIVE_PRICE_CHECK — The official rate screen flags elevated hit traffic for a market-expression comparison. Official 2026 line: 9 GS, 93.3 IP, 5.40 ERA, 1.43 WHIP, 7.33 K/9, 1.64 BB/9 and 11.19 H/9. Exact DraftKings threshold/price, confirmed opponent lineup, pitch-count expectation and weather remain required.</x:v>
      </x:c>
    </x:row>
    <x:row r="26" ht="42" customHeight="1">
      <x:c r="A26" s="0" t="str">
        <x:v>FINAL CHECK</x:v>
      </x:c>
      <x:c r="B26" s="0" t="str">
        <x:v>S12-A08</x:v>
      </x:c>
      <x:c r="C26" s="0" t="str">
        <x:v>MLB</x:v>
      </x:c>
      <x:c r="D26" s="0" t="str">
        <x:v>Brady Singer</x:v>
      </x:c>
      <x:c r="E26" s="0" t="str">
        <x:v>Cincinnati Reds at Milwaukee Brewers</x:v>
      </x:c>
      <x:c r="F26" s="0" t="str">
        <x:v>Pitcher hits allowed / outs</x:v>
      </x:c>
      <x:c r="G26" s="0" t="str">
        <x:v>DraftKings price unavailable</x:v>
      </x:c>
      <x:c r="H26" s="0" t="str"/>
      <x:c r="I26" s="0" t="str"/>
      <x:c r="J26" s="0" t="str"/>
      <x:c r="K26" s="0" t="str">
        <x:v>PROSPECTIVE_PRICE_CHECK — The official rate screen flags elevated hit traffic for a market-expression comparison. Official 2026 line: 28 GS, 146.7 IP, 5.03 ERA, 1.47 WHIP, 7.36 K/9, 3.13 BB/9 and 10.06 H/9. Exact DraftKings threshold/price, confirmed opponent lineup, pitch-count expectation and weather remain required.</x:v>
      </x:c>
    </x:row>
    <x:row r="27" ht="42" customHeight="1">
      <x:c r="A27" s="0" t="str">
        <x:v>FINAL CHECK</x:v>
      </x:c>
      <x:c r="B27" s="0" t="str">
        <x:v>S12-A09</x:v>
      </x:c>
      <x:c r="C27" s="0" t="str">
        <x:v>NCAAF</x:v>
      </x:c>
      <x:c r="D27" s="0" t="str">
        <x:v>Oregon Ducks at Oklahoma State Cowboys</x:v>
      </x:c>
      <x:c r="E27" s="0" t="str">
        <x:v>Oregon Ducks at Oklahoma State Cowboys</x:v>
      </x:c>
      <x:c r="F27" s="0" t="str">
        <x:v>Oregon 1H team total over 21.5</x:v>
      </x:c>
      <x:c r="G27" s="0" t="str">
        <x:v>+100 DraftKings</x:v>
      </x:c>
      <x:c r="H27" s="0" t="str"/>
      <x:c r="I27" s="0" t="str"/>
      <x:c r="J27" s="0" t="str"/>
      <x:c r="K27" s="0" t="str">
        <x:v>SETTLED_LOSS — Oregon scored 17 first-half points, below over 21.5. The first-half offense was outgained 350–101, so the chat classified this as a matchup/mechanism failure rather than threshold variance.</x:v>
      </x:c>
    </x:row>
    <x:row r="28" ht="42" customHeight="1">
      <x:c r="A28" s="0" t="str">
        <x:v>FINAL CHECK</x:v>
      </x:c>
      <x:c r="B28" s="0" t="str">
        <x:v>S12-A10</x:v>
      </x:c>
      <x:c r="C28" s="0" t="str">
        <x:v>NCAAF</x:v>
      </x:c>
      <x:c r="D28" s="0" t="str">
        <x:v>Washington State Cougars at Kansas State Wildcats</x:v>
      </x:c>
      <x:c r="E28" s="0" t="str">
        <x:v>Washington State Cougars at Kansas State Wildcats</x:v>
      </x:c>
      <x:c r="F28" s="0" t="str">
        <x:v>CFB side / first-half / team-total comparison</x:v>
      </x:c>
      <x:c r="G28" s="0" t="str">
        <x:v>DraftKings price unavailable</x:v>
      </x:c>
      <x:c r="H28" s="0" t="str"/>
      <x:c r="I28" s="0" t="str"/>
      <x:c r="J28" s="0" t="str"/>
      <x:c r="K28" s="0" t="str">
        <x:v>PROSPECTIVE_ROLE_CHECK — Official ESPN schedule records Kansas State Wildcats 1-0 versus Washington State Cougars 0-1. This is a game-market audit only; depth charts, recent workload, blowout continuity, injuries and exact DraftKings prices must be verified before any candidate is promoted.</x:v>
      </x:c>
    </x:row>
    <x:row r="29" ht="42" customHeight="1">
      <x:c r="A29" s="0" t="str">
        <x:v>FINAL CHECK</x:v>
      </x:c>
      <x:c r="B29" s="0" t="str">
        <x:v>S12-A11</x:v>
      </x:c>
      <x:c r="C29" s="0" t="str">
        <x:v>Soccer</x:v>
      </x:c>
      <x:c r="D29" s="0" t="str">
        <x:v>Everton at Tottenham Hotspur</x:v>
      </x:c>
      <x:c r="E29" s="0" t="str">
        <x:v>Everton at Tottenham Hotspur</x:v>
      </x:c>
      <x:c r="F29" s="0" t="str">
        <x:v>Match result / goals / team-total comparison</x:v>
      </x:c>
      <x:c r="G29" s="0" t="str">
        <x:v>DraftKings price unavailable</x:v>
      </x:c>
      <x:c r="H29" s="0" t="str"/>
      <x:c r="I29" s="0" t="str"/>
      <x:c r="J29" s="0" t="str"/>
      <x:c r="K29" s="0" t="str">
        <x:v>PROSPECTIVE_LINEUP_CHECK — Official ESPN schedule confirms the EPL fixture. Starting XIs, recent minutes, rotation, injuries, set-piece specialists and exact DraftKings markets/prices remain required; no wager or numeric grade is inferred.</x:v>
      </x:c>
    </x:row>
    <x:row r="30" ht="42" customHeight="1">
      <x:c r="A30" s="0" t="str">
        <x:v>FINAL CHECK</x:v>
      </x:c>
      <x:c r="B30" s="0" t="str">
        <x:v>S12-A12</x:v>
      </x:c>
      <x:c r="C30" s="0" t="str">
        <x:v>Soccer</x:v>
      </x:c>
      <x:c r="D30" s="0" t="str">
        <x:v>Arsenal at Sunderland</x:v>
      </x:c>
      <x:c r="E30" s="0" t="str">
        <x:v>Arsenal at Sunderland</x:v>
      </x:c>
      <x:c r="F30" s="0" t="str">
        <x:v>Match result / goals / team-total comparison</x:v>
      </x:c>
      <x:c r="G30" s="0" t="str">
        <x:v>DraftKings price unavailable</x:v>
      </x:c>
      <x:c r="H30" s="0" t="str"/>
      <x:c r="I30" s="0" t="str"/>
      <x:c r="J30" s="0" t="str"/>
      <x:c r="K30" s="0" t="str">
        <x:v>PROSPECTIVE_LINEUP_CHECK — Official ESPN schedule confirms the EPL fixture. Starting XIs, recent minutes, rotation, injuries, set-piece specialists and exact DraftKings markets/prices remain required; no wager or numeric grade is inferred.</x:v>
      </x:c>
    </x:row>
    <x:row r="31" ht="42" customHeight="1">
      <x:c r="A31" s="0" t="str">
        <x:v>FINAL CHECK</x:v>
      </x:c>
      <x:c r="B31" s="0" t="str">
        <x:v>S12-A13</x:v>
      </x:c>
      <x:c r="C31" s="0" t="str">
        <x:v>MLB</x:v>
      </x:c>
      <x:c r="D31" s="0" t="str">
        <x:v>Brady Singer</x:v>
      </x:c>
      <x:c r="E31" s="0" t="str">
        <x:v>Cincinnati Reds at Milwaukee Brewers</x:v>
      </x:c>
      <x:c r="F31" s="0" t="str">
        <x:v>Over 2.5 earned runs allowed</x:v>
      </x:c>
      <x:c r="G31" s="0" t="str">
        <x:v>-124 DraftKings</x:v>
      </x:c>
      <x:c r="H31" s="0" t="str"/>
      <x:c r="I31" s="0" t="str"/>
      <x:c r="J31" s="0" t="str"/>
      <x:c r="K31" s="0" t="str">
        <x:v>QUALIFIED_RECHECK — The supplied exact market expresses the independently flagged Singer traffic risk through earned runs. Confirm Milwaukee lineup and compare hits/outs before promotion.</x:v>
      </x:c>
    </x:row>
    <x:row r="32" ht="42" customHeight="1">
      <x:c r="A32" s="0" t="str">
        <x:v>FINAL CHECK</x:v>
      </x:c>
      <x:c r="B32" s="0" t="str">
        <x:v>S12-A14</x:v>
      </x:c>
      <x:c r="C32" s="0" t="str">
        <x:v>MLB</x:v>
      </x:c>
      <x:c r="D32" s="0" t="str">
        <x:v>Zac Thornton</x:v>
      </x:c>
      <x:c r="E32" s="0" t="str">
        <x:v>New York Mets at New York Yankees</x:v>
      </x:c>
      <x:c r="F32" s="0" t="str">
        <x:v>System: over 5.5 hits allowed; user execution: over 4.5</x:v>
      </x:c>
      <x:c r="G32" s="0" t="str">
        <x:v>+110 system / -158 user</x:v>
      </x:c>
      <x:c r="H32" s="0" t="str"/>
      <x:c r="I32" s="0" t="str"/>
      <x:c r="J32" s="0" t="str"/>
      <x:c r="K32" s="0" t="str">
        <x:v>USER_EXECUTION_MODIFIED — The system froze over 5.5 hits allowed at +110. The user’s placed ticket used over 4.5 at -158. Preserve both states; do not retroactively treat them as the same decision.</x:v>
      </x:c>
    </x:row>
    <x:row r="33" ht="42" customHeight="1">
      <x:c r="A33" s="0" t="str">
        <x:v>FINAL CHECK</x:v>
      </x:c>
      <x:c r="B33" s="0" t="str">
        <x:v>S12-A15</x:v>
      </x:c>
      <x:c r="C33" s="0" t="str">
        <x:v>MLB</x:v>
      </x:c>
      <x:c r="D33" s="0" t="str">
        <x:v>Walbert Ureña</x:v>
      </x:c>
      <x:c r="E33" s="0" t="str">
        <x:v>Los Angeles Angels at Washington Nationals</x:v>
      </x:c>
      <x:c r="F33" s="0" t="str">
        <x:v>Over 16.5 pitching outs</x:v>
      </x:c>
      <x:c r="G33" s="0" t="str">
        <x:v>-115 DraftKings</x:v>
      </x:c>
      <x:c r="H33" s="0" t="str"/>
      <x:c r="I33" s="0" t="str"/>
      <x:c r="J33" s="0" t="str"/>
      <x:c r="K33" s="0" t="str">
        <x:v>PLACED_USER_CONFIRMED — The later market offered a lower 16.5-outs threshold at -115. The independent workload audit requalified the new line, and the user confirmed placement.</x:v>
      </x:c>
    </x:row>
    <x:row r="34" ht="42" customHeight="1">
      <x:c r="A34" s="0" t="str">
        <x:v>FINAL CHECK</x:v>
      </x:c>
      <x:c r="B34" s="0" t="str">
        <x:v>S12-A16</x:v>
      </x:c>
      <x:c r="C34" s="0" t="str">
        <x:v>MLB</x:v>
      </x:c>
      <x:c r="D34" s="0" t="str">
        <x:v>Kyle Bradish</x:v>
      </x:c>
      <x:c r="E34" s="0" t="str">
        <x:v>Baltimore Orioles at Toronto Blue Jays</x:v>
      </x:c>
      <x:c r="F34" s="0" t="str">
        <x:v>Over 5.5 hits allowed</x:v>
      </x:c>
      <x:c r="G34" s="0" t="str">
        <x:v>+100 DraftKings</x:v>
      </x:c>
      <x:c r="H34" s="0" t="str"/>
      <x:c r="I34" s="0" t="str"/>
      <x:c r="J34" s="0" t="str"/>
      <x:c r="K34" s="0" t="str">
        <x:v>QUALIFIED_RECHECK — Supplied market comparison favors direct contact exposure. Confirm Toronto lineup and compare the lower-threshold walk arm before promotion.</x:v>
      </x:c>
    </x:row>
    <x:row r="35" ht="42" customHeight="1">
      <x:c r="A35" s="0" t="str">
        <x:v>FINAL CHECK</x:v>
      </x:c>
      <x:c r="B35" s="0" t="str">
        <x:v>S12-A17</x:v>
      </x:c>
      <x:c r="C35" s="0" t="str">
        <x:v>MLB</x:v>
      </x:c>
      <x:c r="D35" s="0" t="str">
        <x:v>Brice Turang</x:v>
      </x:c>
      <x:c r="E35" s="0" t="str">
        <x:v>Cincinnati Reds at Milwaukee Brewers</x:v>
      </x:c>
      <x:c r="F35" s="0" t="str">
        <x:v>2+ hits + runs + RBI</x:v>
      </x:c>
      <x:c r="G35" s="0" t="str">
        <x:v>-120 DraftKings</x:v>
      </x:c>
      <x:c r="H35" s="0" t="str"/>
      <x:c r="I35" s="0" t="str"/>
      <x:c r="J35" s="0" t="str"/>
      <x:c r="K35" s="0" t="str">
        <x:v>QUALIFIED_RECHECK — This hitter expression is linked to the independently flagged Singer traffic matchup. Confirm Turang’s lineup slot and compare against Singer’s direct pitcher markets.</x:v>
      </x:c>
    </x:row>
    <x:row r="36" ht="42" customHeight="1">
      <x:c r="A36" s="0" t="str">
        <x:v>FINAL CHECK</x:v>
      </x:c>
      <x:c r="B36" s="0" t="str">
        <x:v>S12-A18</x:v>
      </x:c>
      <x:c r="C36" s="0" t="str">
        <x:v>MLB</x:v>
      </x:c>
      <x:c r="D36" s="0" t="str">
        <x:v>Brandon Pfaadt</x:v>
      </x:c>
      <x:c r="E36" s="0" t="str">
        <x:v>Texas Rangers at Arizona Diamondbacks</x:v>
      </x:c>
      <x:c r="F36" s="0" t="str">
        <x:v>Over 17.5 pitching outs</x:v>
      </x:c>
      <x:c r="G36" s="0" t="str">
        <x:v>-143 DraftKings</x:v>
      </x:c>
      <x:c r="H36" s="0" t="str"/>
      <x:c r="I36" s="0" t="str"/>
      <x:c r="J36" s="0" t="str"/>
      <x:c r="K36" s="0" t="str">
        <x:v>QUALIFIED_RECHECK — Supplied workload analysis favors six-inning survival; confirm Texas lineup, pitch-count regime and price before promotion.</x:v>
      </x:c>
    </x:row>
    <x:row r="37" ht="42" customHeight="1">
      <x:c r="A37" s="0" t="str">
        <x:v>FINAL CHECK</x:v>
      </x:c>
      <x:c r="B37" s="0" t="str">
        <x:v>S12-A19</x:v>
      </x:c>
      <x:c r="C37" s="0" t="str">
        <x:v>MLB</x:v>
      </x:c>
      <x:c r="D37" s="0" t="str">
        <x:v>Michael King</x:v>
      </x:c>
      <x:c r="E37" s="0" t="str">
        <x:v>San Diego Padres at San Francisco Giants</x:v>
      </x:c>
      <x:c r="F37" s="0" t="str">
        <x:v>Over 17.5 pitching outs</x:v>
      </x:c>
      <x:c r="G37" s="0" t="str">
        <x:v>-138 DraftKings</x:v>
      </x:c>
      <x:c r="H37" s="0" t="str"/>
      <x:c r="I37" s="0" t="str"/>
      <x:c r="J37" s="0" t="str"/>
      <x:c r="K37" s="0" t="str">
        <x:v>QUALIFIED_RECHECK — Supplied workload candidate awaiting confirmed opponent lineup, current pitch-count expectation and independent price audit.</x:v>
      </x:c>
    </x:row>
    <x:row r="38" ht="42" customHeight="1">
      <x:c r="A38" s="0" t="str">
        <x:v>FINAL CHECK</x:v>
      </x:c>
      <x:c r="B38" s="0" t="str">
        <x:v>S12-A20</x:v>
      </x:c>
      <x:c r="C38" s="0" t="str">
        <x:v>MLB</x:v>
      </x:c>
      <x:c r="D38" s="0" t="str">
        <x:v>Kyle Bradish</x:v>
      </x:c>
      <x:c r="E38" s="0" t="str">
        <x:v>Baltimore Orioles at Toronto Blue Jays</x:v>
      </x:c>
      <x:c r="F38" s="0" t="str">
        <x:v>Over 2.5 walks allowed</x:v>
      </x:c>
      <x:c r="G38" s="0" t="str">
        <x:v>+145 DraftKings</x:v>
      </x:c>
      <x:c r="H38" s="0" t="str"/>
      <x:c r="I38" s="0" t="str"/>
      <x:c r="J38" s="0" t="str"/>
      <x:c r="K38" s="0" t="str">
        <x:v>PLACED_USER_CONFIRMED — A live-before-first-pitch requalification selected 3+ walks at +145 over the hits market. The user confirmed placement.</x:v>
      </x:c>
    </x:row>
    <x:row r="39" ht="42" customHeight="1">
      <x:c r="A39" s="0" t="str">
        <x:v>FINAL CHECK</x:v>
      </x:c>
      <x:c r="B39" s="0" t="str">
        <x:v>S12-A21</x:v>
      </x:c>
      <x:c r="C39" s="0" t="str">
        <x:v>MLB</x:v>
      </x:c>
      <x:c r="D39" s="0" t="str">
        <x:v>Zac Thornton</x:v>
      </x:c>
      <x:c r="E39" s="0" t="str">
        <x:v>New York Mets at New York Yankees</x:v>
      </x:c>
      <x:c r="F39" s="0" t="str">
        <x:v>Under 15.5 pitching outs</x:v>
      </x:c>
      <x:c r="G39" s="0" t="str">
        <x:v>-156 DraftKings</x:v>
      </x:c>
      <x:c r="H39" s="0" t="str"/>
      <x:c r="I39" s="0" t="str"/>
      <x:c r="J39" s="0" t="str"/>
      <x:c r="K39" s="0" t="str">
        <x:v>QUALIFIED_RECHECK — Workload-fade alternative paired with the Thornton hits arm. Confirm lineup and expected leash; do not count both as independent candidates.</x:v>
      </x:c>
    </x:row>
    <x:row r="40" ht="42" customHeight="1">
      <x:c r="A40" s="0" t="str">
        <x:v>FINAL CHECK</x:v>
      </x:c>
      <x:c r="B40" s="0" t="str">
        <x:v>S12-A22</x:v>
      </x:c>
      <x:c r="C40" s="0" t="str">
        <x:v>MLB</x:v>
      </x:c>
      <x:c r="D40" s="0" t="str">
        <x:v>Aaron Judge</x:v>
      </x:c>
      <x:c r="E40" s="0" t="str">
        <x:v>New York Mets at New York Yankees</x:v>
      </x:c>
      <x:c r="F40" s="0" t="str">
        <x:v>2+ total bases</x:v>
      </x:c>
      <x:c r="G40" s="0" t="str">
        <x:v>+104 DraftKings</x:v>
      </x:c>
      <x:c r="H40" s="0" t="str"/>
      <x:c r="I40" s="0" t="str"/>
      <x:c r="J40" s="0" t="str"/>
      <x:c r="K40" s="0" t="str">
        <x:v>HOLD_FOR_LINEUP — Supplied hitter challenger linked to Thornton’s right-handed vulnerability, but Judge’s recent return creates a workload/form-regime gate.</x:v>
      </x:c>
    </x:row>
    <x:row r="41" ht="42" customHeight="1">
      <x:c r="A41" s="0" t="str">
        <x:v>FINAL CHECK</x:v>
      </x:c>
      <x:c r="B41" s="0" t="str">
        <x:v>S12-A23</x:v>
      </x:c>
      <x:c r="C41" s="0" t="str">
        <x:v>NCAAF</x:v>
      </x:c>
      <x:c r="D41" s="0" t="str">
        <x:v>Ryan Wingo</x:v>
      </x:c>
      <x:c r="E41" s="0" t="str">
        <x:v>Ohio State Buckeyes at Texas Longhorns</x:v>
      </x:c>
      <x:c r="F41" s="0" t="str">
        <x:v>60+ receiving yards</x:v>
      </x:c>
      <x:c r="G41" s="0" t="str">
        <x:v>+120 DraftKings</x:v>
      </x:c>
      <x:c r="H41" s="0" t="str"/>
      <x:c r="I41" s="0" t="str"/>
      <x:c r="J41" s="0" t="str"/>
      <x:c r="K41" s="0" t="str">
        <x:v>PLACED_USER_CONFIRMED — The independent evening audit preferred Wingo's 60+ receiving-yards threshold over the supplied Jeremiah Smith markets. The displayed +120 price qualified before the dedicated 50% OSU–Texas boost, and the user later confirmed placement.</x:v>
      </x:c>
    </x:row>
    <x:row r="42" ht="42" customHeight="1">
      <x:c r="A42" s="0" t="str">
        <x:v>FINAL CHECK</x:v>
      </x:c>
      <x:c r="B42" s="0" t="str">
        <x:v>S12-A24</x:v>
      </x:c>
      <x:c r="C42" s="0" t="str">
        <x:v>NCAAF</x:v>
      </x:c>
      <x:c r="D42" s="0" t="str">
        <x:v>Dilin Jones</x:v>
      </x:c>
      <x:c r="E42" s="0" t="str">
        <x:v>Louisiana Tech Bulldogs at LSU Tigers</x:v>
      </x:c>
      <x:c r="F42" s="0" t="str">
        <x:v>80+ rushing yards</x:v>
      </x:c>
      <x:c r="G42" s="0" t="str">
        <x:v>-118 DraftKings</x:v>
      </x:c>
      <x:c r="H42" s="0" t="str"/>
      <x:c r="I42" s="0" t="str"/>
      <x:c r="J42" s="0" t="str"/>
      <x:c r="K42" s="0" t="str">
        <x:v>QUALIFIED_BUILD_HOLD — The evening player audit identified Jones as LSU's current RB1 and selected the lower 80+ threshold to reduce blowout-rotation risk. It is a proposed Stepped Up leg, not a placed ticket.</x:v>
      </x:c>
    </x:row>
    <x:row r="43" ht="42" customHeight="1">
      <x:c r="A43" s="0" t="str">
        <x:v>FINAL CHECK</x:v>
      </x:c>
      <x:c r="B43" s="0" t="str">
        <x:v>S12-A25</x:v>
      </x:c>
      <x:c r="C43" s="0" t="str">
        <x:v>NCAAF</x:v>
      </x:c>
      <x:c r="D43" s="0" t="str">
        <x:v>Kamari Moulton</x:v>
      </x:c>
      <x:c r="E43" s="0" t="str">
        <x:v>Iowa State Cyclones at Iowa Hawkeyes</x:v>
      </x:c>
      <x:c r="F43" s="0" t="str">
        <x:v>19+ rushing attempts</x:v>
      </x:c>
      <x:c r="G43" s="0" t="str">
        <x:v>-125 DraftKings</x:v>
      </x:c>
      <x:c r="H43" s="0" t="str"/>
      <x:c r="I43" s="0" t="str"/>
      <x:c r="J43" s="0" t="str"/>
      <x:c r="K43" s="0" t="str">
        <x:v>QUALIFIED_BUILD_HOLD — The evening audit preferred the attempts market over rushing yards because it expresses the expected lead workload without requiring a specific yards-per-carry result. It is not placement-confirmed.</x:v>
      </x:c>
    </x:row>
    <x:row r="44" ht="42" customHeight="1">
      <x:c r="A44" s="0" t="str">
        <x:v>FINAL CHECK</x:v>
      </x:c>
      <x:c r="B44" s="0" t="str">
        <x:v>S12-A26</x:v>
      </x:c>
      <x:c r="C44" s="0" t="str">
        <x:v>NCAAF</x:v>
      </x:c>
      <x:c r="D44" s="0" t="str">
        <x:v>Oregon State Beavers</x:v>
      </x:c>
      <x:c r="E44" s="0" t="str">
        <x:v>Oregon State Beavers at Texas Tech Red Raiders</x:v>
      </x:c>
      <x:c r="F44" s="0" t="str">
        <x:v>Over 9.5 team points</x:v>
      </x:c>
      <x:c r="G44" s="0" t="str">
        <x:v>-250 DraftKings</x:v>
      </x:c>
      <x:c r="H44" s="0" t="str"/>
      <x:c r="I44" s="0" t="str"/>
      <x:c r="J44" s="0" t="str"/>
      <x:c r="K44" s="0" t="str">
        <x:v>QUALIFIED_BUILD_HOLD — The evening audit selected the lower 9.5 team-total threshold instead of the more aggressive 13.5 line to reduce weather and passing-volume sensitivity. It is not placement-confirmed.</x:v>
      </x:c>
    </x:row>
    <x:row r="45" ht="42" customHeight="1">
      <x:c r="A45" s="0" t="str">
        <x:v>PAPER</x:v>
      </x:c>
      <x:c r="B45" s="0" t="str">
        <x:v>S12-P01</x:v>
      </x:c>
      <x:c r="C45" s="0" t="str">
        <x:v>NCAAF</x:v>
      </x:c>
      <x:c r="D45" s="0" t="str">
        <x:v>Ohio State Buckeyes</x:v>
      </x:c>
      <x:c r="E45" s="0" t="str">
        <x:v>Ohio State Buckeyes at Texas Longhorns</x:v>
      </x:c>
      <x:c r="F45" s="0" t="str">
        <x:v>Ohio State +1.5 / ML -102</x:v>
      </x:c>
      <x:c r="G45" s="0" t="str">
        <x:v>-102 source display</x:v>
      </x:c>
      <x:c r="H45" s="0" t="str"/>
      <x:c r="I45" s="0" t="str"/>
      <x:c r="J45" s="0" t="str"/>
      <x:c r="K45" s="0" t="str">
        <x:v>CONFLICT_CLUSTER — Source-disagreement cluster versus a Texas -1.5 independent source view; treat spread and ML as one correlated hypothesis.</x:v>
      </x:c>
    </x:row>
    <x:row r="46" ht="42" customHeight="1">
      <x:c r="A46" s="0" t="str">
        <x:v>PAPER</x:v>
      </x:c>
      <x:c r="B46" s="0" t="str">
        <x:v>S12-P02</x:v>
      </x:c>
      <x:c r="C46" s="0" t="str">
        <x:v>NCAAF</x:v>
      </x:c>
      <x:c r="D46" s="0" t="str">
        <x:v>Ohio State–Texas</x:v>
      </x:c>
      <x:c r="E46" s="0" t="str">
        <x:v>Ohio State Buckeyes at Texas Longhorns</x:v>
      </x:c>
      <x:c r="F46" s="0" t="str">
        <x:v>Under 50 / Over 54.5</x:v>
      </x:c>
      <x:c r="G46" s="0" t="str">
        <x:v>DraftKings price unavailable</x:v>
      </x:c>
      <x:c r="H46" s="0" t="str"/>
      <x:c r="I46" s="0" t="str"/>
      <x:c r="J46" s="0" t="str"/>
      <x:c r="K46" s="0" t="str">
        <x:v>CONFLICT_CLUSTER — Directional total disagreement retained as paired Paper arms, not independent observations.</x:v>
      </x:c>
    </x:row>
    <x:row r="47" ht="42" customHeight="1">
      <x:c r="A47" s="0" t="str">
        <x:v>PAPER</x:v>
      </x:c>
      <x:c r="B47" s="0" t="str">
        <x:v>S12-P03</x:v>
      </x:c>
      <x:c r="C47" s="0" t="str">
        <x:v>NCAAF</x:v>
      </x:c>
      <x:c r="D47" s="0" t="str">
        <x:v>Old Dominion Monarchs</x:v>
      </x:c>
      <x:c r="E47" s="0" t="str">
        <x:v>Old Dominion Monarchs at Virginia Tech Hokies</x:v>
      </x:c>
      <x:c r="F47" s="0" t="str">
        <x:v>Old Dominion +19</x:v>
      </x:c>
      <x:c r="G47" s="0" t="str">
        <x:v>DraftKings price unavailable</x:v>
      </x:c>
      <x:c r="H47" s="0" t="str"/>
      <x:c r="I47" s="0" t="str"/>
      <x:c r="J47" s="0" t="str"/>
      <x:c r="K47" s="0" t="str">
        <x:v>REPLICATION — Source-led large-underdog spread requiring independent matchup and price verification.</x:v>
      </x:c>
    </x:row>
    <x:row r="48" ht="42" customHeight="1">
      <x:c r="A48" s="0" t="str">
        <x:v>PAPER</x:v>
      </x:c>
      <x:c r="B48" s="0" t="str">
        <x:v>S12-P04</x:v>
      </x:c>
      <x:c r="C48" s="0" t="str">
        <x:v>NCAAF</x:v>
      </x:c>
      <x:c r="D48" s="0" t="str">
        <x:v>Eastern Michigan Eagles</x:v>
      </x:c>
      <x:c r="E48" s="0" t="str">
        <x:v>Eastern Michigan Eagles at Michigan State Spartans</x:v>
      </x:c>
      <x:c r="F48" s="0" t="str">
        <x:v>Eastern Michigan +17.5 / ML +600</x:v>
      </x:c>
      <x:c r="G48" s="0" t="str">
        <x:v>+600 source display</x:v>
      </x:c>
      <x:c r="H48" s="0" t="str"/>
      <x:c r="I48" s="0" t="str"/>
      <x:c r="J48" s="0" t="str"/>
      <x:c r="K48" s="0" t="str">
        <x:v>CONFLICT_CLUSTER — Paired competitive-underdog and upset expressions; one correlated source-led cluster.</x:v>
      </x:c>
    </x:row>
    <x:row r="49" ht="42" customHeight="1">
      <x:c r="A49" s="0" t="str">
        <x:v>PAPER</x:v>
      </x:c>
      <x:c r="B49" s="0" t="str">
        <x:v>S12-P05</x:v>
      </x:c>
      <x:c r="C49" s="0" t="str">
        <x:v>NCAAF</x:v>
      </x:c>
      <x:c r="D49" s="0" t="str">
        <x:v>UConn Huskies</x:v>
      </x:c>
      <x:c r="E49" s="0" t="str">
        <x:v>Maryland Terrapins at UConn Huskies</x:v>
      </x:c>
      <x:c r="F49" s="0" t="str">
        <x:v>UConn +12.5 / ML +350</x:v>
      </x:c>
      <x:c r="G49" s="0" t="str">
        <x:v>+350 source display</x:v>
      </x:c>
      <x:c r="H49" s="0" t="str"/>
      <x:c r="I49" s="0" t="str"/>
      <x:c r="J49" s="0" t="str"/>
      <x:c r="K49" s="0" t="str">
        <x:v>CONFLICT_CLUSTER — Paired competitive-underdog and upset expressions; one correlated source-led cluster.</x:v>
      </x:c>
    </x:row>
    <x:row r="50" ht="42" customHeight="1">
      <x:c r="A50" s="0" t="str">
        <x:v>PAPER</x:v>
      </x:c>
      <x:c r="B50" s="0" t="str">
        <x:v>S12-P06</x:v>
      </x:c>
      <x:c r="C50" s="0" t="str">
        <x:v>NCAAF</x:v>
      </x:c>
      <x:c r="D50" s="0" t="str">
        <x:v>Sacramento State Hornets</x:v>
      </x:c>
      <x:c r="E50" s="0" t="str">
        <x:v>Sacramento State Hornets at Fresno State Bulldogs</x:v>
      </x:c>
      <x:c r="F50" s="0" t="str">
        <x:v>Sacramento State +18.5</x:v>
      </x:c>
      <x:c r="G50" s="0" t="str">
        <x:v>DraftKings price unavailable</x:v>
      </x:c>
      <x:c r="H50" s="0" t="str"/>
      <x:c r="I50" s="0" t="str"/>
      <x:c r="J50" s="0" t="str"/>
      <x:c r="K50" s="0" t="str">
        <x:v>REPLICATION — Source-led large-underdog spread requiring independent matchup and price verification.</x:v>
      </x:c>
    </x:row>
    <x:row r="51" ht="42" customHeight="1">
      <x:c r="A51" s="0" t="str">
        <x:v>PAPER</x:v>
      </x:c>
      <x:c r="B51" s="0" t="str">
        <x:v>S12-P07</x:v>
      </x:c>
      <x:c r="C51" s="0" t="str">
        <x:v>MLB</x:v>
      </x:c>
      <x:c r="D51" s="0" t="str">
        <x:v>Tyler Phillips</x:v>
      </x:c>
      <x:c r="E51" s="0" t="str">
        <x:v>Los Angeles Dodgers at Miami Marlins</x:v>
      </x:c>
      <x:c r="F51" s="0" t="str">
        <x:v>Over 3.5 strikeouts</x:v>
      </x:c>
      <x:c r="G51" s="0" t="str">
        <x:v>DraftKings price unavailable</x:v>
      </x:c>
      <x:c r="H51" s="0" t="str"/>
      <x:c r="I51" s="0" t="str"/>
      <x:c r="J51" s="0" t="str"/>
      <x:c r="K51" s="0" t="str">
        <x:v>CHALLENGER — External optimizer reports an 8.0% edge, but exact DraftKings price and independent current-regime audit are unavailable.</x:v>
      </x:c>
    </x:row>
    <x:row r="52" ht="42" customHeight="1">
      <x:c r="A52" s="0" t="str">
        <x:v>PAPER</x:v>
      </x:c>
      <x:c r="B52" s="0" t="str">
        <x:v>S12-P08</x:v>
      </x:c>
      <x:c r="C52" s="0" t="str">
        <x:v>MLB</x:v>
      </x:c>
      <x:c r="D52" s="0" t="str">
        <x:v>Kyle Bradish</x:v>
      </x:c>
      <x:c r="E52" s="0" t="str">
        <x:v>Baltimore Orioles at Toronto Blue Jays</x:v>
      </x:c>
      <x:c r="F52" s="0" t="str">
        <x:v>Over 16.5 pitching outs</x:v>
      </x:c>
      <x:c r="G52" s="0" t="str">
        <x:v>DraftKings price unavailable</x:v>
      </x:c>
      <x:c r="H52" s="0" t="str"/>
      <x:c r="I52" s="0" t="str"/>
      <x:c r="J52" s="0" t="str"/>
      <x:c r="K52" s="0" t="str">
        <x:v>CHALLENGER — External optimizer reports a 5.2% edge; compare with the independently reviewed hits and walks expressions as one correlated thesis.</x:v>
      </x:c>
    </x:row>
    <x:row r="53" ht="42" customHeight="1">
      <x:c r="A53" s="0" t="str">
        <x:v>PAPER</x:v>
      </x:c>
      <x:c r="B53" s="0" t="str">
        <x:v>S12-P09</x:v>
      </x:c>
      <x:c r="C53" s="0" t="str">
        <x:v>MLB</x:v>
      </x:c>
      <x:c r="D53" s="0" t="str">
        <x:v>Ranger Suárez</x:v>
      </x:c>
      <x:c r="E53" s="0" t="str">
        <x:v>Kansas City Royals at Boston Red Sox</x:v>
      </x:c>
      <x:c r="F53" s="0" t="str">
        <x:v>Over 17.5 pitching outs</x:v>
      </x:c>
      <x:c r="G53" s="0" t="str">
        <x:v>DraftKings price unavailable</x:v>
      </x:c>
      <x:c r="H53" s="0" t="str"/>
      <x:c r="I53" s="0" t="str"/>
      <x:c r="J53" s="0" t="str"/>
      <x:c r="K53" s="0" t="str">
        <x:v>CHALLENGER — External optimizer reports a 4.7% edge; exact price and recent workload re-audit remain required.</x:v>
      </x:c>
    </x:row>
    <x:row r="54" ht="42" customHeight="1">
      <x:c r="A54" s="0" t="str">
        <x:v>PAPER</x:v>
      </x:c>
      <x:c r="B54" s="0" t="str">
        <x:v>S12-P10</x:v>
      </x:c>
      <x:c r="C54" s="0" t="str">
        <x:v>MLB</x:v>
      </x:c>
      <x:c r="D54" s="0" t="str">
        <x:v>Walbert Ureña</x:v>
      </x:c>
      <x:c r="E54" s="0" t="str">
        <x:v>Los Angeles Angels at Washington Nationals</x:v>
      </x:c>
      <x:c r="F54" s="0" t="str">
        <x:v>Over 4.5 strikeouts</x:v>
      </x:c>
      <x:c r="G54" s="0" t="str">
        <x:v>DraftKings price unavailable</x:v>
      </x:c>
      <x:c r="H54" s="0" t="str"/>
      <x:c r="I54" s="0" t="str"/>
      <x:c r="J54" s="0" t="str"/>
      <x:c r="K54" s="0" t="str">
        <x:v>CHALLENGER — External optimizer reports a 4.6% edge; compare with the independently surfaced workload and command expressions.</x:v>
      </x:c>
    </x:row>
    <x:row r="55" ht="42" customHeight="1">
      <x:c r="A55" s="0" t="str">
        <x:v>PAPER</x:v>
      </x:c>
      <x:c r="B55" s="0" t="str">
        <x:v>S12-P11</x:v>
      </x:c>
      <x:c r="C55" s="0" t="str">
        <x:v>MLB</x:v>
      </x:c>
      <x:c r="D55" s="0" t="str">
        <x:v>Tyler Mahle</x:v>
      </x:c>
      <x:c r="E55" s="0" t="str">
        <x:v>Philadelphia Phillies at Atlanta Braves</x:v>
      </x:c>
      <x:c r="F55" s="0" t="str">
        <x:v>Under 16.5 pitching outs</x:v>
      </x:c>
      <x:c r="G55" s="0" t="str">
        <x:v>DraftKings price unavailable</x:v>
      </x:c>
      <x:c r="H55" s="0" t="str"/>
      <x:c r="I55" s="0" t="str"/>
      <x:c r="J55" s="0" t="str"/>
      <x:c r="K55" s="0" t="str">
        <x:v>REPLICATION — External optimizer reports a 5.0% edge; exact price and independent workload audit remain unavailable.</x:v>
      </x:c>
    </x:row>
    <x:row r="56" ht="42" customHeight="1">
      <x:c r="A56" s="0" t="str">
        <x:v>PAPER</x:v>
      </x:c>
      <x:c r="B56" s="0" t="str">
        <x:v>S12-P12</x:v>
      </x:c>
      <x:c r="C56" s="0" t="str">
        <x:v>NCAAF</x:v>
      </x:c>
      <x:c r="D56" s="0" t="str">
        <x:v>Cam Coleman</x:v>
      </x:c>
      <x:c r="E56" s="0" t="str">
        <x:v>Ohio State Buckeyes at Texas Longhorns</x:v>
      </x:c>
      <x:c r="F56" s="0" t="str">
        <x:v>Over 4.5 receptions</x:v>
      </x:c>
      <x:c r="G56" s="0" t="str">
        <x:v>DraftKings price unavailable</x:v>
      </x:c>
      <x:c r="H56" s="0" t="str"/>
      <x:c r="I56" s="0" t="str"/>
      <x:c r="J56" s="0" t="str"/>
      <x:c r="K56" s="0" t="str">
        <x:v>SOURCE_PROP — External optimizer reports 6.0% EV; role, lineup, threshold price and opponent matchup have not been independently verified.</x:v>
      </x:c>
    </x:row>
    <x:row r="57" ht="42" customHeight="1">
      <x:c r="A57" s="0" t="str">
        <x:v>PAPER</x:v>
      </x:c>
      <x:c r="B57" s="0" t="str">
        <x:v>S12-P13</x:v>
      </x:c>
      <x:c r="C57" s="0" t="str">
        <x:v>NCAAF</x:v>
      </x:c>
      <x:c r="D57" s="0" t="str">
        <x:v>CJ Brown</x:v>
      </x:c>
      <x:c r="E57" s="0" t="str">
        <x:v>Arkansas Razorbacks at Utah Utes</x:v>
      </x:c>
      <x:c r="F57" s="0" t="str">
        <x:v>Over 33.5 receiving yards</x:v>
      </x:c>
      <x:c r="G57" s="0" t="str">
        <x:v>DraftKings price unavailable</x:v>
      </x:c>
      <x:c r="H57" s="0" t="str"/>
      <x:c r="I57" s="0" t="str"/>
      <x:c r="J57" s="0" t="str"/>
      <x:c r="K57" s="0" t="str">
        <x:v>SOURCE_PROP — External optimizer reports 5.8% EV; role, lineup, threshold price and opponent matchup have not been independently verified.</x:v>
      </x:c>
    </x:row>
    <x:row r="58" ht="42" customHeight="1">
      <x:c r="A58" s="0" t="str">
        <x:v>PAPER</x:v>
      </x:c>
      <x:c r="B58" s="0" t="str">
        <x:v>S12-P14</x:v>
      </x:c>
      <x:c r="C58" s="0" t="str">
        <x:v>NCAAF</x:v>
      </x:c>
      <x:c r="D58" s="0" t="str">
        <x:v>Sutton Smith</x:v>
      </x:c>
      <x:c r="E58" s="0" t="str">
        <x:v>Arkansas Razorbacks at Utah Utes</x:v>
      </x:c>
      <x:c r="F58" s="0" t="str">
        <x:v>Under 2.5 receptions</x:v>
      </x:c>
      <x:c r="G58" s="0" t="str">
        <x:v>DraftKings price unavailable</x:v>
      </x:c>
      <x:c r="H58" s="0" t="str"/>
      <x:c r="I58" s="0" t="str"/>
      <x:c r="J58" s="0" t="str"/>
      <x:c r="K58" s="0" t="str">
        <x:v>SOURCE_PROP — External optimizer reports 4.8% EV; role, lineup, threshold price and opponent matchup have not been independently verified.</x:v>
      </x:c>
    </x:row>
  </x:sheetData>
  <x:mergeCells count="2">
    <x:mergeCell ref="A1:K1"/>
    <x:mergeCell ref="A2:K2"/>
  </x:mergeCells>
  <x:pageMargins left="0.7" right="0.7" top="0.75" bottom="0.75" header="0.3" footer="0.3"/>
</x:worksheet>
</file>