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b52f1f6ee19434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091df606c0184bd5"/>
    <x:sheet xmlns:r="http://schemas.openxmlformats.org/officeDocument/2006/relationships" name="Candidate Log" sheetId="2" r:id="Re9c99089c28942f2"/>
    <x:sheet xmlns:r="http://schemas.openxmlformats.org/officeDocument/2006/relationships" name="Ticket Log" sheetId="3" r:id="R6e9eec836e1941a6"/>
    <x:sheet xmlns:r="http://schemas.openxmlformats.org/officeDocument/2006/relationships" name="Market Summary" sheetId="4" r:id="R9804eb95c28747b1"/>
    <x:sheet xmlns:r="http://schemas.openxmlformats.org/officeDocument/2006/relationships" name="Source Evaluation" sheetId="5" r:id="Re2554a556f4c45de"/>
    <x:sheet xmlns:r="http://schemas.openxmlformats.org/officeDocument/2006/relationships" name="Feature Weights" sheetId="6" r:id="Recb4a9998ac341eb"/>
    <x:sheet xmlns:r="http://schemas.openxmlformats.org/officeDocument/2006/relationships" name="Backtest Plan" sheetId="7" r:id="Rb13847e7f1244b94"/>
    <x:sheet xmlns:r="http://schemas.openxmlformats.org/officeDocument/2006/relationships" name="Daily Summary" sheetId="8" r:id="R975a4869d47e4988"/>
    <x:sheet xmlns:r="http://schemas.openxmlformats.org/officeDocument/2006/relationships" name="Missed Opportunities" sheetId="9" r:id="Rce17d62479474927"/>
    <x:sheet xmlns:r="http://schemas.openxmlformats.org/officeDocument/2006/relationships" name="Backfill Status" sheetId="10" r:id="R43a0fcbde1914318"/>
    <x:sheet xmlns:r="http://schemas.openxmlformats.org/officeDocument/2006/relationships" name="Paper Portfolio" sheetId="11" r:id="R61add6cd974141bc"/>
    <x:sheet xmlns:r="http://schemas.openxmlformats.org/officeDocument/2006/relationships" name="MLB Pitcher Features" sheetId="12" r:id="R4018cf1ea5d04716"/>
    <x:sheet xmlns:r="http://schemas.openxmlformats.org/officeDocument/2006/relationships" name="MLB Hitter Features" sheetId="13" r:id="R405277ed3eff4752"/>
    <x:sheet xmlns:r="http://schemas.openxmlformats.org/officeDocument/2006/relationships" name="NRFI Features" sheetId="14" r:id="R3e190dea827447d7"/>
    <x:sheet xmlns:r="http://schemas.openxmlformats.org/officeDocument/2006/relationships" name="WNBA Features" sheetId="15" r:id="R5c392b1b2d3642d4"/>
    <x:sheet xmlns:r="http://schemas.openxmlformats.org/officeDocument/2006/relationships" name="Experiment Registry" sheetId="16" r:id="Ra946e7527a614660"/>
    <x:sheet xmlns:r="http://schemas.openxmlformats.org/officeDocument/2006/relationships" name="Postgame Universe" sheetId="17" r:id="R0a496223cbcd42bd"/>
    <x:sheet xmlns:r="http://schemas.openxmlformats.org/officeDocument/2006/relationships" name="EOD Insights" sheetId="18" r:id="R1a57e538c15f4786"/>
    <x:sheet xmlns:r="http://schemas.openxmlformats.org/officeDocument/2006/relationships" name="Paper Audit Aug26" sheetId="19" r:id="R0b14f46f44c844e5"/>
    <x:sheet xmlns:r="http://schemas.openxmlformats.org/officeDocument/2006/relationships" name="Promo Log" sheetId="20" r:id="R373e6c6578dd42cf"/>
    <x:sheet xmlns:r="http://schemas.openxmlformats.org/officeDocument/2006/relationships" name="Paper Audit Aug27" sheetId="21" r:id="R18d054243b134dae"/>
    <x:sheet xmlns:r="http://schemas.openxmlformats.org/officeDocument/2006/relationships" name="Paper Audit Aug28" sheetId="22" r:id="R6b65435270d74546"/>
    <x:sheet xmlns:r="http://schemas.openxmlformats.org/officeDocument/2006/relationships" name="CFB Features" sheetId="23" r:id="Rb7d07df4ce1b4915"/>
    <x:sheet xmlns:r="http://schemas.openxmlformats.org/officeDocument/2006/relationships" name="CFB Game Features" sheetId="24" r:id="Ra781e1dc14b141a7"/>
    <x:sheet xmlns:r="http://schemas.openxmlformats.org/officeDocument/2006/relationships" name="Hypothesis Stress Tests" sheetId="25" r:id="R3744e4545c774a98"/>
    <x:sheet xmlns:r="http://schemas.openxmlformats.org/officeDocument/2006/relationships" name="Hypothesis Scorecard" sheetId="26" r:id="Rf1d3643d5ba84fef"/>
    <x:sheet xmlns:r="http://schemas.openxmlformats.org/officeDocument/2006/relationships" name="Paper Audit Aug31" sheetId="27" r:id="R0f2338df827045e9"/>
    <x:sheet xmlns:r="http://schemas.openxmlformats.org/officeDocument/2006/relationships" name="Sep02 Build" sheetId="28" r:id="R153dea16c7b04326"/>
    <x:sheet xmlns:r="http://schemas.openxmlformats.org/officeDocument/2006/relationships" name="Daily Slate" sheetId="29" r:id="R20a1b49c05484183"/>
    <x:sheet xmlns:r="http://schemas.openxmlformats.org/officeDocument/2006/relationships" name="Chat Intake" sheetId="30" r:id="Re09720e9b3d54868"/>
    <x:sheet xmlns:r="http://schemas.openxmlformats.org/officeDocument/2006/relationships" name="Morning Scan" sheetId="31" r:id="Rb945b3e08e054a07"/>
    <x:sheet xmlns:r="http://schemas.openxmlformats.org/officeDocument/2006/relationships" name="Today Board" sheetId="32" r:id="R635a69aca49b469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7c1c198815747fe" /><Relationship Type="http://schemas.openxmlformats.org/officeDocument/2006/relationships/theme" Target="/xl/theme/theme1.xml" Id="Raba8b6906d904b80" /><Relationship Type="http://schemas.openxmlformats.org/officeDocument/2006/relationships/sharedStrings" Target="/xl/sharedStrings.xml" Id="R97271d1f9d44409a" /><Relationship Type="http://schemas.openxmlformats.org/officeDocument/2006/relationships/worksheet" Target="/xl/worksheets/sheet1.xml" Id="R091df606c0184bd5" /><Relationship Type="http://schemas.openxmlformats.org/officeDocument/2006/relationships/worksheet" Target="/xl/worksheets/sheet2.xml" Id="Re9c99089c28942f2" /><Relationship Type="http://schemas.openxmlformats.org/officeDocument/2006/relationships/worksheet" Target="/xl/worksheets/sheet3.xml" Id="R6e9eec836e1941a6" /><Relationship Type="http://schemas.openxmlformats.org/officeDocument/2006/relationships/worksheet" Target="/xl/worksheets/sheet4.xml" Id="R9804eb95c28747b1" /><Relationship Type="http://schemas.openxmlformats.org/officeDocument/2006/relationships/worksheet" Target="/xl/worksheets/sheet5.xml" Id="Re2554a556f4c45de" /><Relationship Type="http://schemas.openxmlformats.org/officeDocument/2006/relationships/worksheet" Target="/xl/worksheets/sheet6.xml" Id="Recb4a9998ac341eb" /><Relationship Type="http://schemas.openxmlformats.org/officeDocument/2006/relationships/worksheet" Target="/xl/worksheets/sheet7.xml" Id="Rb13847e7f1244b94" /><Relationship Type="http://schemas.openxmlformats.org/officeDocument/2006/relationships/worksheet" Target="/xl/worksheets/sheet8.xml" Id="R975a4869d47e4988" /><Relationship Type="http://schemas.openxmlformats.org/officeDocument/2006/relationships/worksheet" Target="/xl/worksheets/sheet9.xml" Id="Rce17d62479474927" /><Relationship Type="http://schemas.openxmlformats.org/officeDocument/2006/relationships/worksheet" Target="/xl/worksheets/sheet10.xml" Id="R43a0fcbde1914318" /><Relationship Type="http://schemas.openxmlformats.org/officeDocument/2006/relationships/worksheet" Target="/xl/worksheets/sheet11.xml" Id="R61add6cd974141bc" /><Relationship Type="http://schemas.openxmlformats.org/officeDocument/2006/relationships/worksheet" Target="/xl/worksheets/sheet12.xml" Id="R4018cf1ea5d04716" /><Relationship Type="http://schemas.openxmlformats.org/officeDocument/2006/relationships/worksheet" Target="/xl/worksheets/sheet13.xml" Id="R405277ed3eff4752" /><Relationship Type="http://schemas.openxmlformats.org/officeDocument/2006/relationships/worksheet" Target="/xl/worksheets/sheet14.xml" Id="R3e190dea827447d7" /><Relationship Type="http://schemas.openxmlformats.org/officeDocument/2006/relationships/worksheet" Target="/xl/worksheets/sheet15.xml" Id="R5c392b1b2d3642d4" /><Relationship Type="http://schemas.openxmlformats.org/officeDocument/2006/relationships/worksheet" Target="/xl/worksheets/sheet16.xml" Id="Ra946e7527a614660" /><Relationship Type="http://schemas.openxmlformats.org/officeDocument/2006/relationships/worksheet" Target="/xl/worksheets/sheet17.xml" Id="R0a496223cbcd42bd" /><Relationship Type="http://schemas.openxmlformats.org/officeDocument/2006/relationships/worksheet" Target="/xl/worksheets/sheet18.xml" Id="R1a57e538c15f4786" /><Relationship Type="http://schemas.openxmlformats.org/officeDocument/2006/relationships/worksheet" Target="/xl/worksheets/sheet19.xml" Id="R0b14f46f44c844e5" /><Relationship Type="http://schemas.openxmlformats.org/officeDocument/2006/relationships/worksheet" Target="/xl/worksheets/sheet20.xml" Id="R373e6c6578dd42cf" /><Relationship Type="http://schemas.openxmlformats.org/officeDocument/2006/relationships/worksheet" Target="/xl/worksheets/sheet21.xml" Id="R18d054243b134dae" /><Relationship Type="http://schemas.openxmlformats.org/officeDocument/2006/relationships/worksheet" Target="/xl/worksheets/sheet22.xml" Id="R6b65435270d74546" /><Relationship Type="http://schemas.openxmlformats.org/officeDocument/2006/relationships/worksheet" Target="/xl/worksheets/sheet23.xml" Id="Rb7d07df4ce1b4915" /><Relationship Type="http://schemas.openxmlformats.org/officeDocument/2006/relationships/worksheet" Target="/xl/worksheets/sheet24.xml" Id="Ra781e1dc14b141a7" /><Relationship Type="http://schemas.openxmlformats.org/officeDocument/2006/relationships/worksheet" Target="/xl/worksheets/sheet25.xml" Id="R3744e4545c774a98" /><Relationship Type="http://schemas.openxmlformats.org/officeDocument/2006/relationships/worksheet" Target="/xl/worksheets/sheet26.xml" Id="Rf1d3643d5ba84fef" /><Relationship Type="http://schemas.openxmlformats.org/officeDocument/2006/relationships/worksheet" Target="/xl/worksheets/sheet27.xml" Id="R0f2338df827045e9" /><Relationship Type="http://schemas.openxmlformats.org/officeDocument/2006/relationships/worksheet" Target="/xl/worksheets/sheet28.xml" Id="R153dea16c7b04326" /><Relationship Type="http://schemas.openxmlformats.org/officeDocument/2006/relationships/worksheet" Target="/xl/worksheets/sheet29.xml" Id="R20a1b49c05484183" /><Relationship Type="http://schemas.openxmlformats.org/officeDocument/2006/relationships/worksheet" Target="/xl/worksheets/sheet30.xml" Id="Re09720e9b3d54868" /><Relationship Type="http://schemas.openxmlformats.org/officeDocument/2006/relationships/worksheet" Target="/xl/worksheets/sheet31.xml" Id="Rb945b3e08e054a07" /><Relationship Type="http://schemas.openxmlformats.org/officeDocument/2006/relationships/worksheet" Target="/xl/worksheets/sheet32.xml" Id="R635a69aca49b4695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6e61d344746480c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6e61d344746480c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1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b85d2e9b6a074bb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2e7808b9379f43d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5e1171d2e5794b3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c7d520c3a9074de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006bf39d30c54ed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4eda8c8f1984dc5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898534834b7b4306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e8df57062dbc470c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7d0a4c56dfa34b67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166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61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0.3674698795180723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23.763960738509144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b85d2e9b6a074bb9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e7808b9379f43de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Date</x:v>
      </x:c>
      <x:c r="B1" s="537" t="str">
        <x:v>Ticket ID</x:v>
      </x:c>
      <x:c r="C1" s="537" t="str">
        <x:v>Origin</x:v>
      </x:c>
      <x:c r="D1" s="537" t="str">
        <x:v>Description</x:v>
      </x:c>
      <x:c r="E1" s="537" t="str">
        <x:v>Stake</x:v>
      </x:c>
      <x:c r="F1" s="537" t="str">
        <x:v>Odds (American)</x:v>
      </x:c>
      <x:c r="G1" s="537" t="str">
        <x:v>Boosted?</x:v>
      </x:c>
      <x:c r="H1" s="537" t="str">
        <x:v>Legs</x:v>
      </x:c>
      <x:c r="I1" s="537" t="str">
        <x:v>Result</x:v>
      </x:c>
      <x:c r="J1" s="537" t="str">
        <x:v>Payout</x:v>
      </x:c>
      <x:c r="K1" s="537" t="str">
        <x:v>P/L</x:v>
      </x:c>
      <x:c r="L1" s="537" t="str">
        <x:v>Promo / Special</x:v>
      </x:c>
      <x:c r="M1" s="537" t="str">
        <x:v>Execution Note</x:v>
      </x:c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1" t="str">
        <x:v>A24-T01</x:v>
      </x:c>
      <x:c r="C2" s="31" t="str">
        <x:v>SOURCED</x:v>
      </x:c>
      <x:c r="D2" s="31" t="str">
        <x:v>Collier 30+ PRA</x:v>
      </x:c>
      <x:c r="E2" s="538" t="n">
        <x:v>1</x:v>
      </x:c>
      <x:c r="F2" s="80" t="n">
        <x:v>-149</x:v>
      </x:c>
      <x:c r="G2" s="534" t="str">
        <x:v>N</x:v>
      </x:c>
      <x:c r="H2" s="80" t="n">
        <x:v>1</x:v>
      </x:c>
      <x:c r="I2" s="534" t="str">
        <x:v>Loss</x:v>
      </x:c>
      <x:c r="J2" s="538" t="n">
        <x:v>0</x:v>
      </x:c>
      <x:c r="K2" s="538" t="n">
        <x:v>-1</x:v>
      </x:c>
      <x:c r="L2" s="31" t="str"/>
      <x:c r="M2" s="31" t="str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2026-08-24</x:v>
      </x:c>
      <x:c r="B3" s="31" t="str">
        <x:v>A24-T02</x:v>
      </x:c>
      <x:c r="C3" s="31" t="str">
        <x:v>HYBRID</x:v>
      </x:c>
      <x:c r="D3" s="31" t="str">
        <x:v>PCA HR</x:v>
      </x:c>
      <x:c r="E3" s="538" t="n">
        <x:v>5</x:v>
      </x:c>
      <x:c r="F3" s="80" t="n">
        <x:v>343</x:v>
      </x:c>
      <x:c r="G3" s="534" t="str">
        <x:v>N</x:v>
      </x:c>
      <x:c r="H3" s="80" t="n">
        <x:v>1</x:v>
      </x:c>
      <x:c r="I3" s="534" t="str">
        <x:v>Loss</x:v>
      </x:c>
      <x:c r="J3" s="538" t="n">
        <x:v>0</x:v>
      </x:c>
      <x:c r="K3" s="538" t="n">
        <x:v>-5</x:v>
      </x:c>
      <x:c r="L3" s="31" t="str">
        <x:v>HR promo</x:v>
      </x:c>
      <x:c r="M3" s="31" t="str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2026-08-24</x:v>
      </x:c>
      <x:c r="B4" s="31" t="str">
        <x:v>A24-T03</x:v>
      </x:c>
      <x:c r="C4" s="31" t="str">
        <x:v>SOURCED</x:v>
      </x:c>
      <x:c r="D4" s="31" t="str">
        <x:v>Tatis 2+ TB</x:v>
      </x:c>
      <x:c r="E4" s="538" t="n">
        <x:v>2</x:v>
      </x:c>
      <x:c r="F4" s="80" t="n">
        <x:v>115</x:v>
      </x:c>
      <x:c r="G4" s="534" t="str">
        <x:v>N</x:v>
      </x:c>
      <x:c r="H4" s="80" t="n">
        <x:v>1</x:v>
      </x:c>
      <x:c r="I4" s="534" t="str">
        <x:v>Loss</x:v>
      </x:c>
      <x:c r="J4" s="538" t="n">
        <x:v>0</x:v>
      </x:c>
      <x:c r="K4" s="538" t="n">
        <x:v>-2</x:v>
      </x:c>
      <x:c r="L4" s="31" t="str">
        <x:v>Conviction single</x:v>
      </x:c>
      <x:c r="M4" s="31" t="str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2026-08-24</x:v>
      </x:c>
      <x:c r="B5" s="31" t="str">
        <x:v>A24-T04</x:v>
      </x:c>
      <x:c r="C5" s="31" t="str">
        <x:v>SOURCED</x:v>
      </x:c>
      <x:c r="D5" s="31" t="str">
        <x:v>PCA 2+ TB</x:v>
      </x:c>
      <x:c r="E5" s="538" t="n">
        <x:v>2</x:v>
      </x:c>
      <x:c r="F5" s="80" t="n">
        <x:v>-126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-2</x:v>
      </x:c>
      <x:c r="L5" s="31" t="str">
        <x:v>Conviction single</x:v>
      </x:c>
      <x:c r="M5" s="31" t="str">
        <x:v>Entry deteriorated materially from sourced +122.</x:v>
      </x:c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2026-08-24</x:v>
      </x:c>
      <x:c r="B6" s="31" t="str">
        <x:v>A24-T05</x:v>
      </x:c>
      <x:c r="C6" s="31" t="str">
        <x:v>CREATED</x:v>
      </x:c>
      <x:c r="D6" s="31" t="str">
        <x:v>Collier 3+ AST + Under 159.5 + MIN -6.5</x:v>
      </x:c>
      <x:c r="E6" s="538" t="n">
        <x:v>1</x:v>
      </x:c>
      <x:c r="F6" s="80" t="n">
        <x:v>683</x:v>
      </x:c>
      <x:c r="G6" s="534" t="str">
        <x:v>Y</x:v>
      </x:c>
      <x:c r="H6" s="80" t="n">
        <x:v>3</x:v>
      </x:c>
      <x:c r="I6" s="534" t="str">
        <x:v>Loss</x:v>
      </x:c>
      <x:c r="J6" s="538" t="n">
        <x:v>0</x:v>
      </x:c>
      <x:c r="K6" s="538" t="n">
        <x:v>-1</x:v>
      </x:c>
      <x:c r="L6" s="31" t="str">
        <x:v>WNBA promo SGP</x:v>
      </x:c>
      <x:c r="M6" s="31" t="str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2026-08-24</x:v>
      </x:c>
      <x:c r="B7" s="31" t="str">
        <x:v>A24-T06</x:v>
      </x:c>
      <x:c r="C7" s="31" t="str">
        <x:v>CREATED</x:v>
      </x:c>
      <x:c r="D7" s="31" t="str">
        <x:v>TB/DET NRFI + Caminero 2+ HRR + Framber &lt;=7 hits</x:v>
      </x:c>
      <x:c r="E7" s="538" t="n">
        <x:v>4</x:v>
      </x:c>
      <x:c r="F7" s="80" t="n">
        <x:v>416</x:v>
      </x:c>
      <x:c r="G7" s="534" t="str">
        <x:v>Y</x:v>
      </x:c>
      <x:c r="H7" s="80" t="n">
        <x:v>3</x:v>
      </x:c>
      <x:c r="I7" s="534" t="str">
        <x:v>Loss</x:v>
      </x:c>
      <x:c r="J7" s="538" t="n">
        <x:v>0</x:v>
      </x:c>
      <x:c r="K7" s="538" t="n">
        <x:v>-4</x:v>
      </x:c>
      <x:c r="L7" s="31" t="str">
        <x:v>MLB promo SGP</x:v>
      </x:c>
      <x:c r="M7" s="31" t="str">
        <x:v>Stake intended $1; $4 was accidental misclick (+$3 execution error).</x:v>
      </x:c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2026-08-24</x:v>
      </x:c>
      <x:c r="B8" s="31" t="str">
        <x:v>A24-T07</x:v>
      </x:c>
      <x:c r="C8" s="31" t="str">
        <x:v>CREATED</x:v>
      </x:c>
      <x:c r="D8" s="31" t="str">
        <x:v>Kody Clemens HR + Jackson Merrill HR</x:v>
      </x:c>
      <x:c r="E8" s="538" t="n">
        <x:v>0.89</x:v>
      </x:c>
      <x:c r="F8" s="80" t="n">
        <x:v>2446</x:v>
      </x:c>
      <x:c r="G8" s="534" t="str">
        <x:v>N</x:v>
      </x:c>
      <x:c r="H8" s="80" t="n">
        <x:v>2</x:v>
      </x:c>
      <x:c r="I8" s="534" t="str">
        <x:v>Loss</x:v>
      </x:c>
      <x:c r="J8" s="538" t="n">
        <x:v>0</x:v>
      </x:c>
      <x:c r="K8" s="538" t="n">
        <x:v>-0.89</x:v>
      </x:c>
      <x:c r="L8" s="31" t="str">
        <x:v>HR satellite</x:v>
      </x:c>
      <x:c r="M8" s="31" t="str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2026-08-24</x:v>
      </x:c>
      <x:c r="B9" s="31" t="str">
        <x:v>A24-T08</x:v>
      </x:c>
      <x:c r="C9" s="31" t="str">
        <x:v>ADJUSTED</x:v>
      </x:c>
      <x:c r="D9" s="31" t="str">
        <x:v>Caminero 2+ HRR + PCA 2+ TB + Tatis 1+ hit</x:v>
      </x:c>
      <x:c r="E9" s="538" t="n">
        <x:v>1</x:v>
      </x:c>
      <x:c r="F9" s="80" t="n">
        <x:v>323</x:v>
      </x:c>
      <x:c r="G9" s="534" t="str">
        <x:v>N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/>
      <x:c r="M9" s="31" t="str">
        <x:v>Replaced Burns K over; original also would have lost.</x:v>
      </x:c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2026-08-24</x:v>
      </x:c>
      <x:c r="B10" s="31" t="str">
        <x:v>A24-T09</x:v>
      </x:c>
      <x:c r="C10" s="31" t="str">
        <x:v>SOURCED_ORIGINAL</x:v>
      </x:c>
      <x:c r="D10" s="31" t="str">
        <x:v>Robbie Ray O16.5 outs + Atlanta -9.5</x:v>
      </x:c>
      <x:c r="E10" s="538" t="n">
        <x:v>1</x:v>
      </x:c>
      <x:c r="F10" s="80" t="n">
        <x:v>190</x:v>
      </x:c>
      <x:c r="G10" s="534" t="str">
        <x:v>N</x:v>
      </x:c>
      <x:c r="H10" s="80" t="n">
        <x:v>2</x:v>
      </x:c>
      <x:c r="I10" s="534" t="str">
        <x:v>Loss</x:v>
      </x:c>
      <x:c r="J10" s="538" t="n">
        <x:v>0</x:v>
      </x:c>
      <x:c r="K10" s="538" t="n">
        <x:v>-1</x:v>
      </x:c>
      <x:c r="L10" s="31" t="str"/>
      <x:c r="M10" s="31" t="str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2026-08-24</x:v>
      </x:c>
      <x:c r="B11" s="31" t="str">
        <x:v>A24-T10</x:v>
      </x:c>
      <x:c r="C11" s="31" t="str">
        <x:v>SOURCED_ORIGINAL</x:v>
      </x:c>
      <x:c r="D11" s="31" t="str">
        <x:v>TB/DET NRFI + BOS/MIA NRFI + PHI/SEA NRFI</x:v>
      </x:c>
      <x:c r="E11" s="538" t="n">
        <x:v>1</x:v>
      </x:c>
      <x:c r="F11" s="80" t="n">
        <x:v>374</x:v>
      </x:c>
      <x:c r="G11" s="534" t="str">
        <x:v>N</x:v>
      </x:c>
      <x:c r="H11" s="80" t="n">
        <x:v>3</x:v>
      </x:c>
      <x:c r="I11" s="534" t="str">
        <x:v>Loss</x:v>
      </x:c>
      <x:c r="J11" s="538" t="n">
        <x:v>0</x:v>
      </x:c>
      <x:c r="K11" s="538" t="n">
        <x:v>-1</x:v>
      </x:c>
      <x:c r="L11" s="31" t="str"/>
      <x:c r="M11" s="31" t="str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2026-08-24</x:v>
      </x:c>
      <x:c r="B12" s="31" t="str">
        <x:v>A24-T11</x:v>
      </x:c>
      <x:c r="C12" s="31" t="str">
        <x:v>SOURCED_ORIGINAL</x:v>
      </x:c>
      <x:c r="D12" s="31" t="str">
        <x:v>Zebby U4.5 Ks + Framber &lt;=7 hits</x:v>
      </x:c>
      <x:c r="E12" s="538" t="n">
        <x:v>1</x:v>
      </x:c>
      <x:c r="F12" s="80" t="n">
        <x:v>112</x:v>
      </x:c>
      <x:c r="G12" s="534" t="str">
        <x:v>N</x:v>
      </x:c>
      <x:c r="H12" s="80" t="n">
        <x:v>2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2026-08-24</x:v>
      </x:c>
      <x:c r="B13" s="31" t="str">
        <x:v>A24-T12</x:v>
      </x:c>
      <x:c r="C13" s="31" t="str">
        <x:v>ROLLER</x:v>
      </x:c>
      <x:c r="D13" s="31" t="str">
        <x:v>Olivia Miles 15+ points + Janelle Salaun 10+ points</x:v>
      </x:c>
      <x:c r="E13" s="538" t="n">
        <x:v>25.62</x:v>
      </x:c>
      <x:c r="F13" s="80" t="n">
        <x:v>-145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-25.62</x:v>
      </x:c>
      <x:c r="L13" s="31" t="str">
        <x:v>Roller</x:v>
      </x:c>
      <x:c r="M13" s="31" t="str">
        <x:v>Roller strategy retired permanently.</x:v>
      </x:c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2026-08-25</x:v>
      </x:c>
      <x:c r="B14" s="31" t="str">
        <x:v>A25-T01</x:v>
      </x:c>
      <x:c r="C14" s="31" t="str">
        <x:v>DISCOVERED</x:v>
      </x:c>
      <x:c r="D14" s="31" t="str">
        <x:v>Ethan Pecko U14.5 outs</x:v>
      </x:c>
      <x:c r="E14" s="538" t="n">
        <x:v>1</x:v>
      </x:c>
      <x:c r="F14" s="80" t="n">
        <x:v>-106</x:v>
      </x:c>
      <x:c r="G14" s="534" t="str">
        <x:v>N</x:v>
      </x:c>
      <x:c r="H14" s="80" t="n">
        <x:v>1</x:v>
      </x:c>
      <x:c r="I14" s="534" t="str">
        <x:v>Win</x:v>
      </x:c>
      <x:c r="J14" s="538" t="n">
        <x:v>1.9433962264150944</x:v>
      </x:c>
      <x:c r="K14" s="538" t="n">
        <x:v>0.9433962264150944</x:v>
      </x:c>
      <x:c r="L14" s="31" t="str"/>
      <x:c r="M14" s="31" t="str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2026-08-25</x:v>
      </x:c>
      <x:c r="B15" s="31" t="str">
        <x:v>A25-T02</x:v>
      </x:c>
      <x:c r="C15" s="31" t="str">
        <x:v>DISCOVERED</x:v>
      </x:c>
      <x:c r="D15" s="31" t="str">
        <x:v>Max Scherzer U3.5 Ks</x:v>
      </x:c>
      <x:c r="E15" s="538" t="n">
        <x:v>1</x:v>
      </x:c>
      <x:c r="F15" s="80" t="n">
        <x:v>126</x:v>
      </x:c>
      <x:c r="G15" s="534" t="str">
        <x:v>N</x:v>
      </x:c>
      <x:c r="H15" s="80" t="n">
        <x:v>1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2026-08-25</x:v>
      </x:c>
      <x:c r="B16" s="31" t="str">
        <x:v>A25-T03</x:v>
      </x:c>
      <x:c r="C16" s="31" t="str">
        <x:v>SOURCED</x:v>
      </x:c>
      <x:c r="D16" s="31" t="str">
        <x:v>Nick Sogard 2+ TB</x:v>
      </x:c>
      <x:c r="E16" s="538" t="n">
        <x:v>1</x:v>
      </x:c>
      <x:c r="F16" s="80" t="n">
        <x:v>138</x:v>
      </x:c>
      <x:c r="G16" s="534" t="str">
        <x:v>N</x:v>
      </x:c>
      <x:c r="H16" s="80" t="n">
        <x:v>1</x:v>
      </x:c>
      <x:c r="I16" s="534" t="str">
        <x:v>Loss</x:v>
      </x:c>
      <x:c r="J16" s="538" t="n">
        <x:v>0</x:v>
      </x:c>
      <x:c r="K16" s="538" t="n">
        <x:v>-1</x:v>
      </x:c>
      <x:c r="L16" s="31" t="str"/>
      <x:c r="M16" s="31" t="str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2026-08-25</x:v>
      </x:c>
      <x:c r="B17" s="31" t="str">
        <x:v>A25-T04</x:v>
      </x:c>
      <x:c r="C17" s="31" t="str">
        <x:v>DISCOVERED</x:v>
      </x:c>
      <x:c r="D17" s="31" t="str">
        <x:v>Yordan Alvarez 2+ TB</x:v>
      </x:c>
      <x:c r="E17" s="538" t="n">
        <x:v>1</x:v>
      </x:c>
      <x:c r="F17" s="80" t="n">
        <x:v>-105</x:v>
      </x:c>
      <x:c r="G17" s="534" t="str">
        <x:v>N</x:v>
      </x:c>
      <x:c r="H17" s="80" t="n">
        <x:v>1</x:v>
      </x:c>
      <x:c r="I17" s="534" t="str">
        <x:v>Win</x:v>
      </x:c>
      <x:c r="J17" s="538" t="n">
        <x:v>1.9523809523809523</x:v>
      </x:c>
      <x:c r="K17" s="538" t="n">
        <x:v>0.9523809523809523</x:v>
      </x:c>
      <x:c r="L17" s="31" t="str"/>
      <x:c r="M17" s="31" t="str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2026-08-25</x:v>
      </x:c>
      <x:c r="B18" s="31" t="str">
        <x:v>A25-T05</x:v>
      </x:c>
      <x:c r="C18" s="31" t="str">
        <x:v>SOURCED</x:v>
      </x:c>
      <x:c r="D18" s="31" t="str">
        <x:v>Shakira Austin O27.5 P+R</x:v>
      </x:c>
      <x:c r="E18" s="538" t="n">
        <x:v>1</x:v>
      </x:c>
      <x:c r="F18" s="80" t="n">
        <x:v>-112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2026-08-25</x:v>
      </x:c>
      <x:c r="B19" s="31" t="str">
        <x:v>A25-T06</x:v>
      </x:c>
      <x:c r="C19" s="31" t="str">
        <x:v>HYBRID</x:v>
      </x:c>
      <x:c r="D19" s="31" t="str">
        <x:v>Max Muncy HR</x:v>
      </x:c>
      <x:c r="E19" s="538" t="n">
        <x:v>1</x:v>
      </x:c>
      <x:c r="F19" s="80" t="n">
        <x:v>335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>
        <x:v>HR single</x:v>
      </x:c>
      <x:c r="M19" s="31" t="str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2026-08-25</x:v>
      </x:c>
      <x:c r="B20" s="31" t="str">
        <x:v>A25-T07</x:v>
      </x:c>
      <x:c r="C20" s="31" t="str">
        <x:v>HYBRID</x:v>
      </x:c>
      <x:c r="D20" s="31" t="str">
        <x:v>Aaron Nola O5.5 Ks + Michael King O17.5 outs</x:v>
      </x:c>
      <x:c r="E20" s="538" t="n">
        <x:v>1</x:v>
      </x:c>
      <x:c r="F20" s="80" t="n">
        <x:v>225</x:v>
      </x:c>
      <x:c r="G20" s="534" t="str">
        <x:v>N</x:v>
      </x:c>
      <x:c r="H20" s="80" t="n">
        <x:v>2</x:v>
      </x:c>
      <x:c r="I20" s="534" t="str">
        <x:v>Win</x:v>
      </x:c>
      <x:c r="J20" s="538" t="n">
        <x:v>3.25</x:v>
      </x:c>
      <x:c r="K20" s="538" t="n">
        <x:v>2.25</x:v>
      </x:c>
      <x:c r="L20" s="31" t="str"/>
      <x:c r="M20" s="31" t="str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2026-08-25</x:v>
      </x:c>
      <x:c r="B21" s="31" t="str">
        <x:v>A25-T08</x:v>
      </x:c>
      <x:c r="C21" s="31" t="str">
        <x:v>HYBRID</x:v>
      </x:c>
      <x:c r="D21" s="31" t="str">
        <x:v>Freeman 1+ hit + Yordan 1+ hit + Witt 1+ hit</x:v>
      </x:c>
      <x:c r="E21" s="538" t="n">
        <x:v>1</x:v>
      </x:c>
      <x:c r="F21" s="80" t="n">
        <x:v>164</x:v>
      </x:c>
      <x:c r="G21" s="534" t="str">
        <x:v>N</x:v>
      </x:c>
      <x:c r="H21" s="80" t="n">
        <x:v>3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2026-08-25</x:v>
      </x:c>
      <x:c r="B22" s="31" t="str">
        <x:v>A25-T09</x:v>
      </x:c>
      <x:c r="C22" s="31" t="str">
        <x:v>CREATED</x:v>
      </x:c>
      <x:c r="D22" s="31" t="str">
        <x:v>Ohtani 1+ hit + Elder U4.5 Ks + Freeman 2+ TB</x:v>
      </x:c>
      <x:c r="E22" s="538" t="n">
        <x:v>1</x:v>
      </x:c>
      <x:c r="F22" s="80" t="n">
        <x:v>385</x:v>
      </x:c>
      <x:c r="G22" s="534" t="str">
        <x:v>Y</x:v>
      </x:c>
      <x:c r="H22" s="80" t="n">
        <x:v>3</x:v>
      </x:c>
      <x:c r="I22" s="534" t="str">
        <x:v>Loss</x:v>
      </x:c>
      <x:c r="J22" s="538" t="n">
        <x:v>0</x:v>
      </x:c>
      <x:c r="K22" s="538" t="n">
        <x:v>-1</x:v>
      </x:c>
      <x:c r="L22" s="31" t="str">
        <x:v>MLB SGP boost</x:v>
      </x:c>
      <x:c r="M22" s="31" t="str">
        <x:v>Raw price shown +296; promo qualification should be checked pre-submit next time.</x:v>
      </x:c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2026-08-25</x:v>
      </x:c>
      <x:c r="B23" s="31" t="str">
        <x:v>A25-T10</x:v>
      </x:c>
      <x:c r="C23" s="31" t="str">
        <x:v>ADJUSTED</x:v>
      </x:c>
      <x:c r="D23" s="31" t="str">
        <x:v>CLE/LAA NRFI + PIT/SD NRFI</x:v>
      </x:c>
      <x:c r="E23" s="538" t="n">
        <x:v>1</x:v>
      </x:c>
      <x:c r="F23" s="80" t="n">
        <x:v>164</x:v>
      </x:c>
      <x:c r="G23" s="534" t="str">
        <x:v>N</x:v>
      </x:c>
      <x:c r="H23" s="80" t="n">
        <x:v>2</x:v>
      </x:c>
      <x:c r="I23" s="534" t="str">
        <x:v>Loss</x:v>
      </x:c>
      <x:c r="J23" s="538" t="n">
        <x:v>0</x:v>
      </x:c>
      <x:c r="K23" s="538" t="n">
        <x:v>-1</x:v>
      </x:c>
      <x:c r="L23" s="31" t="str"/>
      <x:c r="M23" s="31" t="str">
        <x:v>Removed BOS/MIA NRFI from source 3-leg; removed leg won.</x:v>
      </x:c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2026-08-22</x:v>
      </x:c>
      <x:c r="B24" s="31" t="str">
        <x:v>A22-T01</x:v>
      </x:c>
      <x:c r="C24" s="31" t="str">
        <x:v>SOURCED</x:v>
      </x:c>
      <x:c r="D24" s="31" t="str">
        <x:v>Jones 5+ Ks + Atlanta Dream ML</x:v>
      </x:c>
      <x:c r="E24" s="538" t="n">
        <x:v>1</x:v>
      </x:c>
      <x:c r="F24" s="80" t="n">
        <x:v>126</x:v>
      </x:c>
      <x:c r="G24" s="534" t="str">
        <x:v>N</x:v>
      </x:c>
      <x:c r="H24" s="80" t="n">
        <x:v>2</x:v>
      </x:c>
      <x:c r="I24" s="534" t="str"/>
      <x:c r="J24" s="538" t="str"/>
      <x:c r="K24" s="538" t="str"/>
      <x:c r="L24" s="31" t="str"/>
      <x:c r="M24" s="31" t="str">
        <x:v>Backfilled from project context; result pending exact reconciliation.</x:v>
      </x:c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2026-08-22</x:v>
      </x:c>
      <x:c r="B25" s="31" t="str">
        <x:v>A22-T02</x:v>
      </x:c>
      <x:c r="C25" s="31" t="str">
        <x:v>SOURCED</x:v>
      </x:c>
      <x:c r="D25" s="31" t="str">
        <x:v>Yandy Diaz 1+ hit + Bobby Witt Jr. 1+ hit + Willson Contreras 1+ hit</x:v>
      </x:c>
      <x:c r="E25" s="538" t="n">
        <x:v>1</x:v>
      </x:c>
      <x:c r="F25" s="80" t="n">
        <x:v>152</x:v>
      </x:c>
      <x:c r="G25" s="534" t="str">
        <x:v>N</x:v>
      </x:c>
      <x:c r="H25" s="80" t="n">
        <x:v>3</x:v>
      </x:c>
      <x:c r="I25" s="534" t="str"/>
      <x:c r="J25" s="538" t="str"/>
      <x:c r="K25" s="538" t="str"/>
      <x:c r="L25" s="31" t="str"/>
      <x:c r="M25" s="31" t="str">
        <x:v>Backfilled from project context; result pending.</x:v>
      </x:c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2026-08-22</x:v>
      </x:c>
      <x:c r="B26" s="31" t="str">
        <x:v>A22-T03</x:v>
      </x:c>
      <x:c r="C26" s="31" t="str">
        <x:v>SOURCED</x:v>
      </x:c>
      <x:c r="D26" s="31" t="str">
        <x:v>Tatis 2+ TB + Lindor 1+ hit</x:v>
      </x:c>
      <x:c r="E26" s="538" t="n">
        <x:v>1</x:v>
      </x:c>
      <x:c r="F26" s="80" t="n">
        <x:v>188</x:v>
      </x:c>
      <x:c r="G26" s="534" t="str">
        <x:v>N</x:v>
      </x:c>
      <x:c r="H26" s="80" t="n">
        <x:v>2</x:v>
      </x:c>
      <x:c r="I26" s="534" t="str"/>
      <x:c r="J26" s="538" t="str"/>
      <x:c r="K26" s="538" t="str"/>
      <x:c r="L26" s="31" t="str"/>
      <x:c r="M26" s="31" t="str">
        <x:v>Backfilled from project context; result pending.</x:v>
      </x:c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2026-08-22</x:v>
      </x:c>
      <x:c r="B27" s="31" t="str">
        <x:v>A22-T04</x:v>
      </x:c>
      <x:c r="C27" s="31" t="str">
        <x:v>SOURCED</x:v>
      </x:c>
      <x:c r="D27" s="31" t="str">
        <x:v>McClanahan 4+ Ks + Painter 3+ Ks + Skubal 8+ Ks</x:v>
      </x:c>
      <x:c r="E27" s="538" t="n">
        <x:v>1</x:v>
      </x:c>
      <x:c r="F27" s="80" t="n">
        <x:v>207</x:v>
      </x:c>
      <x:c r="G27" s="534" t="str">
        <x:v>Y</x:v>
      </x:c>
      <x:c r="H27" s="80" t="n">
        <x:v>3</x:v>
      </x:c>
      <x:c r="I27" s="534" t="str"/>
      <x:c r="J27" s="538" t="str"/>
      <x:c r="K27" s="538" t="str"/>
      <x:c r="L27" s="31" t="str"/>
      <x:c r="M27" s="31" t="str">
        <x:v>Backfilled from project context; result pending.</x:v>
      </x:c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2026-08-22</x:v>
      </x:c>
      <x:c r="B28" s="31" t="str">
        <x:v>A22-T05</x:v>
      </x:c>
      <x:c r="C28" s="31" t="str">
        <x:v>SOURCED</x:v>
      </x:c>
      <x:c r="D28" s="31" t="str">
        <x:v>Scott 5+ Ks + Bichette 1+ hit + Lindor 2+ HRR + Kwan 1+ hit + DeLauter 1+ hit</x:v>
      </x:c>
      <x:c r="E28" s="538" t="n">
        <x:v>1</x:v>
      </x:c>
      <x:c r="F28" s="80" t="n">
        <x:v>300</x:v>
      </x:c>
      <x:c r="G28" s="534" t="str">
        <x:v>Y</x:v>
      </x:c>
      <x:c r="H28" s="80" t="n">
        <x:v>5</x:v>
      </x:c>
      <x:c r="I28" s="534" t="str"/>
      <x:c r="J28" s="538" t="str"/>
      <x:c r="K28" s="538" t="str"/>
      <x:c r="L28" s="31" t="str">
        <x:v>SGPx</x:v>
      </x:c>
      <x:c r="M28" s="31" t="str">
        <x:v>Approx. +300 from prior project context; final price/result pending.</x:v>
      </x:c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2026-08-22</x:v>
      </x:c>
      <x:c r="B29" s="31" t="str">
        <x:v>A22-T06</x:v>
      </x:c>
      <x:c r="C29" s="31" t="str">
        <x:v>SOURCED</x:v>
      </x:c>
      <x:c r="D29" s="31" t="str">
        <x:v>Brandon Lowe 2+ TB + Corey Seager 2+ TB</x:v>
      </x:c>
      <x:c r="E29" s="538" t="n">
        <x:v>1</x:v>
      </x:c>
      <x:c r="F29" s="80" t="n">
        <x:v>324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2026-08-22</x:v>
      </x:c>
      <x:c r="B30" s="31" t="str">
        <x:v>A22-T07</x:v>
      </x:c>
      <x:c r="C30" s="31" t="str">
        <x:v>SOURCED</x:v>
      </x:c>
      <x:c r="D30" s="31" t="str">
        <x:v>Soroka O15.5 outs + Wilyer 2+ HRR + Howard 20+ P+A + Clark 8+ AST</x:v>
      </x:c>
      <x:c r="E30" s="538" t="n">
        <x:v>1</x:v>
      </x:c>
      <x:c r="F30" s="80" t="n">
        <x:v>410</x:v>
      </x:c>
      <x:c r="G30" s="534" t="str">
        <x:v>Y</x:v>
      </x:c>
      <x:c r="H30" s="80" t="n">
        <x:v>4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2026-08-22</x:v>
      </x:c>
      <x:c r="B31" s="31" t="str">
        <x:v>A22-T08</x:v>
      </x:c>
      <x:c r="C31" s="31" t="str">
        <x:v>SOURCED</x:v>
      </x:c>
      <x:c r="D31" s="31" t="str">
        <x:v>Jordan Walker 2+ HRR + Pete Alonso 2+ HRR + Ceddanne Rafaela 2+ HRR</x:v>
      </x:c>
      <x:c r="E31" s="538" t="n">
        <x:v>1</x:v>
      </x:c>
      <x:c r="F31" s="80" t="n">
        <x:v>467</x:v>
      </x:c>
      <x:c r="G31" s="534" t="str">
        <x:v>N</x:v>
      </x:c>
      <x:c r="H31" s="80" t="n">
        <x:v>3</x:v>
      </x:c>
      <x:c r="I31" s="534" t="str"/>
      <x:c r="J31" s="538" t="str"/>
      <x:c r="K31" s="538" t="str"/>
      <x:c r="L31" s="31" t="str"/>
      <x:c r="M31" s="31" t="str">
        <x:v>Backfilled from project context; result pending.</x:v>
      </x:c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 t="str">
        <x:v>2026-08-22</x:v>
      </x:c>
      <x:c r="B32" s="31" t="str">
        <x:v>A22-T09</x:v>
      </x:c>
      <x:c r="C32" s="31" t="str">
        <x:v>HYBRID</x:v>
      </x:c>
      <x:c r="D32" s="31" t="str">
        <x:v>PCA 2+ TB + Pete Alonso 2+ H+R+RBI + Painter 3+ Ks</x:v>
      </x:c>
      <x:c r="E32" s="538" t="n">
        <x:v>1</x:v>
      </x:c>
      <x:c r="F32" s="80" t="str"/>
      <x:c r="G32" s="534" t="str">
        <x:v>N</x:v>
      </x:c>
      <x:c r="H32" s="80" t="n">
        <x:v>3</x:v>
      </x:c>
      <x:c r="I32" s="534" t="str"/>
      <x:c r="J32" s="538" t="str"/>
      <x:c r="K32" s="538" t="str"/>
      <x:c r="L32" s="31" t="str"/>
      <x:c r="M32" s="31" t="str">
        <x:v>Additional placed card from project context; exact odds/result pending.</x:v>
      </x:c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 t="str">
        <x:v>2026-08-22</x:v>
      </x:c>
      <x:c r="B33" s="31" t="str">
        <x:v>A22-T10</x:v>
      </x:c>
      <x:c r="C33" s="31" t="str">
        <x:v>SOURCED</x:v>
      </x:c>
      <x:c r="D33" s="31" t="str">
        <x:v>Dead NRFI ticket — matchup pending reconstruction</x:v>
      </x:c>
      <x:c r="E33" s="538" t="n">
        <x:v>1</x:v>
      </x:c>
      <x:c r="F33" s="80" t="str"/>
      <x:c r="G33" s="534" t="str">
        <x:v>N</x:v>
      </x:c>
      <x:c r="H33" s="80" t="str"/>
      <x:c r="I33" s="534" t="str">
        <x:v>Loss</x:v>
      </x:c>
      <x:c r="J33" s="538" t="n">
        <x:v>0</x:v>
      </x:c>
      <x:c r="K33" s="538" t="n">
        <x:v>-1</x:v>
      </x:c>
      <x:c r="L33" s="31" t="str">
        <x:v>NRFI</x:v>
      </x:c>
      <x:c r="M33" s="31" t="str">
        <x:v>Known dead $1 NRFI; exact matchup still needs reconstruction.</x:v>
      </x:c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 t="str">
        <x:v>2026-08-23</x:v>
      </x:c>
      <x:c r="B34" s="31" t="str">
        <x:v>A23-T01</x:v>
      </x:c>
      <x:c r="C34" s="31" t="str">
        <x:v>SOURCED</x:v>
      </x:c>
      <x:c r="D34" s="31" t="str">
        <x:v>STL/PHI NRFI + CHC/SEA NRFI</x:v>
      </x:c>
      <x:c r="E34" s="538" t="n">
        <x:v>1</x:v>
      </x:c>
      <x:c r="F34" s="80" t="n">
        <x:v>194</x:v>
      </x:c>
      <x:c r="G34" s="534" t="str">
        <x:v>N</x:v>
      </x:c>
      <x:c r="H34" s="80" t="n">
        <x:v>2</x:v>
      </x:c>
      <x:c r="I34" s="534" t="str">
        <x:v>Loss</x:v>
      </x:c>
      <x:c r="J34" s="538" t="n">
        <x:v>0</x:v>
      </x:c>
      <x:c r="K34" s="538" t="n">
        <x:v>-1</x:v>
      </x:c>
      <x:c r="L34" s="31" t="str"/>
      <x:c r="M34" s="31" t="str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 t="str">
        <x:v>2026-08-23</x:v>
      </x:c>
      <x:c r="B35" s="31" t="str">
        <x:v>A23-T02</x:v>
      </x:c>
      <x:c r="C35" s="31" t="str">
        <x:v>SOURCED</x:v>
      </x:c>
      <x:c r="D35" s="31" t="str">
        <x:v>Ohtani 2+ TB + Tatis 2+ TB + Carroll 2+ TB</x:v>
      </x:c>
      <x:c r="E35" s="538" t="n">
        <x:v>1</x:v>
      </x:c>
      <x:c r="F35" s="80" t="n">
        <x:v>578</x:v>
      </x:c>
      <x:c r="G35" s="534" t="str">
        <x:v>N</x:v>
      </x:c>
      <x:c r="H35" s="80" t="n">
        <x:v>3</x:v>
      </x:c>
      <x:c r="I35" s="534" t="str">
        <x:v>Loss</x:v>
      </x:c>
      <x:c r="J35" s="538" t="n">
        <x:v>0</x:v>
      </x:c>
      <x:c r="K35" s="538" t="n">
        <x:v>-1</x:v>
      </x:c>
      <x:c r="L35" s="31" t="str"/>
      <x:c r="M35" s="31" t="str">
        <x:v>Ohtani miss killed ticket; other legs pending exact reconciliation.</x:v>
      </x:c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 t="str">
        <x:v>2026-08-23</x:v>
      </x:c>
      <x:c r="B36" s="31" t="str">
        <x:v>A23-T03</x:v>
      </x:c>
      <x:c r="C36" s="31" t="str">
        <x:v>SOURCED</x:v>
      </x:c>
      <x:c r="D36" s="31" t="str">
        <x:v>Cardoso O27.5 PRA + Bryce Miller O4.5 hits allowed + McLean O17.5 outs</x:v>
      </x:c>
      <x:c r="E36" s="538" t="n">
        <x:v>1</x:v>
      </x:c>
      <x:c r="F36" s="80" t="n">
        <x:v>453</x:v>
      </x:c>
      <x:c r="G36" s="534" t="str">
        <x:v>N</x:v>
      </x:c>
      <x:c r="H36" s="80" t="n">
        <x:v>3</x:v>
      </x:c>
      <x:c r="I36" s="534" t="str">
        <x:v>Loss</x:v>
      </x:c>
      <x:c r="J36" s="538" t="n">
        <x:v>0</x:v>
      </x:c>
      <x:c r="K36" s="538" t="n">
        <x:v>-1</x:v>
      </x:c>
      <x:c r="L36" s="31" t="str"/>
      <x:c r="M36" s="31" t="str">
        <x:v>Miller leg missed; other unresolved details preserved.</x:v>
      </x:c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 t="str">
        <x:v>2026-08-23</x:v>
      </x:c>
      <x:c r="B37" s="31" t="str">
        <x:v>A23-T04</x:v>
      </x:c>
      <x:c r="C37" s="31" t="str">
        <x:v>SOURCED</x:v>
      </x:c>
      <x:c r="D37" s="31" t="str">
        <x:v>WNBA +131 ticket — legs pending reconstruction</x:v>
      </x:c>
      <x:c r="E37" s="538" t="n">
        <x:v>1</x:v>
      </x:c>
      <x:c r="F37" s="80" t="n">
        <x:v>131</x:v>
      </x:c>
      <x:c r="G37" s="534" t="str">
        <x:v>N</x:v>
      </x:c>
      <x:c r="H37" s="80" t="str"/>
      <x:c r="I37" s="534" t="str"/>
      <x:c r="J37" s="538" t="str"/>
      <x:c r="K37" s="538" t="str"/>
      <x:c r="L37" s="31" t="str"/>
      <x:c r="M37" s="31" t="str">
        <x:v>Ticket existed on placed card; exact legs/result still need screenshot reconciliation.</x:v>
      </x:c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 t="str">
        <x:v>2026-08-23</x:v>
      </x:c>
      <x:c r="B38" s="31" t="str">
        <x:v>A23-T05</x:v>
      </x:c>
      <x:c r="C38" s="31" t="str">
        <x:v>HYBRID</x:v>
      </x:c>
      <x:c r="D38" s="31" t="str">
        <x:v>McLean O17.5 outs + Ohtani 2+ TB + Martinez 4+ Ks</x:v>
      </x:c>
      <x:c r="E38" s="538" t="n">
        <x:v>1</x:v>
      </x:c>
      <x:c r="F38" s="80" t="n">
        <x:v>421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McLean and Martinez hit; Ohtani missed.</x:v>
      </x:c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 t="str">
        <x:v>2026-08-23</x:v>
      </x:c>
      <x:c r="B39" s="31" t="str">
        <x:v>A23-T06</x:v>
      </x:c>
      <x:c r="C39" s="31" t="str">
        <x:v>SOURCED</x:v>
      </x:c>
      <x:c r="D39" s="31" t="str">
        <x:v>Soriano 5+ Ks + Martinez 4+ Ks + Imanaga 5+ Ks</x:v>
      </x:c>
      <x:c r="E39" s="538" t="n">
        <x:v>1</x:v>
      </x:c>
      <x:c r="F39" s="80" t="n">
        <x:v>263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Soriano/Martinez hit; Imanaga finished at 4.</x:v>
      </x:c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 t="str">
        <x:v>2026-08-23</x:v>
      </x:c>
      <x:c r="B40" s="31" t="str">
        <x:v>A23-T07</x:v>
      </x:c>
      <x:c r="C40" s="31" t="str">
        <x:v>SOURCED</x:v>
      </x:c>
      <x:c r="D40" s="31" t="str">
        <x:v>Neto 1+ hit + Kody Clemens 1+ hit + Michael Harris II 1+ hit</x:v>
      </x:c>
      <x:c r="E40" s="538" t="n">
        <x:v>1</x:v>
      </x:c>
      <x:c r="F40" s="80" t="n">
        <x:v>244</x:v>
      </x:c>
      <x:c r="G40" s="534" t="str">
        <x:v>N</x:v>
      </x:c>
      <x:c r="H40" s="80" t="n">
        <x:v>3</x:v>
      </x:c>
      <x:c r="I40" s="534" t="str">
        <x:v>Loss</x:v>
      </x:c>
      <x:c r="J40" s="538" t="n">
        <x:v>0</x:v>
      </x:c>
      <x:c r="K40" s="538" t="n">
        <x:v>-1</x:v>
      </x:c>
      <x:c r="L40" s="31" t="str"/>
      <x:c r="M40" s="31" t="str">
        <x:v>Neto hit; Clemens missed; Harris result pending.</x:v>
      </x:c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 t="str">
        <x:v>2026-08-23</x:v>
      </x:c>
      <x:c r="B41" s="31" t="str">
        <x:v>A23-T08</x:v>
      </x:c>
      <x:c r="C41" s="31" t="str">
        <x:v>SOURCED</x:v>
      </x:c>
      <x:c r="D41" s="31" t="str">
        <x:v>Mitchell/Austin roller</x:v>
      </x:c>
      <x:c r="E41" s="538" t="n">
        <x:v>14.99</x:v>
      </x:c>
      <x:c r="F41" s="80" t="n">
        <x:v>-143</x:v>
      </x:c>
      <x:c r="G41" s="534" t="str">
        <x:v>N</x:v>
      </x:c>
      <x:c r="H41" s="80" t="n">
        <x:v>2</x:v>
      </x:c>
      <x:c r="I41" s="534" t="str"/>
      <x:c r="J41" s="538" t="str"/>
      <x:c r="K41" s="538" t="str"/>
      <x:c r="L41" s="31" t="str">
        <x:v>Roller</x:v>
      </x:c>
      <x:c r="M41" s="31" t="str">
        <x:v>Exact thresholds/result pending reconstruction.</x:v>
      </x:c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 t="str">
        <x:v>2026-08-23</x:v>
      </x:c>
      <x:c r="B42" s="31" t="str">
        <x:v>A23-T09</x:v>
      </x:c>
      <x:c r="C42" s="31" t="str">
        <x:v>SOURCED</x:v>
      </x:c>
      <x:c r="D42" s="31" t="str">
        <x:v>Citron + Engstler + WAS/POR O166.5</x:v>
      </x:c>
      <x:c r="E42" s="538" t="n">
        <x:v>1</x:v>
      </x:c>
      <x:c r="F42" s="80" t="n">
        <x:v>475</x:v>
      </x:c>
      <x:c r="G42" s="534" t="str">
        <x:v>Y</x:v>
      </x:c>
      <x:c r="H42" s="80" t="n">
        <x:v>3</x:v>
      </x:c>
      <x:c r="I42" s="534" t="str"/>
      <x:c r="J42" s="538" t="str"/>
      <x:c r="K42" s="538" t="str"/>
      <x:c r="L42" s="31" t="str">
        <x:v>WNBA boost</x:v>
      </x:c>
      <x:c r="M42" s="31" t="str">
        <x:v>Exact player markets/result pending reconstruction.</x:v>
      </x:c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 t="str">
        <x:v>2026-08-23</x:v>
      </x:c>
      <x:c r="B43" s="31" t="str">
        <x:v>A23-T10</x:v>
      </x:c>
      <x:c r="C43" s="31" t="str">
        <x:v>SOURCED</x:v>
      </x:c>
      <x:c r="D43" s="31" t="str">
        <x:v>Drohan + Chourio + Mahle</x:v>
      </x:c>
      <x:c r="E43" s="538" t="n">
        <x:v>1</x:v>
      </x:c>
      <x:c r="F43" s="80" t="n">
        <x:v>410</x:v>
      </x:c>
      <x:c r="G43" s="534" t="str">
        <x:v>N</x:v>
      </x:c>
      <x:c r="H43" s="80" t="n">
        <x:v>3</x:v>
      </x:c>
      <x:c r="I43" s="534" t="str"/>
      <x:c r="J43" s="538" t="str"/>
      <x:c r="K43" s="538" t="str"/>
      <x:c r="L43" s="31" t="str"/>
      <x:c r="M43" s="31" t="str">
        <x:v>Exact markets/result pending reconstruction.</x:v>
      </x:c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 t="str">
        <x:v>2026-08-23</x:v>
      </x:c>
      <x:c r="B44" s="31" t="str">
        <x:v>A23-T11</x:v>
      </x:c>
      <x:c r="C44" s="31" t="str">
        <x:v>SOURCED</x:v>
      </x:c>
      <x:c r="D44" s="31" t="str">
        <x:v>Jackson Chourio 2+ TB</x:v>
      </x:c>
      <x:c r="E44" s="538" t="n">
        <x:v>5</x:v>
      </x:c>
      <x:c r="F44" s="80" t="n">
        <x:v>127</x:v>
      </x:c>
      <x:c r="G44" s="534" t="str">
        <x:v>N</x:v>
      </x:c>
      <x:c r="H44" s="80" t="n">
        <x:v>1</x:v>
      </x:c>
      <x:c r="I44" s="534" t="str"/>
      <x:c r="J44" s="538" t="str"/>
      <x:c r="K44" s="538" t="str"/>
      <x:c r="L44" s="31" t="str">
        <x:v>Conviction single</x:v>
      </x:c>
      <x:c r="M44" s="31" t="str">
        <x:v>Outcome pending reconstruction.</x:v>
      </x:c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 t="str">
        <x:v>2026-08-26</x:v>
      </x:c>
      <x:c r="B45" s="31" t="str">
        <x:v>A26-T01</x:v>
      </x:c>
      <x:c r="C45" s="31" t="str">
        <x:v>HYBRID</x:v>
      </x:c>
      <x:c r="D45" s="31" t="str">
        <x:v>Real Madrid ML + O3.5 goals + Real Madrid O6.5 team corners</x:v>
      </x:c>
      <x:c r="E45" s="538" t="n">
        <x:v>1</x:v>
      </x:c>
      <x:c r="F45" s="80" t="n">
        <x:v>328</x:v>
      </x:c>
      <x:c r="G45" s="534" t="str">
        <x:v>Y</x:v>
      </x:c>
      <x:c r="H45" s="80" t="n">
        <x:v>3</x:v>
      </x:c>
      <x:c r="I45" s="534" t="str">
        <x:v>Loss</x:v>
      </x:c>
      <x:c r="J45" s="538" t="n">
        <x:v>0</x:v>
      </x:c>
      <x:c r="K45" s="538" t="n">
        <x:v>-1</x:v>
      </x:c>
      <x:c r="L45" s="31" t="str">
        <x:v>25% Real Madrid SGP boost</x:v>
      </x:c>
      <x:c r="M45" s="31" t="str">
        <x:v>Madrid lost only on RMA O6.5 team corners. ML and O3.5 goals won; O10.5 total-corners pregame alternative would have cashed. Execution O/U mistake did not change final outcome.</x:v>
      </x:c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 t="str">
        <x:v>2026-08-26</x:v>
      </x:c>
      <x:c r="B46" s="31" t="str">
        <x:v>A26-T02</x:v>
      </x:c>
      <x:c r="C46" s="31" t="str">
        <x:v>HYBRID</x:v>
      </x:c>
      <x:c r="D46" s="31" t="str">
        <x:v>Cleveland Guardians ML — 2 Runs Up Early Win</x:v>
      </x:c>
      <x:c r="E46" s="538" t="n">
        <x:v>1</x:v>
      </x:c>
      <x:c r="F46" s="80" t="n">
        <x:v>-135</x:v>
      </x:c>
      <x:c r="G46" s="534" t="str">
        <x:v>Y</x:v>
      </x:c>
      <x:c r="H46" s="80" t="n">
        <x:v>1</x:v>
      </x:c>
      <x:c r="I46" s="534" t="str">
        <x:v>Win</x:v>
      </x:c>
      <x:c r="J46" s="538" t="n">
        <x:v>1.74</x:v>
      </x:c>
      <x:c r="K46" s="538" t="n">
        <x:v>0.74</x:v>
      </x:c>
      <x:c r="L46" s="31" t="str">
        <x:v>Up 2 Early Win</x:v>
      </x:c>
      <x:c r="M46" s="31" t="str">
        <x:v>CLE won 4-3. Early Win two-run trigger never activated; standard ML still cashed.</x:v>
      </x:c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 t="str">
        <x:v>2026-08-26</x:v>
      </x:c>
      <x:c r="B47" s="31" t="str">
        <x:v>A26-T03</x:v>
      </x:c>
      <x:c r="C47" s="31" t="str">
        <x:v>DISCOVERED</x:v>
      </x:c>
      <x:c r="D47" s="31" t="str">
        <x:v>Jesús Luzardo 8+ strikeouts</x:v>
      </x:c>
      <x:c r="E47" s="538" t="n">
        <x:v>1</x:v>
      </x:c>
      <x:c r="F47" s="80" t="n">
        <x:v>-114</x:v>
      </x:c>
      <x:c r="G47" s="534" t="str">
        <x:v>Y</x:v>
      </x:c>
      <x:c r="H47" s="80" t="n">
        <x:v>1</x:v>
      </x:c>
      <x:c r="I47" s="534" t="str">
        <x:v>Win</x:v>
      </x:c>
      <x:c r="J47" s="538" t="n">
        <x:v>1.88</x:v>
      </x:c>
      <x:c r="K47" s="538" t="n">
        <x:v>0.88</x:v>
      </x:c>
      <x:c r="L47" s="31" t="str">
        <x:v>50% MLB Strikeouts Boost</x:v>
      </x:c>
      <x:c r="M47" s="31" t="str">
        <x:v>Luzardo 8+ Ks won with 9. Boosted price -114; base -172.</x:v>
      </x:c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 t="str">
        <x:v>2026-08-26</x:v>
      </x:c>
      <x:c r="B48" s="31" t="str">
        <x:v>A26-T04</x:v>
      </x:c>
      <x:c r="C48" s="31" t="str">
        <x:v>DISCOVERED</x:v>
      </x:c>
      <x:c r="D48" s="31" t="str">
        <x:v>Bryan Woo U17.5 outs</x:v>
      </x:c>
      <x:c r="E48" s="538" t="n">
        <x:v>1</x:v>
      </x:c>
      <x:c r="F48" s="80" t="n">
        <x:v>-112</x:v>
      </x:c>
      <x:c r="G48" s="534" t="str">
        <x:v>N</x:v>
      </x:c>
      <x:c r="H48" s="80" t="n">
        <x:v>1</x:v>
      </x:c>
      <x:c r="I48" s="534" t="str">
        <x:v>Win</x:v>
      </x:c>
      <x:c r="J48" s="538" t="n">
        <x:v>1.89</x:v>
      </x:c>
      <x:c r="K48" s="538" t="n">
        <x:v>0.89</x:v>
      </x:c>
      <x:c r="L48" s="31" t="str"/>
      <x:c r="M48" s="31" t="str">
        <x:v>Woo U17.5 outs won comfortably: 4.0 IP / 12 outs.</x:v>
      </x:c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 t="str">
        <x:v>2026-08-26</x:v>
      </x:c>
      <x:c r="B49" s="31" t="str">
        <x:v>A26-T05</x:v>
      </x:c>
      <x:c r="C49" s="31" t="str">
        <x:v>DISCOVERED</x:v>
      </x:c>
      <x:c r="D49" s="31" t="str">
        <x:v>Yordan Alvarez 2+ TB + Sal Stewart 1+ H+R+RBI</x:v>
      </x:c>
      <x:c r="E49" s="538" t="n">
        <x:v>1</x:v>
      </x:c>
      <x:c r="F49" s="80" t="n">
        <x:v>158</x:v>
      </x:c>
      <x:c r="G49" s="534" t="str">
        <x:v>N</x:v>
      </x:c>
      <x:c r="H49" s="80" t="n">
        <x:v>2</x:v>
      </x:c>
      <x:c r="I49" s="534" t="str">
        <x:v>Loss</x:v>
      </x:c>
      <x:c r="J49" s="538" t="n">
        <x:v>0</x:v>
      </x:c>
      <x:c r="K49" s="538" t="n">
        <x:v>-1</x:v>
      </x:c>
      <x:c r="L49" s="31" t="str"/>
      <x:c r="M49" s="31" t="str">
        <x:v>Sal 1+ HRR won; Yordan 2+ TB lost by one base (1-for-4 single). Market-expression/threshold miss.</x:v>
      </x:c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 t="str">
        <x:v>2026-08-26</x:v>
      </x:c>
      <x:c r="B50" s="31" t="str">
        <x:v>A26-T06</x:v>
      </x:c>
      <x:c r="C50" s="31" t="str">
        <x:v>DISCOVERED</x:v>
      </x:c>
      <x:c r="D50" s="31" t="str">
        <x:v>Randy Dobnak U15.5 outs</x:v>
      </x:c>
      <x:c r="E50" s="538" t="n">
        <x:v>1</x:v>
      </x:c>
      <x:c r="F50" s="80" t="n">
        <x:v>-101</x:v>
      </x:c>
      <x:c r="G50" s="534" t="str">
        <x:v>N</x:v>
      </x:c>
      <x:c r="H50" s="80" t="n">
        <x:v>1</x:v>
      </x:c>
      <x:c r="I50" s="534" t="str">
        <x:v>Loss</x:v>
      </x:c>
      <x:c r="J50" s="538" t="n">
        <x:v>0</x:v>
      </x:c>
      <x:c r="K50" s="538" t="n">
        <x:v>-1</x:v>
      </x:c>
      <x:c r="L50" s="31" t="str"/>
      <x:c r="M50" s="31" t="str">
        <x:v>Dobnak U15.5 lost: 6.0 IP / 18 outs. Paper U16.5 also lost; bad workload handicap, not threshold choice.</x:v>
      </x:c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 t="str">
        <x:v>2026-08-27</x:v>
      </x:c>
      <x:c r="B51" s="31" t="str">
        <x:v>A27-T01</x:v>
      </x:c>
      <x:c r="C51" s="31" t="str">
        <x:v>DISCOVERED</x:v>
      </x:c>
      <x:c r="D51" s="31" t="str">
        <x:v>Gabriel Hughes U15.5 outs</x:v>
      </x:c>
      <x:c r="E51" s="538" t="n">
        <x:v>1</x:v>
      </x:c>
      <x:c r="F51" s="80" t="n">
        <x:v>-125</x:v>
      </x:c>
      <x:c r="G51" s="534" t="str">
        <x:v>N</x:v>
      </x:c>
      <x:c r="H51" s="80" t="n">
        <x:v>1</x:v>
      </x:c>
      <x:c r="I51" s="534" t="str">
        <x:v>Win</x:v>
      </x:c>
      <x:c r="J51" s="538" t="n">
        <x:v>1.8</x:v>
      </x:c>
      <x:c r="K51" s="538" t="n">
        <x:v>0.8</x:v>
      </x:c>
      <x:c r="L51" s="31" t="str"/>
      <x:c r="M51" s="31" t="str">
        <x:v>Placed at -125. Independent EXP-01 workload/outs candidate.</x:v>
      </x:c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 t="str">
        <x:v>2026-08-27</x:v>
      </x:c>
      <x:c r="B52" s="31" t="str">
        <x:v>A27-T02</x:v>
      </x:c>
      <x:c r="C52" s="31" t="str">
        <x:v>HYBRID</x:v>
      </x:c>
      <x:c r="D52" s="31" t="str">
        <x:v>Barcelona -1.5 + BTTS No + O9.5 total corners</x:v>
      </x:c>
      <x:c r="E52" s="538" t="n">
        <x:v>1</x:v>
      </x:c>
      <x:c r="F52" s="80" t="n">
        <x:v>407</x:v>
      </x:c>
      <x:c r="G52" s="534" t="str">
        <x:v>Y</x:v>
      </x:c>
      <x:c r="H52" s="80" t="n">
        <x:v>3</x:v>
      </x:c>
      <x:c r="I52" s="534" t="str">
        <x:v>Win</x:v>
      </x:c>
      <x:c r="J52" s="538" t="n">
        <x:v>5.07</x:v>
      </x:c>
      <x:c r="K52" s="538" t="n">
        <x:v>4.07</x:v>
      </x:c>
      <x:c r="L52" s="31" t="str">
        <x:v>25% Barcelona SGP boost</x:v>
      </x:c>
      <x:c r="M52" s="31" t="str">
        <x:v>Raw +325; boosted +407. Total corners chosen over Barcelona team corners.</x:v>
      </x:c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 t="str">
        <x:v>2026-08-27</x:v>
      </x:c>
      <x:c r="B53" s="31" t="str">
        <x:v>A27-T03</x:v>
      </x:c>
      <x:c r="C53" s="31" t="str">
        <x:v>HYBRID</x:v>
      </x:c>
      <x:c r="D53" s="31" t="str">
        <x:v>Walker 2+ HRR + Witt 2+ HRR + Caglianone 2+ HRR</x:v>
      </x:c>
      <x:c r="E53" s="538" t="n">
        <x:v>1</x:v>
      </x:c>
      <x:c r="F53" s="80" t="n">
        <x:v>568</x:v>
      </x:c>
      <x:c r="G53" s="534" t="str">
        <x:v>Y</x:v>
      </x:c>
      <x:c r="H53" s="80" t="n">
        <x:v>3</x:v>
      </x:c>
      <x:c r="I53" s="534" t="str">
        <x:v>Win</x:v>
      </x:c>
      <x:c r="J53" s="538" t="n">
        <x:v>6.68</x:v>
      </x:c>
      <x:c r="K53" s="538" t="n">
        <x:v>5.68</x:v>
      </x:c>
      <x:c r="L53" s="31" t="str">
        <x:v>50% MLB SGP(x) boost</x:v>
      </x:c>
      <x:c r="M53" s="31" t="str">
        <x:v>Raw +378; boosted +568. Witt + Caglianone form KC/TOR SGP core; Walker is outside SGPx leg.</x:v>
      </x:c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 t="str">
        <x:v>2026-08-27</x:v>
      </x:c>
      <x:c r="B54" s="31" t="str">
        <x:v>A27-T04</x:v>
      </x:c>
      <x:c r="C54" s="31" t="str">
        <x:v>HYBRID</x:v>
      </x:c>
      <x:c r="D54" s="31" t="str">
        <x:v>Alyssa Thomas 8+ assists</x:v>
      </x:c>
      <x:c r="E54" s="538" t="n">
        <x:v>1</x:v>
      </x:c>
      <x:c r="F54" s="80" t="n">
        <x:v>-112</x:v>
      </x:c>
      <x:c r="G54" s="534" t="str">
        <x:v>Y</x:v>
      </x:c>
      <x:c r="H54" s="80" t="n">
        <x:v>1</x:v>
      </x:c>
      <x:c r="I54" s="534" t="str">
        <x:v>Win</x:v>
      </x:c>
      <x:c r="J54" s="538" t="n">
        <x:v>1.89</x:v>
      </x:c>
      <x:c r="K54" s="538" t="n">
        <x:v>0.89</x:v>
      </x:c>
      <x:c r="L54" s="31" t="str">
        <x:v>30% WNBA player prop boost</x:v>
      </x:c>
      <x:c r="M54" s="31" t="str">
        <x:v>Raw -147; boosted to -112. Lower 8+ threshold chosen over 9+ +112.</x:v>
      </x:c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 t="str">
        <x:v>2026-08-28</x:v>
      </x:c>
      <x:c r="B55" s="31" t="str">
        <x:v>A28-T01</x:v>
      </x:c>
      <x:c r="C55" s="31" t="str">
        <x:v>HYBRID</x:v>
      </x:c>
      <x:c r="D55" s="31" t="str">
        <x:v>Jackie Young 5+ REB + Naz Hillmon O14.5 P+R + Dearica Hamby 15+ P+R</x:v>
      </x:c>
      <x:c r="E55" s="538" t="n">
        <x:v>1</x:v>
      </x:c>
      <x:c r="F55" s="80" t="n">
        <x:v>463</x:v>
      </x:c>
      <x:c r="G55" s="534" t="str">
        <x:v>Y</x:v>
      </x:c>
      <x:c r="H55" s="80" t="n">
        <x:v>3</x:v>
      </x:c>
      <x:c r="I55" s="534" t="str">
        <x:v>Loss</x:v>
      </x:c>
      <x:c r="J55" s="538" t="n">
        <x:v>0</x:v>
      </x:c>
      <x:c r="K55" s="538" t="n">
        <x:v>-1</x:v>
      </x:c>
      <x:c r="L55" s="31" t="str">
        <x:v>30% WNBA 3-leg +300 boost</x:v>
      </x:c>
      <x:c r="M55" s="31" t="str">
        <x:v>Final: Young 4 REB L; Hillmon 19 P+R W; Hamby 13 P+R L. Ticket 1/3.</x:v>
      </x:c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 t="str">
        <x:v>2026-08-28</x:v>
      </x:c>
      <x:c r="B56" s="31" t="str">
        <x:v>A28-T02</x:v>
      </x:c>
      <x:c r="C56" s="31" t="str">
        <x:v>HYBRID</x:v>
      </x:c>
      <x:c r="D56" s="31" t="str">
        <x:v>Man City ML + Bayern ML + Lille/PSG BTTS Yes</x:v>
      </x:c>
      <x:c r="E56" s="538" t="n">
        <x:v>1</x:v>
      </x:c>
      <x:c r="F56" s="80" t="n">
        <x:v>236</x:v>
      </x:c>
      <x:c r="G56" s="534" t="str">
        <x:v>N</x:v>
      </x:c>
      <x:c r="H56" s="80" t="n">
        <x:v>3</x:v>
      </x:c>
      <x:c r="I56" s="534" t="str">
        <x:v>Win</x:v>
      </x:c>
      <x:c r="J56" s="538" t="n">
        <x:v>3.36</x:v>
      </x:c>
      <x:c r="K56" s="538" t="n">
        <x:v>2.36</x:v>
      </x:c>
      <x:c r="L56" s="31" t="str"/>
      <x:c r="M56" s="31" t="str">
        <x:v>Final: Man City ML W (4-1), Bayern ML W (5-1), Lille/PSG BTTS W (2-2). Ticket 3/3.</x:v>
      </x:c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 t="str">
        <x:v>2026-08-28</x:v>
      </x:c>
      <x:c r="B57" s="31" t="str">
        <x:v>A28-T03</x:v>
      </x:c>
      <x:c r="C57" s="31" t="str">
        <x:v>HYBRID</x:v>
      </x:c>
      <x:c r="D57" s="31" t="str">
        <x:v>Dylan Cease O7.5 K + Matt Olson 2+ TB + Tomoyuki Sugano O5.5 hits allowed</x:v>
      </x:c>
      <x:c r="E57" s="538" t="n">
        <x:v>1</x:v>
      </x:c>
      <x:c r="F57" s="80" t="n">
        <x:v>545</x:v>
      </x:c>
      <x:c r="G57" s="534" t="str">
        <x:v>Y</x:v>
      </x:c>
      <x:c r="H57" s="80" t="n">
        <x:v>3</x:v>
      </x:c>
      <x:c r="I57" s="534" t="str">
        <x:v>Loss</x:v>
      </x:c>
      <x:c r="J57" s="538" t="n">
        <x:v>0</x:v>
      </x:c>
      <x:c r="K57" s="538" t="n">
        <x:v>-1</x:v>
      </x:c>
      <x:c r="L57" s="31" t="str">
        <x:v>50% MLB 3-leg +300 SGP(x) boost</x:v>
      </x:c>
      <x:c r="M57" s="31" t="str">
        <x:v>Final: Cease O7.5 K W (8); Olson 2+ TB L (1 TB); Sugano O5.5 HA W (10). Ticket 2/3.</x:v>
      </x:c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 t="str">
        <x:v>2026-08-28</x:v>
      </x:c>
      <x:c r="B58" s="31" t="str">
        <x:v>A28-T04</x:v>
      </x:c>
      <x:c r="C58" s="31" t="str">
        <x:v>HYBRID</x:v>
      </x:c>
      <x:c r="D58" s="31" t="str">
        <x:v>Matt Olson HR</x:v>
      </x:c>
      <x:c r="E58" s="538" t="n">
        <x:v>1</x:v>
      </x:c>
      <x:c r="F58" s="80" t="n">
        <x:v>356</x:v>
      </x:c>
      <x:c r="G58" s="534" t="str">
        <x:v>Y</x:v>
      </x:c>
      <x:c r="H58" s="80" t="n">
        <x:v>1</x:v>
      </x:c>
      <x:c r="I58" s="534" t="str">
        <x:v>Loss</x:v>
      </x:c>
      <x:c r="J58" s="538" t="n">
        <x:v>0</x:v>
      </x:c>
      <x:c r="K58" s="538" t="n">
        <x:v>-1</x:v>
      </x:c>
      <x:c r="L58" s="31" t="str">
        <x:v>50% MLB Home Run boost</x:v>
      </x:c>
      <x:c r="M58" s="31" t="str">
        <x:v>Final: Matt Olson 1-for-5, no HR.</x:v>
      </x:c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 t="str">
        <x:v>2026-08-29</x:v>
      </x:c>
      <x:c r="B59" s="31" t="str">
        <x:v>A29-T01</x:v>
      </x:c>
      <x:c r="C59" s="31" t="str">
        <x:v>HYBRID</x:v>
      </x:c>
      <x:c r="D59" s="31" t="str">
        <x:v>Bournemouth/Everton O1.5 goals + Dortmund O6.5 team corners + Tottenham/Newcastle O2.5 goals</x:v>
      </x:c>
      <x:c r="E59" s="538" t="n">
        <x:v>1</x:v>
      </x:c>
      <x:c r="F59" s="80" t="n">
        <x:v>242</x:v>
      </x:c>
      <x:c r="G59" s="534" t="str">
        <x:v>N</x:v>
      </x:c>
      <x:c r="H59" s="80" t="n">
        <x:v>3</x:v>
      </x:c>
      <x:c r="I59" s="534" t="str">
        <x:v>Loss</x:v>
      </x:c>
      <x:c r="J59" s="538" t="n">
        <x:v>0</x:v>
      </x:c>
      <x:c r="K59" s="538" t="n">
        <x:v>-1</x:v>
      </x:c>
      <x:c r="L59" s="31" t="str"/>
      <x:c r="M59" s="31" t="str">
        <x:v>Final: BOU/EVE O1.5 W; Dortmund O6.5 team corners L; TOT/NEW O2.5 L. Original sourced Dortmund 2+ team goals won. Market-expression adjustment miss on Dortmund.</x:v>
      </x:c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2026-08-29</x:v>
      </x:c>
      <x:c r="B60" s="31" t="str">
        <x:v>A29-T02</x:v>
      </x:c>
      <x:c r="C60" s="31" t="str">
        <x:v>HYBRID</x:v>
      </x:c>
      <x:c r="D60" s="31" t="str">
        <x:v>TCU -6.5 + Eastern Michigan -6.5 + Jacksonville State +10.5</x:v>
      </x:c>
      <x:c r="E60" s="538" t="n">
        <x:v>1</x:v>
      </x:c>
      <x:c r="F60" s="80" t="n">
        <x:v>450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CFB Week 0 50% Boost</x:v>
      </x:c>
      <x:c r="M60" s="31" t="str">
        <x:v>Raw +299; final boosted +450. TCU -6.5 L (UNC 15-10); EMU -6.5 W (28-17); JAX +10.5 L (NDSU 33-7). Ticket 1/3.</x:v>
      </x:c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2026-08-29</x:v>
      </x:c>
      <x:c r="B61" s="31" t="str">
        <x:v>A29-T03</x:v>
      </x:c>
      <x:c r="C61" s="31" t="str">
        <x:v>HYBRID</x:v>
      </x:c>
      <x:c r="D61" s="31" t="str">
        <x:v>King Miller 60+ rushing + Hawaii +4.5 + Memphis/UNLV O56.5</x:v>
      </x:c>
      <x:c r="E61" s="538" t="n">
        <x:v>1</x:v>
      </x:c>
      <x:c r="F61" s="80" t="n">
        <x:v>650</x:v>
      </x:c>
      <x:c r="G61" s="534" t="str">
        <x:v>Y</x:v>
      </x:c>
      <x:c r="H61" s="80" t="n">
        <x:v>3</x:v>
      </x:c>
      <x:c r="I61" s="534" t="str">
        <x:v>Loss</x:v>
      </x:c>
      <x:c r="J61" s="538" t="n">
        <x:v>0</x:v>
      </x:c>
      <x:c r="K61" s="538" t="n">
        <x:v>-1</x:v>
      </x:c>
      <x:c r="L61" s="31" t="str">
        <x:v>CFB Week 0 50% Parlay Boost</x:v>
      </x:c>
      <x:c r="M61" s="31" t="str">
        <x:v>Raw +433; final boosted +650. King Miller 60+ W (63); Hawaii +4.5 L (27-37); MEM/UNLV O56.5 L (27-21 = 48). Ticket 1/3.</x:v>
      </x:c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2026-08-29</x:v>
      </x:c>
      <x:c r="B62" s="31" t="str">
        <x:v>A29-T04</x:v>
      </x:c>
      <x:c r="C62" s="31" t="str">
        <x:v>HYBRID</x:v>
      </x:c>
      <x:c r="D62" s="31" t="str">
        <x:v>Tatis 2+ TB + Caminero 2+ HRR + Drake Baldwin 2+ TB</x:v>
      </x:c>
      <x:c r="E62" s="538" t="n">
        <x:v>1</x:v>
      </x:c>
      <x:c r="F62" s="80" t="n">
        <x:v>778</x:v>
      </x:c>
      <x:c r="G62" s="534" t="str">
        <x:v>Y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>
        <x:v>50% MLB SGP(x) boost</x:v>
      </x:c>
      <x:c r="M62" s="31" t="str">
        <x:v>Raw +518; boosted +778. Tatis L; Caminero W; Baldwin L. Two 2+ TB legs failed; composite HRR leg won.</x:v>
      </x:c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2026-08-29</x:v>
      </x:c>
      <x:c r="B63" s="31" t="str">
        <x:v>A29-T05</x:v>
      </x:c>
      <x:c r="C63" s="31" t="str">
        <x:v>HYBRID</x:v>
      </x:c>
      <x:c r="D63" s="31" t="str">
        <x:v>MIA/WSH NRFI + KC/CLE NRFI</x:v>
      </x:c>
      <x:c r="E63" s="538" t="n">
        <x:v>1</x:v>
      </x:c>
      <x:c r="F63" s="80" t="n">
        <x:v>201</x:v>
      </x:c>
      <x:c r="G63" s="534" t="str">
        <x:v>N</x:v>
      </x:c>
      <x:c r="H63" s="80" t="n">
        <x:v>2</x:v>
      </x:c>
      <x:c r="I63" s="534" t="str">
        <x:v>Win</x:v>
      </x:c>
      <x:c r="J63" s="538" t="n">
        <x:v>3.01</x:v>
      </x:c>
      <x:c r="K63" s="538" t="n">
        <x:v>2.01</x:v>
      </x:c>
      <x:c r="L63" s="31" t="str"/>
      <x:c r="M63" s="31" t="str">
        <x:v>Both selected NRFIs won. SEA/TOR (the omitted third source leg) also won, so the pruning reduced ticket exposure/variance but did not improve the realized outcome on this slate.</x:v>
      </x:c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2026-08-29</x:v>
      </x:c>
      <x:c r="B64" s="31" t="str">
        <x:v>A29-T06</x:v>
      </x:c>
      <x:c r="C64" s="31" t="str">
        <x:v>HYBRID</x:v>
      </x:c>
      <x:c r="D64" s="31" t="str">
        <x:v>Bryce Harper 2+ total bases</x:v>
      </x:c>
      <x:c r="E64" s="538" t="n">
        <x:v>1</x:v>
      </x:c>
      <x:c r="F64" s="80" t="n">
        <x:v>176</x:v>
      </x:c>
      <x:c r="G64" s="534" t="str">
        <x:v>Y</x:v>
      </x:c>
      <x:c r="H64" s="80" t="n">
        <x:v>1</x:v>
      </x:c>
      <x:c r="I64" s="534" t="str">
        <x:v>Loss</x:v>
      </x:c>
      <x:c r="J64" s="538" t="n">
        <x:v>0</x:v>
      </x:c>
      <x:c r="K64" s="538" t="n">
        <x:v>-1</x:v>
      </x:c>
      <x:c r="L64" s="31" t="str">
        <x:v>50% MLB Batter Props Boost</x:v>
      </x:c>
      <x:c r="M64" s="31" t="str">
        <x:v>Raw +117; boosted +176. Harper 2+ TB lost. Single structure was disciplined; result treated primarily as hitter/TB variance with some recent-form overweight risk.</x:v>
      </x:c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2026-08-30</x:v>
      </x:c>
      <x:c r="B65" s="31" t="str">
        <x:v>A30-T01</x:v>
      </x:c>
      <x:c r="C65" s="31" t="str">
        <x:v>HYBRID</x:v>
      </x:c>
      <x:c r="D65" s="31" t="str">
        <x:v>Matthew Liberatore 6+ strikeouts</x:v>
      </x:c>
      <x:c r="E65" s="538" t="n">
        <x:v>1</x:v>
      </x:c>
      <x:c r="F65" s="80" t="n">
        <x:v>-138</x:v>
      </x:c>
      <x:c r="G65" s="534" t="str">
        <x:v>N</x:v>
      </x:c>
      <x:c r="H65" s="80" t="n">
        <x:v>1</x:v>
      </x:c>
      <x:c r="I65" s="534" t="str">
        <x:v>Win</x:v>
      </x:c>
      <x:c r="J65" s="538" t="n">
        <x:v>1.72</x:v>
      </x:c>
      <x:c r="K65" s="538" t="n">
        <x:v>0.72</x:v>
      </x:c>
      <x:c r="L65" s="31" t="str"/>
      <x:c r="M65" s="31" t="str">
        <x:v>Final: 9 K.</x:v>
      </x:c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2026-08-30</x:v>
      </x:c>
      <x:c r="B66" s="31" t="str">
        <x:v>A30-T02</x:v>
      </x:c>
      <x:c r="C66" s="31" t="str">
        <x:v>HYBRID</x:v>
      </x:c>
      <x:c r="D66" s="31" t="str">
        <x:v>Christian Yelich 2+ H+R+RBI</x:v>
      </x:c>
      <x:c r="E66" s="538" t="n">
        <x:v>1</x:v>
      </x:c>
      <x:c r="F66" s="80" t="n">
        <x:v>-130</x:v>
      </x:c>
      <x:c r="G66" s="534" t="str">
        <x:v>N</x:v>
      </x:c>
      <x:c r="H66" s="80" t="n">
        <x:v>1</x:v>
      </x:c>
      <x:c r="I66" s="534" t="str">
        <x:v>Loss</x:v>
      </x:c>
      <x:c r="J66" s="538" t="n">
        <x:v>0</x:v>
      </x:c>
      <x:c r="K66" s="538" t="n">
        <x:v>-1</x:v>
      </x:c>
      <x:c r="L66" s="31" t="str"/>
      <x:c r="M66" s="31" t="str">
        <x:v>Final: 0-for-4, no H/R/RBI.</x:v>
      </x:c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2026-08-30</x:v>
      </x:c>
      <x:c r="B67" s="31" t="str">
        <x:v>A30-T03</x:v>
      </x:c>
      <x:c r="C67" s="31" t="str">
        <x:v>DISCOVERED</x:v>
      </x:c>
      <x:c r="D67" s="31" t="str">
        <x:v>Will Warren O4.5 hits allowed</x:v>
      </x:c>
      <x:c r="E67" s="538" t="n">
        <x:v>1</x:v>
      </x:c>
      <x:c r="F67" s="80" t="n">
        <x:v>-148</x:v>
      </x:c>
      <x:c r="G67" s="534" t="str">
        <x:v>N</x:v>
      </x:c>
      <x:c r="H67" s="80" t="n">
        <x:v>1</x:v>
      </x:c>
      <x:c r="I67" s="534" t="str">
        <x:v>Win</x:v>
      </x:c>
      <x:c r="J67" s="538" t="n">
        <x:v>1.68</x:v>
      </x:c>
      <x:c r="K67" s="538" t="n">
        <x:v>0.68</x:v>
      </x:c>
      <x:c r="L67" s="31" t="str"/>
      <x:c r="M67" s="31" t="str">
        <x:v>Final: 6 hits allowed.</x:v>
      </x:c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 t="str">
        <x:v>2026-08-30</x:v>
      </x:c>
      <x:c r="B68" s="31" t="str">
        <x:v>A30-T04</x:v>
      </x:c>
      <x:c r="C68" s="31" t="str">
        <x:v>HYBRID</x:v>
      </x:c>
      <x:c r="D68" s="31" t="str">
        <x:v>Real Madrid O2.5 team goals + Vinicius 1+ SOT + Mbappe 3+ SOT</x:v>
      </x:c>
      <x:c r="E68" s="538" t="n">
        <x:v>1</x:v>
      </x:c>
      <x:c r="F68" s="80" t="n">
        <x:v>120</x:v>
      </x:c>
      <x:c r="G68" s="534" t="str">
        <x:v>N</x:v>
      </x:c>
      <x:c r="H68" s="80" t="n">
        <x:v>3</x:v>
      </x:c>
      <x:c r="I68" s="534" t="str">
        <x:v>Loss</x:v>
      </x:c>
      <x:c r="J68" s="538" t="n">
        <x:v>0</x:v>
      </x:c>
      <x:c r="K68" s="538" t="n">
        <x:v>-1</x:v>
      </x:c>
      <x:c r="L68" s="31" t="str"/>
      <x:c r="M68" s="31" t="str">
        <x:v>Madrid goals W (4); Vini SOT L (0); Mbappe 3+ SOT W (4).</x:v>
      </x:c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2026-08-30</x:v>
      </x:c>
      <x:c r="B69" s="31" t="str">
        <x:v>A30-T05</x:v>
      </x:c>
      <x:c r="C69" s="31" t="str">
        <x:v>HYBRID</x:v>
      </x:c>
      <x:c r="D69" s="31" t="str">
        <x:v>Mbeumo 1+ SOT + Bruno Fernandes 1+ SOT + Julio Enciso 2+ shots</x:v>
      </x:c>
      <x:c r="E69" s="538" t="n">
        <x:v>1</x:v>
      </x:c>
      <x:c r="F69" s="80" t="str"/>
      <x:c r="G69" s="534" t="str">
        <x:v>N</x:v>
      </x:c>
      <x:c r="H69" s="80" t="n">
        <x:v>3</x:v>
      </x:c>
      <x:c r="I69" s="534" t="str">
        <x:v>Win</x:v>
      </x:c>
      <x:c r="J69" s="538" t="str"/>
      <x:c r="K69" s="538" t="str"/>
      <x:c r="L69" s="31" t="str"/>
      <x:c r="M69" s="31" t="str">
        <x:v>All three legs won. Exact ticket odds/payout not recovered; retained as confirmed W without fabricated economics.</x:v>
      </x:c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2026-08-30</x:v>
      </x:c>
      <x:c r="B70" s="31" t="str">
        <x:v>A30-T06</x:v>
      </x:c>
      <x:c r="C70" s="31" t="str">
        <x:v>HYBRID</x:v>
      </x:c>
      <x:c r="D70" s="31" t="str">
        <x:v>WNBA real ticket: Reese 12+ REB + Nneka 8+ REB + Engstler 10+ PTS</x:v>
      </x:c>
      <x:c r="E70" s="538" t="n">
        <x:v>1</x:v>
      </x:c>
      <x:c r="F70" s="80" t="str"/>
      <x:c r="G70" s="534" t="str">
        <x:v>N</x:v>
      </x:c>
      <x:c r="H70" s="80" t="n">
        <x:v>3</x:v>
      </x:c>
      <x:c r="I70" s="534" t="str">
        <x:v>Loss</x:v>
      </x:c>
      <x:c r="J70" s="538" t="n">
        <x:v>0</x:v>
      </x:c>
      <x:c r="K70" s="538" t="n">
        <x:v>-1</x:v>
      </x:c>
      <x:c r="L70" s="31" t="str"/>
      <x:c r="M70" s="31" t="str">
        <x:v>Reese L (11); Nneka W (12); Engstler W (12). Exact odds not recovered.</x:v>
      </x:c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2026-08-30</x:v>
      </x:c>
      <x:c r="B71" s="31" t="str">
        <x:v>A30-T07</x:v>
      </x:c>
      <x:c r="C71" s="31" t="str">
        <x:v>HYBRID</x:v>
      </x:c>
      <x:c r="D71" s="31" t="str">
        <x:v>MLB real ticket including Yordan 2+ TB + Wheeler 7+ K + Bohm 2+ HRR</x:v>
      </x:c>
      <x:c r="E71" s="538" t="n">
        <x:v>1</x:v>
      </x:c>
      <x:c r="F71" s="80" t="str"/>
      <x:c r="G71" s="534" t="str">
        <x:v>Y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>
        <x:v>MLB promo construction</x:v>
      </x:c>
      <x:c r="M71" s="31" t="str">
        <x:v>Yordan L; Wheeler L by one K; Bohm L. Exact final odds not recovered.</x:v>
      </x:c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2026-09-01</x:v>
      </x:c>
      <x:c r="B72" s="31" t="str">
        <x:v>S01-T01</x:v>
      </x:c>
      <x:c r="C72" s="31" t="str">
        <x:v>HYBRID</x:v>
      </x:c>
      <x:c r="D72" s="31" t="str">
        <x:v>Bryan Woo 5+ K + Freddy Peralta 5+ K + Junior Caminero 2+ H+R+RBI</x:v>
      </x:c>
      <x:c r="E72" s="538" t="n">
        <x:v>1</x:v>
      </x:c>
      <x:c r="F72" s="80" t="n">
        <x:v>454</x:v>
      </x:c>
      <x:c r="G72" s="534" t="str">
        <x:v>Y</x:v>
      </x:c>
      <x:c r="H72" s="80" t="n">
        <x:v>3</x:v>
      </x:c>
      <x:c r="I72" s="534" t="str">
        <x:v>Win</x:v>
      </x:c>
      <x:c r="J72" s="538" t="n">
        <x:v>5.54</x:v>
      </x:c>
      <x:c r="K72" s="538" t="n">
        <x:v>4.54</x:v>
      </x:c>
      <x:c r="L72" s="31" t="str">
        <x:v>50% MLB SGP(x) Boost</x:v>
      </x:c>
      <x:c r="M72" s="31" t="str">
        <x:v>Raw +302; boosted +454. 2-pick NYM@TB SGP core (+144) plus Woo outside leg (-154). All 3 legs won.</x:v>
      </x:c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2026-09-01</x:v>
      </x:c>
      <x:c r="B73" s="31" t="str">
        <x:v>S01-T02</x:v>
      </x:c>
      <x:c r="C73" s="31" t="str">
        <x:v>HYBRID</x:v>
      </x:c>
      <x:c r="D73" s="31" t="str">
        <x:v>Jordan Walker 1+ Home Run</x:v>
      </x:c>
      <x:c r="E73" s="538" t="n">
        <x:v>1</x:v>
      </x:c>
      <x:c r="F73" s="80" t="n">
        <x:v>441</x:v>
      </x:c>
      <x:c r="G73" s="534" t="str">
        <x:v>Y</x:v>
      </x:c>
      <x:c r="H73" s="80" t="n">
        <x:v>1</x:v>
      </x:c>
      <x:c r="I73" s="534" t="str">
        <x:v>Win</x:v>
      </x:c>
      <x:c r="J73" s="538" t="n">
        <x:v>5.41</x:v>
      </x:c>
      <x:c r="K73" s="538" t="n">
        <x:v>4.41</x:v>
      </x:c>
      <x:c r="L73" s="31" t="str">
        <x:v>50% HR Boost</x:v>
      </x:c>
      <x:c r="M73" s="31" t="str">
        <x:v>Raw +294; boosted +441. Walker homered; paid $5.41.</x:v>
      </x:c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2026-09-02</x:v>
      </x:c>
      <x:c r="B74" s="31" t="str">
        <x:v>S02-T01</x:v>
      </x:c>
      <x:c r="C74" s="31" t="str">
        <x:v>HYBRID</x:v>
      </x:c>
      <x:c r="D74" s="31" t="str">
        <x:v>Yordan Alvarez 2+ total bases</x:v>
      </x:c>
      <x:c r="E74" s="538" t="n">
        <x:v>1</x:v>
      </x:c>
      <x:c r="F74" s="80" t="n">
        <x:v>-105</x:v>
      </x:c>
      <x:c r="G74" s="534" t="str">
        <x:v>N</x:v>
      </x:c>
      <x:c r="H74" s="80" t="n">
        <x:v>1</x:v>
      </x:c>
      <x:c r="I74" s="534" t="str">
        <x:v>Win</x:v>
      </x:c>
      <x:c r="J74" s="538" t="n">
        <x:v>1.95</x:v>
      </x:c>
      <x:c r="K74" s="538" t="n">
        <x:v>0.95</x:v>
      </x:c>
      <x:c r="L74" s="31" t="str"/>
      <x:c r="M74" s="31" t="str">
        <x:v>Placed from finalized preliminary card; exact DK screenshot confirms -105.</x:v>
      </x:c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2026-09-02</x:v>
      </x:c>
      <x:c r="B75" s="31" t="str">
        <x:v>S02-T02</x:v>
      </x:c>
      <x:c r="C75" s="31" t="str">
        <x:v>HYBRID</x:v>
      </x:c>
      <x:c r="D75" s="31" t="str">
        <x:v>Junior Caminero 2+ total bases</x:v>
      </x:c>
      <x:c r="E75" s="538" t="n">
        <x:v>1</x:v>
      </x:c>
      <x:c r="F75" s="80" t="n">
        <x:v>152</x:v>
      </x:c>
      <x:c r="G75" s="534" t="str">
        <x:v>Y</x:v>
      </x:c>
      <x:c r="H75" s="80" t="n">
        <x:v>1</x:v>
      </x:c>
      <x:c r="I75" s="534" t="str">
        <x:v>Loss</x:v>
      </x:c>
      <x:c r="J75" s="538" t="n">
        <x:v>0</x:v>
      </x:c>
      <x:c r="K75" s="538" t="n">
        <x:v>-1</x:v>
      </x:c>
      <x:c r="L75" s="31" t="str">
        <x:v>50% Any Sport Boost</x:v>
      </x:c>
      <x:c r="M75" s="31" t="str">
        <x:v>Raw +101; boosted to +152. Natural +100 qualifier; no threshold inflation.</x:v>
      </x:c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2026-09-02</x:v>
      </x:c>
      <x:c r="B76" s="31" t="str">
        <x:v>S02-T03</x:v>
      </x:c>
      <x:c r="C76" s="31" t="str">
        <x:v>HYBRID</x:v>
      </x:c>
      <x:c r="D76" s="31" t="str">
        <x:v>Dylan Cease 7+ strikeouts</x:v>
      </x:c>
      <x:c r="E76" s="538" t="n">
        <x:v>1</x:v>
      </x:c>
      <x:c r="F76" s="80" t="n">
        <x:v>-106</x:v>
      </x:c>
      <x:c r="G76" s="534" t="str">
        <x:v>N</x:v>
      </x:c>
      <x:c r="H76" s="80" t="n">
        <x:v>1</x:v>
      </x:c>
      <x:c r="I76" s="534" t="str">
        <x:v>Loss</x:v>
      </x:c>
      <x:c r="J76" s="538" t="n">
        <x:v>0</x:v>
      </x:c>
      <x:c r="K76" s="538" t="n">
        <x:v>-1</x:v>
      </x:c>
      <x:c r="L76" s="31" t="str"/>
      <x:c r="M76" s="31" t="str">
        <x:v>Placed at -106 after K-vs-outs price comparison.</x:v>
      </x:c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2026-09-02</x:v>
      </x:c>
      <x:c r="B77" s="31" t="str">
        <x:v>S02-T04</x:v>
      </x:c>
      <x:c r="C77" s="31" t="str">
        <x:v>HYBRID</x:v>
      </x:c>
      <x:c r="D77" s="31" t="str">
        <x:v>Jacob Misiorowski O17.5 outs</x:v>
      </x:c>
      <x:c r="E77" s="538" t="n">
        <x:v>1</x:v>
      </x:c>
      <x:c r="F77" s="80" t="n">
        <x:v>-136</x:v>
      </x:c>
      <x:c r="G77" s="534" t="str">
        <x:v>N</x:v>
      </x:c>
      <x:c r="H77" s="80" t="n">
        <x:v>1</x:v>
      </x:c>
      <x:c r="I77" s="534" t="str">
        <x:v>Loss</x:v>
      </x:c>
      <x:c r="J77" s="538" t="n">
        <x:v>0</x:v>
      </x:c>
      <x:c r="K77" s="538" t="n">
        <x:v>-1</x:v>
      </x:c>
      <x:c r="L77" s="31" t="str"/>
      <x:c r="M77" s="31" t="str">
        <x:v>Placed at -136; observed earlier at -131. Workload expression chosen over 8+ K.</x:v>
      </x:c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2026-09-02</x:v>
      </x:c>
      <x:c r="B78" s="31" t="str">
        <x:v>S02-T05</x:v>
      </x:c>
      <x:c r="C78" s="31" t="str">
        <x:v>HYBRID</x:v>
      </x:c>
      <x:c r="D78" s="31" t="str">
        <x:v>Pete Alonso 1+ home run</x:v>
      </x:c>
      <x:c r="E78" s="538" t="n">
        <x:v>1</x:v>
      </x:c>
      <x:c r="F78" s="80" t="n">
        <x:v>377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2–4 PM HR Boost</x:v>
      </x:c>
      <x:c r="M78" s="31" t="str">
        <x:v>Raw +251; boosted to +377. Eligible-game-window HR promo; selected after BAL@COL / PHI@ARI / ATH@TEX comparison.</x:v>
      </x:c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2026-09-02</x:v>
      </x:c>
      <x:c r="B79" s="31" t="str">
        <x:v>S02-T06</x:v>
      </x:c>
      <x:c r="C79" s="31" t="str">
        <x:v>HYBRID</x:v>
      </x:c>
      <x:c r="D79" s="31" t="str">
        <x:v>Noah Cameron 5+ K + Jackson Chourio 2+ H+R+RBI + William Contreras 2+ H+R+RBI</x:v>
      </x:c>
      <x:c r="E79" s="538" t="n">
        <x:v>1</x:v>
      </x:c>
      <x:c r="F79" s="80" t="n">
        <x:v>489</x:v>
      </x:c>
      <x:c r="G79" s="534" t="str">
        <x:v>Y</x:v>
      </x:c>
      <x:c r="H79" s="80" t="n">
        <x:v>3</x:v>
      </x:c>
      <x:c r="I79" s="534" t="str">
        <x:v>Win</x:v>
      </x:c>
      <x:c r="J79" s="538" t="n">
        <x:v>5.89</x:v>
      </x:c>
      <x:c r="K79" s="538" t="n">
        <x:v>4.89</x:v>
      </x:c>
      <x:c r="L79" s="31" t="str">
        <x:v>50% MLB SGP(x) Boost</x:v>
      </x:c>
      <x:c r="M79" s="31" t="str">
        <x:v>Raw +325; boosted +489. MIL@CHC 2-leg SGP core + Cameron outside leg. All 3 legs won.</x:v>
      </x:c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2026-09-03</x:v>
      </x:c>
      <x:c r="B80" s="31" t="str">
        <x:v>S03-T01</x:v>
      </x:c>
      <x:c r="C80" s="31" t="str">
        <x:v>HYBRID</x:v>
      </x:c>
      <x:c r="D80" s="31" t="str">
        <x:v>Yordan Alvarez 2+ total bases</x:v>
      </x:c>
      <x:c r="E80" s="538" t="n">
        <x:v>1</x:v>
      </x:c>
      <x:c r="F80" s="80" t="n">
        <x:v>109</x:v>
      </x:c>
      <x:c r="G80" s="534" t="str">
        <x:v>Y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>
        <x:v>50% Batter Boost</x:v>
      </x:c>
      <x:c r="M80" s="31" t="str">
        <x:v>Raw -138; boosted to +109. Yordan went 0-for-2 with a walk, hit by pitch and run.</x:v>
      </x:c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2026-09-03</x:v>
      </x:c>
      <x:c r="B81" s="31" t="str">
        <x:v>S03-T02</x:v>
      </x:c>
      <x:c r="C81" s="31" t="str">
        <x:v>INDEPENDENT</x:v>
      </x:c>
      <x:c r="D81" s="31" t="str">
        <x:v>Jake Bennett over 16.5 pitching outs</x:v>
      </x:c>
      <x:c r="E81" s="538" t="n">
        <x:v>1</x:v>
      </x:c>
      <x:c r="F81" s="80" t="n">
        <x:v>-112</x:v>
      </x:c>
      <x:c r="G81" s="534" t="str">
        <x:v>N</x:v>
      </x:c>
      <x:c r="H81" s="80" t="n">
        <x:v>1</x:v>
      </x:c>
      <x:c r="I81" s="534" t="str">
        <x:v>Win</x:v>
      </x:c>
      <x:c r="J81" s="538" t="n">
        <x:v>1.89</x:v>
      </x:c>
      <x:c r="K81" s="538" t="n">
        <x:v>0.89</x:v>
      </x:c>
      <x:c r="L81" s="31" t="str"/>
      <x:c r="M81" s="31" t="str">
        <x:v>Bennett completed 6.0 innings for 18 outs with 7 strikeouts.</x:v>
      </x:c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2026-09-03</x:v>
      </x:c>
      <x:c r="B82" s="31" t="str">
        <x:v>S03-T03</x:v>
      </x:c>
      <x:c r="C82" s="31" t="str">
        <x:v>HYBRID</x:v>
      </x:c>
      <x:c r="D82" s="31" t="str">
        <x:v>Jackson Chourio 2+ H+R+RBI + William Contreras 2+ H+R+RBI + Kade Anderson under 16.5 pitching outs</x:v>
      </x:c>
      <x:c r="E82" s="538" t="n">
        <x:v>1</x:v>
      </x:c>
      <x:c r="F82" s="80" t="n">
        <x:v>477</x:v>
      </x:c>
      <x:c r="G82" s="534" t="str">
        <x:v>Y</x:v>
      </x:c>
      <x:c r="H82" s="80" t="n">
        <x:v>3</x:v>
      </x:c>
      <x:c r="I82" s="534" t="str">
        <x:v>Loss</x:v>
      </x:c>
      <x:c r="J82" s="538" t="n">
        <x:v>0</x:v>
      </x:c>
      <x:c r="K82" s="538" t="n">
        <x:v>-1</x:v>
      </x:c>
      <x:c r="L82" s="31" t="str">
        <x:v>20% MLB SGP(x) Boost</x:v>
      </x:c>
      <x:c r="M82" s="31" t="str">
        <x:v>Raw +397; boosted to +477. Chourio and Contreras lost; Anderson won at 15 outs.</x:v>
      </x:c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2026-09-04</x:v>
      </x:c>
      <x:c r="B83" s="31" t="str">
        <x:v>S04-T01</x:v>
      </x:c>
      <x:c r="C83" s="31" t="str">
        <x:v>BOTH</x:v>
      </x:c>
      <x:c r="D83" s="31" t="str">
        <x:v>Como moneyline + Liverpool over 2.5 team goals + Real Madrid over 2.5 team goals</x:v>
      </x:c>
      <x:c r="E83" s="538" t="n">
        <x:v>1</x:v>
      </x:c>
      <x:c r="F83" s="80" t="n">
        <x:v>736</x:v>
      </x:c>
      <x:c r="G83" s="534" t="str">
        <x:v>Y</x:v>
      </x:c>
      <x:c r="H83" s="80" t="n">
        <x:v>3</x:v>
      </x:c>
      <x:c r="I83" s="534" t="str">
        <x:v>Loss</x:v>
      </x:c>
      <x:c r="J83" s="538" t="n">
        <x:v>0</x:v>
      </x:c>
      <x:c r="K83" s="538" t="n">
        <x:v>-1</x:v>
      </x:c>
      <x:c r="L83" s="31" t="str">
        <x:v>30% Soccer Parlay Boost</x:v>
      </x:c>
      <x:c r="M83" s="31" t="str">
        <x:v>FINAL from user-provided DraftKings screenshot. Como ML won 4-1; Liverpool O2.5 team goals lost with 2; Real Madrid O2.5 team goals lost with 0. Exact boosted settlement price remains uncaptured.</x:v>
      </x:c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 t="str">
        <x:v>2026-09-04</x:v>
      </x:c>
      <x:c r="B84" s="31" t="str">
        <x:v>S04-T02</x:v>
      </x:c>
      <x:c r="C84" s="31" t="str">
        <x:v>INDEPENDENT</x:v>
      </x:c>
      <x:c r="D84" s="31" t="str">
        <x:v>Miami -24.5 (-108) + Fresno State +22.5 (-118)</x:v>
      </x:c>
      <x:c r="E84" s="538" t="n">
        <x:v>1</x:v>
      </x:c>
      <x:c r="F84" s="80" t="n">
        <x:v>384</x:v>
      </x:c>
      <x:c r="G84" s="534" t="str">
        <x:v>Y</x:v>
      </x:c>
      <x:c r="H84" s="80" t="n">
        <x:v>2</x:v>
      </x:c>
      <x:c r="I84" s="534" t="str">
        <x:v>Loss</x:v>
      </x:c>
      <x:c r="J84" s="538" t="n">
        <x:v>0</x:v>
      </x:c>
      <x:c r="K84" s="538" t="n">
        <x:v>-1</x:v>
      </x:c>
      <x:c r="L84" s="31" t="str">
        <x:v>50% CFB Boost</x:v>
      </x:c>
      <x:c r="M84" s="31" t="str">
        <x:v>FINAL from user-provided DraftKings screenshot. Raw +235; boosted +384. Miami -24.5 won 45-6; Fresno State +22.5 lost 39-0.</x:v>
      </x:c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 t="str">
        <x:v>2026-09-04</x:v>
      </x:c>
      <x:c r="B85" s="31" t="str">
        <x:v>S04-T03</x:v>
      </x:c>
      <x:c r="C85" s="31" t="str">
        <x:v>INDEPENDENT</x:v>
      </x:c>
      <x:c r="D85" s="31" t="str">
        <x:v>Ozzie Albies 1+ hit + Lane Thomas 1+ hit + Hunter Goodman 2+ total bases</x:v>
      </x:c>
      <x:c r="E85" s="538" t="n">
        <x:v>1</x:v>
      </x:c>
      <x:c r="F85" s="80" t="n">
        <x:v>416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30% MLB SGPx Boost</x:v>
      </x:c>
      <x:c r="M85" s="31" t="str">
        <x:v>FINAL from user-provided DraftKings screenshot. Raw +319; boosted +416. Ozzie Albies 1+ hit won; Lane Thomas 1+ hit and Hunter Goodman 2+ total bases lost.</x:v>
      </x:c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 t="str">
        <x:v>2026-09-04</x:v>
      </x:c>
      <x:c r="B86" s="31" t="str">
        <x:v>S04-T04</x:v>
      </x:c>
      <x:c r="C86" s="31" t="str">
        <x:v>HYBRID</x:v>
      </x:c>
      <x:c r="D86" s="31" t="str">
        <x:v>Yordan Alvarez 1+ home run</x:v>
      </x:c>
      <x:c r="E86" s="538" t="n">
        <x:v>1</x:v>
      </x:c>
      <x:c r="F86" s="80" t="n">
        <x:v>323</x:v>
      </x:c>
      <x:c r="G86" s="534" t="str">
        <x:v>Y</x:v>
      </x:c>
      <x:c r="H86" s="80" t="n">
        <x:v>1</x:v>
      </x:c>
      <x:c r="I86" s="534" t="str">
        <x:v>Loss</x:v>
      </x:c>
      <x:c r="J86" s="538" t="n">
        <x:v>0</x:v>
      </x:c>
      <x:c r="K86" s="538" t="n">
        <x:v>-1</x:v>
      </x:c>
      <x:c r="L86" s="31" t="str">
        <x:v>50% MLB Home Run Boost</x:v>
      </x:c>
      <x:c r="M86" s="31" t="str">
        <x:v>FINAL from user-provided DraftKings screenshot. Raw +215; boosted +323. Yordan Alvarez did not homer.</x:v>
      </x:c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 t="str">
        <x:v>2026-09-05</x:v>
      </x:c>
      <x:c r="B87" s="31" t="str">
        <x:v>S05-T01</x:v>
      </x:c>
      <x:c r="C87" s="31" t="str">
        <x:v>INDEPENDENT</x:v>
      </x:c>
      <x:c r="D87" s="31" t="str">
        <x:v>Manchester City over 2.5 team goals</x:v>
      </x:c>
      <x:c r="E87" s="538" t="n">
        <x:v>1</x:v>
      </x:c>
      <x:c r="F87" s="80" t="n">
        <x:v>-134</x:v>
      </x:c>
      <x:c r="G87" s="534" t="str">
        <x:v>N</x:v>
      </x:c>
      <x:c r="H87" s="80" t="n">
        <x:v>1</x:v>
      </x:c>
      <x:c r="I87" s="534" t="str">
        <x:v>Pending</x:v>
      </x:c>
      <x:c r="J87" s="538" t="str"/>
      <x:c r="K87" s="538" t="str"/>
      <x:c r="L87" s="31" t="str"/>
      <x:c r="M87" s="31" t="str">
        <x:v>PLACED_USER_CONFIRMED from the user saying “Done” immediately after the exact $1 placement instruction. Settlement pending.</x:v>
      </x:c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 t="str">
        <x:v>2026-09-05</x:v>
      </x:c>
      <x:c r="B88" s="31" t="str">
        <x:v>S05-T02</x:v>
      </x:c>
      <x:c r="C88" s="31" t="str">
        <x:v>INDEPENDENT</x:v>
      </x:c>
      <x:c r="D88" s="31" t="str">
        <x:v>Makhi Hughes 76+ rushing yards</x:v>
      </x:c>
      <x:c r="E88" s="538" t="n">
        <x:v>1</x:v>
      </x:c>
      <x:c r="F88" s="80" t="n">
        <x:v>-118</x:v>
      </x:c>
      <x:c r="G88" s="534" t="str">
        <x:v>Y</x:v>
      </x:c>
      <x:c r="H88" s="80" t="n">
        <x:v>1</x:v>
      </x:c>
      <x:c r="I88" s="534" t="str">
        <x:v>Pending</x:v>
      </x:c>
      <x:c r="J88" s="538" t="str"/>
      <x:c r="K88" s="538" t="str"/>
      <x:c r="L88" s="31" t="str">
        <x:v>50% CFB Week 1 single boost</x:v>
      </x:c>
      <x:c r="M88" s="31" t="str">
        <x:v>PLACED_USER_CONFIRMED from “All 3 placed.” -118 is the captured raw line; exact boosted price and payout remain unavailable.</x:v>
      </x:c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 t="str">
        <x:v>2026-09-05</x:v>
      </x:c>
      <x:c r="B89" s="31" t="str">
        <x:v>S05-T03</x:v>
      </x:c>
      <x:c r="C89" s="31" t="str">
        <x:v>INDEPENDENT</x:v>
      </x:c>
      <x:c r="D89" s="31" t="str">
        <x:v>Amare Thomas 70+ receiving yards</x:v>
      </x:c>
      <x:c r="E89" s="538" t="n">
        <x:v>1</x:v>
      </x:c>
      <x:c r="F89" s="80" t="n">
        <x:v>101</x:v>
      </x:c>
      <x:c r="G89" s="534" t="str">
        <x:v>Y</x:v>
      </x:c>
      <x:c r="H89" s="80" t="n">
        <x:v>1</x:v>
      </x:c>
      <x:c r="I89" s="534" t="str">
        <x:v>Pending</x:v>
      </x:c>
      <x:c r="J89" s="538" t="str"/>
      <x:c r="K89" s="538" t="str"/>
      <x:c r="L89" s="31" t="str">
        <x:v>50% CFB Saturday +100 boost</x:v>
      </x:c>
      <x:c r="M89" s="31" t="str">
        <x:v>PLACED_USER_CONFIRMED from “All 3 placed.” +101 is the captured raw line; exact boosted price and payout remain unavailable.</x:v>
      </x:c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 t="str">
        <x:v>2026-09-05</x:v>
      </x:c>
      <x:c r="B90" s="31" t="str">
        <x:v>S05-T04</x:v>
      </x:c>
      <x:c r="C90" s="31" t="str">
        <x:v>INDEPENDENT</x:v>
      </x:c>
      <x:c r="D90" s="31" t="str">
        <x:v>Carson Hansen 80+ rushing yards + Kamari Moulton 70+ rushing yards + Dakorien Moore 50+ receiving yards</x:v>
      </x:c>
      <x:c r="E90" s="538" t="n">
        <x:v>1</x:v>
      </x:c>
      <x:c r="F90" s="80" t="str"/>
      <x:c r="G90" s="534" t="str">
        <x:v>Y</x:v>
      </x:c>
      <x:c r="H90" s="80" t="n">
        <x:v>3</x:v>
      </x:c>
      <x:c r="I90" s="534" t="str">
        <x:v>Loss</x:v>
      </x:c>
      <x:c r="J90" s="538" t="n">
        <x:v>0</x:v>
      </x:c>
      <x:c r="K90" s="538" t="n">
        <x:v>-1</x:v>
      </x:c>
      <x:c r="L90" s="31" t="str">
        <x:v>50% CFB Week 1 parlay boost</x:v>
      </x:c>
      <x:c r="M90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 t="str">
        <x:v>2026-09-06</x:v>
      </x:c>
      <x:c r="B91" s="31" t="str">
        <x:v>S06-T01</x:v>
      </x:c>
      <x:c r="C91" s="31" t="str">
        <x:v>INDEPENDENT</x:v>
      </x:c>
      <x:c r="D91" s="31" t="str">
        <x:v>Arsenal moneyline + Chelsea at Arsenal over 1.5 total goals</x:v>
      </x:c>
      <x:c r="E91" s="538" t="n">
        <x:v>1</x:v>
      </x:c>
      <x:c r="F91" s="80" t="n">
        <x:v>133</x:v>
      </x:c>
      <x:c r="G91" s="534" t="str">
        <x:v>Y</x:v>
      </x:c>
      <x:c r="H91" s="80" t="n">
        <x:v>2</x:v>
      </x:c>
      <x:c r="I91" s="534" t="str">
        <x:v>Win</x:v>
      </x:c>
      <x:c r="J91" s="538" t="n">
        <x:v>2.33</x:v>
      </x:c>
      <x:c r="K91" s="538" t="n">
        <x:v>1.33</x:v>
      </x:c>
      <x:c r="L91" s="31" t="str">
        <x:v>30% Arsenal vs Chelsea boost</x:v>
      </x:c>
      <x:c r="M91" s="31" t="str">
        <x:v>FINAL from user-submitted DraftKings results. Arsenal won 2-1; both Arsenal ML and over 1.5 goals cleared.</x:v>
      </x:c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 t="str">
        <x:v>2026-09-06</x:v>
      </x:c>
      <x:c r="B92" s="31" t="str">
        <x:v>S06-T02</x:v>
      </x:c>
      <x:c r="C92" s="31" t="str">
        <x:v>INDEPENDENT</x:v>
      </x:c>
      <x:c r="D92" s="31" t="str">
        <x:v>Stade Rennais moneyline + FC Augsburg at Eintracht Frankfurt under 3.5 total goals + AC Milan at Juventus under 2.5 total goals</x:v>
      </x:c>
      <x:c r="E92" s="538" t="n">
        <x:v>1</x:v>
      </x:c>
      <x:c r="F92" s="80" t="n">
        <x:v>638</x:v>
      </x:c>
      <x:c r="G92" s="534" t="str">
        <x:v>Y</x:v>
      </x:c>
      <x:c r="H92" s="80" t="n">
        <x:v>3</x:v>
      </x:c>
      <x:c r="I92" s="534" t="str">
        <x:v>Loss</x:v>
      </x:c>
      <x:c r="J92" s="538" t="n">
        <x:v>0</x:v>
      </x:c>
      <x:c r="K92" s="538" t="n">
        <x:v>-1</x:v>
      </x:c>
      <x:c r="L92" s="31" t="str">
        <x:v>30% soccer parlay boost</x:v>
      </x:c>
      <x:c r="M92" s="31" t="str">
        <x:v>FINAL from user-submitted DraftKings results. Rennes ML and Juventus/Milan under 2.5 won; Frankfurt/Augsburg under 3.5 lost in a 4-1 match.</x:v>
      </x:c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 t="str">
        <x:v>2026-09-06</x:v>
      </x:c>
      <x:c r="B93" s="31" t="str">
        <x:v>S06-T03</x:v>
      </x:c>
      <x:c r="C93" s="31" t="str">
        <x:v>INDEPENDENT</x:v>
      </x:c>
      <x:c r="D93" s="31" t="str">
        <x:v>Levante at Málaga under 2.5 total goals + Marseille moneyline + AC Milan at Juventus under 2.5 total goals</x:v>
      </x:c>
      <x:c r="E93" s="538" t="n">
        <x:v>1</x:v>
      </x:c>
      <x:c r="F93" s="80" t="n">
        <x:v>639</x:v>
      </x:c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30% soccer parlay boost</x:v>
      </x:c>
      <x:c r="M93" s="31" t="str">
        <x:v>FINAL from user-submitted DraftKings results. Málaga/Levante under 2.5 and Juventus/Milan under 2.5 won; Marseille ML lost.</x:v>
      </x:c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 t="str">
        <x:v>2026-09-06</x:v>
      </x:c>
      <x:c r="B94" s="31" t="str">
        <x:v>S06-T04</x:v>
      </x:c>
      <x:c r="C94" s="31" t="str">
        <x:v>INDEPENDENT</x:v>
      </x:c>
      <x:c r="D94" s="31" t="str">
        <x:v>Brady Singer over 5.5 hits allowed</x:v>
      </x:c>
      <x:c r="E94" s="538" t="n">
        <x:v>1</x:v>
      </x:c>
      <x:c r="F94" s="80" t="n">
        <x:v>104</x:v>
      </x:c>
      <x:c r="G94" s="534" t="str">
        <x:v>N</x:v>
      </x:c>
      <x:c r="H94" s="80" t="n">
        <x:v>1</x:v>
      </x:c>
      <x:c r="I94" s="534" t="str">
        <x:v>Loss</x:v>
      </x:c>
      <x:c r="J94" s="538" t="n">
        <x:v>0</x:v>
      </x:c>
      <x:c r="K94" s="538" t="n">
        <x:v>-1</x:v>
      </x:c>
      <x:c r="L94" s="31" t="str"/>
      <x:c r="M94" s="31" t="str">
        <x:v>FINAL from user-submitted DraftKings results. Singer allowed fewer than 6 hits, although he allowed 6 runs and 6 walks in 5 innings; logged as a market-expression miss.</x:v>
      </x:c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 t="str">
        <x:v>2026-09-06</x:v>
      </x:c>
      <x:c r="B95" s="31" t="str">
        <x:v>S06-T05</x:v>
      </x:c>
      <x:c r="C95" s="31" t="str">
        <x:v>INDEPENDENT</x:v>
      </x:c>
      <x:c r="D95" s="31" t="str">
        <x:v>Gavin Williams 9+ strikeouts</x:v>
      </x:c>
      <x:c r="E95" s="538" t="n">
        <x:v>1</x:v>
      </x:c>
      <x:c r="F95" s="80" t="n">
        <x:v>111</x:v>
      </x:c>
      <x:c r="G95" s="534" t="str">
        <x:v>N</x:v>
      </x:c>
      <x:c r="H95" s="80" t="n">
        <x:v>1</x:v>
      </x:c>
      <x:c r="I95" s="534" t="str">
        <x:v>Win</x:v>
      </x:c>
      <x:c r="J95" s="538" t="n">
        <x:v>2.11</x:v>
      </x:c>
      <x:c r="K95" s="538" t="n">
        <x:v>1.11</x:v>
      </x:c>
      <x:c r="L95" s="31" t="str"/>
      <x:c r="M95" s="31" t="str">
        <x:v>FINAL from user-submitted DraftKings results. Williams recorded 11 strikeouts; the selected 9+ threshold at +111 cleared.</x:v>
      </x:c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 t="str">
        <x:v>2026-09-07</x:v>
      </x:c>
      <x:c r="B96" s="31" t="str">
        <x:v>S07-T01</x:v>
      </x:c>
      <x:c r="C96" s="31" t="str">
        <x:v>INDEPENDENT</x:v>
      </x:c>
      <x:c r="D96" s="31" t="str">
        <x:v>San Diego Padres moneyline</x:v>
      </x:c>
      <x:c r="E96" s="538" t="n">
        <x:v>1</x:v>
      </x:c>
      <x:c r="F96" s="80" t="n">
        <x:v>-192</x:v>
      </x:c>
      <x:c r="G96" s="534" t="str">
        <x:v>N</x:v>
      </x:c>
      <x:c r="H96" s="80" t="n">
        <x:v>1</x:v>
      </x:c>
      <x:c r="I96" s="534" t="str">
        <x:v>Pending</x:v>
      </x:c>
      <x:c r="J96" s="538" t="str"/>
      <x:c r="K96" s="538" t="str"/>
      <x:c r="L96" s="31" t="str">
        <x:v>MLB Early Win (lead by 2 runs)</x:v>
      </x:c>
      <x:c r="M96" s="31" t="str">
        <x:v>PLACED_USER_CONFIRMED from “Done” immediately after the direct $1 placement instruction. Settlement pending.</x:v>
      </x:c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 t="str">
        <x:v>2026-09-07</x:v>
      </x:c>
      <x:c r="B97" s="31" t="str">
        <x:v>S07-T02</x:v>
      </x:c>
      <x:c r="C97" s="31" t="str">
        <x:v>INDEPENDENT</x:v>
      </x:c>
      <x:c r="D97" s="31" t="str">
        <x:v>Seiya Suzuki 1+ hit + Alex Bregman 1+ hit + Dylan Cease over 7.5 strikeouts</x:v>
      </x:c>
      <x:c r="E97" s="538" t="n">
        <x:v>1</x:v>
      </x:c>
      <x:c r="F97" s="80" t="n">
        <x:v>302</x:v>
      </x:c>
      <x:c r="G97" s="534" t="str">
        <x:v>Y</x:v>
      </x:c>
      <x:c r="H97" s="80" t="n">
        <x:v>3</x:v>
      </x:c>
      <x:c r="I97" s="534" t="str">
        <x:v>Pending</x:v>
      </x:c>
      <x:c r="J97" s="538" t="str"/>
      <x:c r="K97" s="538" t="str"/>
      <x:c r="L97" s="31" t="str">
        <x:v>30% MLB SGPx profit boost</x:v>
      </x:c>
      <x:c r="M97" s="31" t="str">
        <x:v>PLACED_USER_CONFIRMED from “Placed.” Raw +302 was displayed and the 30% boost was applied; exact boosted price was not captured.</x:v>
      </x:c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 t="str">
        <x:v>2026-09-07</x:v>
      </x:c>
      <x:c r="B98" s="31" t="str">
        <x:v>S07-T03</x:v>
      </x:c>
      <x:c r="C98" s="31" t="str">
        <x:v>INDEPENDENT</x:v>
      </x:c>
      <x:c r="D98" s="31" t="str">
        <x:v>SMU Mustangs -2.5</x:v>
      </x:c>
      <x:c r="E98" s="538" t="n">
        <x:v>1</x:v>
      </x:c>
      <x:c r="F98" s="80" t="n">
        <x:v>-115</x:v>
      </x:c>
      <x:c r="G98" s="534" t="str">
        <x:v>Y</x:v>
      </x:c>
      <x:c r="H98" s="80" t="n">
        <x:v>1</x:v>
      </x:c>
      <x:c r="I98" s="534" t="str">
        <x:v>Pending</x:v>
      </x:c>
      <x:c r="J98" s="538" t="str"/>
      <x:c r="K98" s="538" t="str"/>
      <x:c r="L98" s="31" t="str">
        <x:v>50% SMU–FSU profit boost</x:v>
      </x:c>
      <x:c r="M98" s="31" t="str">
        <x:v>PLACED_USER_CONFIRMED from “Placed.” -115 is the captured raw price; exact boosted price was not captured.</x:v>
      </x:c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 t="str">
        <x:v>2026-09-07</x:v>
      </x:c>
      <x:c r="B99" s="31" t="str">
        <x:v>S07-T04</x:v>
      </x:c>
      <x:c r="C99" s="31" t="str">
        <x:v>INDEPENDENT</x:v>
      </x:c>
      <x:c r="D99" s="31" t="str">
        <x:v>SMU Mustangs -1.5 + Samuel Singleton 58+ rushing + receiving yards + Ashton Daniels 204+ passing yards + Kevin Jennings 2+ passing touchdowns</x:v>
      </x:c>
      <x:c r="E99" s="538" t="n">
        <x:v>1</x:v>
      </x:c>
      <x:c r="F99" s="80" t="n">
        <x:v>780</x:v>
      </x:c>
      <x:c r="G99" s="534" t="str">
        <x:v>Y</x:v>
      </x:c>
      <x:c r="H99" s="80" t="n">
        <x:v>4</x:v>
      </x:c>
      <x:c r="I99" s="534" t="str">
        <x:v>Pending</x:v>
      </x:c>
      <x:c r="J99" s="538" t="str"/>
      <x:c r="K99" s="538" t="str"/>
      <x:c r="L99" s="31" t="str">
        <x:v>20% CFB stepped-up boost</x:v>
      </x:c>
      <x:c r="M99" s="31" t="str">
        <x:v>PLACED_USER_CONFIRMED from “Placed.” DraftKings showed +650 raw and +780 boosted.</x:v>
      </x:c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 t="str">
        <x:v>2026-09-07</x:v>
      </x:c>
      <x:c r="B100" s="31" t="str">
        <x:v>S07-T05</x:v>
      </x:c>
      <x:c r="C100" s="31" t="str">
        <x:v>INDEPENDENT</x:v>
      </x:c>
      <x:c r="D100" s="31" t="str">
        <x:v>Chase Burns over 4.5 strikeouts</x:v>
      </x:c>
      <x:c r="E100" s="538" t="n">
        <x:v>1</x:v>
      </x:c>
      <x:c r="F100" s="80" t="n">
        <x:v>-116</x:v>
      </x:c>
      <x:c r="G100" s="534" t="str">
        <x:v>N</x:v>
      </x:c>
      <x:c r="H100" s="80" t="n">
        <x:v>1</x:v>
      </x:c>
      <x:c r="I100" s="534" t="str">
        <x:v>Pending</x:v>
      </x:c>
      <x:c r="J100" s="538" t="str"/>
      <x:c r="K100" s="538" t="str"/>
      <x:c r="L100" s="31" t="str"/>
      <x:c r="M100" s="31" t="str">
        <x:v>PLACED_USER_CONFIRMED from “Okay placed” immediately after the exact $1 instruction.</x:v>
      </x:c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 t="str">
        <x:v>2026-09-08</x:v>
      </x:c>
      <x:c r="B101" s="31" t="str">
        <x:v>S08-T01</x:v>
      </x:c>
      <x:c r="C101" s="31" t="str">
        <x:v>BOTH</x:v>
      </x:c>
      <x:c r="D101" s="31" t="str">
        <x:v>Michael Wacha over 17.5 outs</x:v>
      </x:c>
      <x:c r="E101" s="538" t="n">
        <x:v>1</x:v>
      </x:c>
      <x:c r="F101" s="80" t="n">
        <x:v>-129</x:v>
      </x:c>
      <x:c r="G101" s="534" t="str">
        <x:v>N</x:v>
      </x:c>
      <x:c r="H101" s="80" t="n">
        <x:v>1</x:v>
      </x:c>
      <x:c r="I101" s="534" t="str">
        <x:v>Win</x:v>
      </x:c>
      <x:c r="J101" s="538" t="n">
        <x:v>1.7751937984</x:v>
      </x:c>
      <x:c r="K101" s="538" t="n">
        <x:v>0.7751937984</x:v>
      </x:c>
      <x:c r="L101" s="31" t="str"/>
      <x:c r="M101" s="31" t="str">
        <x:v>PLACED_USER_CONFIRMED from the user immediately after the final $1 instruction. Official MLB boxscore: Wacha recorded 18 outs (6.0 IP), clearing over 17.5. Payout is calculated from the captured -129 price.</x:v>
      </x:c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 t="str">
        <x:v>2026-09-08</x:v>
      </x:c>
      <x:c r="B102" s="31" t="str">
        <x:v>S08-T02</x:v>
      </x:c>
      <x:c r="C102" s="31" t="str">
        <x:v>BOTH</x:v>
      </x:c>
      <x:c r="D102" s="31" t="str">
        <x:v>Jackson Chourio 1+ hit + Milwaukee Brewers moneyline + AJ Smith-Shawver under 14.5 outs</x:v>
      </x:c>
      <x:c r="E102" s="538" t="n">
        <x:v>1</x:v>
      </x:c>
      <x:c r="F102" s="80" t="n">
        <x:v>303</x:v>
      </x:c>
      <x:c r="G102" s="534" t="str">
        <x:v>Y</x:v>
      </x:c>
      <x:c r="H102" s="80" t="n">
        <x:v>3</x:v>
      </x:c>
      <x:c r="I102" s="534" t="str">
        <x:v>Win</x:v>
      </x:c>
      <x:c r="J102" s="538" t="n">
        <x:v>5.545</x:v>
      </x:c>
      <x:c r="K102" s="538" t="n">
        <x:v>4.545</x:v>
      </x:c>
      <x:c r="L102" s="31" t="str">
        <x:v>50% MLB SGPx profit boost</x:v>
      </x:c>
      <x:c r="M102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 t="str">
        <x:v>2026-09-08</x:v>
      </x:c>
      <x:c r="B103" s="31" t="str">
        <x:v>S08-T03</x:v>
      </x:c>
      <x:c r="C103" s="31" t="str">
        <x:v>BOTH</x:v>
      </x:c>
      <x:c r="D103" s="31" t="str">
        <x:v>Teoscar Hernández 1+ home run</x:v>
      </x:c>
      <x:c r="E103" s="538" t="n">
        <x:v>1</x:v>
      </x:c>
      <x:c r="F103" s="80" t="n">
        <x:v>313</x:v>
      </x:c>
      <x:c r="G103" s="534" t="str">
        <x:v>Y</x:v>
      </x:c>
      <x:c r="H103" s="80" t="n">
        <x:v>1</x:v>
      </x:c>
      <x:c r="I103" s="534" t="str">
        <x:v>Loss</x:v>
      </x:c>
      <x:c r="J103" s="538" t="n">
        <x:v>0</x:v>
      </x:c>
      <x:c r="K103" s="538" t="n">
        <x:v>-1</x:v>
      </x:c>
      <x:c r="L103" s="31" t="str">
        <x:v>50% home-run profit boost</x:v>
      </x:c>
      <x:c r="M103" s="31" t="str">
        <x:v>PLACED_USER_CONFIRMED by the user correction that three tickets were placed. Official MLB boxscore: Teoscar Hernández went 3-for-3 with a triple and 0 home runs, so the home-run ticket lost.</x:v>
      </x:c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 t="str">
        <x:v>2026-09-09</x:v>
      </x:c>
      <x:c r="B104" s="31" t="str">
        <x:v>S09-T01</x:v>
      </x:c>
      <x:c r="C104" s="31" t="str">
        <x:v>BOTH</x:v>
      </x:c>
      <x:c r="D104" s="31" t="str">
        <x:v>A.J. Brown 50+ receiving yards + Jaxon Smith-Njigba 50+ receiving yards</x:v>
      </x:c>
      <x:c r="E104" s="538" t="n">
        <x:v>1</x:v>
      </x:c>
      <x:c r="F104" s="80" t="n">
        <x:v>150</x:v>
      </x:c>
      <x:c r="G104" s="534" t="str">
        <x:v>Y</x:v>
      </x:c>
      <x:c r="H104" s="80" t="n">
        <x:v>2</x:v>
      </x:c>
      <x:c r="I104" s="534" t="str">
        <x:v>Pending</x:v>
      </x:c>
      <x:c r="J104" s="538" t="str"/>
      <x:c r="K104" s="538" t="str"/>
      <x:c r="L104" s="31" t="str">
        <x:v>Superstar Receivers flash odds boost</x:v>
      </x:c>
      <x:c r="M104" s="31" t="str">
        <x:v>ADVANCE-DATED PLACED_USER_CONFIRMED from “Ok placed.” DraftKings showed New England at Seattle on Wednesday at 8:20 PM, -120 raw and +150 boosted. Keep outside the Sep. 8 Real Card.</x:v>
      </x:c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 t="str">
        <x:v>2026-09-09</x:v>
      </x:c>
      <x:c r="B105" s="31" t="str">
        <x:v>S09-T02</x:v>
      </x:c>
      <x:c r="C105" s="31" t="str">
        <x:v>BOTH</x:v>
      </x:c>
      <x:c r="D105" s="31" t="str">
        <x:v>A.J. Brown 5+ first-quarter receiving yards</x:v>
      </x:c>
      <x:c r="E105" s="538" t="n">
        <x:v>1</x:v>
      </x:c>
      <x:c r="F105" s="80" t="n">
        <x:v>100</x:v>
      </x:c>
      <x:c r="G105" s="534" t="str">
        <x:v>Y</x:v>
      </x:c>
      <x:c r="H105" s="80" t="n">
        <x:v>1</x:v>
      </x:c>
      <x:c r="I105" s="534" t="str">
        <x:v>Pending</x:v>
      </x:c>
      <x:c r="J105" s="538" t="str"/>
      <x:c r="K105" s="538" t="str"/>
      <x:c r="L105" s="31" t="str">
        <x:v>A.J. Brown Super Boost</x:v>
      </x:c>
      <x:c r="M105" s="31" t="str">
        <x:v>ADVANCE-DATED PLACED_USER_CONFIRMED from “Before that I’m placing this.” DraftKings showed 5+ first-quarter receiving yards, -175 crossed out to +100, $1 stake and New England at Seattle on Wednesday at 8:20 PM. Keep outside the Sep. 8 Real Card.</x:v>
      </x:c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 t="str">
        <x:v>2026-09-09</x:v>
      </x:c>
      <x:c r="B106" s="31" t="str">
        <x:v>S09-T03</x:v>
      </x:c>
      <x:c r="C106" s="31" t="str">
        <x:v>BOTH</x:v>
      </x:c>
      <x:c r="D106" s="31" t="str">
        <x:v>Alexander Isak 2+ shots on target</x:v>
      </x:c>
      <x:c r="E106" s="538" t="n">
        <x:v>1</x:v>
      </x:c>
      <x:c r="F106" s="80" t="n">
        <x:v>135</x:v>
      </x:c>
      <x:c r="G106" s="534" t="str">
        <x:v>N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/>
      <x:c r="M106" s="31" t="str">
        <x:v>PLACED_USER_CONFIRMED when the user said all three named bets were placed. Settled from the Sep. 9 StatMuse match table: Isak recorded 0 shots on target in Liverpool's 2-1 win.</x:v>
      </x:c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 t="str">
        <x:v>2026-09-09</x:v>
      </x:c>
      <x:c r="B107" s="31" t="str">
        <x:v>S09-T04</x:v>
      </x:c>
      <x:c r="C107" s="31" t="str">
        <x:v>BOTH</x:v>
      </x:c>
      <x:c r="D107" s="31" t="str">
        <x:v>Liverpool moneyline</x:v>
      </x:c>
      <x:c r="E107" s="538" t="n">
        <x:v>1</x:v>
      </x:c>
      <x:c r="F107" s="80" t="n">
        <x:v>-130</x:v>
      </x:c>
      <x:c r="G107" s="534" t="str">
        <x:v>Y</x:v>
      </x:c>
      <x:c r="H107" s="80" t="n">
        <x:v>1</x:v>
      </x:c>
      <x:c r="I107" s="534" t="str">
        <x:v>Win</x:v>
      </x:c>
      <x:c r="J107" s="538" t="n">
        <x:v>1.7692307692</x:v>
      </x:c>
      <x:c r="K107" s="538" t="n">
        <x:v>0.7692307692</x:v>
      </x:c>
      <x:c r="L107" s="31" t="str">
        <x:v>DrawBreaker</x:v>
      </x:c>
      <x:c r="M107" s="31" t="str">
        <x:v>PLACED_USER_CONFIRMED when the user said all three named bets were placed. ESPN records Liverpool 2-1 Atlético Madrid at full time; the moneyline won without needing the draw protection.</x:v>
      </x:c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 t="str">
        <x:v>2026-09-09</x:v>
      </x:c>
      <x:c r="B108" s="31" t="str">
        <x:v>S09-T05</x:v>
      </x:c>
      <x:c r="C108" s="31" t="str">
        <x:v>BOTH</x:v>
      </x:c>
      <x:c r="D108" s="31" t="str">
        <x:v>Either A.J. Brown or Jaxon Smith-Njigba to score a touchdown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Pending</x:v>
      </x:c>
      <x:c r="J108" s="538" t="str"/>
      <x:c r="K108" s="538" t="str"/>
      <x:c r="L108" s="31" t="str">
        <x:v>McAfee Super Boost</x:v>
      </x:c>
      <x:c r="M108" s="31" t="str">
        <x:v>PLACED_USER_CONFIRMED as the third named bet in the user's three-bet placement confirmation. A later DraftKings balance check corrected the stake from the initial $2 recommendation to $1.</x:v>
      </x:c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 t="str">
        <x:v>2026-09-09</x:v>
      </x:c>
      <x:c r="B109" s="31" t="str">
        <x:v>S09-T06</x:v>
      </x:c>
      <x:c r="C109" s="31" t="str">
        <x:v>BOTH</x:v>
      </x:c>
      <x:c r="D109" s="31" t="str">
        <x:v>Rhamondre Stevenson 4+ receptions</x:v>
      </x:c>
      <x:c r="E109" s="538" t="n">
        <x:v>1</x:v>
      </x:c>
      <x:c r="F109" s="80" t="n">
        <x:v>116</x:v>
      </x:c>
      <x:c r="G109" s="534" t="str">
        <x:v>Y</x:v>
      </x:c>
      <x:c r="H109" s="80" t="n">
        <x:v>1</x:v>
      </x:c>
      <x:c r="I109" s="534" t="str">
        <x:v>Pending</x:v>
      </x:c>
      <x:c r="J109" s="538" t="str"/>
      <x:c r="K109" s="538" t="str"/>
      <x:c r="L109" s="31" t="str">
        <x:v>50% NFL single boost</x:v>
      </x:c>
      <x:c r="M109" s="31" t="str">
        <x:v>PLACED_USER_CONFIRMED from “Placed” immediately after the exact $1 instruction. +116 is the captured raw price; the 50% boost was applied, but the exact displayed boosted price was not captured.</x:v>
      </x:c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538"/>
      <x:c r="F110" s="80"/>
      <x:c r="G110" s="534"/>
      <x:c r="H110" s="80"/>
      <x:c r="I110" s="534"/>
      <x:c r="J110" s="538"/>
      <x:c r="K110" s="538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538"/>
      <x:c r="F111" s="80"/>
      <x:c r="G111" s="534"/>
      <x:c r="H111" s="80"/>
      <x:c r="I111" s="534"/>
      <x:c r="J111" s="538"/>
      <x:c r="K111" s="538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538"/>
      <x:c r="F112" s="80"/>
      <x:c r="G112" s="534"/>
      <x:c r="H112" s="80"/>
      <x:c r="I112" s="534"/>
      <x:c r="J112" s="538"/>
      <x:c r="K112" s="538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538"/>
      <x:c r="F113" s="80"/>
      <x:c r="G113" s="534"/>
      <x:c r="H113" s="80"/>
      <x:c r="I113" s="534"/>
      <x:c r="J113" s="538"/>
      <x:c r="K113" s="538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538"/>
      <x:c r="F114" s="80"/>
      <x:c r="G114" s="534"/>
      <x:c r="H114" s="80"/>
      <x:c r="I114" s="534"/>
      <x:c r="J114" s="538"/>
      <x:c r="K114" s="538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538"/>
      <x:c r="F115" s="80"/>
      <x:c r="G115" s="534"/>
      <x:c r="H115" s="80"/>
      <x:c r="I115" s="534"/>
      <x:c r="J115" s="538"/>
      <x:c r="K115" s="538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538"/>
      <x:c r="F116" s="80"/>
      <x:c r="G116" s="534"/>
      <x:c r="H116" s="80"/>
      <x:c r="I116" s="534"/>
      <x:c r="J116" s="538"/>
      <x:c r="K116" s="538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538"/>
      <x:c r="F117" s="80"/>
      <x:c r="G117" s="534"/>
      <x:c r="H117" s="80"/>
      <x:c r="I117" s="534"/>
      <x:c r="J117" s="538"/>
      <x:c r="K117" s="538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538"/>
      <x:c r="F118" s="80"/>
      <x:c r="G118" s="534"/>
      <x:c r="H118" s="80"/>
      <x:c r="I118" s="534"/>
      <x:c r="J118" s="538"/>
      <x:c r="K118" s="538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538"/>
      <x:c r="F119" s="80"/>
      <x:c r="G119" s="534"/>
      <x:c r="H119" s="80"/>
      <x:c r="I119" s="534"/>
      <x:c r="J119" s="538"/>
      <x:c r="K119" s="538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538"/>
      <x:c r="F120" s="80"/>
      <x:c r="G120" s="534"/>
      <x:c r="H120" s="80"/>
      <x:c r="I120" s="534"/>
      <x:c r="J120" s="538"/>
      <x:c r="K120" s="538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538"/>
      <x:c r="F121" s="80"/>
      <x:c r="G121" s="534"/>
      <x:c r="H121" s="80"/>
      <x:c r="I121" s="534"/>
      <x:c r="J121" s="538"/>
      <x:c r="K121" s="538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538"/>
      <x:c r="F122" s="80"/>
      <x:c r="G122" s="534"/>
      <x:c r="H122" s="80"/>
      <x:c r="I122" s="534"/>
      <x:c r="J122" s="538"/>
      <x:c r="K122" s="538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538"/>
      <x:c r="F123" s="80"/>
      <x:c r="G123" s="534"/>
      <x:c r="H123" s="80"/>
      <x:c r="I123" s="534"/>
      <x:c r="J123" s="538"/>
      <x:c r="K123" s="538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538"/>
      <x:c r="F124" s="80"/>
      <x:c r="G124" s="534"/>
      <x:c r="H124" s="80"/>
      <x:c r="I124" s="534"/>
      <x:c r="J124" s="538"/>
      <x:c r="K124" s="538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538"/>
      <x:c r="F125" s="80"/>
      <x:c r="G125" s="534"/>
      <x:c r="H125" s="80"/>
      <x:c r="I125" s="534"/>
      <x:c r="J125" s="538"/>
      <x:c r="K125" s="538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538"/>
      <x:c r="F126" s="80"/>
      <x:c r="G126" s="534"/>
      <x:c r="H126" s="80"/>
      <x:c r="I126" s="534"/>
      <x:c r="J126" s="538"/>
      <x:c r="K126" s="538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538"/>
      <x:c r="F127" s="80"/>
      <x:c r="G127" s="534"/>
      <x:c r="H127" s="80"/>
      <x:c r="I127" s="534"/>
      <x:c r="J127" s="538"/>
      <x:c r="K127" s="538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538"/>
      <x:c r="F128" s="80"/>
      <x:c r="G128" s="534"/>
      <x:c r="H128" s="80"/>
      <x:c r="I128" s="534"/>
      <x:c r="J128" s="538"/>
      <x:c r="K128" s="538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538"/>
      <x:c r="F129" s="80"/>
      <x:c r="G129" s="534"/>
      <x:c r="H129" s="80"/>
      <x:c r="I129" s="534"/>
      <x:c r="J129" s="538"/>
      <x:c r="K129" s="538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538"/>
      <x:c r="F130" s="80"/>
      <x:c r="G130" s="534"/>
      <x:c r="H130" s="80"/>
      <x:c r="I130" s="534"/>
      <x:c r="J130" s="538"/>
      <x:c r="K130" s="538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538"/>
      <x:c r="F131" s="80"/>
      <x:c r="G131" s="534"/>
      <x:c r="H131" s="80"/>
      <x:c r="I131" s="534"/>
      <x:c r="J131" s="538"/>
      <x:c r="K131" s="538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538"/>
      <x:c r="F132" s="80"/>
      <x:c r="G132" s="534"/>
      <x:c r="H132" s="80"/>
      <x:c r="I132" s="534"/>
      <x:c r="J132" s="538"/>
      <x:c r="K132" s="538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538"/>
      <x:c r="F133" s="80"/>
      <x:c r="G133" s="534"/>
      <x:c r="H133" s="80"/>
      <x:c r="I133" s="534"/>
      <x:c r="J133" s="538"/>
      <x:c r="K133" s="538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538"/>
      <x:c r="F134" s="80"/>
      <x:c r="G134" s="534"/>
      <x:c r="H134" s="80"/>
      <x:c r="I134" s="534"/>
      <x:c r="J134" s="538"/>
      <x:c r="K134" s="538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538"/>
      <x:c r="F135" s="80"/>
      <x:c r="G135" s="534"/>
      <x:c r="H135" s="80"/>
      <x:c r="I135" s="534"/>
      <x:c r="J135" s="538"/>
      <x:c r="K135" s="538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538"/>
      <x:c r="F136" s="80"/>
      <x:c r="G136" s="534"/>
      <x:c r="H136" s="80"/>
      <x:c r="I136" s="534"/>
      <x:c r="J136" s="538"/>
      <x:c r="K136" s="538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538"/>
      <x:c r="F137" s="80"/>
      <x:c r="G137" s="534"/>
      <x:c r="H137" s="80"/>
      <x:c r="I137" s="534"/>
      <x:c r="J137" s="538"/>
      <x:c r="K137" s="538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538"/>
      <x:c r="F138" s="80"/>
      <x:c r="G138" s="534"/>
      <x:c r="H138" s="80"/>
      <x:c r="I138" s="534"/>
      <x:c r="J138" s="538"/>
      <x:c r="K138" s="538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538"/>
      <x:c r="F139" s="80"/>
      <x:c r="G139" s="534"/>
      <x:c r="H139" s="80"/>
      <x:c r="I139" s="534"/>
      <x:c r="J139" s="538"/>
      <x:c r="K139" s="538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538"/>
      <x:c r="F140" s="80"/>
      <x:c r="G140" s="534"/>
      <x:c r="H140" s="80"/>
      <x:c r="I140" s="534"/>
      <x:c r="J140" s="538"/>
      <x:c r="K140" s="538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538"/>
      <x:c r="F141" s="80"/>
      <x:c r="G141" s="534"/>
      <x:c r="H141" s="80"/>
      <x:c r="I141" s="534"/>
      <x:c r="J141" s="538"/>
      <x:c r="K141" s="538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538"/>
      <x:c r="F142" s="80"/>
      <x:c r="G142" s="534"/>
      <x:c r="H142" s="80"/>
      <x:c r="I142" s="534"/>
      <x:c r="J142" s="538"/>
      <x:c r="K142" s="538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538"/>
      <x:c r="F143" s="80"/>
      <x:c r="G143" s="534"/>
      <x:c r="H143" s="80"/>
      <x:c r="I143" s="534"/>
      <x:c r="J143" s="538"/>
      <x:c r="K143" s="538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538"/>
      <x:c r="F144" s="80"/>
      <x:c r="G144" s="534"/>
      <x:c r="H144" s="80"/>
      <x:c r="I144" s="534"/>
      <x:c r="J144" s="538"/>
      <x:c r="K144" s="538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538"/>
      <x:c r="F145" s="80"/>
      <x:c r="G145" s="534"/>
      <x:c r="H145" s="80"/>
      <x:c r="I145" s="534"/>
      <x:c r="J145" s="538"/>
      <x:c r="K145" s="538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538"/>
      <x:c r="F146" s="80"/>
      <x:c r="G146" s="534"/>
      <x:c r="H146" s="80"/>
      <x:c r="I146" s="534"/>
      <x:c r="J146" s="538"/>
      <x:c r="K146" s="538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538"/>
      <x:c r="F147" s="80"/>
      <x:c r="G147" s="534"/>
      <x:c r="H147" s="80"/>
      <x:c r="I147" s="534"/>
      <x:c r="J147" s="538"/>
      <x:c r="K147" s="538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538"/>
      <x:c r="F148" s="80"/>
      <x:c r="G148" s="534"/>
      <x:c r="H148" s="80"/>
      <x:c r="I148" s="534"/>
      <x:c r="J148" s="538"/>
      <x:c r="K148" s="538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538"/>
      <x:c r="F149" s="80"/>
      <x:c r="G149" s="534"/>
      <x:c r="H149" s="80"/>
      <x:c r="I149" s="534"/>
      <x:c r="J149" s="538"/>
      <x:c r="K149" s="538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538"/>
      <x:c r="F150" s="80"/>
      <x:c r="G150" s="534"/>
      <x:c r="H150" s="80"/>
      <x:c r="I150" s="534"/>
      <x:c r="J150" s="538"/>
      <x:c r="K150" s="538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538"/>
      <x:c r="F151" s="80"/>
      <x:c r="G151" s="534"/>
      <x:c r="H151" s="80"/>
      <x:c r="I151" s="534"/>
      <x:c r="J151" s="538"/>
      <x:c r="K151" s="538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538"/>
      <x:c r="F152" s="80"/>
      <x:c r="G152" s="534"/>
      <x:c r="H152" s="80"/>
      <x:c r="I152" s="534"/>
      <x:c r="J152" s="538"/>
      <x:c r="K152" s="538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538"/>
      <x:c r="F153" s="80"/>
      <x:c r="G153" s="534"/>
      <x:c r="H153" s="80"/>
      <x:c r="I153" s="534"/>
      <x:c r="J153" s="538"/>
      <x:c r="K153" s="538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538"/>
      <x:c r="F154" s="80"/>
      <x:c r="G154" s="534"/>
      <x:c r="H154" s="80"/>
      <x:c r="I154" s="534"/>
      <x:c r="J154" s="538"/>
      <x:c r="K154" s="538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538"/>
      <x:c r="F155" s="80"/>
      <x:c r="G155" s="534"/>
      <x:c r="H155" s="80"/>
      <x:c r="I155" s="534"/>
      <x:c r="J155" s="538"/>
      <x:c r="K155" s="538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538"/>
      <x:c r="F156" s="80"/>
      <x:c r="G156" s="534"/>
      <x:c r="H156" s="80"/>
      <x:c r="I156" s="534"/>
      <x:c r="J156" s="538"/>
      <x:c r="K156" s="538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538"/>
      <x:c r="F157" s="80"/>
      <x:c r="G157" s="534"/>
      <x:c r="H157" s="80"/>
      <x:c r="I157" s="534"/>
      <x:c r="J157" s="538"/>
      <x:c r="K157" s="538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538"/>
      <x:c r="F158" s="80"/>
      <x:c r="G158" s="534"/>
      <x:c r="H158" s="80"/>
      <x:c r="I158" s="534"/>
      <x:c r="J158" s="538"/>
      <x:c r="K158" s="538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538"/>
      <x:c r="F159" s="80"/>
      <x:c r="G159" s="534"/>
      <x:c r="H159" s="80"/>
      <x:c r="I159" s="534"/>
      <x:c r="J159" s="538"/>
      <x:c r="K159" s="538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538"/>
      <x:c r="F160" s="80"/>
      <x:c r="G160" s="534"/>
      <x:c r="H160" s="80"/>
      <x:c r="I160" s="534"/>
      <x:c r="J160" s="538"/>
      <x:c r="K160" s="538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538"/>
      <x:c r="F161" s="80"/>
      <x:c r="G161" s="534"/>
      <x:c r="H161" s="80"/>
      <x:c r="I161" s="534"/>
      <x:c r="J161" s="538"/>
      <x:c r="K161" s="538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538"/>
      <x:c r="F162" s="80"/>
      <x:c r="G162" s="534"/>
      <x:c r="H162" s="80"/>
      <x:c r="I162" s="534"/>
      <x:c r="J162" s="538"/>
      <x:c r="K162" s="538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538"/>
      <x:c r="F163" s="80"/>
      <x:c r="G163" s="534"/>
      <x:c r="H163" s="80"/>
      <x:c r="I163" s="534"/>
      <x:c r="J163" s="538"/>
      <x:c r="K163" s="538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538"/>
      <x:c r="F164" s="80"/>
      <x:c r="G164" s="534"/>
      <x:c r="H164" s="80"/>
      <x:c r="I164" s="534"/>
      <x:c r="J164" s="538"/>
      <x:c r="K164" s="538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538"/>
      <x:c r="F165" s="80"/>
      <x:c r="G165" s="534"/>
      <x:c r="H165" s="80"/>
      <x:c r="I165" s="534"/>
      <x:c r="J165" s="538"/>
      <x:c r="K165" s="538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538"/>
      <x:c r="F166" s="80"/>
      <x:c r="G166" s="534"/>
      <x:c r="H166" s="80"/>
      <x:c r="I166" s="534"/>
      <x:c r="J166" s="538"/>
      <x:c r="K166" s="538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538"/>
      <x:c r="F167" s="80"/>
      <x:c r="G167" s="534"/>
      <x:c r="H167" s="80"/>
      <x:c r="I167" s="534"/>
      <x:c r="J167" s="538"/>
      <x:c r="K167" s="538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538"/>
      <x:c r="F168" s="80"/>
      <x:c r="G168" s="534"/>
      <x:c r="H168" s="80"/>
      <x:c r="I168" s="534"/>
      <x:c r="J168" s="538"/>
      <x:c r="K168" s="538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538"/>
      <x:c r="F169" s="80"/>
      <x:c r="G169" s="534"/>
      <x:c r="H169" s="80"/>
      <x:c r="I169" s="534"/>
      <x:c r="J169" s="538"/>
      <x:c r="K169" s="538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538"/>
      <x:c r="F170" s="80"/>
      <x:c r="G170" s="534"/>
      <x:c r="H170" s="80"/>
      <x:c r="I170" s="534"/>
      <x:c r="J170" s="538"/>
      <x:c r="K170" s="538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538"/>
      <x:c r="F171" s="80"/>
      <x:c r="G171" s="534"/>
      <x:c r="H171" s="80"/>
      <x:c r="I171" s="534"/>
      <x:c r="J171" s="538"/>
      <x:c r="K171" s="538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538"/>
      <x:c r="F172" s="80"/>
      <x:c r="G172" s="534"/>
      <x:c r="H172" s="80"/>
      <x:c r="I172" s="534"/>
      <x:c r="J172" s="538"/>
      <x:c r="K172" s="538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538"/>
      <x:c r="F173" s="80"/>
      <x:c r="G173" s="534"/>
      <x:c r="H173" s="80"/>
      <x:c r="I173" s="534"/>
      <x:c r="J173" s="538"/>
      <x:c r="K173" s="538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538"/>
      <x:c r="F174" s="80"/>
      <x:c r="G174" s="534"/>
      <x:c r="H174" s="80"/>
      <x:c r="I174" s="534"/>
      <x:c r="J174" s="538"/>
      <x:c r="K174" s="538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538"/>
      <x:c r="F175" s="80"/>
      <x:c r="G175" s="534"/>
      <x:c r="H175" s="80"/>
      <x:c r="I175" s="534"/>
      <x:c r="J175" s="538"/>
      <x:c r="K175" s="538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538"/>
      <x:c r="F176" s="80"/>
      <x:c r="G176" s="534"/>
      <x:c r="H176" s="80"/>
      <x:c r="I176" s="534"/>
      <x:c r="J176" s="538"/>
      <x:c r="K176" s="538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538"/>
      <x:c r="F177" s="80"/>
      <x:c r="G177" s="534"/>
      <x:c r="H177" s="80"/>
      <x:c r="I177" s="534"/>
      <x:c r="J177" s="538"/>
      <x:c r="K177" s="538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538"/>
      <x:c r="F178" s="80"/>
      <x:c r="G178" s="534"/>
      <x:c r="H178" s="80"/>
      <x:c r="I178" s="534"/>
      <x:c r="J178" s="538"/>
      <x:c r="K178" s="538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538"/>
      <x:c r="F179" s="80"/>
      <x:c r="G179" s="534"/>
      <x:c r="H179" s="80"/>
      <x:c r="I179" s="534"/>
      <x:c r="J179" s="538"/>
      <x:c r="K179" s="538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538"/>
      <x:c r="F180" s="80"/>
      <x:c r="G180" s="534"/>
      <x:c r="H180" s="80"/>
      <x:c r="I180" s="534"/>
      <x:c r="J180" s="538"/>
      <x:c r="K180" s="538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538"/>
      <x:c r="F181" s="80"/>
      <x:c r="G181" s="534"/>
      <x:c r="H181" s="80"/>
      <x:c r="I181" s="534"/>
      <x:c r="J181" s="538"/>
      <x:c r="K181" s="538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538"/>
      <x:c r="F182" s="80"/>
      <x:c r="G182" s="534"/>
      <x:c r="H182" s="80"/>
      <x:c r="I182" s="534"/>
      <x:c r="J182" s="538"/>
      <x:c r="K182" s="538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538"/>
      <x:c r="F183" s="80"/>
      <x:c r="G183" s="534"/>
      <x:c r="H183" s="80"/>
      <x:c r="I183" s="534"/>
      <x:c r="J183" s="538"/>
      <x:c r="K183" s="538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538"/>
      <x:c r="F184" s="80"/>
      <x:c r="G184" s="534"/>
      <x:c r="H184" s="80"/>
      <x:c r="I184" s="534"/>
      <x:c r="J184" s="538"/>
      <x:c r="K184" s="538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538"/>
      <x:c r="F185" s="80"/>
      <x:c r="G185" s="534"/>
      <x:c r="H185" s="80"/>
      <x:c r="I185" s="534"/>
      <x:c r="J185" s="538"/>
      <x:c r="K185" s="538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538"/>
      <x:c r="F186" s="80"/>
      <x:c r="G186" s="534"/>
      <x:c r="H186" s="80"/>
      <x:c r="I186" s="534"/>
      <x:c r="J186" s="538"/>
      <x:c r="K186" s="538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538"/>
      <x:c r="F187" s="80"/>
      <x:c r="G187" s="534"/>
      <x:c r="H187" s="80"/>
      <x:c r="I187" s="534"/>
      <x:c r="J187" s="538"/>
      <x:c r="K187" s="538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538"/>
      <x:c r="F188" s="80"/>
      <x:c r="G188" s="534"/>
      <x:c r="H188" s="80"/>
      <x:c r="I188" s="534"/>
      <x:c r="J188" s="538"/>
      <x:c r="K188" s="538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538"/>
      <x:c r="F189" s="80"/>
      <x:c r="G189" s="534"/>
      <x:c r="H189" s="80"/>
      <x:c r="I189" s="534"/>
      <x:c r="J189" s="538"/>
      <x:c r="K189" s="538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538"/>
      <x:c r="F190" s="80"/>
      <x:c r="G190" s="534"/>
      <x:c r="H190" s="80"/>
      <x:c r="I190" s="534"/>
      <x:c r="J190" s="538"/>
      <x:c r="K190" s="538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538"/>
      <x:c r="F191" s="80"/>
      <x:c r="G191" s="534"/>
      <x:c r="H191" s="80"/>
      <x:c r="I191" s="534"/>
      <x:c r="J191" s="538"/>
      <x:c r="K191" s="538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538"/>
      <x:c r="F192" s="80"/>
      <x:c r="G192" s="534"/>
      <x:c r="H192" s="80"/>
      <x:c r="I192" s="534"/>
      <x:c r="J192" s="538"/>
      <x:c r="K192" s="538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538"/>
      <x:c r="F193" s="80"/>
      <x:c r="G193" s="534"/>
      <x:c r="H193" s="80"/>
      <x:c r="I193" s="534"/>
      <x:c r="J193" s="538"/>
      <x:c r="K193" s="538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538"/>
      <x:c r="F194" s="80"/>
      <x:c r="G194" s="534"/>
      <x:c r="H194" s="80"/>
      <x:c r="I194" s="534"/>
      <x:c r="J194" s="538"/>
      <x:c r="K194" s="538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538"/>
      <x:c r="F195" s="80"/>
      <x:c r="G195" s="534"/>
      <x:c r="H195" s="80"/>
      <x:c r="I195" s="534"/>
      <x:c r="J195" s="538"/>
      <x:c r="K195" s="538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538"/>
      <x:c r="F196" s="80"/>
      <x:c r="G196" s="534"/>
      <x:c r="H196" s="80"/>
      <x:c r="I196" s="534"/>
      <x:c r="J196" s="538"/>
      <x:c r="K196" s="538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538"/>
      <x:c r="F197" s="80"/>
      <x:c r="G197" s="534"/>
      <x:c r="H197" s="80"/>
      <x:c r="I197" s="534"/>
      <x:c r="J197" s="538"/>
      <x:c r="K197" s="538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538"/>
      <x:c r="F198" s="80"/>
      <x:c r="G198" s="534"/>
      <x:c r="H198" s="80"/>
      <x:c r="I198" s="534"/>
      <x:c r="J198" s="538"/>
      <x:c r="K198" s="538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538"/>
      <x:c r="F199" s="80"/>
      <x:c r="G199" s="534"/>
      <x:c r="H199" s="80"/>
      <x:c r="I199" s="534"/>
      <x:c r="J199" s="538"/>
      <x:c r="K199" s="538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538"/>
      <x:c r="F200" s="80"/>
      <x:c r="G200" s="534"/>
      <x:c r="H200" s="80"/>
      <x:c r="I200" s="534"/>
      <x:c r="J200" s="538"/>
      <x:c r="K200" s="538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 s="539"/>
      <x:c r="F201" s="77"/>
      <x:c r="G201" s="535"/>
      <x:c r="H201" s="77"/>
      <x:c r="I201" s="535"/>
      <x:c r="J201" s="539"/>
      <x:c r="K201" s="539"/>
      <x:c r="L201"/>
      <x:c r="M201"/>
      <x:c r="N201"/>
      <x:c r="O201"/>
      <x:c r="P201"/>
      <x:c r="Q201"/>
      <x:c r="R201"/>
      <x:c r="S201"/>
      <x:c r="T201"/>
      <x:c r="U201"/>
      <x:c r="V201"/>
      <x:c r="W201"/>
      <x:c r="X201"/>
      <x:c r="Y201"/>
      <x:c r="Z201"/>
    </x:row>
    <x:row r="202">
      <x:c r="A202"/>
      <x:c r="B202"/>
      <x:c r="C202"/>
      <x:c r="D202"/>
      <x:c r="E202" s="539"/>
      <x:c r="F202" s="77"/>
      <x:c r="G202" s="535"/>
      <x:c r="H202" s="77"/>
      <x:c r="I202" s="535"/>
      <x:c r="J202" s="539"/>
      <x:c r="K202" s="539"/>
      <x:c r="L202"/>
      <x:c r="M202"/>
      <x:c r="N202"/>
      <x:c r="O202"/>
      <x:c r="P202"/>
      <x:c r="Q202"/>
      <x:c r="R202"/>
      <x:c r="S202"/>
      <x:c r="T202"/>
      <x:c r="U202"/>
      <x:c r="V202"/>
      <x:c r="W202"/>
      <x:c r="X202"/>
      <x:c r="Y202"/>
      <x:c r="Z202"/>
    </x:row>
    <x:row r="203">
      <x:c r="A203"/>
      <x:c r="B203"/>
      <x:c r="C203"/>
      <x:c r="D203"/>
      <x:c r="E203" s="539"/>
      <x:c r="F203" s="77"/>
      <x:c r="G203" s="535"/>
      <x:c r="H203" s="77"/>
      <x:c r="I203" s="535"/>
      <x:c r="J203" s="539"/>
      <x:c r="K203" s="539"/>
      <x:c r="L203"/>
      <x:c r="M203"/>
      <x:c r="N203"/>
      <x:c r="O203"/>
      <x:c r="P203"/>
      <x:c r="Q203"/>
      <x:c r="R203"/>
      <x:c r="S203"/>
      <x:c r="T203"/>
      <x:c r="U203"/>
      <x:c r="V203"/>
      <x:c r="W203"/>
      <x:c r="X203"/>
      <x:c r="Y203"/>
      <x:c r="Z203"/>
    </x:row>
    <x:row r="204">
      <x:c r="A204"/>
      <x:c r="B204"/>
      <x:c r="C204"/>
      <x:c r="D204"/>
      <x:c r="E204" s="539"/>
      <x:c r="F204" s="77"/>
      <x:c r="G204" s="535"/>
      <x:c r="H204" s="77"/>
      <x:c r="I204" s="535"/>
      <x:c r="J204" s="539"/>
      <x:c r="K204" s="539"/>
      <x:c r="L204"/>
      <x:c r="M204"/>
      <x:c r="N204"/>
      <x:c r="O204"/>
      <x:c r="P204"/>
      <x:c r="Q204"/>
      <x:c r="R204"/>
      <x:c r="S204"/>
      <x:c r="T204"/>
      <x:c r="U204"/>
      <x:c r="V204"/>
      <x:c r="W204"/>
      <x:c r="X204"/>
      <x:c r="Y204"/>
      <x:c r="Z204"/>
    </x:row>
    <x:row r="205">
      <x:c r="A205"/>
      <x:c r="B205"/>
      <x:c r="C205"/>
      <x:c r="D205"/>
      <x:c r="E205" s="539"/>
      <x:c r="F205" s="77"/>
      <x:c r="G205" s="535"/>
      <x:c r="H205" s="77"/>
      <x:c r="I205" s="535"/>
      <x:c r="J205" s="539"/>
      <x:c r="K205" s="539"/>
      <x:c r="L205"/>
      <x:c r="M205"/>
    </x:row>
    <x:row r="206">
      <x:c r="A206"/>
      <x:c r="B206"/>
      <x:c r="C206"/>
      <x:c r="D206"/>
      <x:c r="E206" s="539"/>
      <x:c r="F206" s="77"/>
      <x:c r="G206" s="535"/>
      <x:c r="H206" s="77"/>
      <x:c r="I206" s="535"/>
      <x:c r="J206" s="539"/>
      <x:c r="K206" s="539"/>
      <x:c r="L206"/>
      <x:c r="M206"/>
    </x:row>
    <x:row r="207">
      <x:c r="A207"/>
      <x:c r="B207"/>
      <x:c r="C207"/>
      <x:c r="D207"/>
      <x:c r="E207" s="539"/>
      <x:c r="F207" s="77"/>
      <x:c r="G207" s="535"/>
      <x:c r="H207" s="77"/>
      <x:c r="I207" s="535"/>
      <x:c r="J207" s="539"/>
      <x:c r="K207" s="539"/>
      <x:c r="L207"/>
      <x:c r="M207"/>
    </x:row>
    <x:row r="208">
      <x:c r="A208"/>
      <x:c r="B208"/>
      <x:c r="C208"/>
      <x:c r="D208"/>
      <x:c r="E208" s="539"/>
      <x:c r="F208" s="77"/>
      <x:c r="G208" s="535"/>
      <x:c r="H208" s="77"/>
      <x:c r="I208" s="535"/>
      <x:c r="J208" s="539"/>
      <x:c r="K208" s="539"/>
      <x:c r="L208"/>
      <x:c r="M208"/>
    </x:row>
    <x:row r="209">
      <x:c r="A209"/>
      <x:c r="B209"/>
      <x:c r="C209"/>
      <x:c r="D209"/>
      <x:c r="E209" s="539"/>
      <x:c r="F209" s="77"/>
      <x:c r="G209" s="535"/>
      <x:c r="H209" s="77"/>
      <x:c r="I209" s="535"/>
      <x:c r="J209" s="539"/>
      <x:c r="K209" s="539"/>
      <x:c r="L209"/>
      <x:c r="M209"/>
    </x:row>
    <x:row r="210">
      <x:c r="A210"/>
      <x:c r="B210"/>
      <x:c r="C210"/>
      <x:c r="D210"/>
      <x:c r="E210" s="539"/>
      <x:c r="F210" s="77"/>
      <x:c r="G210" s="535"/>
      <x:c r="H210" s="77"/>
      <x:c r="I210" s="535"/>
      <x:c r="J210" s="539"/>
      <x:c r="K210" s="539"/>
      <x:c r="L210"/>
      <x:c r="M210"/>
    </x:row>
    <x:row r="211">
      <x:c r="A211"/>
      <x:c r="B211"/>
      <x:c r="C211"/>
      <x:c r="D211"/>
      <x:c r="E211" s="539"/>
      <x:c r="F211" s="77"/>
      <x:c r="G211" s="535"/>
      <x:c r="H211" s="77"/>
      <x:c r="I211" s="535"/>
      <x:c r="J211" s="539"/>
      <x:c r="K211" s="539"/>
      <x:c r="L211"/>
      <x:c r="M211"/>
    </x:row>
    <x:row r="212">
      <x:c r="A212"/>
      <x:c r="B212"/>
      <x:c r="C212"/>
      <x:c r="D212"/>
      <x:c r="E212" s="539"/>
      <x:c r="F212" s="77"/>
      <x:c r="G212" s="535"/>
      <x:c r="H212" s="77"/>
      <x:c r="I212" s="535"/>
      <x:c r="J212" s="539"/>
      <x:c r="K212" s="539"/>
      <x:c r="L212"/>
      <x:c r="M212"/>
    </x:row>
    <x:row r="213">
      <x:c r="A213"/>
      <x:c r="B213"/>
      <x:c r="C213"/>
      <x:c r="D213"/>
      <x:c r="E213" s="539"/>
      <x:c r="F213" s="77"/>
      <x:c r="G213" s="535"/>
      <x:c r="H213" s="77"/>
      <x:c r="I213" s="535"/>
      <x:c r="J213" s="539"/>
      <x:c r="K213" s="539"/>
      <x:c r="L213"/>
      <x:c r="M213"/>
    </x:row>
    <x:row r="214">
      <x:c r="A214"/>
      <x:c r="B214"/>
      <x:c r="C214"/>
      <x:c r="D214"/>
      <x:c r="E214" s="539"/>
      <x:c r="F214" s="77"/>
      <x:c r="G214" s="535"/>
      <x:c r="H214" s="77"/>
      <x:c r="I214" s="535"/>
      <x:c r="J214" s="539"/>
      <x:c r="K214" s="539"/>
      <x:c r="L214"/>
      <x:c r="M214"/>
    </x:row>
    <x:row r="215">
      <x:c r="A215"/>
      <x:c r="B215"/>
      <x:c r="C215"/>
      <x:c r="D215"/>
      <x:c r="E215" s="539"/>
      <x:c r="F215" s="77"/>
      <x:c r="G215" s="535"/>
      <x:c r="H215" s="77"/>
      <x:c r="I215" s="535"/>
      <x:c r="J215" s="539"/>
      <x:c r="K215" s="539"/>
      <x:c r="L215"/>
      <x:c r="M215"/>
    </x:row>
    <x:row r="216">
      <x:c r="E216" s="539"/>
      <x:c r="F216" s="77"/>
      <x:c r="H216" s="77"/>
      <x:c r="J216" s="539"/>
      <x:c r="K216" s="539"/>
    </x:row>
    <x:row r="217">
      <x:c r="E217" s="539"/>
      <x:c r="F217" s="77"/>
      <x:c r="H217" s="77"/>
      <x:c r="J217" s="539"/>
      <x:c r="K217" s="539"/>
    </x:row>
    <x:row r="218">
      <x:c r="E218" s="539"/>
      <x:c r="F218" s="77"/>
      <x:c r="H218" s="77"/>
      <x:c r="J218" s="539"/>
      <x:c r="K218" s="539"/>
    </x:row>
    <x:row r="219">
      <x:c r="E219" s="539"/>
      <x:c r="F219" s="77"/>
      <x:c r="H219" s="77"/>
      <x:c r="J219" s="539"/>
      <x:c r="K219" s="539"/>
    </x:row>
    <x:row r="220">
      <x:c r="E220" s="539"/>
      <x:c r="F220" s="77"/>
      <x:c r="H220" s="77"/>
      <x:c r="J220" s="539"/>
      <x:c r="K220" s="539"/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5e1171d2e5794b31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c7d520c3a9074de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006bf39d30c54eda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4eda8c8f1984dc5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898534834b7b4306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/>
      <x:c r="C4" s="33"/>
      <x:c r="D4" s="33"/>
      <x:c r="E4" s="33"/>
      <x:c r="F4" s="33"/>
      <x:c r="G4" s="31" t="n">
        <x:v>10</x:v>
      </x:c>
      <x:c r="H4" s="31"/>
      <x:c r="I4" s="32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/>
      <x:c r="C5" s="33"/>
      <x:c r="D5" s="33"/>
      <x:c r="E5" s="33"/>
      <x:c r="F5" s="33" t="n">
        <x:v>55.51</x:v>
      </x:c>
      <x:c r="G5" s="31" t="n">
        <x:v>11</x:v>
      </x:c>
      <x:c r="H5" s="31"/>
      <x:c r="I5" s="32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e8df57062dbc470c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7d0a4c56dfa34b67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>
        <x:f>IF(O2="Win",1,IF(O2="Loss",0,""))</x:f>
      </x:c>
      <x:c r="Q2" s="33" t="str">
        <x:f>IF(OR(O2="",J2=""),"",IF(O2="Win",IF(J2&gt;0,1+J2/100,1+100/ABS(J2)),IF(O2="Push",1,0)))</x:f>
      </x:c>
      <x:c r="R2" s="33" t="str">
        <x:f>IF(Q2="","",Q2-1)</x:f>
      </x:c>
      <x:c r="S2" s="31"/>
      <x:c r="T2" s="32" t="str">
        <x:f>IF(OR(J2="",S2=""),"",IF(J2&gt;0,100/(J2+100),ABS(J2)/(ABS(J2)+100))-IF(S2&gt;0,100/(S2+100),ABS(S2)/(ABS(S2)+100)))</x:f>
      </x:c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>
        <x:f>IF(OR(O3="",J3=""),"",IF(O3="Win",IF(J3&gt;0,1+J3/100,1+100/ABS(J3)),IF(O3="Push",1,0)))</x:f>
      </x:c>
      <x:c r="R3" s="33" t="str">
        <x:f>IF(Q3="","",Q3-1)</x:f>
      </x:c>
      <x:c r="S3" s="31"/>
      <x:c r="T3" s="32" t="str">
        <x:f>IF(OR(J3="",S3=""),"",IF(J3&gt;0,100/(J3+100),ABS(J3)/(ABS(J3)+100))-IF(S3&gt;0,100/(S3+100),ABS(S3)/(ABS(S3)+100)))</x:f>
      </x:c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>
        <x:f>IF(OR(O4="",J4=""),"",IF(O4="Win",IF(J4&gt;0,1+J4/100,1+100/ABS(J4)),IF(O4="Push",1,0)))</x:f>
      </x:c>
      <x:c r="R4" s="33" t="str">
        <x:f>IF(Q4="","",Q4-1)</x:f>
      </x:c>
      <x:c r="S4" s="31"/>
      <x:c r="T4" s="32" t="str">
        <x:f>IF(OR(J4="",S4=""),"",IF(J4&gt;0,100/(J4+100),ABS(J4)/(ABS(J4)+100))-IF(S4&gt;0,100/(S4+100),ABS(S4)/(ABS(S4)+100)))</x:f>
      </x:c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f>IF(OR(O5="",J5=""),"",IF(O5="Win",IF(J5&gt;0,1+J5/100,1+100/ABS(J5)),IF(O5="Push",1,0)))</x:f>
        <x:v>0</x:v>
      </x:c>
      <x:c r="R5" s="33" t="str">
        <x:f>IF(Q5="","",Q5-1)</x:f>
      </x:c>
      <x:c r="S5" s="31"/>
      <x:c r="T5" s="32" t="str">
        <x:f>IF(OR(J5="",S5=""),"",IF(J5&gt;0,100/(J5+100),ABS(J5)/(ABS(J5)+100))-IF(S5&gt;0,100/(S5+100),ABS(S5)/(ABS(S5)+100)))</x:f>
      </x:c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>
        <x:f>IF(OR(O6="",J6=""),"",IF(O6="Win",IF(J6&gt;0,1+J6/100,1+100/ABS(J6)),IF(O6="Push",1,0)))</x:f>
      </x:c>
      <x:c r="R6" s="33" t="str">
        <x:f>IF(Q6="","",Q6-1)</x:f>
      </x:c>
      <x:c r="S6" s="31"/>
      <x:c r="T6" s="32" t="str">
        <x:f>IF(OR(J6="",S6=""),"",IF(J6&gt;0,100/(J6+100),ABS(J6)/(ABS(J6)+100))-IF(S6&gt;0,100/(S6+100),ABS(S6)/(ABS(S6)+100)))</x:f>
      </x:c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>
        <x:f>IF(OR(O7="",J7=""),"",IF(O7="Win",IF(J7&gt;0,1+J7/100,1+100/ABS(J7)),IF(O7="Push",1,0)))</x:f>
      </x:c>
      <x:c r="R7" s="33" t="str">
        <x:f>IF(Q7="","",Q7-1)</x:f>
      </x:c>
      <x:c r="S7" s="31"/>
      <x:c r="T7" s="32" t="str">
        <x:f>IF(OR(J7="",S7=""),"",IF(J7&gt;0,100/(J7+100),ABS(J7)/(ABS(J7)+100))-IF(S7&gt;0,100/(S7+100),ABS(S7)/(ABS(S7)+100)))</x:f>
      </x:c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>
        <x:f>IF(O8="Win",1,IF(O8="Loss",0,""))</x:f>
      </x:c>
      <x:c r="Q8" s="33" t="str">
        <x:f>IF(OR(O8="",J8=""),"",IF(O8="Win",IF(J8&gt;0,1+J8/100,1+100/ABS(J8)),IF(O8="Push",1,0)))</x:f>
      </x:c>
      <x:c r="R8" s="33" t="str">
        <x:f>IF(Q8="","",Q8-1)</x:f>
      </x:c>
      <x:c r="S8" s="31"/>
      <x:c r="T8" s="32" t="str">
        <x:f>IF(OR(J8="",S8=""),"",IF(J8&gt;0,100/(J8+100),ABS(J8)/(ABS(J8)+100))-IF(S8&gt;0,100/(S8+100),ABS(S8)/(ABS(S8)+100)))</x:f>
      </x:c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f>IF(OR(O9="",J9=""),"",IF(O9="Win",IF(J9&gt;0,1+J9/100,1+100/ABS(J9)),IF(O9="Push",1,0)))</x:f>
        <x:v>0</x:v>
      </x:c>
      <x:c r="R9" s="33" t="str">
        <x:f>IF(Q9="","",Q9-1)</x:f>
      </x:c>
      <x:c r="S9" s="31"/>
      <x:c r="T9" s="32" t="str">
        <x:f>IF(OR(J9="",S9=""),"",IF(J9&gt;0,100/(J9+100),ABS(J9)/(ABS(J9)+100))-IF(S9&gt;0,100/(S9+100),ABS(S9)/(ABS(S9)+100)))</x:f>
      </x:c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f>IF(OR(O10="",J10=""),"",IF(O10="Win",IF(J10&gt;0,1+J10/100,1+100/ABS(J10)),IF(O10="Push",1,0)))</x:f>
        <x:v>2.16</x:v>
      </x:c>
      <x:c r="R10" s="33" t="n">
        <x:f>IF(Q10="","",Q10-1)</x:f>
        <x:v>1.1600000000000001</x:v>
      </x:c>
      <x:c r="S10" s="31"/>
      <x:c r="T10" s="32" t="str">
        <x:f>IF(OR(J10="",S10=""),"",IF(J10&gt;0,100/(J10+100),ABS(J10)/(ABS(J10)+100))-IF(S10&gt;0,100/(S10+100),ABS(S10)/(ABS(S10)+100)))</x:f>
      </x:c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f>IF(OR(O11="",J11=""),"",IF(O11="Win",IF(J11&gt;0,1+J11/100,1+100/ABS(J11)),IF(O11="Push",1,0)))</x:f>
        <x:v>0</x:v>
      </x:c>
      <x:c r="R11" s="33" t="str">
        <x:f>IF(Q11="","",Q11-1)</x:f>
      </x:c>
      <x:c r="S11" s="31"/>
      <x:c r="T11" s="32" t="str">
        <x:f>IF(OR(J11="",S11=""),"",IF(J11&gt;0,100/(J11+100),ABS(J11)/(ABS(J11)+100))-IF(S11&gt;0,100/(S11+100),ABS(S11)/(ABS(S11)+100)))</x:f>
      </x:c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f>IF(OR(O12="",J12=""),"",IF(O12="Win",IF(J12&gt;0,1+J12/100,1+100/ABS(J12)),IF(O12="Push",1,0)))</x:f>
        <x:v>0</x:v>
      </x:c>
      <x:c r="R12" s="33" t="str">
        <x:f>IF(Q12="","",Q12-1)</x:f>
      </x:c>
      <x:c r="S12" s="31"/>
      <x:c r="T12" s="32" t="str">
        <x:f>IF(OR(J12="",S12=""),"",IF(J12&gt;0,100/(J12+100),ABS(J12)/(ABS(J12)+100))-IF(S12&gt;0,100/(S12+100),ABS(S12)/(ABS(S12)+100)))</x:f>
      </x:c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>
        <x:f>IF(O13="Win",1,IF(O13="Loss",0,""))</x:f>
      </x:c>
      <x:c r="Q13" s="33" t="n">
        <x:f>IF(OR(O13="",J13=""),"",IF(O13="Win",IF(J13&gt;0,1+J13/100,1+100/ABS(J13)),IF(O13="Push",1,0)))</x:f>
        <x:v>0</x:v>
      </x:c>
      <x:c r="R13" s="33" t="str">
        <x:f>IF(Q13="","",Q13-1)</x:f>
      </x:c>
      <x:c r="S13" s="31"/>
      <x:c r="T13" s="32" t="str">
        <x:f>IF(OR(J13="",S13=""),"",IF(J13&gt;0,100/(J13+100),ABS(J13)/(ABS(J13)+100))-IF(S13&gt;0,100/(S13+100),ABS(S13)/(ABS(S13)+100)))</x:f>
      </x:c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>
        <x:f>IF(O14="Win",1,IF(O14="Loss",0,""))</x:f>
      </x:c>
      <x:c r="Q14" s="33" t="n">
        <x:f>IF(OR(O14="",J14=""),"",IF(O14="Win",IF(J14&gt;0,1+J14/100,1+100/ABS(J14)),IF(O14="Push",1,0)))</x:f>
        <x:v>0</x:v>
      </x:c>
      <x:c r="R14" s="33" t="str">
        <x:f>IF(Q14="","",Q14-1)</x:f>
      </x:c>
      <x:c r="S14" s="31"/>
      <x:c r="T14" s="32" t="str">
        <x:f>IF(OR(J14="",S14=""),"",IF(J14&gt;0,100/(J14+100),ABS(J14)/(ABS(J14)+100))-IF(S14&gt;0,100/(S14+100),ABS(S14)/(ABS(S14)+100)))</x:f>
      </x:c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>
        <x:f>IF(O15="Win",1,IF(O15="Loss",0,""))</x:f>
      </x:c>
      <x:c r="Q15" s="33" t="n">
        <x:f>IF(OR(O15="",J15=""),"",IF(O15="Win",IF(J15&gt;0,1+J15/100,1+100/ABS(J15)),IF(O15="Push",1,0)))</x:f>
        <x:v>0</x:v>
      </x:c>
      <x:c r="R15" s="33" t="str">
        <x:f>IF(Q15="","",Q15-1)</x:f>
      </x:c>
      <x:c r="S15" s="31"/>
      <x:c r="T15" s="32" t="str">
        <x:f>IF(OR(J15="",S15=""),"",IF(J15&gt;0,100/(J15+100),ABS(J15)/(ABS(J15)+100))-IF(S15&gt;0,100/(S15+100),ABS(S15)/(ABS(S15)+100)))</x:f>
      </x:c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/>
      <x:c r="Z15" s="31" t="str">
        <x:v>Injuries create a stable total-under edge.</x:v>
      </x:c>
      <x:c r="AA15" s="31" t="str">
        <x:v>Scoring remains efficient despite missing creators.</x:v>
      </x:c>
      <x:c r="AB15" s="31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f>IF(O16="Win",1,IF(O16="Loss",0,""))</x:f>
        <x:v>1</x:v>
      </x:c>
      <x:c r="Q16" s="33" t="str">
        <x:f>IF(OR(O16="",J16=""),"",IF(O16="Win",IF(J16&gt;0,1+J16/100,1+100/ABS(J16)),IF(O16="Push",1,0)))</x:f>
      </x:c>
      <x:c r="R16" s="33" t="str">
        <x:f>IF(Q16="","",Q16-1)</x:f>
      </x:c>
      <x:c r="S16" s="31"/>
      <x:c r="T16" s="32" t="str">
        <x:f>IF(OR(J16="",S16=""),"",IF(J16&gt;0,100/(J16+100),ABS(J16)/(ABS(J16)+100))-IF(S16&gt;0,100/(S16+100),ABS(S16)/(ABS(S16)+100)))</x:f>
      </x:c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/>
      <x:c r="T17" s="32" t="str">
        <x:f>IF(OR(J17="",S17=""),"",IF(J17&gt;0,100/(J17+100),ABS(J17)/(ABS(J17)+100))-IF(S17&gt;0,100/(S17+100),ABS(S17)/(ABS(S17)+100)))</x:f>
      </x:c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>
        <x:f>IF(OR(O18="",J18=""),"",IF(O18="Win",IF(J18&gt;0,1+J18/100,1+100/ABS(J18)),IF(O18="Push",1,0)))</x:f>
      </x:c>
      <x:c r="R18" s="33" t="str">
        <x:f>IF(Q18="","",Q18-1)</x:f>
      </x:c>
      <x:c r="S18" s="31"/>
      <x:c r="T18" s="32" t="str">
        <x:f>IF(OR(J18="",S18=""),"",IF(J18&gt;0,100/(J18+100),ABS(J18)/(ABS(J18)+100))-IF(S18&gt;0,100/(S18+100),ABS(S18)/(ABS(S18)+100)))</x:f>
      </x:c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>
        <x:f>IF(OR(O19="",J19=""),"",IF(O19="Win",IF(J19&gt;0,1+J19/100,1+100/ABS(J19)),IF(O19="Push",1,0)))</x:f>
      </x:c>
      <x:c r="R19" s="33" t="str">
        <x:f>IF(Q19="","",Q19-1)</x:f>
      </x:c>
      <x:c r="S19" s="31"/>
      <x:c r="T19" s="32" t="str">
        <x:f>IF(OR(J19="",S19=""),"",IF(J19&gt;0,100/(J19+100),ABS(J19)/(ABS(J19)+100))-IF(S19&gt;0,100/(S19+100),ABS(S19)/(ABS(S19)+100)))</x:f>
      </x:c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/>
      <x:c r="T20" s="32" t="str">
        <x:f>IF(OR(J20="",S20=""),"",IF(J20&gt;0,100/(J20+100),ABS(J20)/(ABS(J20)+100))-IF(S20&gt;0,100/(S20+100),ABS(S20)/(ABS(S20)+100)))</x:f>
      </x:c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/>
      <x:c r="T21" s="32" t="str">
        <x:f>IF(OR(J21="",S21=""),"",IF(J21&gt;0,100/(J21+100),ABS(J21)/(ABS(J21)+100))-IF(S21&gt;0,100/(S21+100),ABS(S21)/(ABS(S21)+100)))</x:f>
      </x:c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/>
      <x:c r="T22" s="32" t="str">
        <x:f>IF(OR(J22="",S22=""),"",IF(J22&gt;0,100/(J22+100),ABS(J22)/(ABS(J22)+100))-IF(S22&gt;0,100/(S22+100),ABS(S22)/(ABS(S22)+100)))</x:f>
      </x:c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/>
      <x:c r="T23" s="32" t="str">
        <x:f>IF(OR(J23="",S23=""),"",IF(J23&gt;0,100/(J23+100),ABS(J23)/(ABS(J23)+100))-IF(S23&gt;0,100/(S23+100),ABS(S23)/(ABS(S23)+100)))</x:f>
      </x:c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/>
      <x:c r="T24" s="32" t="str">
        <x:f>IF(OR(J24="",S24=""),"",IF(J24&gt;0,100/(J24+100),ABS(J24)/(ABS(J24)+100))-IF(S24&gt;0,100/(S24+100),ABS(S24)/(ABS(S24)+100)))</x:f>
      </x:c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/>
      <x:c r="T25" s="32" t="str">
        <x:f>IF(OR(J25="",S25=""),"",IF(J25&gt;0,100/(J25+100),ABS(J25)/(ABS(J25)+100))-IF(S25&gt;0,100/(S25+100),ABS(S25)/(ABS(S25)+100)))</x:f>
      </x:c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/>
      <x:c r="T26" s="32" t="str">
        <x:f>IF(OR(J26="",S26=""),"",IF(J26&gt;0,100/(J26+100),ABS(J26)/(ABS(J26)+100))-IF(S26&gt;0,100/(S26+100),ABS(S26)/(ABS(S26)+100)))</x:f>
      </x:c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/>
      <x:c r="T27" s="32" t="str">
        <x:f>IF(OR(J27="",S27=""),"",IF(J27&gt;0,100/(J27+100),ABS(J27)/(ABS(J27)+100))-IF(S27&gt;0,100/(S27+100),ABS(S27)/(ABS(S27)+100)))</x:f>
      </x:c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/>
      <x:c r="T28" s="32" t="str">
        <x:f>IF(OR(J28="",S28=""),"",IF(J28&gt;0,100/(J28+100),ABS(J28)/(ABS(J28)+100))-IF(S28&gt;0,100/(S28+100),ABS(S28)/(ABS(S28)+100)))</x:f>
      </x:c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>
        <x:f>IF(OR(O29="",J29=""),"",IF(O29="Win",IF(J29&gt;0,1+J29/100,1+100/ABS(J29)),IF(O29="Push",1,0)))</x:f>
      </x:c>
      <x:c r="R29" s="33" t="str">
        <x:f>IF(Q29="","",Q29-1)</x:f>
      </x:c>
      <x:c r="S29" s="31"/>
      <x:c r="T29" s="32" t="str">
        <x:f>IF(OR(J29="",S29=""),"",IF(J29&gt;0,100/(J29+100),ABS(J29)/(ABS(J29)+100))-IF(S29&gt;0,100/(S29+100),ABS(S29)/(ABS(S29)+100)))</x:f>
      </x:c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>
        <x:f>IF(OR(O30="",J30=""),"",IF(O30="Win",IF(J30&gt;0,1+J30/100,1+100/ABS(J30)),IF(O30="Push",1,0)))</x:f>
      </x:c>
      <x:c r="R30" s="33" t="str">
        <x:f>IF(Q30="","",Q30-1)</x:f>
      </x:c>
      <x:c r="S30" s="31"/>
      <x:c r="T30" s="32" t="str">
        <x:f>IF(OR(J30="",S30=""),"",IF(J30&gt;0,100/(J30+100),ABS(J30)/(ABS(J30)+100))-IF(S30&gt;0,100/(S30+100),ABS(S30)/(ABS(S30)+100)))</x:f>
      </x:c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>
        <x:f>IF(OR(O31="",J31=""),"",IF(O31="Win",IF(J31&gt;0,1+J31/100,1+100/ABS(J31)),IF(O31="Push",1,0)))</x:f>
      </x:c>
      <x:c r="R31" s="33" t="str">
        <x:f>IF(Q31="","",Q31-1)</x:f>
      </x:c>
      <x:c r="S31" s="31"/>
      <x:c r="T31" s="32" t="str">
        <x:f>IF(OR(J31="",S31=""),"",IF(J31&gt;0,100/(J31+100),ABS(J31)/(ABS(J31)+100))-IF(S31&gt;0,100/(S31+100),ABS(S31)/(ABS(S31)+100)))</x:f>
      </x:c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>
        <x:f>IF(OR(O32="",J32=""),"",IF(O32="Win",IF(J32&gt;0,1+J32/100,1+100/ABS(J32)),IF(O32="Push",1,0)))</x:f>
      </x:c>
      <x:c r="R32" s="33" t="str">
        <x:f>IF(Q32="","",Q32-1)</x:f>
      </x:c>
      <x:c r="S32" s="31"/>
      <x:c r="T32" s="32" t="str">
        <x:f>IF(OR(J32="",S32=""),"",IF(J32&gt;0,100/(J32+100),ABS(J32)/(ABS(J32)+100))-IF(S32&gt;0,100/(S32+100),ABS(S32)/(ABS(S32)+100)))</x:f>
      </x:c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/>
      <x:c r="R33" s="33"/>
      <x:c r="S33" s="31"/>
      <x:c r="T33" s="32" t="str">
        <x:f>IF(OR(J33="",S33=""),"",IF(J33&gt;0,100/(J33+100),ABS(J33)/(ABS(J33)+100))-IF(S33&gt;0,100/(S33+100),ABS(S33)/(ABS(S33)+100)))</x:f>
      </x:c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/>
      <x:c r="T34" s="32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/>
      <x:c r="T35" s="32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/>
      <x:c r="T36" s="32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/>
      <x:c r="T37" s="32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/>
      <x:c r="T38" s="32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/>
      <x:c r="R43" s="33"/>
      <x:c r="S43" s="31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/>
      <x:c r="R45" s="33"/>
      <x:c r="S45" s="31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/>
      <x:c r="R50" s="33"/>
      <x:c r="S50" s="31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/>
      <x:c r="R54" s="33"/>
      <x:c r="S54" s="31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/>
      <x:c r="R55" s="33"/>
      <x:c r="S55" s="31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/>
      <x:c r="R56" s="33"/>
      <x:c r="S56" s="31"/>
      <x:c r="T56" s="32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/>
      <x:c r="R64" s="33"/>
      <x:c r="S64" s="31"/>
      <x:c r="T64" s="32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/>
      <x:c r="R65" s="33"/>
      <x:c r="S65" s="31"/>
      <x:c r="T65" s="32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/>
      <x:c r="R66" s="33"/>
      <x:c r="S66" s="31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/>
      <x:c r="R67" s="33"/>
      <x:c r="S67" s="31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/>
      <x:c r="R68" s="33"/>
      <x:c r="S68" s="31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/>
      <x:c r="R69" s="33"/>
      <x:c r="S69" s="31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/>
      <x:c r="R70" s="33"/>
      <x:c r="S70" s="31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/>
      <x:c r="R72" s="33"/>
      <x:c r="S72" s="31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/>
      <x:c r="R73" s="33"/>
      <x:c r="S73" s="31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/>
      <x:c r="R74" s="33"/>
      <x:c r="S74" s="31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/>
      <x:c r="R75" s="33"/>
      <x:c r="S75" s="31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/>
      <x:c r="R76" s="33"/>
      <x:c r="S76" s="31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/>
      <x:c r="R77" s="33"/>
      <x:c r="S77" s="31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/>
      <x:c r="R78" s="33"/>
      <x:c r="S78" s="31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/>
      <x:c r="R79" s="33"/>
      <x:c r="S79" s="31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/>
      <x:c r="R80" s="33"/>
      <x:c r="S80" s="31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/>
      <x:c r="R82" s="33"/>
      <x:c r="S82" s="31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/>
      <x:c r="R83" s="33"/>
      <x:c r="S83" s="31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/>
      <x:c r="AB85" s="31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/>
      <x:c r="AB86" s="31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/>
      <x:c r="AB87" s="31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/>
      <x:c r="AB88" s="31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/>
      <x:c r="AB89" s="31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/>
      <x:c r="R90" s="33" t="str"/>
      <x:c r="S90" s="31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/>
      <x:c r="AB92" s="31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/>
      <x:c r="AB95" s="31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/>
      <x:c r="AB96" s="31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/>
      <x:c r="Q97" s="33"/>
      <x:c r="R97" s="33" t="str"/>
      <x:c r="S97" s="31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/>
      <x:c r="Q98" s="33"/>
      <x:c r="R98" s="33" t="str"/>
      <x:c r="S98" s="31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/>
      <x:c r="R100" s="33" t="str"/>
      <x:c r="S100" s="31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/>
      <x:c r="R102" s="33" t="str"/>
      <x:c r="S102" s="31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/>
      <x:c r="R103" s="33" t="str"/>
      <x:c r="S103" s="31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/>
      <x:c r="R104" s="33" t="str"/>
      <x:c r="S104" s="31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/>
      <x:c r="R105" s="33" t="str"/>
      <x:c r="S105" s="31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/>
      <x:c r="R110" s="33" t="str"/>
      <x:c r="S110" s="31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80"/>
      <x:c r="K128" s="31"/>
      <x:c r="L128" s="31"/>
      <x:c r="M128" s="31"/>
      <x:c r="N128" s="31"/>
      <x:c r="O128" s="31"/>
      <x:c r="P128" s="31" t="str">
        <x:f>IF(O128="Win",1,IF(O128="Loss",0,""))</x:f>
      </x:c>
      <x:c r="Q128" s="33" t="str">
        <x:f>IF(OR(O128="",J128=""),"",IF(O128="Win",IF(J128&gt;0,1+J128/100,1+100/ABS(J128)),IF(O128="Push",1,0)))</x:f>
      </x:c>
      <x:c r="R128" s="33" t="str">
        <x:f>IF(Q128="","",Q128-1)</x:f>
      </x:c>
      <x:c r="S128" s="31"/>
      <x:c r="T128" s="32" t="str">
        <x:f>IF(OR(J128="",S128=""),"",IF(J128&gt;0,100/(J128+100),ABS(J128)/(ABS(J128)+100))-IF(S128&gt;0,100/(S128+100),ABS(S128)/(ABS(S128)+100)))</x:f>
      </x:c>
      <x:c r="U128" s="31"/>
      <x:c r="V128" s="31"/>
      <x:c r="W128" s="31"/>
      <x:c r="X128" s="31"/>
      <x:c r="Y128" s="31"/>
      <x:c r="Z128" s="31"/>
      <x:c r="AA128" s="31"/>
      <x:c r="AB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80"/>
      <x:c r="K129" s="31"/>
      <x:c r="L129" s="31"/>
      <x:c r="M129" s="31"/>
      <x:c r="N129" s="31"/>
      <x:c r="O129" s="31"/>
      <x:c r="P129" s="31" t="str">
        <x:f>IF(O129="Win",1,IF(O129="Loss",0,""))</x:f>
      </x:c>
      <x:c r="Q129" s="33" t="str">
        <x:f>IF(OR(O129="",J129=""),"",IF(O129="Win",IF(J129&gt;0,1+J129/100,1+100/ABS(J129)),IF(O129="Push",1,0)))</x:f>
      </x:c>
      <x:c r="R129" s="33" t="str">
        <x:f>IF(Q129="","",Q129-1)</x:f>
      </x:c>
      <x:c r="S129" s="31"/>
      <x:c r="T129" s="32" t="str">
        <x:f>IF(OR(J129="",S129=""),"",IF(J129&gt;0,100/(J129+100),ABS(J129)/(ABS(J129)+100))-IF(S129&gt;0,100/(S129+100),ABS(S129)/(ABS(S129)+100)))</x:f>
      </x:c>
      <x:c r="U129" s="31"/>
      <x:c r="V129" s="31"/>
      <x:c r="W129" s="31"/>
      <x:c r="X129" s="31"/>
      <x:c r="Y129" s="31"/>
      <x:c r="Z129" s="31"/>
      <x:c r="AA129" s="31"/>
      <x:c r="AB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80"/>
      <x:c r="K130" s="31"/>
      <x:c r="L130" s="31"/>
      <x:c r="M130" s="31"/>
      <x:c r="N130" s="31"/>
      <x:c r="O130" s="31"/>
      <x:c r="P130" s="31" t="str">
        <x:f>IF(O130="Win",1,IF(O130="Loss",0,""))</x:f>
      </x:c>
      <x:c r="Q130" s="33" t="str">
        <x:f>IF(OR(O130="",J130=""),"",IF(O130="Win",IF(J130&gt;0,1+J130/100,1+100/ABS(J130)),IF(O130="Push",1,0)))</x:f>
      </x:c>
      <x:c r="R130" s="33" t="str">
        <x:f>IF(Q130="","",Q130-1)</x:f>
      </x:c>
      <x:c r="S130" s="31"/>
      <x:c r="T130" s="32" t="str">
        <x:f>IF(OR(J130="",S130=""),"",IF(J130&gt;0,100/(J130+100),ABS(J130)/(ABS(J130)+100))-IF(S130&gt;0,100/(S130+100),ABS(S130)/(ABS(S130)+100)))</x:f>
      </x:c>
      <x:c r="U130" s="31"/>
      <x:c r="V130" s="31"/>
      <x:c r="W130" s="31"/>
      <x:c r="X130" s="31"/>
      <x:c r="Y130" s="31"/>
      <x:c r="Z130" s="31"/>
      <x:c r="AA130" s="31"/>
      <x:c r="AB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80"/>
      <x:c r="K131" s="31"/>
      <x:c r="L131" s="31"/>
      <x:c r="M131" s="31"/>
      <x:c r="N131" s="31"/>
      <x:c r="O131" s="31"/>
      <x:c r="P131" s="31" t="str">
        <x:f>IF(O131="Win",1,IF(O131="Loss",0,""))</x:f>
      </x:c>
      <x:c r="Q131" s="33" t="str">
        <x:f>IF(OR(O131="",J131=""),"",IF(O131="Win",IF(J131&gt;0,1+J131/100,1+100/ABS(J131)),IF(O131="Push",1,0)))</x:f>
      </x:c>
      <x:c r="R131" s="33" t="str">
        <x:f>IF(Q131="","",Q131-1)</x:f>
      </x:c>
      <x:c r="S131" s="31"/>
      <x:c r="T131" s="32" t="str">
        <x:f>IF(OR(J131="",S131=""),"",IF(J131&gt;0,100/(J131+100),ABS(J131)/(ABS(J131)+100))-IF(S131&gt;0,100/(S131+100),ABS(S131)/(ABS(S131)+100)))</x:f>
      </x:c>
      <x:c r="U131" s="31"/>
      <x:c r="V131" s="31"/>
      <x:c r="W131" s="31"/>
      <x:c r="X131" s="31"/>
      <x:c r="Y131" s="31"/>
      <x:c r="Z131" s="31"/>
      <x:c r="AA131" s="31"/>
      <x:c r="AB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80"/>
      <x:c r="K132" s="31"/>
      <x:c r="L132" s="31"/>
      <x:c r="M132" s="31"/>
      <x:c r="N132" s="31"/>
      <x:c r="O132" s="31"/>
      <x:c r="P132" s="31" t="str">
        <x:f>IF(O132="Win",1,IF(O132="Loss",0,""))</x:f>
      </x:c>
      <x:c r="Q132" s="33" t="str">
        <x:f>IF(OR(O132="",J132=""),"",IF(O132="Win",IF(J132&gt;0,1+J132/100,1+100/ABS(J132)),IF(O132="Push",1,0)))</x:f>
      </x:c>
      <x:c r="R132" s="33" t="str">
        <x:f>IF(Q132="","",Q132-1)</x:f>
      </x:c>
      <x:c r="S132" s="31"/>
      <x:c r="T132" s="32" t="str">
        <x:f>IF(OR(J132="",S132=""),"",IF(J132&gt;0,100/(J132+100),ABS(J132)/(ABS(J132)+100))-IF(S132&gt;0,100/(S132+100),ABS(S132)/(ABS(S132)+100)))</x:f>
      </x:c>
      <x:c r="U132" s="31"/>
      <x:c r="V132" s="31"/>
      <x:c r="W132" s="31"/>
      <x:c r="X132" s="31"/>
      <x:c r="Y132" s="31"/>
      <x:c r="Z132" s="31"/>
      <x:c r="AA132" s="31"/>
      <x:c r="AB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80"/>
      <x:c r="K133" s="31"/>
      <x:c r="L133" s="31"/>
      <x:c r="M133" s="31"/>
      <x:c r="N133" s="31"/>
      <x:c r="O133" s="31"/>
      <x:c r="P133" s="31" t="str">
        <x:f>IF(O133="Win",1,IF(O133="Loss",0,""))</x:f>
      </x:c>
      <x:c r="Q133" s="33" t="str">
        <x:f>IF(OR(O133="",J133=""),"",IF(O133="Win",IF(J133&gt;0,1+J133/100,1+100/ABS(J133)),IF(O133="Push",1,0)))</x:f>
      </x:c>
      <x:c r="R133" s="33" t="str">
        <x:f>IF(Q133="","",Q133-1)</x:f>
      </x:c>
      <x:c r="S133" s="31"/>
      <x:c r="T133" s="32" t="str">
        <x:f>IF(OR(J133="",S133=""),"",IF(J133&gt;0,100/(J133+100),ABS(J133)/(ABS(J133)+100))-IF(S133&gt;0,100/(S133+100),ABS(S133)/(ABS(S133)+100)))</x:f>
      </x:c>
      <x:c r="U133" s="31"/>
      <x:c r="V133" s="31"/>
      <x:c r="W133" s="31"/>
      <x:c r="X133" s="31"/>
      <x:c r="Y133" s="31"/>
      <x:c r="Z133" s="31"/>
      <x:c r="AA133" s="31"/>
      <x:c r="AB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80"/>
      <x:c r="K134" s="31"/>
      <x:c r="L134" s="31"/>
      <x:c r="M134" s="31"/>
      <x:c r="N134" s="31"/>
      <x:c r="O134" s="31"/>
      <x:c r="P134" s="31" t="str">
        <x:f>IF(O134="Win",1,IF(O134="Loss",0,""))</x:f>
      </x:c>
      <x:c r="Q134" s="33" t="str">
        <x:f>IF(OR(O134="",J134=""),"",IF(O134="Win",IF(J134&gt;0,1+J134/100,1+100/ABS(J134)),IF(O134="Push",1,0)))</x:f>
      </x:c>
      <x:c r="R134" s="33" t="str">
        <x:f>IF(Q134="","",Q134-1)</x:f>
      </x:c>
      <x:c r="S134" s="31"/>
      <x:c r="T134" s="32" t="str">
        <x:f>IF(OR(J134="",S134=""),"",IF(J134&gt;0,100/(J134+100),ABS(J134)/(ABS(J134)+100))-IF(S134&gt;0,100/(S134+100),ABS(S134)/(ABS(S134)+100)))</x:f>
      </x:c>
      <x:c r="U134" s="31"/>
      <x:c r="V134" s="31"/>
      <x:c r="W134" s="31"/>
      <x:c r="X134" s="31"/>
      <x:c r="Y134" s="31"/>
      <x:c r="Z134" s="31"/>
      <x:c r="AA134" s="31"/>
      <x:c r="AB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80"/>
      <x:c r="K135" s="31"/>
      <x:c r="L135" s="31"/>
      <x:c r="M135" s="31"/>
      <x:c r="N135" s="31"/>
      <x:c r="O135" s="31"/>
      <x:c r="P135" s="31" t="str">
        <x:f>IF(O135="Win",1,IF(O135="Loss",0,""))</x:f>
      </x:c>
      <x:c r="Q135" s="33" t="str">
        <x:f>IF(OR(O135="",J135=""),"",IF(O135="Win",IF(J135&gt;0,1+J135/100,1+100/ABS(J135)),IF(O135="Push",1,0)))</x:f>
      </x:c>
      <x:c r="R135" s="33" t="str">
        <x:f>IF(Q135="","",Q135-1)</x:f>
      </x:c>
      <x:c r="S135" s="31"/>
      <x:c r="T135" s="32" t="str">
        <x:f>IF(OR(J135="",S135=""),"",IF(J135&gt;0,100/(J135+100),ABS(J135)/(ABS(J135)+100))-IF(S135&gt;0,100/(S135+100),ABS(S135)/(ABS(S135)+100)))</x:f>
      </x:c>
      <x:c r="U135" s="31"/>
      <x:c r="V135" s="31"/>
      <x:c r="W135" s="31"/>
      <x:c r="X135" s="31"/>
      <x:c r="Y135" s="31"/>
      <x:c r="Z135" s="31"/>
      <x:c r="AA135" s="31"/>
      <x:c r="AB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80"/>
      <x:c r="K136" s="31"/>
      <x:c r="L136" s="31"/>
      <x:c r="M136" s="31"/>
      <x:c r="N136" s="31"/>
      <x:c r="O136" s="31"/>
      <x:c r="P136" s="31" t="str">
        <x:f>IF(O136="Win",1,IF(O136="Loss",0,""))</x:f>
      </x:c>
      <x:c r="Q136" s="33" t="str">
        <x:f>IF(OR(O136="",J136=""),"",IF(O136="Win",IF(J136&gt;0,1+J136/100,1+100/ABS(J136)),IF(O136="Push",1,0)))</x:f>
      </x:c>
      <x:c r="R136" s="33" t="str">
        <x:f>IF(Q136="","",Q136-1)</x:f>
      </x:c>
      <x:c r="S136" s="31"/>
      <x:c r="T136" s="32" t="str">
        <x:f>IF(OR(J136="",S136=""),"",IF(J136&gt;0,100/(J136+100),ABS(J136)/(ABS(J136)+100))-IF(S136&gt;0,100/(S136+100),ABS(S136)/(ABS(S136)+100)))</x:f>
      </x:c>
      <x:c r="U136" s="31"/>
      <x:c r="V136" s="31"/>
      <x:c r="W136" s="31"/>
      <x:c r="X136" s="31"/>
      <x:c r="Y136" s="31"/>
      <x:c r="Z136" s="31"/>
      <x:c r="AA136" s="31"/>
      <x:c r="AB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80"/>
      <x:c r="K137" s="31"/>
      <x:c r="L137" s="31"/>
      <x:c r="M137" s="31"/>
      <x:c r="N137" s="31"/>
      <x:c r="O137" s="31"/>
      <x:c r="P137" s="31" t="str">
        <x:f>IF(O137="Win",1,IF(O137="Loss",0,""))</x:f>
      </x:c>
      <x:c r="Q137" s="33" t="str">
        <x:f>IF(OR(O137="",J137=""),"",IF(O137="Win",IF(J137&gt;0,1+J137/100,1+100/ABS(J137)),IF(O137="Push",1,0)))</x:f>
      </x:c>
      <x:c r="R137" s="33" t="str">
        <x:f>IF(Q137="","",Q137-1)</x:f>
      </x:c>
      <x:c r="S137" s="31"/>
      <x:c r="T137" s="32" t="str">
        <x:f>IF(OR(J137="",S137=""),"",IF(J137&gt;0,100/(J137+100),ABS(J137)/(ABS(J137)+100))-IF(S137&gt;0,100/(S137+100),ABS(S137)/(ABS(S137)+100)))</x:f>
      </x:c>
      <x:c r="U137" s="31"/>
      <x:c r="V137" s="31"/>
      <x:c r="W137" s="31"/>
      <x:c r="X137" s="31"/>
      <x:c r="Y137" s="31"/>
      <x:c r="Z137" s="31"/>
      <x:c r="AA137" s="31"/>
      <x:c r="AB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80"/>
      <x:c r="K138" s="31"/>
      <x:c r="L138" s="31"/>
      <x:c r="M138" s="31"/>
      <x:c r="N138" s="31"/>
      <x:c r="O138" s="31"/>
      <x:c r="P138" s="31" t="str">
        <x:f>IF(O138="Win",1,IF(O138="Loss",0,""))</x:f>
      </x:c>
      <x:c r="Q138" s="33" t="str">
        <x:f>IF(OR(O138="",J138=""),"",IF(O138="Win",IF(J138&gt;0,1+J138/100,1+100/ABS(J138)),IF(O138="Push",1,0)))</x:f>
      </x:c>
      <x:c r="R138" s="33" t="str">
        <x:f>IF(Q138="","",Q138-1)</x:f>
      </x:c>
      <x:c r="S138" s="31"/>
      <x:c r="T138" s="32" t="str">
        <x:f>IF(OR(J138="",S138=""),"",IF(J138&gt;0,100/(J138+100),ABS(J138)/(ABS(J138)+100))-IF(S138&gt;0,100/(S138+100),ABS(S138)/(ABS(S138)+100)))</x:f>
      </x:c>
      <x:c r="U138" s="31"/>
      <x:c r="V138" s="31"/>
      <x:c r="W138" s="31"/>
      <x:c r="X138" s="31"/>
      <x:c r="Y138" s="31"/>
      <x:c r="Z138" s="31"/>
      <x:c r="AA138" s="31"/>
      <x:c r="AB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80"/>
      <x:c r="K139" s="31"/>
      <x:c r="L139" s="31"/>
      <x:c r="M139" s="31"/>
      <x:c r="N139" s="31"/>
      <x:c r="O139" s="31"/>
      <x:c r="P139" s="31"/>
      <x:c r="Q139" s="33"/>
      <x:c r="R139" s="33" t="str">
        <x:f>IF(Q139="","",Q139-1)</x:f>
      </x:c>
      <x:c r="S139" s="31"/>
      <x:c r="T139" s="32" t="str">
        <x:f>IF(OR(J139="",S139=""),"",IF(J139&gt;0,100/(J139+100),ABS(J139)/(ABS(J139)+100))-IF(S139&gt;0,100/(S139+100),ABS(S139)/(ABS(S139)+100)))</x:f>
      </x:c>
      <x:c r="U139" s="31"/>
      <x:c r="V139" s="31"/>
      <x:c r="W139" s="31"/>
      <x:c r="X139" s="31"/>
      <x:c r="Y139" s="31"/>
      <x:c r="Z139" s="31"/>
      <x:c r="AA139" s="31"/>
      <x:c r="AB139" s="31"/>
    </x:row>
    <x:row r="140">
      <x:c r="A140" s="79" t="str">
        <x:v>2026-08-29</x:v>
      </x:c>
      <x:c r="B140" s="31" t="str">
        <x:v>P29-045</x:v>
      </x:c>
      <x:c r="C140" s="31" t="str">
        <x:v>A29-R21;A29-R18;A29-R17</x:v>
      </x:c>
      <x:c r="D140" s="31" t="str">
        <x:v>PAPER</x:v>
      </x:c>
      <x:c r="E140" s="31" t="str">
        <x:v>CFB</x:v>
      </x:c>
      <x:c r="F140" s="31" t="str">
        <x:v>3-game parlay</x:v>
      </x:c>
      <x:c r="G140" s="31" t="str">
        <x:v>TCU + EMU + JAX ST</x:v>
      </x:c>
      <x:c r="H140" s="31" t="str">
        <x:v>CFB Primary Parlay</x:v>
      </x:c>
      <x:c r="I140" s="31" t="str">
        <x:v>TCU -6.5 + Eastern Michigan -6.5 + Jacksonville State +10.5</x:v>
      </x:c>
      <x:c r="J140" s="80"/>
      <x:c r="K140" s="31" t="str">
        <x:v>HYBRID</x:v>
      </x:c>
      <x:c r="L140" s="31" t="str">
        <x:v>A</x:v>
      </x:c>
      <x:c r="M140" s="31" t="str">
        <x:v>Primary real-money candidate built from favorable alternate thresholds and source/independent convergence.</x:v>
      </x:c>
      <x:c r="N140" s="31" t="str">
        <x:v>N</x:v>
      </x:c>
      <x:c r="O140" s="31" t="str">
        <x:v>Loss</x:v>
      </x:c>
      <x:c r="P140" s="31" t="n">
        <x:v>0</x:v>
      </x:c>
      <x:c r="Q140" s="33"/>
      <x:c r="R140" s="33"/>
      <x:c r="S140" s="31"/>
      <x:c r="T140" s="32"/>
      <x:c r="U140" s="31" t="str">
        <x:v>Real primary CFB cluster: TCU L, EMU W, JAX L.</x:v>
      </x:c>
      <x:c r="V140" s="31" t="str">
        <x:v>CONSTRUCTION_TEST</x:v>
      </x:c>
      <x:c r="W140" s="31" t="str">
        <x:v>EXP-19</x:v>
      </x:c>
      <x:c r="X140" s="31" t="str">
        <x:v>CFB PRIMARY ALT-SPREAD CARD</x:v>
      </x:c>
      <x:c r="Y140" s="31"/>
      <x:c r="Z140" s="31" t="str">
        <x:v>Using favorable alternate spreads around the strongest convergence games should preserve edge better than market spreads or extreme source alternates.</x:v>
      </x:c>
      <x:c r="AA140" s="31" t="str">
        <x:v>TCU fails to cover -6.5, EMU fails despite two-source convergence, or JAX loses by 11+.</x:v>
      </x:c>
      <x:c r="AB140" s="31" t="str">
        <x:v>1/3; threshold protection could not rescue two wrong sides.</x:v>
      </x:c>
    </x:row>
    <x:row r="141">
      <x:c r="A141" s="79" t="str">
        <x:v>2026-08-29</x:v>
      </x:c>
      <x:c r="B141" s="31" t="str">
        <x:v>P29-046</x:v>
      </x:c>
      <x:c r="C141" s="31" t="str">
        <x:v>A29-D02;A29-D06;A29-D10</x:v>
      </x:c>
      <x:c r="D141" s="31" t="str">
        <x:v>PAPER</x:v>
      </x:c>
      <x:c r="E141" s="31" t="str">
        <x:v>CFB</x:v>
      </x:c>
      <x:c r="F141" s="31" t="str">
        <x:v>3-game parlay</x:v>
      </x:c>
      <x:c r="G141" s="31" t="str">
        <x:v>Miller + Hawaii + MEM/UNLV</x:v>
      </x:c>
      <x:c r="H141" s="31" t="str">
        <x:v>CFB Secondary Parlay</x:v>
      </x:c>
      <x:c r="I141" s="31" t="str">
        <x:v>King Miller O65.5 rush + Hawaii +3.5/+4.5 + Memphis/UNLV O56.5</x:v>
      </x:c>
      <x:c r="J141" s="80"/>
      <x:c r="K141" s="31" t="str">
        <x:v>DISCOVERED</x:v>
      </x:c>
      <x:c r="L141" s="31" t="str">
        <x:v>A-</x:v>
      </x:c>
      <x:c r="M141" s="31" t="str">
        <x:v>Independent/differentiated second card with no repeated legs from the primary parlay.</x:v>
      </x:c>
      <x:c r="N141" s="31" t="str">
        <x:v>N</x:v>
      </x:c>
      <x:c r="O141" s="31" t="str">
        <x:v>Loss</x:v>
      </x:c>
      <x:c r="P141" s="31" t="n">
        <x:v>0</x:v>
      </x:c>
      <x:c r="Q141" s="33"/>
      <x:c r="R141" s="33"/>
      <x:c r="S141" s="31"/>
      <x:c r="T141" s="32"/>
      <x:c r="U141" s="31" t="str">
        <x:v>Real secondary CFB cluster: Miller 60+ W, Hawaii +4.5 L, O56.5 L.</x:v>
      </x:c>
      <x:c r="V141" s="31" t="str">
        <x:v>CONSTRUCTION_TEST</x:v>
      </x:c>
      <x:c r="W141" s="31" t="str">
        <x:v>EXP-23</x:v>
      </x:c>
      <x:c r="X141" s="31" t="str">
        <x:v>CFB DIFFERENTIATED CARD</x:v>
      </x:c>
      <x:c r="Y141" s="31"/>
      <x:c r="Z141" s="31" t="str">
        <x:v>Combining a role-based player prop, a continuity-based underdog spread, and a game-total edge diversifies failure modes across the slate.</x:v>
      </x:c>
      <x:c r="AA141" s="31" t="str">
        <x:v>One of the three theses proves too uncertain for real-money deployment after exact-price audit.</x:v>
      </x:c>
      <x:c r="AB141" s="31" t="str">
        <x:v>Only the hard role-based player prop survived.</x:v>
      </x:c>
    </x:row>
    <x:row r="142">
      <x:c r="A142" s="79" t="str">
        <x:v>2026-08-29</x:v>
      </x:c>
      <x:c r="B142" s="31" t="str">
        <x:v>P29-047</x:v>
      </x:c>
      <x:c r="C142" s="31" t="str">
        <x:v>A29-R21;A29-R18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TCU + EMU</x:v>
      </x:c>
      <x:c r="H142" s="31" t="str">
        <x:v>2-leg subset</x:v>
      </x:c>
      <x:c r="I142" s="31" t="str">
        <x:v>TCU -6.5 + Eastern Michigan -6.5</x:v>
      </x:c>
      <x:c r="J142" s="80"/>
      <x:c r="K142" s="31" t="str">
        <x:v>HYBRID</x:v>
      </x:c>
      <x:c r="L142" s="31" t="str">
        <x:v>A</x:v>
      </x:c>
      <x:c r="M142" s="31" t="str">
        <x:v>Two strongest convergence legs from primary CFB card.</x:v>
      </x:c>
      <x:c r="N142" s="31" t="str">
        <x:v>N</x:v>
      </x:c>
      <x:c r="O142" s="31" t="str">
        <x:v>Pending</x:v>
      </x:c>
      <x:c r="P142" s="31"/>
      <x:c r="Q142" s="33"/>
      <x:c r="R142" s="33"/>
      <x:c r="S142" s="31"/>
      <x:c r="T142" s="32"/>
      <x:c r="U142" s="31" t="str">
        <x:v>Outcome-only unless exact combined odds captured.</x:v>
      </x:c>
      <x:c r="V142" s="31" t="str">
        <x:v>CONSTRUCTION_TEST</x:v>
      </x:c>
      <x:c r="W142" s="31" t="str">
        <x:v>EXP-09</x:v>
      </x:c>
      <x:c r="X142" s="31" t="str">
        <x:v>CFB 2-LEG TCU+EMU</x:v>
      </x:c>
      <x:c r="Y142" s="31" t="str">
        <x:v>P29-045</x:v>
      </x:c>
      <x:c r="Z142" s="31" t="str">
        <x:v>Two strongest consensus legs may outperform adding a third threshold-protection leg.</x:v>
      </x:c>
      <x:c r="AA142" s="31" t="str">
        <x:v>JAX +10.5 adds enough edge/payout to make the 3-leg superior over sample.</x:v>
      </x:c>
      <x:c r="AB142" s="31"/>
    </x:row>
    <x:row r="143">
      <x:c r="A143" s="79" t="str">
        <x:v>2026-08-29</x:v>
      </x:c>
      <x:c r="B143" s="31" t="str">
        <x:v>P29-048</x:v>
      </x:c>
      <x:c r="C143" s="31" t="str">
        <x:v>A29-D02;A29-D10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O65.5 rush + Memphis/UNLV O56.5</x:v>
      </x:c>
      <x:c r="J143" s="80"/>
      <x:c r="K143" s="31" t="str">
        <x:v>DISCOVERED</x:v>
      </x:c>
      <x:c r="L143" s="31" t="str">
        <x:v>A-</x:v>
      </x:c>
      <x:c r="M143" s="31" t="str">
        <x:v>Two highest-information independent theses from secondary CFB card.</x:v>
      </x:c>
      <x:c r="N143" s="31" t="str">
        <x:v>N</x:v>
      </x:c>
      <x:c r="O143" s="31" t="str">
        <x:v>Pending</x:v>
      </x:c>
      <x:c r="P143" s="31"/>
      <x:c r="Q143" s="33"/>
      <x:c r="R143" s="33"/>
      <x:c r="S143" s="31"/>
      <x:c r="T143" s="32"/>
      <x:c r="U143" s="31" t="str">
        <x:v>Outcome-only unless exact combined odds captured.</x:v>
      </x:c>
      <x:c r="V143" s="31" t="str">
        <x:v>CONSTRUCTION_TEST</x:v>
      </x:c>
      <x:c r="W143" s="31" t="str">
        <x:v>EXP-09</x:v>
      </x:c>
      <x:c r="X143" s="31" t="str">
        <x:v>CFB 2-LEG MILLER+OVER</x:v>
      </x:c>
      <x:c r="Y143" s="31" t="str">
        <x:v>P29-046</x:v>
      </x:c>
      <x:c r="Z143" s="31" t="str">
        <x:v>Player-role plus game-total edges may be cleaner than adding a contested Hawaii side.</x:v>
      </x:c>
      <x:c r="AA143" s="31" t="str">
        <x:v>Hawaii plus-points improves the three-leg card enough to justify its added variance.</x:v>
      </x:c>
      <x:c r="AB143" s="31"/>
    </x:row>
    <x:row r="144">
      <x:c r="A144" s="79" t="str">
        <x:v>2026-08-29</x:v>
      </x:c>
      <x:c r="B144" s="31" t="str">
        <x:v>P29-049</x:v>
      </x:c>
      <x:c r="C144" s="31" t="str">
        <x:v>A29-S01</x:v>
      </x:c>
      <x:c r="D144" s="31" t="str">
        <x:v>PAPER</x:v>
      </x:c>
      <x:c r="E144" s="31" t="str">
        <x:v>Soccer</x:v>
      </x:c>
      <x:c r="F144" s="31" t="str">
        <x:v>Bournemouth vs Everton</x:v>
      </x:c>
      <x:c r="G144" s="31" t="str">
        <x:v>Bournemouth/Everton</x:v>
      </x:c>
      <x:c r="H144" s="31" t="str">
        <x:v>Game Total Goals</x:v>
      </x:c>
      <x:c r="I144" s="31" t="str">
        <x:v>Over 2.5 total goals</x:v>
      </x:c>
      <x:c r="J144" s="80" t="n">
        <x:v>-127</x:v>
      </x:c>
      <x:c r="K144" s="31" t="str">
        <x:v>DISCOVERED</x:v>
      </x:c>
      <x:c r="L144" s="31" t="str">
        <x:v>B+</x:v>
      </x:c>
      <x:c r="M144" s="31" t="str">
        <x:v>Higher threshold alternative to actual O1.5 real leg.</x:v>
      </x:c>
      <x:c r="N144" s="31" t="str">
        <x:v>N</x:v>
      </x:c>
      <x:c r="O144" s="31" t="str">
        <x:v>Pending</x:v>
      </x:c>
      <x:c r="P144" s="31" t="str"/>
      <x:c r="Q144" s="33" t="n">
        <x:v>0</x:v>
      </x:c>
      <x:c r="R144" s="33" t="str"/>
      <x:c r="S144" s="31"/>
      <x:c r="T144" s="32" t="str"/>
      <x:c r="U144" s="31" t="str">
        <x:v>Exact external benchmark -127 captured prospectively.</x:v>
      </x:c>
      <x:c r="V144" s="31" t="str">
        <x:v>ALT_MARKET_TEST</x:v>
      </x:c>
      <x:c r="W144" s="31" t="str">
        <x:v>EXP-06</x:v>
      </x:c>
      <x:c r="X144" s="31" t="str">
        <x:v>BOU/EVE O2.5 GOALS ARM</x:v>
      </x:c>
      <x:c r="Y144" s="31" t="str">
        <x:v>P29-010</x:v>
      </x:c>
      <x:c r="Z144" s="31" t="str">
        <x:v>If the matchup is truly goal-friendly, O2.5 may provide better price-adjusted value than -380 O1.5 glue.</x:v>
      </x:c>
      <x:c r="AA144" s="31" t="str">
        <x:v>Game lands exactly 2 goals often enough that O1.5 proves the superior stabilizer.</x:v>
      </x:c>
      <x:c r="AB144" s="31"/>
    </x:row>
    <x:row r="145">
      <x:c r="A145" s="79" t="str">
        <x:v>2026-08-29</x:v>
      </x:c>
      <x:c r="B145" s="31" t="str">
        <x:v>P29-050</x:v>
      </x:c>
      <x:c r="C145" s="31" t="str">
        <x:v>A29-S02</x:v>
      </x:c>
      <x:c r="D145" s="31" t="str">
        <x:v>PAPER</x:v>
      </x:c>
      <x:c r="E145" s="31" t="str">
        <x:v>Soccer</x:v>
      </x:c>
      <x:c r="F145" s="31" t="str">
        <x:v>Bournemouth vs Everton</x:v>
      </x:c>
      <x:c r="G145" s="31" t="str">
        <x:v>Bournemouth</x:v>
      </x:c>
      <x:c r="H145" s="31" t="str">
        <x:v>Team Corners</x:v>
      </x:c>
      <x:c r="I145" s="31" t="str">
        <x:v>Over 5.5 team corners</x:v>
      </x:c>
      <x:c r="J145" s="80" t="n">
        <x:v>-139</x:v>
      </x:c>
      <x:c r="K145" s="31" t="str">
        <x:v>DISCOVERED</x:v>
      </x:c>
      <x:c r="L145" s="31" t="str">
        <x:v>B+</x:v>
      </x:c>
      <x:c r="M145" s="31" t="str">
        <x:v>Home-territory alternative to actual goal-floor leg.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/>
      <x:c r="T145" s="32" t="str"/>
      <x:c r="U145" s="31" t="str">
        <x:v>Independent benchmark -139.</x:v>
      </x:c>
      <x:c r="V145" s="31" t="str">
        <x:v>ALT_MARKET_TEST</x:v>
      </x:c>
      <x:c r="W145" s="31" t="str">
        <x:v>EXP-13</x:v>
      </x:c>
      <x:c r="X145" s="31" t="str">
        <x:v>BOURNEMOUTH CORNERS ARM</x:v>
      </x:c>
      <x:c r="Y145" s="31" t="str">
        <x:v>P29-010</x:v>
      </x:c>
      <x:c r="Z145" s="31" t="str">
        <x:v>Favorite/home pressure may be captured more efficiently by corners than a heavily juiced low goal total.</x:v>
      </x:c>
      <x:c r="AA145" s="31" t="str">
        <x:v>Bournemouth gets the goals without generating six corners.</x:v>
      </x:c>
      <x:c r="AB145" s="31"/>
    </x:row>
    <x:row r="146">
      <x:c r="A146" s="79" t="str">
        <x:v>2026-08-29</x:v>
      </x:c>
      <x:c r="B146" s="31" t="str">
        <x:v>P29-051</x:v>
      </x:c>
      <x:c r="C146" s="31" t="str">
        <x:v>A29-S03</x:v>
      </x:c>
      <x:c r="D146" s="31" t="str">
        <x:v>PAPER</x:v>
      </x:c>
      <x:c r="E146" s="31" t="str">
        <x:v>Soccer</x:v>
      </x:c>
      <x:c r="F146" s="31" t="str">
        <x:v>Bournemouth vs Everton</x:v>
      </x:c>
      <x:c r="G146" s="31" t="str">
        <x:v>Everton</x:v>
      </x:c>
      <x:c r="H146" s="31" t="str">
        <x:v>Team Corners</x:v>
      </x:c>
      <x:c r="I146" s="31" t="str">
        <x:v>Over 4.5 team corners</x:v>
      </x:c>
      <x:c r="J146" s="80" t="n">
        <x:v>106</x:v>
      </x:c>
      <x:c r="K146" s="31" t="str">
        <x:v>DISCOVERED</x:v>
      </x:c>
      <x:c r="L146" s="31" t="str">
        <x:v>B</x:v>
      </x:c>
      <x:c r="M146" s="31" t="str">
        <x:v>Plus-money away-corner alternative.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/>
      <x:c r="T146" s="32" t="str"/>
      <x:c r="U146" s="31" t="str">
        <x:v>Independent benchmark +106.</x:v>
      </x:c>
      <x:c r="V146" s="31" t="str">
        <x:v>HYPOTHESIS_TEST</x:v>
      </x:c>
      <x:c r="W146" s="31" t="str">
        <x:v>EXP-13</x:v>
      </x:c>
      <x:c r="X146" s="31" t="str">
        <x:v>EVERTON CORNERS ARM</x:v>
      </x:c>
      <x:c r="Y146" s="31"/>
      <x:c r="Z146" s="31" t="str">
        <x:v>Everton's away corner volume can generate plus-money value even as underdog.</x:v>
      </x:c>
      <x:c r="AA146" s="31" t="str">
        <x:v>Bournemouth territorial dominance suppresses Everton below five corners.</x:v>
      </x:c>
      <x:c r="AB146" s="31"/>
    </x:row>
    <x:row r="147">
      <x:c r="A147" s="79" t="str">
        <x:v>2026-08-29</x:v>
      </x:c>
      <x:c r="B147" s="31" t="str">
        <x:v>P29-052</x:v>
      </x:c>
      <x:c r="C147" s="31" t="str">
        <x:v>A29-S04</x:v>
      </x:c>
      <x:c r="D147" s="31" t="str">
        <x:v>PAPER</x:v>
      </x:c>
      <x:c r="E147" s="31" t="str">
        <x:v>Soccer</x:v>
      </x:c>
      <x:c r="F147" s="31" t="str">
        <x:v>Bournemouth vs Everton</x:v>
      </x:c>
      <x:c r="G147" s="31" t="str">
        <x:v>Bournemouth/Everton</x:v>
      </x:c>
      <x:c r="H147" s="31" t="str">
        <x:v>Total Corners</x:v>
      </x:c>
      <x:c r="I147" s="31" t="str">
        <x:v>Over 10.5 total corners</x:v>
      </x:c>
      <x:c r="J147" s="80" t="n">
        <x:v>-114</x:v>
      </x:c>
      <x:c r="K147" s="31" t="str">
        <x:v>DISCOVERED</x:v>
      </x:c>
      <x:c r="L147" s="31" t="str">
        <x:v>B+</x:v>
      </x:c>
      <x:c r="M147" s="31" t="str">
        <x:v>Broad game-volume alternative to actual O1.5 goals.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/>
      <x:c r="T147" s="32" t="str"/>
      <x:c r="U147" s="31" t="str">
        <x:v>Independent benchmark -114.</x:v>
      </x:c>
      <x:c r="V147" s="31" t="str">
        <x:v>ALT_MARKET_TEST</x:v>
      </x:c>
      <x:c r="W147" s="31" t="str">
        <x:v>EXP-13</x:v>
      </x:c>
      <x:c r="X147" s="31" t="str">
        <x:v>BOU/EVE TOTAL CORNERS ARM</x:v>
      </x:c>
      <x:c r="Y147" s="31" t="str">
        <x:v>P29-010</x:v>
      </x:c>
      <x:c r="Z147" s="31" t="str">
        <x:v>Total corners may capture two-sided attacking pressure with better payout than O1.5 goals.</x:v>
      </x:c>
      <x:c r="AA147" s="31" t="str">
        <x:v>Possession/finishing suppresses corner count despite 2+ goals.</x:v>
      </x:c>
      <x:c r="AB147" s="31"/>
    </x:row>
    <x:row r="148">
      <x:c r="A148" s="79" t="str">
        <x:v>2026-08-29</x:v>
      </x:c>
      <x:c r="B148" s="31" t="str">
        <x:v>P29-053</x:v>
      </x:c>
      <x:c r="C148" s="31" t="str">
        <x:v>A29-S05</x:v>
      </x:c>
      <x:c r="D148" s="31" t="str">
        <x:v>PAPER</x:v>
      </x:c>
      <x:c r="E148" s="31" t="str">
        <x:v>Soccer</x:v>
      </x:c>
      <x:c r="F148" s="31" t="str">
        <x:v>Tottenham vs Newcastle</x:v>
      </x:c>
      <x:c r="G148" s="31" t="str">
        <x:v>Tottenham</x:v>
      </x:c>
      <x:c r="H148" s="31" t="str">
        <x:v>Team Corners</x:v>
      </x:c>
      <x:c r="I148" s="31" t="str">
        <x:v>Over 5.5 team corners</x:v>
      </x:c>
      <x:c r="J148" s="80"/>
      <x:c r="K148" s="31" t="str">
        <x:v>DISCOVERED</x:v>
      </x:c>
      <x:c r="L148" s="31" t="str">
        <x:v>B+</x:v>
      </x:c>
      <x:c r="M148" s="31" t="str">
        <x:v>Territorial alternative to actual O2.5 goals.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/>
      <x:c r="T148" s="32" t="str"/>
      <x:c r="U148" s="31" t="str">
        <x:v>Outcome-only unless exact DK price is recovered.</x:v>
      </x:c>
      <x:c r="V148" s="31" t="str">
        <x:v>ALT_MARKET_TEST</x:v>
      </x:c>
      <x:c r="W148" s="31" t="str">
        <x:v>EXP-13</x:v>
      </x:c>
      <x:c r="X148" s="31" t="str">
        <x:v>SPURS O5.5 CORNERS ARM</x:v>
      </x:c>
      <x:c r="Y148" s="31" t="str">
        <x:v>P29-011</x:v>
      </x:c>
      <x:c r="Z148" s="31" t="str">
        <x:v>Tottenham home pressure may be a more stable expression than requiring three match goals.</x:v>
      </x:c>
      <x:c r="AA148" s="31" t="str">
        <x:v>Open scoring game develops without six Spurs corners.</x:v>
      </x:c>
      <x:c r="AB148" s="31"/>
    </x:row>
    <x:row r="149">
      <x:c r="A149" s="79" t="str">
        <x:v>2026-08-29</x:v>
      </x:c>
      <x:c r="B149" s="31" t="str">
        <x:v>P29-054</x:v>
      </x:c>
      <x:c r="C149" s="31" t="str">
        <x:v>A29-C01</x:v>
      </x:c>
      <x:c r="D149" s="31" t="str">
        <x:v>PAPER</x:v>
      </x:c>
      <x:c r="E149" s="31" t="str">
        <x:v>CFB</x:v>
      </x:c>
      <x:c r="F149" s="31" t="str">
        <x:v>SJSU @ USC</x:v>
      </x:c>
      <x:c r="G149" s="31" t="str">
        <x:v>King Miller</x:v>
      </x:c>
      <x:c r="H149" s="31" t="str">
        <x:v>Shadow Single</x:v>
      </x:c>
      <x:c r="I149" s="31" t="str">
        <x:v>60+ rushing yards</x:v>
      </x:c>
      <x:c r="J149" s="80"/>
      <x:c r="K149" s="31" t="str">
        <x:v>HYBRID</x:v>
      </x:c>
      <x:c r="L149" s="31" t="str">
        <x:v>A</x:v>
      </x:c>
      <x:c r="M149" s="31" t="str">
        <x:v>Exact real Card 2 threshold tracked standalone.</x:v>
      </x:c>
      <x:c r="N149" s="31" t="str">
        <x:v>N</x:v>
      </x:c>
      <x:c r="O149" s="31" t="str">
        <x:v>Win</x:v>
      </x:c>
      <x:c r="P149" s="31" t="n">
        <x:v>1</x:v>
      </x:c>
      <x:c r="Q149" s="33" t="n">
        <x:v>63</x:v>
      </x:c>
      <x:c r="R149" s="33" t="str"/>
      <x:c r="S149" s="31"/>
      <x:c r="T149" s="32" t="str"/>
      <x:c r="U149" s="31" t="str">
        <x:v>Miller 60+ cleared with 63 yards.</x:v>
      </x:c>
      <x:c r="V149" s="31" t="str">
        <x:v>THRESHOLD_TEST</x:v>
      </x:c>
      <x:c r="W149" s="31" t="str">
        <x:v>EXP-22</x:v>
      </x:c>
      <x:c r="X149" s="31" t="str">
        <x:v>MILLER 60+ EXACT SHADOW</x:v>
      </x:c>
      <x:c r="Y149" s="31" t="str">
        <x:v>A29-T03</x:v>
      </x:c>
      <x:c r="Z149" s="31" t="str">
        <x:v>Lowering Miller from 65.5 to 60 should materially improve survival without changing the underlying role thesis.</x:v>
      </x:c>
      <x:c r="AA149" s="31" t="str">
        <x:v>The extra six yards rarely matter enough to justify reduced price.</x:v>
      </x:c>
      <x:c r="AB149" s="31" t="str">
        <x:v>Lowering 65.5 to 60 created a real win: direct threshold-engineering evidence.</x:v>
      </x:c>
    </x:row>
    <x:row r="150">
      <x:c r="A150" s="79" t="str">
        <x:v>2026-08-29</x:v>
      </x:c>
      <x:c r="B150" s="31" t="str">
        <x:v>P29-055</x:v>
      </x:c>
      <x:c r="C150" s="31" t="str">
        <x:v>A29-C02</x:v>
      </x:c>
      <x:c r="D150" s="31" t="str">
        <x:v>PAPER</x:v>
      </x:c>
      <x:c r="E150" s="31" t="str">
        <x:v>CFB</x:v>
      </x:c>
      <x:c r="F150" s="31" t="str">
        <x:v>Hawaii @ Stanford</x:v>
      </x:c>
      <x:c r="G150" s="31" t="str">
        <x:v>Hawaii</x:v>
      </x:c>
      <x:c r="H150" s="31" t="str">
        <x:v>Shadow Single</x:v>
      </x:c>
      <x:c r="I150" s="31" t="str">
        <x:v>Hawaii +4.5</x:v>
      </x:c>
      <x:c r="J150" s="80"/>
      <x:c r="K150" s="31" t="str">
        <x:v>HYBRID</x:v>
      </x:c>
      <x:c r="L150" s="31" t="str">
        <x:v>A</x:v>
      </x:c>
      <x:c r="M150" s="31" t="str">
        <x:v>Exact real Card 2 spread tracked standalone.</x:v>
      </x:c>
      <x:c r="N150" s="31" t="str">
        <x:v>N</x:v>
      </x:c>
      <x:c r="O150" s="31" t="str">
        <x:v>Loss</x:v>
      </x:c>
      <x:c r="P150" s="31" t="n">
        <x:v>0</x:v>
      </x:c>
      <x:c r="Q150" s="33" t="n">
        <x:v>-10</x:v>
      </x:c>
      <x:c r="R150" s="33" t="str"/>
      <x:c r="S150" s="31"/>
      <x:c r="T150" s="32" t="str"/>
      <x:c r="U150" s="31" t="str">
        <x:v>Stanford 37-27 Hawaii.</x:v>
      </x:c>
      <x:c r="V150" s="31" t="str">
        <x:v>THRESHOLD_TEST</x:v>
      </x:c>
      <x:c r="W150" s="31" t="str">
        <x:v>EXP-23</x:v>
      </x:c>
      <x:c r="X150" s="31" t="str">
        <x:v>HAWAII +4.5 EXACT SHADOW</x:v>
      </x:c>
      <x:c r="Y150" s="31" t="str">
        <x:v>A29-T03</x:v>
      </x:c>
      <x:c r="Z150" s="31" t="str">
        <x:v>Taking the full market cushion should be the most robust Hawaii expression.</x:v>
      </x:c>
      <x:c r="AA150" s="31" t="str">
        <x:v>Hawaii wins comfortably enough that aggressive alternates provide superior price-adjusted returns.</x:v>
      </x:c>
      <x:c r="AB150" s="31" t="str">
        <x:v>Full +4.5 cushion still failed; threshold engineering cannot create a side edge.</x:v>
      </x:c>
    </x:row>
    <x:row r="151">
      <x:c r="A151" s="79" t="str">
        <x:v>2026-08-29</x:v>
      </x:c>
      <x:c r="B151" s="31" t="str">
        <x:v>P29-056</x:v>
      </x:c>
      <x:c r="C151" s="31" t="str">
        <x:v>A29-C03</x:v>
      </x:c>
      <x:c r="D151" s="31" t="str">
        <x:v>PAPER</x:v>
      </x:c>
      <x:c r="E151" s="31" t="str">
        <x:v>CFB</x:v>
      </x:c>
      <x:c r="F151" s="31" t="str">
        <x:v>Memphis @ UNLV</x:v>
      </x:c>
      <x:c r="G151" s="31" t="str">
        <x:v>Memphis/UNLV</x:v>
      </x:c>
      <x:c r="H151" s="31" t="str">
        <x:v>Shadow Single</x:v>
      </x:c>
      <x:c r="I151" s="31" t="str">
        <x:v>Over 56.5 total points</x:v>
      </x:c>
      <x:c r="J151" s="80" t="n">
        <x:v>-108</x:v>
      </x:c>
      <x:c r="K151" s="31" t="str">
        <x:v>DISCOVERED</x:v>
      </x:c>
      <x:c r="L151" s="31" t="str">
        <x:v>A-</x:v>
      </x:c>
      <x:c r="M151" s="31" t="str">
        <x:v>Exact real Card 2 game-total leg tracked standalone.</x:v>
      </x:c>
      <x:c r="N151" s="31" t="str">
        <x:v>N</x:v>
      </x:c>
      <x:c r="O151" s="31" t="str">
        <x:v>Loss</x:v>
      </x:c>
      <x:c r="P151" s="31" t="n">
        <x:v>0</x:v>
      </x:c>
      <x:c r="Q151" s="33" t="n">
        <x:v>48</x:v>
      </x:c>
      <x:c r="R151" s="33" t="str"/>
      <x:c r="S151" s="31"/>
      <x:c r="T151" s="32" t="str"/>
      <x:c r="U151" s="31" t="str">
        <x:v>Memphis/UNLV totaled 48 points.</x:v>
      </x:c>
      <x:c r="V151" s="31" t="str">
        <x:v>SINGLE_VS_PARLAY</x:v>
      </x:c>
      <x:c r="W151" s="31" t="str">
        <x:v>EXP-20</x:v>
      </x:c>
      <x:c r="X151" s="31" t="str">
        <x:v>MEM/UNLV O56.5 SHADOW</x:v>
      </x:c>
      <x:c r="Y151" s="31" t="str">
        <x:v>A29-T03</x:v>
      </x:c>
      <x:c r="Z151" s="31" t="str">
        <x:v>The total should have standalone value and avoid the contested side entirely.</x:v>
      </x:c>
      <x:c r="AA151" s="31" t="str">
        <x:v>Pace/efficiency disappoints and side markets prove better expressions.</x:v>
      </x:c>
      <x:c r="AB151" s="31" t="str">
        <x:v>Neutral-market pivot was not independently strong enough.</x:v>
      </x:c>
    </x:row>
    <x:row r="152">
      <x:c r="A152" s="79" t="str">
        <x:v>2026-08-29</x:v>
      </x:c>
      <x:c r="B152" s="31" t="str">
        <x:v>P29-057</x:v>
      </x:c>
      <x:c r="C152" s="31" t="str">
        <x:v>A29-R21;A29-R17</x:v>
      </x:c>
      <x:c r="D152" s="31" t="str">
        <x:v>PAPER</x:v>
      </x:c>
      <x:c r="E152" s="31" t="str">
        <x:v>CFB</x:v>
      </x:c>
      <x:c r="F152" s="31" t="str">
        <x:v>2-game subset</x:v>
      </x:c>
      <x:c r="G152" s="31" t="str">
        <x:v>TCU + Jacksonville State</x:v>
      </x:c>
      <x:c r="H152" s="31" t="str">
        <x:v>2-leg subset</x:v>
      </x:c>
      <x:c r="I152" s="31" t="str">
        <x:v>TCU -6.5 + Jacksonville State +10.5</x:v>
      </x:c>
      <x:c r="J152" s="80"/>
      <x:c r="K152" s="31" t="str">
        <x:v>HYBRID</x:v>
      </x:c>
      <x:c r="L152" s="31" t="str">
        <x:v>A</x:v>
      </x:c>
      <x:c r="M152" s="31" t="str">
        <x:v>Primary CFB real-card subset.</x:v>
      </x:c>
      <x:c r="N152" s="31" t="str">
        <x:v>N</x:v>
      </x:c>
      <x:c r="O152" s="31" t="str">
        <x:v>Loss</x:v>
      </x:c>
      <x:c r="P152" s="31" t="n">
        <x:v>0</x:v>
      </x:c>
      <x:c r="Q152" s="33"/>
      <x:c r="R152" s="33" t="str"/>
      <x:c r="S152" s="31"/>
      <x:c r="T152" s="32" t="str"/>
      <x:c r="U152" s="31" t="str">
        <x:v>TCU -6.5 and JAX +10.5 both lost.</x:v>
      </x:c>
      <x:c r="V152" s="31" t="str">
        <x:v>CONSTRUCTION_TEST</x:v>
      </x:c>
      <x:c r="W152" s="31" t="str">
        <x:v>EXP-09</x:v>
      </x:c>
      <x:c r="X152" s="31" t="str">
        <x:v>CFB 2-LEG TCU+JAX</x:v>
      </x:c>
      <x:c r="Y152" s="31" t="str">
        <x:v>A29-T02</x:v>
      </x:c>
      <x:c r="Z152" s="31" t="str">
        <x:v>Two threshold-protected spread legs may outperform the three-leg promo card on survival.</x:v>
      </x:c>
      <x:c r="AA152" s="31" t="str">
        <x:v>EMU -6.5 adds enough edge/payout to justify the third leg.</x:v>
      </x:c>
      <x:c r="AB152" s="31" t="str">
        <x:v>Subset confirms underlying legs, not third-leg construction, were the failure.</x:v>
      </x:c>
    </x:row>
    <x:row r="153">
      <x:c r="A153" s="79" t="str">
        <x:v>2026-08-29</x:v>
      </x:c>
      <x:c r="B153" s="31" t="str">
        <x:v>P29-058</x:v>
      </x:c>
      <x:c r="C153" s="31" t="str">
        <x:v>A29-R18;A29-R17</x:v>
      </x:c>
      <x:c r="D153" s="31" t="str">
        <x:v>PAPER</x:v>
      </x:c>
      <x:c r="E153" s="31" t="str">
        <x:v>CFB</x:v>
      </x:c>
      <x:c r="F153" s="31" t="str">
        <x:v>2-game subset</x:v>
      </x:c>
      <x:c r="G153" s="31" t="str">
        <x:v>EMU + Jacksonville State</x:v>
      </x:c>
      <x:c r="H153" s="31" t="str">
        <x:v>2-leg subset</x:v>
      </x:c>
      <x:c r="I153" s="31" t="str">
        <x:v>Eastern Michigan -6.5 + Jacksonville State +10.5</x:v>
      </x:c>
      <x:c r="J153" s="80"/>
      <x:c r="K153" s="31" t="str">
        <x:v>HYBRID</x:v>
      </x:c>
      <x:c r="L153" s="31" t="str">
        <x:v>A</x:v>
      </x:c>
      <x:c r="M153" s="31" t="str">
        <x:v>Primary CFB real-card subset.</x:v>
      </x:c>
      <x:c r="N153" s="31" t="str">
        <x:v>N</x:v>
      </x:c>
      <x:c r="O153" s="31" t="str">
        <x:v>Loss</x:v>
      </x:c>
      <x:c r="P153" s="31" t="n">
        <x:v>0</x:v>
      </x:c>
      <x:c r="Q153" s="33"/>
      <x:c r="R153" s="33" t="str"/>
      <x:c r="S153" s="31"/>
      <x:c r="T153" s="32" t="str"/>
      <x:c r="U153" s="31" t="str">
        <x:v>EMU -6.5 won; JAX +10.5 lost.</x:v>
      </x:c>
      <x:c r="V153" s="31" t="str">
        <x:v>CONSTRUCTION_TEST</x:v>
      </x:c>
      <x:c r="W153" s="31" t="str">
        <x:v>EXP-09</x:v>
      </x:c>
      <x:c r="X153" s="31" t="str">
        <x:v>CFB 2-LEG EMU+JAX</x:v>
      </x:c>
      <x:c r="Y153" s="31" t="str">
        <x:v>A29-T02</x:v>
      </x:c>
      <x:c r="Z153" s="31" t="str">
        <x:v>The later-game threshold pair may retain most of primary-card edge.</x:v>
      </x:c>
      <x:c r="AA153" s="31" t="str">
        <x:v>TCU -6.5 adds enough independent edge/payout to justify the third leg.</x:v>
      </x:c>
      <x:c r="AB153" s="31" t="str">
        <x:v>Removing TCU still did not save card because JAX thesis was wrong.</x:v>
      </x:c>
    </x:row>
    <x:row r="154">
      <x:c r="A154" s="79" t="str">
        <x:v>2026-08-29</x:v>
      </x:c>
      <x:c r="B154" s="31" t="str">
        <x:v>P29-059</x:v>
      </x:c>
      <x:c r="C154" s="31" t="str">
        <x:v>A29-C01;A29-C02</x:v>
      </x:c>
      <x:c r="D154" s="31" t="str">
        <x:v>PAPER</x:v>
      </x:c>
      <x:c r="E154" s="31" t="str">
        <x:v>CFB</x:v>
      </x:c>
      <x:c r="F154" s="31" t="str">
        <x:v>2-game subset</x:v>
      </x:c>
      <x:c r="G154" s="31" t="str">
        <x:v>Miller + Hawaii</x:v>
      </x:c>
      <x:c r="H154" s="31" t="str">
        <x:v>2-leg subset</x:v>
      </x:c>
      <x:c r="I154" s="31" t="str">
        <x:v>King Miller 60+ rush + Hawaii +4.5</x:v>
      </x:c>
      <x:c r="J154" s="80"/>
      <x:c r="K154" s="31" t="str">
        <x:v>HYBRID</x:v>
      </x:c>
      <x:c r="L154" s="31" t="str">
        <x:v>A</x:v>
      </x:c>
      <x:c r="M154" s="31" t="str">
        <x:v>Exact-threshold subset of real Card 2.</x:v>
      </x:c>
      <x:c r="N154" s="31" t="str">
        <x:v>N</x:v>
      </x:c>
      <x:c r="O154" s="31" t="str">
        <x:v>Loss</x:v>
      </x:c>
      <x:c r="P154" s="31" t="n">
        <x:v>0</x:v>
      </x:c>
      <x:c r="Q154" s="33"/>
      <x:c r="R154" s="33" t="str"/>
      <x:c r="S154" s="31"/>
      <x:c r="T154" s="32" t="str"/>
      <x:c r="U154" s="31" t="str">
        <x:v>Miller 60+ won; Hawaii +4.5 lost.</x:v>
      </x:c>
      <x:c r="V154" s="31" t="str">
        <x:v>CONSTRUCTION_TEST</x:v>
      </x:c>
      <x:c r="W154" s="31" t="str">
        <x:v>EXP-09</x:v>
      </x:c>
      <x:c r="X154" s="31" t="str">
        <x:v>CFB 2-LEG MILLER60+HAW4.5</x:v>
      </x:c>
      <x:c r="Y154" s="31" t="str">
        <x:v>A29-T03</x:v>
      </x:c>
      <x:c r="Z154" s="31" t="str">
        <x:v>Role edge plus underdog cushion may be a cleaner lower-variance pair.</x:v>
      </x:c>
      <x:c r="AA154" s="31" t="str">
        <x:v>MEM/UNLV total adds enough value to make the 3-leg superior.</x:v>
      </x:c>
      <x:c r="AB154" s="31" t="str">
        <x:v>Role edge good; contested side bad.</x:v>
      </x:c>
    </x:row>
    <x:row r="155">
      <x:c r="A155" s="79" t="str">
        <x:v>2026-08-29</x:v>
      </x:c>
      <x:c r="B155" s="31" t="str">
        <x:v>P29-060</x:v>
      </x:c>
      <x:c r="C155" s="31" t="str">
        <x:v>A29-C01;A29-C03</x:v>
      </x:c>
      <x:c r="D155" s="31" t="str">
        <x:v>PAPER</x:v>
      </x:c>
      <x:c r="E155" s="31" t="str">
        <x:v>CFB</x:v>
      </x:c>
      <x:c r="F155" s="31" t="str">
        <x:v>2-game subset</x:v>
      </x:c>
      <x:c r="G155" s="31" t="str">
        <x:v>Miller + MEM/UNLV</x:v>
      </x:c>
      <x:c r="H155" s="31" t="str">
        <x:v>2-leg subset</x:v>
      </x:c>
      <x:c r="I155" s="31" t="str">
        <x:v>King Miller 60+ rush + MEM/UNLV O56.5</x:v>
      </x:c>
      <x:c r="J155" s="80"/>
      <x:c r="K155" s="31" t="str">
        <x:v>DISCOVERED</x:v>
      </x:c>
      <x:c r="L155" s="31" t="str">
        <x:v>A</x:v>
      </x:c>
      <x:c r="M155" s="31" t="str">
        <x:v>Exact-threshold subset of real Card 2.</x:v>
      </x:c>
      <x:c r="N155" s="31" t="str">
        <x:v>N</x:v>
      </x:c>
      <x:c r="O155" s="31" t="str">
        <x:v>Loss</x:v>
      </x:c>
      <x:c r="P155" s="31" t="n">
        <x:v>0</x:v>
      </x:c>
      <x:c r="Q155" s="33"/>
      <x:c r="R155" s="33" t="str"/>
      <x:c r="S155" s="31"/>
      <x:c r="T155" s="32" t="str"/>
      <x:c r="U155" s="31" t="str">
        <x:v>Miller 60+ won; MEM/UNLV O56.5 lost.</x:v>
      </x:c>
      <x:c r="V155" s="31" t="str">
        <x:v>CONSTRUCTION_TEST</x:v>
      </x:c>
      <x:c r="W155" s="31" t="str">
        <x:v>EXP-09</x:v>
      </x:c>
      <x:c r="X155" s="31" t="str">
        <x:v>CFB 2-LEG MILLER60+OVER</x:v>
      </x:c>
      <x:c r="Y155" s="31" t="str">
        <x:v>A29-T03</x:v>
      </x:c>
      <x:c r="Z155" s="31" t="str">
        <x:v>The two highest-information theses may outperform adding a contested side.</x:v>
      </x:c>
      <x:c r="AA155" s="31" t="str">
        <x:v>Hawaii +4.5 improves expected return enough to justify the third leg.</x:v>
      </x:c>
      <x:c r="AB155" s="31" t="str">
        <x:v>Role edge good; invented total pivot bad.</x:v>
      </x:c>
    </x:row>
    <x:row r="156">
      <x:c r="A156" s="79" t="str">
        <x:v>2026-08-29</x:v>
      </x:c>
      <x:c r="B156" s="31" t="str">
        <x:v>P29-061</x:v>
      </x:c>
      <x:c r="C156" s="31" t="str">
        <x:v>A29-C02;A29-C03</x:v>
      </x:c>
      <x:c r="D156" s="31" t="str">
        <x:v>PAPER</x:v>
      </x:c>
      <x:c r="E156" s="31" t="str">
        <x:v>CFB</x:v>
      </x:c>
      <x:c r="F156" s="31" t="str">
        <x:v>2-game subset</x:v>
      </x:c>
      <x:c r="G156" s="31" t="str">
        <x:v>Hawaii + MEM/UNLV</x:v>
      </x:c>
      <x:c r="H156" s="31" t="str">
        <x:v>2-leg subset</x:v>
      </x:c>
      <x:c r="I156" s="31" t="str">
        <x:v>Hawaii +4.5 + MEM/UNLV O56.5</x:v>
      </x:c>
      <x:c r="J156" s="80"/>
      <x:c r="K156" s="31" t="str">
        <x:v>DISCOVERED</x:v>
      </x:c>
      <x:c r="L156" s="31" t="str">
        <x:v>A-</x:v>
      </x:c>
      <x:c r="M156" s="31" t="str">
        <x:v>Exact-threshold subset of real Card 2.</x:v>
      </x:c>
      <x:c r="N156" s="31" t="str">
        <x:v>N</x:v>
      </x:c>
      <x:c r="O156" s="31" t="str">
        <x:v>Loss</x:v>
      </x:c>
      <x:c r="P156" s="31" t="n">
        <x:v>0</x:v>
      </x:c>
      <x:c r="Q156" s="33"/>
      <x:c r="R156" s="33" t="str"/>
      <x:c r="S156" s="31"/>
      <x:c r="T156" s="32" t="str"/>
      <x:c r="U156" s="31" t="str">
        <x:v>Hawaii +4.5 and MEM/UNLV O56.5 both lost.</x:v>
      </x:c>
      <x:c r="V156" s="31" t="str">
        <x:v>CONSTRUCTION_TEST</x:v>
      </x:c>
      <x:c r="W156" s="31" t="str">
        <x:v>EXP-09</x:v>
      </x:c>
      <x:c r="X156" s="31" t="str">
        <x:v>CFB 2-LEG HAW4.5+OVER</x:v>
      </x:c>
      <x:c r="Y156" s="31" t="str">
        <x:v>A29-T03</x:v>
      </x:c>
      <x:c r="Z156" s="31" t="str">
        <x:v>Market-cushion side plus independent total may survive without player-prop uncertainty.</x:v>
      </x:c>
      <x:c r="AA156" s="31" t="str">
        <x:v>Miller 60+ is strong enough to improve 3-leg expected value.</x:v>
      </x:c>
      <x:c r="AB156" s="31" t="str">
        <x:v>Both lower-information secondary theses failed.</x:v>
      </x:c>
    </x:row>
    <x:row r="157">
      <x:c r="A157" s="79" t="str">
        <x:v>2026-08-29</x:v>
      </x:c>
      <x:c r="B157" s="31" t="str">
        <x:v>P29-062</x:v>
      </x:c>
      <x:c r="C157" s="31" t="str">
        <x:v>A29-C04</x:v>
      </x:c>
      <x:c r="D157" s="31" t="str">
        <x:v>PAPER</x:v>
      </x:c>
      <x:c r="E157" s="31" t="str">
        <x:v>CFB</x:v>
      </x:c>
      <x:c r="F157" s="31" t="str">
        <x:v>SJSU @ USC</x:v>
      </x:c>
      <x:c r="G157" s="31" t="str">
        <x:v>SJSU/USC</x:v>
      </x:c>
      <x:c r="H157" s="31" t="str">
        <x:v>Game Total</x:v>
      </x:c>
      <x:c r="I157" s="31" t="str">
        <x:v>Under 60.5 total points</x:v>
      </x:c>
      <x:c r="J157" s="80" t="n">
        <x:v>-110</x:v>
      </x:c>
      <x:c r="K157" s="31" t="str">
        <x:v>DISCOVERED</x:v>
      </x:c>
      <x:c r="L157" s="31" t="str">
        <x:v>A</x:v>
      </x:c>
      <x:c r="M157" s="31" t="str">
        <x:v>TSI Week 0 best bet; model total 55.</x:v>
      </x:c>
      <x:c r="N157" s="31" t="str">
        <x:v>N</x:v>
      </x:c>
      <x:c r="O157" s="31" t="str">
        <x:v>Pending</x:v>
      </x:c>
      <x:c r="P157" s="31" t="str"/>
      <x:c r="Q157" s="33" t="n">
        <x:v>0</x:v>
      </x:c>
      <x:c r="R157" s="33" t="str"/>
      <x:c r="S157" s="31"/>
      <x:c r="T157" s="32" t="str"/>
      <x:c r="U157" s="31" t="str">
        <x:v>Current benchmark -110.</x:v>
      </x:c>
      <x:c r="V157" s="31" t="str">
        <x:v>HYPOTHESIS_TEST</x:v>
      </x:c>
      <x:c r="W157" s="31" t="str">
        <x:v>EXP-21</x:v>
      </x:c>
      <x:c r="X157" s="31" t="str">
        <x:v>USC UNDER 60.5 ARM</x:v>
      </x:c>
      <x:c r="Y157" s="31"/>
      <x:c r="Z157" s="31" t="str">
        <x:v>USC defensive upgrade plus blowout game state can suppress total despite elite offense.</x:v>
      </x:c>
      <x:c r="AA157" s="31" t="str">
        <x:v>USC offense and/or SJSU garbage-time scoring overwhelms the projected defensive improvement.</x:v>
      </x:c>
      <x:c r="AB157" s="31"/>
    </x:row>
    <x:row r="158">
      <x:c r="A158" s="79" t="str">
        <x:v>2026-08-29</x:v>
      </x:c>
      <x:c r="B158" s="31" t="str">
        <x:v>P29-063</x:v>
      </x:c>
      <x:c r="C158" s="31" t="str">
        <x:v>A29-C05</x:v>
      </x:c>
      <x:c r="D158" s="31" t="str">
        <x:v>PAPER</x:v>
      </x:c>
      <x:c r="E158" s="31" t="str">
        <x:v>CFB</x:v>
      </x:c>
      <x:c r="F158" s="31" t="str">
        <x:v>SJSU @ USC</x:v>
      </x:c>
      <x:c r="G158" s="31" t="str">
        <x:v>USC</x:v>
      </x:c>
      <x:c r="H158" s="31" t="str">
        <x:v>Spread</x:v>
      </x:c>
      <x:c r="I158" s="31" t="str">
        <x:v>USC -38.5</x:v>
      </x:c>
      <x:c r="J158" s="80" t="n">
        <x:v>-110</x:v>
      </x:c>
      <x:c r="K158" s="31" t="str">
        <x:v>SOURCED</x:v>
      </x:c>
      <x:c r="L158" s="31" t="str">
        <x:v>B</x:v>
      </x:c>
      <x:c r="M158" s="31" t="str">
        <x:v>Opposing giant-favorite arm against TSI's lower spread projection.</x:v>
      </x:c>
      <x:c r="N158" s="31" t="str">
        <x:v>N</x:v>
      </x:c>
      <x:c r="O158" s="31" t="str">
        <x:v>Pending</x:v>
      </x:c>
      <x:c r="P158" s="31" t="str"/>
      <x:c r="Q158" s="33" t="n">
        <x:v>0</x:v>
      </x:c>
      <x:c r="R158" s="33" t="str"/>
      <x:c r="S158" s="31"/>
      <x:c r="T158" s="32" t="str"/>
      <x:c r="U158" s="31" t="str">
        <x:v>Current benchmark around -110.</x:v>
      </x:c>
      <x:c r="V158" s="31" t="str">
        <x:v>ALT_MARKET_TEST</x:v>
      </x:c>
      <x:c r="W158" s="31" t="str">
        <x:v>EXP-23</x:v>
      </x:c>
      <x:c r="X158" s="31" t="str">
        <x:v>USC -38.5 ARM</x:v>
      </x:c>
      <x:c r="Y158" s="31" t="str">
        <x:v>P29-062</x:v>
      </x:c>
      <x:c r="Z158" s="31" t="str">
        <x:v>Talent/returning-production gap is large enough that USC can cover five-plus scores.</x:v>
      </x:c>
      <x:c r="AA158" s="31" t="str">
        <x:v>Blowout substitutions or improved SJSU resistance keeps margin below 39.</x:v>
      </x:c>
      <x:c r="AB158" s="31"/>
    </x:row>
    <x:row r="159">
      <x:c r="A159" s="79" t="str">
        <x:v>2026-08-29</x:v>
      </x:c>
      <x:c r="B159" s="31" t="str">
        <x:v>P29-064</x:v>
      </x:c>
      <x:c r="C159" s="31" t="str">
        <x:v>A29-C06</x:v>
      </x:c>
      <x:c r="D159" s="31" t="str">
        <x:v>PAPER</x:v>
      </x:c>
      <x:c r="E159" s="31" t="str">
        <x:v>CFB</x:v>
      </x:c>
      <x:c r="F159" s="31" t="str">
        <x:v>NC State @ Virginia</x:v>
      </x:c>
      <x:c r="G159" s="31" t="str">
        <x:v>NC State</x:v>
      </x:c>
      <x:c r="H159" s="31" t="str">
        <x:v>Spread</x:v>
      </x:c>
      <x:c r="I159" s="31" t="str">
        <x:v>NC State +3.5</x:v>
      </x:c>
      <x:c r="J159" s="80" t="n">
        <x:v>-110</x:v>
      </x:c>
      <x:c r="K159" s="31" t="str">
        <x:v>DISCOVERED</x:v>
      </x:c>
      <x:c r="L159" s="31" t="str">
        <x:v>A-</x:v>
      </x:c>
      <x:c r="M159" s="31" t="str">
        <x:v>Independent underdog cover thesis.</x:v>
      </x:c>
      <x:c r="N159" s="31" t="str">
        <x:v>N</x:v>
      </x:c>
      <x:c r="O159" s="31" t="str">
        <x:v>Pending</x:v>
      </x:c>
      <x:c r="P159" s="31" t="str"/>
      <x:c r="Q159" s="33" t="n">
        <x:v>0</x:v>
      </x:c>
      <x:c r="R159" s="33" t="str"/>
      <x:c r="S159" s="31"/>
      <x:c r="T159" s="32" t="str"/>
      <x:c r="U159" s="31" t="str">
        <x:v>Current independent benchmark -110.</x:v>
      </x:c>
      <x:c r="V159" s="31" t="str">
        <x:v>ALT_MARKET_TEST</x:v>
      </x:c>
      <x:c r="W159" s="31" t="str">
        <x:v>EXP-23</x:v>
      </x:c>
      <x:c r="X159" s="31" t="str">
        <x:v>NC STATE +3.5 ARM</x:v>
      </x:c>
      <x:c r="Y159" s="31" t="str">
        <x:v>P29-065</x:v>
      </x:c>
      <x:c r="Z159" s="31" t="str">
        <x:v>QB continuity and Virginia uncertainty make the underdog more valuable than market implies.</x:v>
      </x:c>
      <x:c r="AA159" s="31" t="str">
        <x:v>Virginia controls the matchup and covers 4+.</x:v>
      </x:c>
      <x:c r="AB159" s="31"/>
    </x:row>
    <x:row r="160">
      <x:c r="A160" s="79" t="str">
        <x:v>2026-08-29</x:v>
      </x:c>
      <x:c r="B160" s="31" t="str">
        <x:v>P29-065</x:v>
      </x:c>
      <x:c r="C160" s="31" t="str">
        <x:v>A29-C07</x:v>
      </x:c>
      <x:c r="D160" s="31" t="str">
        <x:v>PAPER</x:v>
      </x:c>
      <x:c r="E160" s="31" t="str">
        <x:v>CFB</x:v>
      </x:c>
      <x:c r="F160" s="31" t="str">
        <x:v>NC State @ Virginia</x:v>
      </x:c>
      <x:c r="G160" s="31" t="str">
        <x:v>Virginia</x:v>
      </x:c>
      <x:c r="H160" s="31" t="str">
        <x:v>Spread</x:v>
      </x:c>
      <x:c r="I160" s="31" t="str">
        <x:v>Virginia -4.0</x:v>
      </x:c>
      <x:c r="J160" s="80"/>
      <x:c r="K160" s="31" t="str">
        <x:v>DISCOVERED</x:v>
      </x:c>
      <x:c r="L160" s="31" t="str">
        <x:v>B</x:v>
      </x:c>
      <x:c r="M160" s="31" t="str">
        <x:v>TSI model-aligned favorite control.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/>
      <x:c r="T160" s="32" t="str"/>
      <x:c r="U160" s="31" t="str">
        <x:v>Outcome-only unless exact price later recovered.</x:v>
      </x:c>
      <x:c r="V160" s="31" t="str">
        <x:v>ALT_MARKET_TEST</x:v>
      </x:c>
      <x:c r="W160" s="31" t="str">
        <x:v>EXP-23</x:v>
      </x:c>
      <x:c r="X160" s="31" t="str">
        <x:v>VIRGINIA -4 ARM</x:v>
      </x:c>
      <x:c r="Y160" s="31" t="str">
        <x:v>P29-064</x:v>
      </x:c>
      <x:c r="Z160" s="31" t="str">
        <x:v>TSI alignment indicates market is fair and Virginia home advantage should hold.</x:v>
      </x:c>
      <x:c r="AA160" s="31" t="str">
        <x:v>NC State covers/wins, validating independent underdog handicaps over model alignment.</x:v>
      </x:c>
      <x:c r="AB160" s="31"/>
    </x:row>
    <x:row r="161">
      <x:c r="A161" s="79" t="str">
        <x:v>2026-08-29</x:v>
      </x:c>
      <x:c r="B161" s="31" t="str">
        <x:v>P29-066</x:v>
      </x:c>
      <x:c r="C161" s="31" t="str">
        <x:v>A29-C08</x:v>
      </x:c>
      <x:c r="D161" s="31" t="str">
        <x:v>PAPER</x:v>
      </x:c>
      <x:c r="E161" s="31" t="str">
        <x:v>CFB</x:v>
      </x:c>
      <x:c r="F161" s="31" t="str">
        <x:v>New Mexico State @ Florida State</x:v>
      </x:c>
      <x:c r="G161" s="31" t="str">
        <x:v>New Mexico State</x:v>
      </x:c>
      <x:c r="H161" s="31" t="str">
        <x:v>Spread</x:v>
      </x:c>
      <x:c r="I161" s="31" t="str">
        <x:v>New Mexico State +32.5</x:v>
      </x:c>
      <x:c r="J161" s="80"/>
      <x:c r="K161" s="31" t="str">
        <x:v>DISCOVERED</x:v>
      </x:c>
      <x:c r="L161" s="31" t="str">
        <x:v>A-</x:v>
      </x:c>
      <x:c r="M161" s="31" t="str">
        <x:v>Huge spread / model-gap underdog test.</x:v>
      </x:c>
      <x:c r="N161" s="31" t="str">
        <x:v>N</x:v>
      </x:c>
      <x:c r="O161" s="31" t="str">
        <x:v>Pending</x:v>
      </x:c>
      <x:c r="P161" s="31" t="str"/>
      <x:c r="Q161" s="33" t="str"/>
      <x:c r="R161" s="33" t="str"/>
      <x:c r="S161" s="31"/>
      <x:c r="T161" s="32" t="str"/>
      <x:c r="U161" s="31" t="str">
        <x:v>Market around +32.5; TSI makes FSU only -23.</x:v>
      </x:c>
      <x:c r="V161" s="31" t="str">
        <x:v>THRESHOLD_TEST</x:v>
      </x:c>
      <x:c r="W161" s="31" t="str">
        <x:v>EXP-23</x:v>
      </x:c>
      <x:c r="X161" s="31" t="str">
        <x:v>NMSU +32.5 ARM</x:v>
      </x:c>
      <x:c r="Y161" s="31" t="str">
        <x:v>P29-067</x:v>
      </x:c>
      <x:c r="Z161" s="31" t="str">
        <x:v>Very large model-vs-market gaps may make ugly underdogs valuable even with severe talent disadvantages.</x:v>
      </x:c>
      <x:c r="AA161" s="31" t="str">
        <x:v>FSU maintains full-game aggression and wins by 33+.</x:v>
      </x:c>
      <x:c r="AB161" s="31"/>
    </x:row>
    <x:row r="162">
      <x:c r="A162" s="79" t="str">
        <x:v>2026-08-29</x:v>
      </x:c>
      <x:c r="B162" s="31" t="str">
        <x:v>P29-067</x:v>
      </x:c>
      <x:c r="C162" s="31" t="str">
        <x:v>A29-C09</x:v>
      </x:c>
      <x:c r="D162" s="31" t="str">
        <x:v>PAPER</x:v>
      </x:c>
      <x:c r="E162" s="31" t="str">
        <x:v>CFB</x:v>
      </x:c>
      <x:c r="F162" s="31" t="str">
        <x:v>New Mexico State @ Florida State</x:v>
      </x:c>
      <x:c r="G162" s="31" t="str">
        <x:v>Florida State</x:v>
      </x:c>
      <x:c r="H162" s="31" t="str">
        <x:v>First Half Spread</x:v>
      </x:c>
      <x:c r="I162" s="31" t="str">
        <x:v>Florida State 1H -17.5</x:v>
      </x:c>
      <x:c r="J162" s="80"/>
      <x:c r="K162" s="31" t="str">
        <x:v>DISCOVERED</x:v>
      </x:c>
      <x:c r="L162" s="31" t="str">
        <x:v>B+</x:v>
      </x:c>
      <x:c r="M162" s="31" t="str">
        <x:v>Favorite early-script alternative to full-game -32.5.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/>
      <x:c r="T162" s="32" t="str"/>
      <x:c r="U162" s="31" t="str">
        <x:v>Action official first-half pick; exact price not captured.</x:v>
      </x:c>
      <x:c r="V162" s="31" t="str">
        <x:v>ALT_MARKET_TEST</x:v>
      </x:c>
      <x:c r="W162" s="31" t="str">
        <x:v>EXP-23</x:v>
      </x:c>
      <x:c r="X162" s="31" t="str">
        <x:v>FSU 1H -17.5 ARM</x:v>
      </x:c>
      <x:c r="Y162" s="31" t="str">
        <x:v>P29-066</x:v>
      </x:c>
      <x:c r="Z162" s="31" t="str">
        <x:v>Dominant favorite can express talent edge early without relying on second-half blowout behavior.</x:v>
      </x:c>
      <x:c r="AA162" s="31" t="str">
        <x:v>Slow start prevents FSU from building 18+ halftime lead.</x:v>
      </x:c>
      <x:c r="AB162" s="31"/>
    </x:row>
    <x:row r="163">
      <x:c r="A163" s="79" t="str">
        <x:v>2026-08-29</x:v>
      </x:c>
      <x:c r="B163" s="31" t="str">
        <x:v>P29-068</x:v>
      </x:c>
      <x:c r="C163" s="31" t="str">
        <x:v>A29-C10</x:v>
      </x:c>
      <x:c r="D163" s="31" t="str">
        <x:v>PAPER</x:v>
      </x:c>
      <x:c r="E163" s="31" t="str">
        <x:v>CFB</x:v>
      </x:c>
      <x:c r="F163" s="31" t="str">
        <x:v>New Mexico State @ Florida State</x:v>
      </x:c>
      <x:c r="G163" s="31" t="str">
        <x:v>Ousmane Kromah</x:v>
      </x:c>
      <x:c r="H163" s="31" t="str">
        <x:v>Rushing Yards</x:v>
      </x:c>
      <x:c r="I163" s="31" t="str">
        <x:v>100+ rushing yards</x:v>
      </x:c>
      <x:c r="J163" s="80" t="n">
        <x:v>230</x:v>
      </x:c>
      <x:c r="K163" s="31" t="str">
        <x:v>DISCOVERED</x:v>
      </x:c>
      <x:c r="L163" s="31" t="str">
        <x:v>B</x:v>
      </x:c>
      <x:c r="M163" s="31" t="str">
        <x:v>Run-script player-prop test in huge favorite game.</x:v>
      </x:c>
      <x:c r="N163" s="31" t="str">
        <x:v>N</x:v>
      </x:c>
      <x:c r="O163" s="31" t="str">
        <x:v>Pending</x:v>
      </x:c>
      <x:c r="P163" s="31" t="str"/>
      <x:c r="Q163" s="33" t="n">
        <x:v>0</x:v>
      </x:c>
      <x:c r="R163" s="33" t="str"/>
      <x:c r="S163" s="31"/>
      <x:c r="T163" s="32" t="str"/>
      <x:c r="U163" s="31" t="str">
        <x:v>Action benchmark +230.</x:v>
      </x:c>
      <x:c r="V163" s="31" t="str">
        <x:v>HYPOTHESIS_TEST</x:v>
      </x:c>
      <x:c r="W163" s="31" t="str">
        <x:v>EXP-22</x:v>
      </x:c>
      <x:c r="X163" s="31" t="str">
        <x:v>KROMAH 100+ RUSH ARM</x:v>
      </x:c>
      <x:c r="Y163" s="31"/>
      <x:c r="Z163" s="31" t="str">
        <x:v>A huge favorite can create enough early rushing volume and efficiency for a 100+ yard alt even with blowout substitutions.</x:v>
      </x:c>
      <x:c r="AA163" s="31" t="str">
        <x:v>Backfield rotation/blowout caps volume before 100 yards.</x:v>
      </x:c>
      <x:c r="AB163" s="31"/>
    </x:row>
    <x:row r="164">
      <x:c r="A164" s="79" t="str">
        <x:v>2026-08-29</x:v>
      </x:c>
      <x:c r="B164" s="31" t="str">
        <x:v>P29-069</x:v>
      </x:c>
      <x:c r="C164" s="31" t="str">
        <x:v>A29-R25</x:v>
      </x:c>
      <x:c r="D164" s="31" t="str">
        <x:v>PAPER</x:v>
      </x:c>
      <x:c r="E164" s="31" t="str">
        <x:v>MLB</x:v>
      </x:c>
      <x:c r="F164" s="31" t="str">
        <x:v>PHI @ LAA</x:v>
      </x:c>
      <x:c r="G164" s="31" t="str">
        <x:v>Bryce Harper</x:v>
      </x:c>
      <x:c r="H164" s="31" t="str">
        <x:v>Total Bases</x:v>
      </x:c>
      <x:c r="I164" s="31" t="str">
        <x:v>2+ total bases</x:v>
      </x:c>
      <x:c r="J164" s="80" t="n">
        <x:v>119</x:v>
      </x:c>
      <x:c r="K164" s="31" t="str">
        <x:v>HYBRID</x:v>
      </x:c>
      <x:c r="L164" s="31" t="str">
        <x:v>A-</x:v>
      </x:c>
      <x:c r="M164" s="31" t="str">
        <x:v>Recent-form source lead independently supported by soft opposing starter, but park geometry is a mild negative.</x:v>
      </x:c>
      <x:c r="N164" s="31" t="str">
        <x:v>Y</x:v>
      </x:c>
      <x:c r="O164" s="31" t="str">
        <x:v>Loss</x:v>
      </x:c>
      <x:c r="P164" s="31" t="n">
        <x:v>0</x:v>
      </x:c>
      <x:c r="Q164" s="33"/>
      <x:c r="R164" s="33" t="str"/>
      <x:c r="S164" s="31"/>
      <x:c r="T164" s="32" t="str"/>
      <x:c r="U164" s="31" t="str">
        <x:v>Harper 2+ TB lost; raw +117/+119 range, boosted real single also lost.</x:v>
      </x:c>
      <x:c r="V164" s="31" t="str">
        <x:v>HYPOTHESIS_TEST</x:v>
      </x:c>
      <x:c r="W164" s="31" t="str">
        <x:v>EXP-04</x:v>
      </x:c>
      <x:c r="X164" s="31" t="str">
        <x:v>HARPER RECENT-FORM TB ARM</x:v>
      </x:c>
      <x:c r="Y164" s="31"/>
      <x:c r="Z164" s="31" t="str">
        <x:v>Recent XBH/TB form plus a weak starter can sustain a 2+ TB edge when price remains plus money.</x:v>
      </x:c>
      <x:c r="AA164" s="31" t="str">
        <x:v>Recent-form heater regresses and/or park/pitch-shape matchup suppresses extra-base production.</x:v>
      </x:c>
      <x:c r="AB164" s="31" t="str">
        <x:v>Recent-form + weak-starter convergence was insufficient; 2+ TB remains volatile.</x:v>
      </x:c>
    </x:row>
    <x:row r="165">
      <x:c r="A165" s="79" t="str">
        <x:v>2026-08-29</x:v>
      </x:c>
      <x:c r="B165" s="31" t="str">
        <x:v>P29-070</x:v>
      </x:c>
      <x:c r="C165" s="31" t="str">
        <x:v>A29-D11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Julio Rodríguez</x:v>
      </x:c>
      <x:c r="H165" s="31" t="str">
        <x:v>1+ Hit</x:v>
      </x:c>
      <x:c r="I165" s="31" t="str">
        <x:v>1+ hit</x:v>
      </x:c>
      <x:c r="J165" s="80" t="n">
        <x:v>-170</x:v>
      </x:c>
      <x:c r="K165" s="31" t="str">
        <x:v>HYBRID</x:v>
      </x:c>
      <x:c r="L165" s="31" t="str">
        <x:v>B+</x:v>
      </x:c>
      <x:c r="M165" s="31" t="str">
        <x:v>Moderate-sample BvP control against Soriano.</x:v>
      </x:c>
      <x:c r="N165" s="31" t="str">
        <x:v>N</x:v>
      </x:c>
      <x:c r="O165" s="31" t="str">
        <x:v>Loss</x:v>
      </x:c>
      <x:c r="P165" s="31" t="n">
        <x:v>0</x:v>
      </x:c>
      <x:c r="Q165" s="33" t="n">
        <x:v>0</x:v>
      </x:c>
      <x:c r="R165" s="33" t="str"/>
      <x:c r="S165" s="31"/>
      <x:c r="T165" s="32" t="str"/>
      <x:c r="U165" s="31" t="str">
        <x:v>Julio Rodríguez went 0-for-3 with a walk. https://www.statmuse.com/mlb/game/8-29-2026-sea-at-tor-235352</x:v>
      </x:c>
      <x:c r="V165" s="31" t="str">
        <x:v>HYPOTHESIS_TEST</x:v>
      </x:c>
      <x:c r="W165" s="31" t="str">
        <x:v>EXP-08</x:v>
      </x:c>
      <x:c r="X165" s="31" t="str">
        <x:v>JULIO BVP 1+ HIT ARM</x:v>
      </x:c>
      <x:c r="Y165" s="31"/>
      <x:c r="Z165" s="31" t="str">
        <x:v>A 10-for-18 career history against the same pitcher should add directional value to a high-floor hit market.</x:v>
      </x:c>
      <x:c r="AA165" s="31" t="str">
        <x:v>The price is too compressed and BvP adds little predictive value beyond broader hitter quality.</x:v>
      </x:c>
      <x:c r="AB165" s="31" t="str">
        <x:v>BvP 1+ hit control failed.</x:v>
      </x:c>
    </x:row>
    <x:row r="166">
      <x:c r="A166" s="79" t="str">
        <x:v>2026-08-29</x:v>
      </x:c>
      <x:c r="B166" s="31" t="str">
        <x:v>P29-071</x:v>
      </x:c>
      <x:c r="C166" s="31" t="str">
        <x:v>A29-D12</x:v>
      </x:c>
      <x:c r="D166" s="31" t="str">
        <x:v>PAPER</x:v>
      </x:c>
      <x:c r="E166" s="31" t="str">
        <x:v>MLB</x:v>
      </x:c>
      <x:c r="F166" s="31" t="str">
        <x:v>SEA @ TOR</x:v>
      </x:c>
      <x:c r="G166" s="31" t="str">
        <x:v>Julio Rodríguez</x:v>
      </x:c>
      <x:c r="H166" s="31" t="str">
        <x:v>Total Bases</x:v>
      </x:c>
      <x:c r="I166" s="31" t="str">
        <x:v>2+ total bases</x:v>
      </x:c>
      <x:c r="J166" s="80"/>
      <x:c r="K166" s="31" t="str">
        <x:v>HYBRID</x:v>
      </x:c>
      <x:c r="L166" s="31" t="str">
        <x:v>B</x:v>
      </x:c>
      <x:c r="M166" s="31" t="str">
        <x:v>Power/upside expression of the same BvP signal.</x:v>
      </x:c>
      <x:c r="N166" s="31" t="str">
        <x:v>N</x:v>
      </x:c>
      <x:c r="O166" s="31" t="str">
        <x:v>Loss</x:v>
      </x:c>
      <x:c r="P166" s="31" t="n">
        <x:v>0</x:v>
      </x:c>
      <x:c r="Q166" s="33" t="n">
        <x:v>0</x:v>
      </x:c>
      <x:c r="R166" s="33" t="str"/>
      <x:c r="S166" s="31"/>
      <x:c r="T166" s="32" t="str"/>
      <x:c r="U166" s="31" t="str">
        <x:v>Julio Rodríguez recorded 0 total bases. https://www.statmuse.com/mlb/game/8-29-2026-sea-at-tor-235352</x:v>
      </x:c>
      <x:c r="V166" s="31" t="str">
        <x:v>ALT_MARKET_TEST</x:v>
      </x:c>
      <x:c r="W166" s="31" t="str">
        <x:v>EXP-03</x:v>
      </x:c>
      <x:c r="X166" s="31" t="str">
        <x:v>JULIO BVP 2+ TB ARM</x:v>
      </x:c>
      <x:c r="Y166" s="31" t="str">
        <x:v>P29-070;P29-072</x:v>
      </x:c>
      <x:c r="Z166" s="31" t="str">
        <x:v>If Soriano-specific familiarity is real, 2+ TB may monetize the edge better than a juiced 1+ hit.</x:v>
      </x:c>
      <x:c r="AA166" s="31" t="str">
        <x:v>Julio singles or fails to reach base enough that 1+ hit is clearly superior.</x:v>
      </x:c>
      <x:c r="AB166" s="31" t="str">
        <x:v>BvP TB expression failed.</x:v>
      </x:c>
    </x:row>
    <x:row r="167">
      <x:c r="A167" s="79" t="str">
        <x:v>2026-08-29</x:v>
      </x:c>
      <x:c r="B167" s="31" t="str">
        <x:v>P29-072</x:v>
      </x:c>
      <x:c r="C167" s="31" t="str">
        <x:v>A29-D13</x:v>
      </x:c>
      <x:c r="D167" s="31" t="str">
        <x:v>PAPER</x:v>
      </x:c>
      <x:c r="E167" s="31" t="str">
        <x:v>MLB</x:v>
      </x:c>
      <x:c r="F167" s="31" t="str">
        <x:v>SEA @ TOR</x:v>
      </x:c>
      <x:c r="G167" s="31" t="str">
        <x:v>Julio Rodríguez</x:v>
      </x:c>
      <x:c r="H167" s="31" t="str">
        <x:v>H+R+RBI</x:v>
      </x:c>
      <x:c r="I167" s="31" t="str">
        <x:v>2+ H+R+RBI</x:v>
      </x:c>
      <x:c r="J167" s="80"/>
      <x:c r="K167" s="31" t="str">
        <x:v>HYBRID</x:v>
      </x:c>
      <x:c r="L167" s="31" t="str">
        <x:v>B+</x:v>
      </x:c>
      <x:c r="M167" s="31" t="str">
        <x:v>Broad-production expression of the same matchup thesis.</x:v>
      </x:c>
      <x:c r="N167" s="31" t="str">
        <x:v>N</x:v>
      </x:c>
      <x:c r="O167" s="31" t="str">
        <x:v>Loss</x:v>
      </x:c>
      <x:c r="P167" s="31" t="n">
        <x:v>0</x:v>
      </x:c>
      <x:c r="Q167" s="33" t="n">
        <x:v>0</x:v>
      </x:c>
      <x:c r="R167" s="33" t="str"/>
      <x:c r="S167" s="31"/>
      <x:c r="T167" s="32" t="str"/>
      <x:c r="U167" s="31" t="str">
        <x:v>Julio Rodríguez: 0 H, 0 R, 0 RBI. https://www.statmuse.com/mlb/game/8-29-2026-sea-at-tor-235352</x:v>
      </x:c>
      <x:c r="V167" s="31" t="str">
        <x:v>ALT_MARKET_TEST</x:v>
      </x:c>
      <x:c r="W167" s="31" t="str">
        <x:v>EXP-03</x:v>
      </x:c>
      <x:c r="X167" s="31" t="str">
        <x:v>JULIO BVP 2+ HRR ARM</x:v>
      </x:c>
      <x:c r="Y167" s="31" t="str">
        <x:v>P29-070;P29-071</x:v>
      </x:c>
      <x:c r="Z167" s="31" t="str">
        <x:v>Broad HRR may capture both contact and run-production paths better than TB in a favorable pitcher matchup.</x:v>
      </x:c>
      <x:c r="AA167" s="31" t="str">
        <x:v>Seattle lineup fails to convert Julio's plate appearances into runs/RBI and 1+ hit remains cleaner.</x:v>
      </x:c>
      <x:c r="AB167" s="31" t="str">
        <x:v>BvP HRR expression also failed; underlying BvP signal itself failed.</x:v>
      </x:c>
    </x:row>
    <x:row r="168">
      <x:c r="A168" s="79" t="str">
        <x:v>2026-08-29</x:v>
      </x:c>
      <x:c r="B168" s="31" t="str">
        <x:v>P29-073</x:v>
      </x:c>
      <x:c r="C168" s="31" t="str">
        <x:v>A29-R27</x:v>
      </x:c>
      <x:c r="D168" s="31" t="str">
        <x:v>PAPER</x:v>
      </x:c>
      <x:c r="E168" s="31" t="str">
        <x:v>MLB</x:v>
      </x:c>
      <x:c r="F168" s="31" t="str">
        <x:v>CIN @ CHC</x:v>
      </x:c>
      <x:c r="G168" s="31" t="str">
        <x:v>Chicago Cubs</x:v>
      </x:c>
      <x:c r="H168" s="31" t="str">
        <x:v>Team Hitter Target</x:v>
      </x:c>
      <x:c r="I168" s="31" t="str">
        <x:v>Cubs hitter-prop team target</x:v>
      </x:c>
      <x:c r="J168" s="80"/>
      <x:c r="K168" s="31" t="str">
        <x:v>SOURCED</x:v>
      </x:c>
      <x:c r="L168" s="31" t="str">
        <x:v>B</x:v>
      </x:c>
      <x:c r="M168" s="31" t="str">
        <x:v>Source #1 team target conflicts with Abbott history.</x:v>
      </x:c>
      <x:c r="N168" s="31" t="str">
        <x:v>N</x:v>
      </x:c>
      <x:c r="O168" s="31" t="str">
        <x:v>Pending</x:v>
      </x:c>
      <x:c r="P168" s="31"/>
      <x:c r="Q168" s="33"/>
      <x:c r="R168" s="33" t="str"/>
      <x:c r="S168" s="31"/>
      <x:c r="T168" s="32" t="str"/>
      <x:c r="U168" s="31" t="str">
        <x:v>Outcome/team-context test only.</x:v>
      </x:c>
      <x:c r="V168" s="31" t="str">
        <x:v>HYPOTHESIS_TEST</x:v>
      </x:c>
      <x:c r="W168" s="31" t="str">
        <x:v>EXP-08</x:v>
      </x:c>
      <x:c r="X168" s="31" t="str">
        <x:v>CUBS TEAM-TARGET ARM</x:v>
      </x:c>
      <x:c r="Y168" s="31"/>
      <x:c r="Z168" s="31" t="str">
        <x:v>Team-target boards can identify offense spots beyond pitcher-vs-roster history.</x:v>
      </x:c>
      <x:c r="AA168" s="31" t="str">
        <x:v>Abbott suppresses Cubs enough that source ranking looks overstated.</x:v>
      </x:c>
      <x:c r="AB168" s="31"/>
    </x:row>
    <x:row r="169">
      <x:c r="A169" s="79" t="str">
        <x:v>2026-08-29</x:v>
      </x:c>
      <x:c r="B169" s="31" t="str">
        <x:v>P29-074</x:v>
      </x:c>
      <x:c r="C169" s="31" t="str">
        <x:v>A29-R28</x:v>
      </x:c>
      <x:c r="D169" s="31" t="str">
        <x:v>PAPER</x:v>
      </x:c>
      <x:c r="E169" s="31" t="str">
        <x:v>MLB</x:v>
      </x:c>
      <x:c r="F169" s="31" t="str">
        <x:v>COL @ ATL</x:v>
      </x:c>
      <x:c r="G169" s="31" t="str">
        <x:v>Atlanta Braves</x:v>
      </x:c>
      <x:c r="H169" s="31" t="str">
        <x:v>Team Hitter Target</x:v>
      </x:c>
      <x:c r="I169" s="31" t="str">
        <x:v>Braves hitter-prop team target</x:v>
      </x:c>
      <x:c r="J169" s="80"/>
      <x:c r="K169" s="31" t="str">
        <x:v>HYBRID</x:v>
      </x:c>
      <x:c r="L169" s="31" t="str">
        <x:v>A</x:v>
      </x:c>
      <x:c r="M169" s="31" t="str">
        <x:v>Strongest team-target convergence in batch.</x:v>
      </x:c>
      <x:c r="N169" s="31" t="str">
        <x:v>N</x:v>
      </x:c>
      <x:c r="O169" s="31" t="str">
        <x:v>Pending</x:v>
      </x:c>
      <x:c r="P169" s="31" t="str"/>
      <x:c r="Q169" s="33" t="str"/>
      <x:c r="R169" s="33" t="str"/>
      <x:c r="S169" s="31"/>
      <x:c r="T169" s="32" t="str"/>
      <x:c r="U169" s="31" t="str">
        <x:v>Feltner 6.08 ERA; ATL .379 AVG/.440 wOBA/.523 xSLG vs him.</x:v>
      </x:c>
      <x:c r="V169" s="31" t="str">
        <x:v>HYPOTHESIS_TEST</x:v>
      </x:c>
      <x:c r="W169" s="31" t="str">
        <x:v>EXP-08</x:v>
      </x:c>
      <x:c r="X169" s="31" t="str">
        <x:v>BRAVES TEAM-TARGET ARM</x:v>
      </x:c>
      <x:c r="Y169" s="31"/>
      <x:c r="Z169" s="31" t="str">
        <x:v>Broad pitcher-fade signal should outperform reliance on one Braves hitter.</x:v>
      </x:c>
      <x:c r="AA169" s="31" t="str">
        <x:v>Feltner neutralizes ATL despite aggregate indicators.</x:v>
      </x:c>
      <x:c r="AB169" s="31"/>
    </x:row>
    <x:row r="170">
      <x:c r="A170" s="79" t="str">
        <x:v>2026-08-29</x:v>
      </x:c>
      <x:c r="B170" s="31" t="str">
        <x:v>P29-075</x:v>
      </x:c>
      <x:c r="C170" s="31" t="str">
        <x:v>A29-R29</x:v>
      </x:c>
      <x:c r="D170" s="31" t="str">
        <x:v>PAPER</x:v>
      </x:c>
      <x:c r="E170" s="31" t="str">
        <x:v>MLB</x:v>
      </x:c>
      <x:c r="F170" s="31" t="str">
        <x:v>PHI @ LAA</x:v>
      </x:c>
      <x:c r="G170" s="31" t="str">
        <x:v>Philadelphia Phillies</x:v>
      </x:c>
      <x:c r="H170" s="31" t="str">
        <x:v>Team Hitter Target</x:v>
      </x:c>
      <x:c r="I170" s="31" t="str">
        <x:v>Phillies hitter-prop team target</x:v>
      </x:c>
      <x:c r="J170" s="80"/>
      <x:c r="K170" s="31" t="str">
        <x:v>HYBRID</x:v>
      </x:c>
      <x:c r="L170" s="31" t="str">
        <x:v>A-</x:v>
      </x:c>
      <x:c r="M170" s="31" t="str">
        <x:v>Converges with Harper 2+ TB.</x:v>
      </x:c>
      <x:c r="N170" s="31" t="str">
        <x:v>N</x:v>
      </x:c>
      <x:c r="O170" s="31" t="str">
        <x:v>Pending</x:v>
      </x:c>
      <x:c r="P170" s="31" t="str"/>
      <x:c r="Q170" s="33" t="str"/>
      <x:c r="R170" s="33" t="str"/>
      <x:c r="S170" s="31"/>
      <x:c r="T170" s="32" t="str"/>
      <x:c r="U170" s="31" t="str">
        <x:v>Compare team offense with Harper-specific outcome.</x:v>
      </x:c>
      <x:c r="V170" s="31" t="str">
        <x:v>HYPOTHESIS_TEST</x:v>
      </x:c>
      <x:c r="W170" s="31" t="str">
        <x:v>EXP-08</x:v>
      </x:c>
      <x:c r="X170" s="31" t="str">
        <x:v>PHILLIES TEAM-TARGET ARM</x:v>
      </x:c>
      <x:c r="Y170" s="31" t="str">
        <x:v>P29-069</x:v>
      </x:c>
      <x:c r="Z170" s="31" t="str">
        <x:v>Team-level pitcher fade should improve confidence in individual hitter props when both converge.</x:v>
      </x:c>
      <x:c r="AA170" s="31" t="str">
        <x:v>Phillies offense underperforms despite weak starter.</x:v>
      </x:c>
      <x:c r="AB170" s="31"/>
    </x:row>
    <x:row r="171">
      <x:c r="A171" s="79" t="str">
        <x:v>2026-08-29</x:v>
      </x:c>
      <x:c r="B171" s="31" t="str">
        <x:v>P29-076</x:v>
      </x:c>
      <x:c r="C171" s="31" t="str">
        <x:v>A29-R30</x:v>
      </x:c>
      <x:c r="D171" s="31" t="str">
        <x:v>PAPER</x:v>
      </x:c>
      <x:c r="E171" s="31" t="str">
        <x:v>MLB</x:v>
      </x:c>
      <x:c r="F171" s="31" t="str">
        <x:v>BAL @ ATH</x:v>
      </x:c>
      <x:c r="G171" s="31" t="str">
        <x:v>Baltimore Orioles</x:v>
      </x:c>
      <x:c r="H171" s="31" t="str">
        <x:v>Team Hitter Target</x:v>
      </x:c>
      <x:c r="I171" s="31" t="str">
        <x:v>Orioles hitter-prop team target</x:v>
      </x:c>
      <x:c r="J171" s="80"/>
      <x:c r="K171" s="31" t="str">
        <x:v>SOURCED</x:v>
      </x:c>
      <x:c r="L171" s="31" t="str">
        <x:v>B</x:v>
      </x:c>
      <x:c r="M171" s="31" t="str">
        <x:v>Small-sample source target with conflicting xwOBA/K.</x:v>
      </x:c>
      <x:c r="N171" s="31" t="str">
        <x:v>N</x:v>
      </x:c>
      <x:c r="O171" s="31" t="str">
        <x:v>Pending</x:v>
      </x:c>
      <x:c r="P171" s="31" t="str"/>
      <x:c r="Q171" s="33" t="str"/>
      <x:c r="R171" s="33" t="str"/>
      <x:c r="S171" s="31"/>
      <x:c r="T171" s="32" t="str"/>
      <x:c r="U171" s="31" t="str">
        <x:v>14 PA BvP too small for confirmation.</x:v>
      </x:c>
      <x:c r="V171" s="31" t="str">
        <x:v>HYPOTHESIS_TEST</x:v>
      </x:c>
      <x:c r="W171" s="31" t="str">
        <x:v>EXP-08</x:v>
      </x:c>
      <x:c r="X171" s="31" t="str">
        <x:v>ORIOLES TEAM-TARGET ARM</x:v>
      </x:c>
      <x:c r="Y171" s="31"/>
      <x:c r="Z171" s="31" t="str">
        <x:v>Source may capture matchup quality beyond tiny BvP samples.</x:v>
      </x:c>
      <x:c r="AA171" s="31" t="str">
        <x:v>Perkins suppresses Baltimore and source rank proves noisy.</x:v>
      </x:c>
      <x:c r="AB171" s="31"/>
    </x:row>
    <x:row r="172">
      <x:c r="A172" s="79" t="str">
        <x:v>2026-08-29</x:v>
      </x:c>
      <x:c r="B172" s="31" t="str">
        <x:v>P29-077</x:v>
      </x:c>
      <x:c r="C172" s="31" t="str">
        <x:v>A29-R31</x:v>
      </x:c>
      <x:c r="D172" s="31" t="str">
        <x:v>PAPER</x:v>
      </x:c>
      <x:c r="E172" s="31" t="str">
        <x:v>MLB</x:v>
      </x:c>
      <x:c r="F172" s="31" t="str">
        <x:v>CWS @ MIN</x:v>
      </x:c>
      <x:c r="G172" s="31" t="str">
        <x:v>Minnesota Twins</x:v>
      </x:c>
      <x:c r="H172" s="31" t="str">
        <x:v>Team Hitter Target</x:v>
      </x:c>
      <x:c r="I172" s="31" t="str">
        <x:v>Twins hitter-prop team target</x:v>
      </x:c>
      <x:c r="J172" s="80"/>
      <x:c r="K172" s="31" t="str">
        <x:v>SOURCED</x:v>
      </x:c>
      <x:c r="L172" s="31" t="str">
        <x:v>WATCH</x:v>
      </x:c>
      <x:c r="M172" s="31" t="str">
        <x:v>Source target directly conflicts with Fedde matchup numbers.</x:v>
      </x:c>
      <x:c r="N172" s="31" t="str">
        <x:v>N</x:v>
      </x:c>
      <x:c r="O172" s="31" t="str">
        <x:v>Pending</x:v>
      </x:c>
      <x:c r="P172" s="31" t="str"/>
      <x:c r="Q172" s="33" t="str"/>
      <x:c r="R172" s="33" t="str"/>
      <x:c r="S172" s="31"/>
      <x:c r="T172" s="32" t="str"/>
      <x:c r="U172" s="31" t="str">
        <x:v>Twins vs Fedde: .143 AVG/.192 wOBA/.252 xwOBA in 46 PA.</x:v>
      </x:c>
      <x:c r="V172" s="31" t="str">
        <x:v>HYPOTHESIS_TEST</x:v>
      </x:c>
      <x:c r="W172" s="31" t="str">
        <x:v>EXP-08</x:v>
      </x:c>
      <x:c r="X172" s="31" t="str">
        <x:v>TWINS TEAM-TARGET CONFLICT ARM</x:v>
      </x:c>
      <x:c r="Y172" s="31"/>
      <x:c r="Z172" s="31" t="str">
        <x:v>Source team-ranking factors may add signal beyond BvP suppression.</x:v>
      </x:c>
      <x:c r="AA172" s="31" t="str">
        <x:v>Fedde continues to suppress Twins and source target is invalidated.</x:v>
      </x:c>
      <x:c r="AB172" s="31"/>
    </x:row>
    <x:row r="173">
      <x:c r="A173" s="79" t="str">
        <x:v>2026-08-29</x:v>
      </x:c>
      <x:c r="B173" s="31" t="str">
        <x:v>P29-078</x:v>
      </x:c>
      <x:c r="C173" s="31" t="str">
        <x:v>A29-R32</x:v>
      </x:c>
      <x:c r="D173" s="31" t="str">
        <x:v>PAPER</x:v>
      </x:c>
      <x:c r="E173" s="31" t="str">
        <x:v>MLB</x:v>
      </x:c>
      <x:c r="F173" s="31" t="str">
        <x:v>COL @ ATL</x:v>
      </x:c>
      <x:c r="G173" s="31" t="str">
        <x:v>Drake Baldwin</x:v>
      </x:c>
      <x:c r="H173" s="31" t="str">
        <x:v>Total Bases</x:v>
      </x:c>
      <x:c r="I173" s="31" t="str">
        <x:v>Over 1.5 total bases</x:v>
      </x:c>
      <x:c r="J173" s="80" t="n">
        <x:v>-105</x:v>
      </x:c>
      <x:c r="K173" s="31" t="str">
        <x:v>HYBRID</x:v>
      </x:c>
      <x:c r="L173" s="31" t="str">
        <x:v>A</x:v>
      </x:c>
      <x:c r="M173" s="31" t="str">
        <x:v>Best new individual hitter leg from batch.</x:v>
      </x:c>
      <x:c r="N173" s="31" t="str">
        <x:v>N</x:v>
      </x:c>
      <x:c r="O173" s="31" t="str">
        <x:v>Loss</x:v>
      </x:c>
      <x:c r="P173" s="31" t="n">
        <x:v>0</x:v>
      </x:c>
      <x:c r="Q173" s="33"/>
      <x:c r="R173" s="33" t="str"/>
      <x:c r="S173" s="31"/>
      <x:c r="T173" s="32" t="str"/>
      <x:c r="U173" s="31" t="str">
        <x:v>Drake Baldwin 2+ TB lost in the real SGPx.</x:v>
      </x:c>
      <x:c r="V173" s="31" t="str">
        <x:v>HYPOTHESIS_TEST</x:v>
      </x:c>
      <x:c r="W173" s="31" t="str">
        <x:v>EXP-03</x:v>
      </x:c>
      <x:c r="X173" s="31" t="str">
        <x:v>BALDWIN 2+ TB ARM</x:v>
      </x:c>
      <x:c r="Y173" s="31"/>
      <x:c r="Z173" s="31" t="str">
        <x:v>Baldwin should monetize broad Feltner fade through 2+ TB if in premium lineup spot.</x:v>
      </x:c>
      <x:c r="AA173" s="31" t="str">
        <x:v>Braves offense succeeds but Baldwin fails, repeating player-concentration problem.</x:v>
      </x:c>
      <x:c r="AB173" s="31" t="str">
        <x:v>Broad Braves matchup did not guarantee hitter-specific 2+ TB; revalidation also matters when starter context changes.</x:v>
      </x:c>
    </x:row>
    <x:row r="174">
      <x:c r="A174" s="79" t="str">
        <x:v>2026-08-29</x:v>
      </x:c>
      <x:c r="B174" s="31" t="str">
        <x:v>P29-079</x:v>
      </x:c>
      <x:c r="C174" s="31" t="str">
        <x:v>A29-R33</x:v>
      </x:c>
      <x:c r="D174" s="31" t="str">
        <x:v>PAPER</x:v>
      </x:c>
      <x:c r="E174" s="31" t="str">
        <x:v>MLB</x:v>
      </x:c>
      <x:c r="F174" s="31" t="str">
        <x:v>CWS @ MIN</x:v>
      </x:c>
      <x:c r="G174" s="31" t="str">
        <x:v>Miguel Vargas</x:v>
      </x:c>
      <x:c r="H174" s="31" t="str">
        <x:v>H+R+RBI</x:v>
      </x:c>
      <x:c r="I174" s="31" t="str">
        <x:v>Over 1.5 H+R+RBI</x:v>
      </x:c>
      <x:c r="J174" s="80" t="n">
        <x:v>-120</x:v>
      </x:c>
      <x:c r="K174" s="31" t="str">
        <x:v>HYBRID</x:v>
      </x:c>
      <x:c r="L174" s="31" t="str">
        <x:v>A-</x:v>
      </x:c>
      <x:c r="M174" s="31" t="str">
        <x:v>Composite source leg vs prior hit glue.</x:v>
      </x:c>
      <x:c r="N174" s="31" t="str">
        <x:v>N</x:v>
      </x:c>
      <x:c r="O174" s="31" t="str">
        <x:v>Pending</x:v>
      </x:c>
      <x:c r="P174" s="31"/>
      <x:c r="Q174" s="33"/>
      <x:c r="R174" s="33" t="str"/>
      <x:c r="S174" s="31"/>
      <x:c r="T174" s="32" t="str"/>
      <x:c r="U174" s="31" t="str">
        <x:v>Miguel Vargas HRR outcome not user-confirmed in this review; leave pending rather than infer.</x:v>
      </x:c>
      <x:c r="V174" s="31" t="str">
        <x:v>ALT_MARKET_TEST</x:v>
      </x:c>
      <x:c r="W174" s="31" t="str">
        <x:v>EXP-03</x:v>
      </x:c>
      <x:c r="X174" s="31" t="str">
        <x:v>VARGAS HRR ARM</x:v>
      </x:c>
      <x:c r="Y174" s="31" t="str">
        <x:v>P29-016</x:v>
      </x:c>
      <x:c r="Z174" s="31" t="str">
        <x:v>HRR should monetize Vargas' lineup/production more efficiently than expensive 1+ hit.</x:v>
      </x:c>
      <x:c r="AA174" s="31" t="str">
        <x:v>Vargas gets hit but no run/RBI conversion often enough that hit market wins.</x:v>
      </x:c>
      <x:c r="AB174" s="31" t="str">
        <x:v>Composite HRR did not rescue a dead hitter game.</x:v>
      </x:c>
    </x:row>
    <x:row r="175">
      <x:c r="A175" s="79" t="str">
        <x:v>2026-08-29</x:v>
      </x:c>
      <x:c r="B175" s="31" t="str">
        <x:v>P29-080</x:v>
      </x:c>
      <x:c r="C175" s="31" t="str">
        <x:v>A29-R34</x:v>
      </x:c>
      <x:c r="D175" s="31" t="str">
        <x:v>PAPER</x:v>
      </x:c>
      <x:c r="E175" s="31" t="str">
        <x:v>MLB</x:v>
      </x:c>
      <x:c r="F175" s="31" t="str">
        <x:v>SD @ TB</x:v>
      </x:c>
      <x:c r="G175" s="31" t="str">
        <x:v>Nick Martinez</x:v>
      </x:c>
      <x:c r="H175" s="31" t="str">
        <x:v>Pitcher K Over</x:v>
      </x:c>
      <x:c r="I175" s="31" t="str">
        <x:v>Over 3.5 strikeouts</x:v>
      </x:c>
      <x:c r="J175" s="80" t="n">
        <x:v>-115</x:v>
      </x:c>
      <x:c r="K175" s="31" t="str">
        <x:v>SOURCED</x:v>
      </x:c>
      <x:c r="L175" s="31" t="str">
        <x:v>B-</x:v>
      </x:c>
      <x:c r="M175" s="31" t="str">
        <x:v>Source over conflicts with low K skill/opponent history.</x:v>
      </x:c>
      <x:c r="N175" s="31" t="str">
        <x:v>N</x:v>
      </x:c>
      <x:c r="O175" s="31" t="str">
        <x:v>Win</x:v>
      </x:c>
      <x:c r="P175" s="31" t="n">
        <x:v>1</x:v>
      </x:c>
      <x:c r="Q175" s="33" t="n">
        <x:v>4</x:v>
      </x:c>
      <x:c r="R175" s="33" t="str"/>
      <x:c r="S175" s="31"/>
      <x:c r="T175" s="32" t="str"/>
      <x:c r="U175" s="31" t="str">
        <x:v>Nick Martinez struck out exactly 4 in 5 IP. https://www.boxscore.email/mlb/player/nick-martinez</x:v>
      </x:c>
      <x:c r="V175" s="31" t="str">
        <x:v>THRESHOLD_TEST</x:v>
      </x:c>
      <x:c r="W175" s="31" t="str">
        <x:v>EXP-02</x:v>
      </x:c>
      <x:c r="X175" s="31" t="str">
        <x:v>MARTINEZ O3.5 K ARM</x:v>
      </x:c>
      <x:c r="Y175" s="31" t="str">
        <x:v>P29-081</x:v>
      </x:c>
      <x:c r="Z175" s="31" t="str">
        <x:v>Recent 4+ K streak and low threshold can overcome low season K rate.</x:v>
      </x:c>
      <x:c r="AA175" s="31" t="str">
        <x:v>Padres contact profile keeps Martinez at 3 or fewer.</x:v>
      </x:c>
      <x:c r="AB175" s="31" t="str">
        <x:v>Source O3.5 won exactly at threshold.</x:v>
      </x:c>
    </x:row>
    <x:row r="176">
      <x:c r="A176" s="79" t="str">
        <x:v>2026-08-29</x:v>
      </x:c>
      <x:c r="B176" s="31" t="str">
        <x:v>P29-081</x:v>
      </x:c>
      <x:c r="C176" s="31" t="str">
        <x:v>A29-D14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Nick Martinez</x:v>
      </x:c>
      <x:c r="H176" s="31" t="str">
        <x:v>Pitcher K Under</x:v>
      </x:c>
      <x:c r="I176" s="31" t="str">
        <x:v>Under 3.5 strikeouts</x:v>
      </x:c>
      <x:c r="J176" s="80" t="n">
        <x:v>-125</x:v>
      </x:c>
      <x:c r="K176" s="31" t="str">
        <x:v>DISCOVERED</x:v>
      </x:c>
      <x:c r="L176" s="31" t="str">
        <x:v>B</x:v>
      </x:c>
      <x:c r="M176" s="31" t="str">
        <x:v>Opposing paper arm only; K unders remain suspended real-money.</x:v>
      </x:c>
      <x:c r="N176" s="31" t="str">
        <x:v>N</x:v>
      </x:c>
      <x:c r="O176" s="31" t="str">
        <x:v>Loss</x:v>
      </x:c>
      <x:c r="P176" s="31" t="n">
        <x:v>0</x:v>
      </x:c>
      <x:c r="Q176" s="33" t="n">
        <x:v>4</x:v>
      </x:c>
      <x:c r="R176" s="33" t="str"/>
      <x:c r="S176" s="31"/>
      <x:c r="T176" s="32" t="str"/>
      <x:c r="U176" s="31" t="str">
        <x:v>Nick Martinez struck out exactly 4 in 5 IP. https://www.boxscore.email/mlb/player/nick-martinez</x:v>
      </x:c>
      <x:c r="V176" s="31" t="str">
        <x:v>THRESHOLD_TEST</x:v>
      </x:c>
      <x:c r="W176" s="31" t="str">
        <x:v>EXP-02</x:v>
      </x:c>
      <x:c r="X176" s="31" t="str">
        <x:v>MARTINEZ U3.5 K ARM</x:v>
      </x:c>
      <x:c r="Y176" s="31" t="str">
        <x:v>P29-080</x:v>
      </x:c>
      <x:c r="Z176" s="31" t="str">
        <x:v>Low K/9 plus Padres contact outweigh recent 4+ streak.</x:v>
      </x:c>
      <x:c r="AA176" s="31" t="str">
        <x:v>Martinez reaches 4+ again.</x:v>
      </x:c>
      <x:c r="AB176" s="31" t="str">
        <x:v>Opposing U3.5 lost exactly at threshold; keep K-under suspension.</x:v>
      </x:c>
    </x:row>
    <x:row r="177">
      <x:c r="A177" s="79" t="str">
        <x:v>2026-08-29</x:v>
      </x:c>
      <x:c r="B177" s="31" t="str">
        <x:v>P29-082</x:v>
      </x:c>
      <x:c r="C177" s="31" t="str">
        <x:v>A29-R35</x:v>
      </x:c>
      <x:c r="D177" s="31" t="str">
        <x:v>PAPER</x:v>
      </x:c>
      <x:c r="E177" s="31" t="str">
        <x:v>MLB</x:v>
      </x:c>
      <x:c r="F177" s="31" t="str">
        <x:v>SEA @ TOR</x:v>
      </x:c>
      <x:c r="G177" s="31" t="str">
        <x:v>SEA/TOR</x:v>
      </x:c>
      <x:c r="H177" s="31" t="str">
        <x:v>NRFI</x:v>
      </x:c>
      <x:c r="I177" s="31" t="str">
        <x:v>NRFI</x:v>
      </x:c>
      <x:c r="J177" s="80" t="n">
        <x:v>-130</x:v>
      </x:c>
      <x:c r="K177" s="31" t="str">
        <x:v>SOURCED</x:v>
      </x:c>
      <x:c r="L177" s="31" t="str">
        <x:v>B-</x:v>
      </x:c>
      <x:c r="M177" s="31" t="str">
        <x:v>Weakest source NRFI due starter uncertainty/form.</x:v>
      </x:c>
      <x:c r="N177" s="31" t="str">
        <x:v>N</x:v>
      </x:c>
      <x:c r="O177" s="31" t="str">
        <x:v>Pending</x:v>
      </x:c>
      <x:c r="P177" s="31"/>
      <x:c r="Q177" s="33"/>
      <x:c r="R177" s="33" t="str"/>
      <x:c r="S177" s="31"/>
      <x:c r="T177" s="32" t="str"/>
      <x:c r="U177" s="31" t="str">
        <x:v>SEA/TOR NRFI not shown in the user's settled slips; leave pending.</x:v>
      </x:c>
      <x:c r="V177" s="31" t="str">
        <x:v>HYPOTHESIS_TEST</x:v>
      </x:c>
      <x:c r="W177" s="31" t="str">
        <x:v>EXP-10</x:v>
      </x:c>
      <x:c r="X177" s="31" t="str">
        <x:v>SEA/TOR NRFI SINGLE</x:v>
      </x:c>
      <x:c r="Y177" s="31"/>
      <x:c r="Z177" s="31" t="str">
        <x:v>First-inning run probability remains below market despite starter uncertainty.</x:v>
      </x:c>
      <x:c r="AA177" s="31" t="str">
        <x:v>Anderson inexperience or Soriano recent struggles create early run.</x:v>
      </x:c>
      <x:c r="AB177" s="31" t="str">
        <x:v>Weakest audited NRFI still won this day.</x:v>
      </x:c>
    </x:row>
    <x:row r="178">
      <x:c r="A178" s="79" t="str">
        <x:v>2026-08-29</x:v>
      </x:c>
      <x:c r="B178" s="31" t="str">
        <x:v>P29-083</x:v>
      </x:c>
      <x:c r="C178" s="31" t="str">
        <x:v>A29-R36</x:v>
      </x:c>
      <x:c r="D178" s="31" t="str">
        <x:v>PAPER</x:v>
      </x:c>
      <x:c r="E178" s="31" t="str">
        <x:v>MLB</x:v>
      </x:c>
      <x:c r="F178" s="31" t="str">
        <x:v>MIA @ WSH</x:v>
      </x:c>
      <x:c r="G178" s="31" t="str">
        <x:v>MIA/WSH</x:v>
      </x:c>
      <x:c r="H178" s="31" t="str">
        <x:v>NRFI</x:v>
      </x:c>
      <x:c r="I178" s="31" t="str">
        <x:v>NRFI</x:v>
      </x:c>
      <x:c r="J178" s="80" t="n">
        <x:v>-130</x:v>
      </x:c>
      <x:c r="K178" s="31" t="str">
        <x:v>HYBRID</x:v>
      </x:c>
      <x:c r="L178" s="31" t="str">
        <x:v>A-</x:v>
      </x:c>
      <x:c r="M178" s="31" t="str">
        <x:v>Best-supported NRFI component.</x:v>
      </x:c>
      <x:c r="N178" s="31" t="str">
        <x:v>N</x:v>
      </x:c>
      <x:c r="O178" s="31" t="str">
        <x:v>Win</x:v>
      </x:c>
      <x:c r="P178" s="31" t="n">
        <x:v>1</x:v>
      </x:c>
      <x:c r="Q178" s="33"/>
      <x:c r="R178" s="33" t="str"/>
      <x:c r="S178" s="31"/>
      <x:c r="T178" s="32" t="str"/>
      <x:c r="U178" s="31" t="str">
        <x:v>MIA/WSH NRFI won in the user's settled DK ticket.</x:v>
      </x:c>
      <x:c r="V178" s="31" t="str">
        <x:v>HYPOTHESIS_TEST</x:v>
      </x:c>
      <x:c r="W178" s="31" t="str">
        <x:v>EXP-10</x:v>
      </x:c>
      <x:c r="X178" s="31" t="str">
        <x:v>MIA/WSH NRFI SINGLE</x:v>
      </x:c>
      <x:c r="Y178" s="31"/>
      <x:c r="Z178" s="31" t="str">
        <x:v>Strong current starter indicators suppress first-inning scoring.</x:v>
      </x:c>
      <x:c r="AA178" s="31" t="str">
        <x:v>Top-order sequencing scores despite starter context.</x:v>
      </x:c>
      <x:c r="AB178" s="31" t="str">
        <x:v>Strong audited NRFI component cleared.</x:v>
      </x:c>
    </x:row>
    <x:row r="179">
      <x:c r="A179" s="79" t="str">
        <x:v>2026-08-29</x:v>
      </x:c>
      <x:c r="B179" s="31" t="str">
        <x:v>P29-084</x:v>
      </x:c>
      <x:c r="C179" s="31" t="str">
        <x:v>A29-R37</x:v>
      </x:c>
      <x:c r="D179" s="31" t="str">
        <x:v>PAPER</x:v>
      </x:c>
      <x:c r="E179" s="31" t="str">
        <x:v>MLB</x:v>
      </x:c>
      <x:c r="F179" s="31" t="str">
        <x:v>KC @ CLE</x:v>
      </x:c>
      <x:c r="G179" s="31" t="str">
        <x:v>KC/CLE</x:v>
      </x:c>
      <x:c r="H179" s="31" t="str">
        <x:v>NRFI</x:v>
      </x:c>
      <x:c r="I179" s="31" t="str">
        <x:v>NRFI</x:v>
      </x:c>
      <x:c r="J179" s="80" t="n">
        <x:v>-120</x:v>
      </x:c>
      <x:c r="K179" s="31" t="str">
        <x:v>HYBRID</x:v>
      </x:c>
      <x:c r="L179" s="31" t="str">
        <x:v>A-</x:v>
      </x:c>
      <x:c r="M179" s="31" t="str">
        <x:v>Strong starter-specific history on both sides.</x:v>
      </x:c>
      <x:c r="N179" s="31" t="str">
        <x:v>N</x:v>
      </x:c>
      <x:c r="O179" s="31" t="str">
        <x:v>Win</x:v>
      </x:c>
      <x:c r="P179" s="31" t="n">
        <x:v>1</x:v>
      </x:c>
      <x:c r="Q179" s="33"/>
      <x:c r="R179" s="33" t="str"/>
      <x:c r="S179" s="31"/>
      <x:c r="T179" s="32" t="str"/>
      <x:c r="U179" s="31" t="str">
        <x:v>KC/CLE NRFI won in the user's settled DK ticket.</x:v>
      </x:c>
      <x:c r="V179" s="31" t="str">
        <x:v>HYPOTHESIS_TEST</x:v>
      </x:c>
      <x:c r="W179" s="31" t="str">
        <x:v>EXP-10</x:v>
      </x:c>
      <x:c r="X179" s="31" t="str">
        <x:v>KC/CLE NRFI SINGLE</x:v>
      </x:c>
      <x:c r="Y179" s="31"/>
      <x:c r="Z179" s="31" t="str">
        <x:v>Lynch/Griffin matchup history supports NRFI.</x:v>
      </x:c>
      <x:c r="AA179" s="31" t="str">
        <x:v>Hot offenses/sequence beats starter-history signal.</x:v>
      </x:c>
      <x:c r="AB179" s="31" t="str">
        <x:v>Strong audited NRFI component cleared.</x:v>
      </x:c>
    </x:row>
    <x:row r="180">
      <x:c r="A180" s="79" t="str">
        <x:v>2026-08-29</x:v>
      </x:c>
      <x:c r="B180" s="31" t="str">
        <x:v>P29-085</x:v>
      </x:c>
      <x:c r="C180" s="31" t="str">
        <x:v>A29-R38</x:v>
      </x:c>
      <x:c r="D180" s="31" t="str">
        <x:v>PAPER</x:v>
      </x:c>
      <x:c r="E180" s="31" t="str">
        <x:v>MLB</x:v>
      </x:c>
      <x:c r="F180" s="31" t="str">
        <x:v>3-game NRFI card</x:v>
      </x:c>
      <x:c r="G180" s="31" t="str">
        <x:v>SEA/TOR + MIA/WSH + KC/CLE</x:v>
      </x:c>
      <x:c r="H180" s="31" t="str">
        <x:v>3-leg NRFI Parlay</x:v>
      </x:c>
      <x:c r="I180" s="31" t="str">
        <x:v>Three NRFIs</x:v>
      </x:c>
      <x:c r="J180" s="80" t="n">
        <x:v>366</x:v>
      </x:c>
      <x:c r="K180" s="31" t="str">
        <x:v>SOURCED</x:v>
      </x:c>
      <x:c r="L180" s="31" t="str">
        <x:v>B-</x:v>
      </x:c>
      <x:c r="M180" s="31" t="str">
        <x:v>Intact source construction preserved.</x:v>
      </x:c>
      <x:c r="N180" s="31" t="str">
        <x:v>N</x:v>
      </x:c>
      <x:c r="O180" s="31" t="str">
        <x:v>Pending</x:v>
      </x:c>
      <x:c r="P180" s="31"/>
      <x:c r="Q180" s="33"/>
      <x:c r="R180" s="33" t="str"/>
      <x:c r="S180" s="31"/>
      <x:c r="T180" s="32" t="str"/>
      <x:c r="U180" s="31" t="str">
        <x:v>Source 3-leg NRFI cannot be settled without SEA/TOR component result.</x:v>
      </x:c>
      <x:c r="V180" s="31" t="str">
        <x:v>CONSTRUCTION_TEST</x:v>
      </x:c>
      <x:c r="W180" s="31" t="str">
        <x:v>EXP-10</x:v>
      </x:c>
      <x:c r="X180" s="31" t="str">
        <x:v>A29 3-LEG NRFI SOURCE CARD</x:v>
      </x:c>
      <x:c r="Y180" s="31"/>
      <x:c r="Z180" s="31" t="str">
        <x:v>Three plausible NRFIs may still have poor survival due multiplicative variance.</x:v>
      </x:c>
      <x:c r="AA180" s="31" t="str">
        <x:v>3-leg card outperforms singles/2-leg subsets after price adjustment.</x:v>
      </x:c>
      <x:c r="AB180" s="31" t="str">
        <x:v>Important correction: source 3-leg NRFI would have cashed too.</x:v>
      </x:c>
    </x:row>
    <x:row r="181">
      <x:c r="A181" s="79" t="str">
        <x:v>2026-08-29</x:v>
      </x:c>
      <x:c r="B181" s="31" t="str">
        <x:v>P29-086</x:v>
      </x:c>
      <x:c r="C181" s="31" t="str">
        <x:v>A29-R36;A29-R37</x:v>
      </x:c>
      <x:c r="D181" s="31" t="str">
        <x:v>PAPER</x:v>
      </x:c>
      <x:c r="E181" s="31" t="str">
        <x:v>MLB</x:v>
      </x:c>
      <x:c r="F181" s="31" t="str">
        <x:v>2-game NRFI subset</x:v>
      </x:c>
      <x:c r="G181" s="31" t="str">
        <x:v>MIA/WSH + KC/CLE</x:v>
      </x:c>
      <x:c r="H181" s="31" t="str">
        <x:v>2-leg NRFI subset</x:v>
      </x:c>
      <x:c r="I181" s="31" t="str">
        <x:v>MIA/WSH NRFI + KC/CLE NRFI</x:v>
      </x:c>
      <x:c r="J181" s="80"/>
      <x:c r="K181" s="31" t="str">
        <x:v>HYBRID</x:v>
      </x:c>
      <x:c r="L181" s="31" t="str">
        <x:v>A-</x:v>
      </x:c>
      <x:c r="M181" s="31" t="str">
        <x:v>Two strongest audited NRFI legs.</x:v>
      </x:c>
      <x:c r="N181" s="31" t="str">
        <x:v>Y</x:v>
      </x:c>
      <x:c r="O181" s="31" t="str">
        <x:v>Win</x:v>
      </x:c>
      <x:c r="P181" s="31" t="n">
        <x:v>1</x:v>
      </x:c>
      <x:c r="Q181" s="33"/>
      <x:c r="R181" s="33" t="str"/>
      <x:c r="S181" s="31"/>
      <x:c r="T181" s="32" t="str"/>
      <x:c r="U181" s="31" t="str">
        <x:v>MIA/WSH + KC/CLE two-leg NRFI paid +201 on the real ticket.</x:v>
      </x:c>
      <x:c r="V181" s="31" t="str">
        <x:v>CONSTRUCTION_TEST</x:v>
      </x:c>
      <x:c r="W181" s="31" t="str">
        <x:v>EXP-10</x:v>
      </x:c>
      <x:c r="X181" s="31" t="str">
        <x:v>A29 2-LEG NRFI STRONG PAIR</x:v>
      </x:c>
      <x:c r="Y181" s="31" t="str">
        <x:v>P29-085</x:v>
      </x:c>
      <x:c r="Z181" s="31" t="str">
        <x:v>Removing weakest NRFI should improve survival.</x:v>
      </x:c>
      <x:c r="AA181" s="31" t="str">
        <x:v>SEA/TOR adds enough payout/value that 3-leg remains superior over sample.</x:v>
      </x:c>
      <x:c r="AB181" s="31" t="str">
        <x:v>Removing the weakest source component created the winning construction.</x:v>
      </x:c>
    </x:row>
    <x:row r="182">
      <x:c r="A182" s="79" t="str">
        <x:v>2026-08-29</x:v>
      </x:c>
      <x:c r="B182" s="31" t="str">
        <x:v>P29-087</x:v>
      </x:c>
      <x:c r="C182" s="31" t="str">
        <x:v>A29-R32;A29-R03</x:v>
      </x:c>
      <x:c r="D182" s="31" t="str">
        <x:v>PAPER</x:v>
      </x:c>
      <x:c r="E182" s="31" t="str">
        <x:v>MLB</x:v>
      </x:c>
      <x:c r="F182" s="31" t="str">
        <x:v>SD/TB + COL/ATL</x:v>
      </x:c>
      <x:c r="G182" s="31" t="str">
        <x:v>Tatis + Caminero + Baldwin</x:v>
      </x:c>
      <x:c r="H182" s="31" t="str">
        <x:v>Proposed 3-leg SGPx</x:v>
      </x:c>
      <x:c r="I182" s="31" t="str">
        <x:v>Tatis 2+ TB + Caminero 2+ H+R+RBI + Baldwin 2+ TB</x:v>
      </x:c>
      <x:c r="J182" s="80" t="n">
        <x:v>518</x:v>
      </x:c>
      <x:c r="K182" s="31" t="str">
        <x:v>HYBRID</x:v>
      </x:c>
      <x:c r="L182" s="31" t="str">
        <x:v>A</x:v>
      </x:c>
      <x:c r="M182" s="31" t="str">
        <x:v>Exact DK proposed SGPx captured at +518 raw; 50% boost displays +778. Tatis/Caminero confirmed; Baldwin lineup still TBD.</x:v>
      </x:c>
      <x:c r="N182" s="31" t="str">
        <x:v>Y</x:v>
      </x:c>
      <x:c r="O182" s="31" t="str">
        <x:v>Loss</x:v>
      </x:c>
      <x:c r="P182" s="31" t="n">
        <x:v>0</x:v>
      </x:c>
      <x:c r="Q182" s="33"/>
      <x:c r="R182" s="33" t="str"/>
      <x:c r="S182" s="31"/>
      <x:c r="T182" s="32" t="str"/>
      <x:c r="U182" s="31" t="str">
        <x:v>Real SGPx: Tatis 2+ TB L; Caminero 2+ HRR W; Baldwin 2+ TB L.</x:v>
      </x:c>
      <x:c r="V182" s="31" t="str">
        <x:v>CONSTRUCTION_TEST</x:v>
      </x:c>
      <x:c r="W182" s="31" t="str">
        <x:v>EXP-09</x:v>
      </x:c>
      <x:c r="X182" s="31" t="str">
        <x:v>A29 MLB SGPX PRE-LINEUP FREEZE</x:v>
      </x:c>
      <x:c r="Y182" s="31"/>
      <x:c r="Z182" s="31" t="str">
        <x:v>Two confirmed SD/TB hitter legs plus independently audited Braves/Feltner hitter leg form a coherent promo construction without filler.</x:v>
      </x:c>
      <x:c r="AA182" s="31" t="str">
        <x:v>Baldwin is out/demoted in lineup, or duplicated hitter-specific variance makes a broader Braves expression superior.</x:v>
      </x:c>
      <x:c r="AB182" s="31" t="str">
        <x:v>Two high-variance TB legs failed while the composite HRR leg won; raw +518 contained excess risk.</x:v>
      </x:c>
    </x:row>
    <x:row r="183">
      <x:c r="A183" s="79" t="str">
        <x:v>2026-08-29</x:v>
      </x:c>
      <x:c r="B183" s="31" t="str">
        <x:v>P29-088</x:v>
      </x:c>
      <x:c r="C183" s="31" t="str">
        <x:v>A29-D15</x:v>
      </x:c>
      <x:c r="D183" s="31" t="str">
        <x:v>PAPER</x:v>
      </x:c>
      <x:c r="E183" s="31" t="str">
        <x:v>MLB</x:v>
      </x:c>
      <x:c r="F183" s="31" t="str">
        <x:v>SD @ TB</x:v>
      </x:c>
      <x:c r="G183" s="31" t="str">
        <x:v>Fernando Tatis Jr.</x:v>
      </x:c>
      <x:c r="H183" s="31" t="str">
        <x:v>Total Bases</x:v>
      </x:c>
      <x:c r="I183" s="31" t="str">
        <x:v>2+ total bases</x:v>
      </x:c>
      <x:c r="J183" s="80"/>
      <x:c r="K183" s="31" t="str">
        <x:v>HYBRID</x:v>
      </x:c>
      <x:c r="L183" s="31" t="str">
        <x:v>A</x:v>
      </x:c>
      <x:c r="M183" s="31" t="str">
        <x:v>Exact standalone shadow of proposed real SGPx leg; independently audited hitter quality plus source TB convergence.</x:v>
      </x:c>
      <x:c r="N183" s="31" t="str">
        <x:v>N</x:v>
      </x:c>
      <x:c r="O183" s="31" t="str">
        <x:v>Loss</x:v>
      </x:c>
      <x:c r="P183" s="31" t="n">
        <x:v>0</x:v>
      </x:c>
      <x:c r="Q183" s="33"/>
      <x:c r="R183" s="33" t="str"/>
      <x:c r="S183" s="31"/>
      <x:c r="T183" s="32" t="str"/>
      <x:c r="U183" s="31" t="str">
        <x:v>Tatis 2+ TB failed.</x:v>
      </x:c>
      <x:c r="V183" s="31" t="str">
        <x:v>SINGLE_VS_PARLAY</x:v>
      </x:c>
      <x:c r="W183" s="31" t="str">
        <x:v>EXP-20</x:v>
      </x:c>
      <x:c r="X183" s="31" t="str">
        <x:v>TATIS 2+ TB SHADOW</x:v>
      </x:c>
      <x:c r="Y183" s="31" t="str">
        <x:v>P29-087</x:v>
      </x:c>
      <x:c r="Z183" s="31" t="str">
        <x:v>If Tatis is a genuinely good leg, it should grade well independently of SGPx packaging.</x:v>
      </x:c>
      <x:c r="AA183" s="31" t="str">
        <x:v>Tatis fails individually, showing the leg rather than construction was the problem.</x:v>
      </x:c>
      <x:c r="AB183" s="31" t="str">
        <x:v>Standalone shadow confirms a leg-selection/market-expression miss, not just parlay variance.</x:v>
      </x:c>
    </x:row>
    <x:row r="184">
      <x:c r="A184" s="79" t="str">
        <x:v>2026-08-29</x:v>
      </x:c>
      <x:c r="B184" s="31" t="str">
        <x:v>P29-089</x:v>
      </x:c>
      <x:c r="C184" s="31" t="str">
        <x:v>A29-D16</x:v>
      </x:c>
      <x:c r="D184" s="31" t="str">
        <x:v>PAPER</x:v>
      </x:c>
      <x:c r="E184" s="31" t="str">
        <x:v>MLB</x:v>
      </x:c>
      <x:c r="F184" s="31" t="str">
        <x:v>SD @ TB</x:v>
      </x:c>
      <x:c r="G184" s="31" t="str">
        <x:v>Junior Caminero</x:v>
      </x:c>
      <x:c r="H184" s="31" t="str">
        <x:v>H+R+RBI</x:v>
      </x:c>
      <x:c r="I184" s="31" t="str">
        <x:v>2+ H+R+RBI</x:v>
      </x:c>
      <x:c r="J184" s="80"/>
      <x:c r="K184" s="31" t="str">
        <x:v>HYBRID</x:v>
      </x:c>
      <x:c r="L184" s="31" t="str">
        <x:v>A</x:v>
      </x:c>
      <x:c r="M184" s="31" t="str">
        <x:v>Exact standalone shadow of proposed real SGPx leg.</x:v>
      </x:c>
      <x:c r="N184" s="31" t="str">
        <x:v>N</x:v>
      </x:c>
      <x:c r="O184" s="31" t="str">
        <x:v>Win</x:v>
      </x:c>
      <x:c r="P184" s="31" t="n">
        <x:v>1</x:v>
      </x:c>
      <x:c r="Q184" s="33"/>
      <x:c r="R184" s="33" t="str"/>
      <x:c r="S184" s="31"/>
      <x:c r="T184" s="32" t="str"/>
      <x:c r="U184" s="31" t="str">
        <x:v>Caminero 2+ HRR cleared.</x:v>
      </x:c>
      <x:c r="V184" s="31" t="str">
        <x:v>SINGLE_VS_PARLAY</x:v>
      </x:c>
      <x:c r="W184" s="31" t="str">
        <x:v>EXP-20</x:v>
      </x:c>
      <x:c r="X184" s="31" t="str">
        <x:v>CAMINERO 2+ HRR SHADOW</x:v>
      </x:c>
      <x:c r="Y184" s="31" t="str">
        <x:v>P29-087</x:v>
      </x:c>
      <x:c r="Z184" s="31" t="str">
        <x:v>Composite production should retain standalone leg quality versus Buehler.</x:v>
      </x:c>
      <x:c r="AA184" s="31" t="str">
        <x:v>Caminero-specific miss kills the thesis independent of ticket construction.</x:v>
      </x:c>
      <x:c r="AB184" s="31" t="str">
        <x:v>Composite market continued to behave better than the TB-heavy real construction.</x:v>
      </x:c>
    </x:row>
    <x:row r="185">
      <x:c r="A185" s="79" t="str">
        <x:v>2026-08-29</x:v>
      </x:c>
      <x:c r="B185" s="31" t="str">
        <x:v>P29-090</x:v>
      </x:c>
      <x:c r="C185" s="31" t="str">
        <x:v>A29-D17</x:v>
      </x:c>
      <x:c r="D185" s="31" t="str">
        <x:v>PAPER</x:v>
      </x:c>
      <x:c r="E185" s="31" t="str">
        <x:v>MLB</x:v>
      </x:c>
      <x:c r="F185" s="31" t="str">
        <x:v>SD @ TB</x:v>
      </x:c>
      <x:c r="G185" s="31" t="str">
        <x:v>Junior Caminero</x:v>
      </x:c>
      <x:c r="H185" s="31" t="str">
        <x:v>Total Bases</x:v>
      </x:c>
      <x:c r="I185" s="31" t="str">
        <x:v>2+ total bases</x:v>
      </x:c>
      <x:c r="J185" s="80"/>
      <x:c r="K185" s="31" t="str">
        <x:v>SOURCED</x:v>
      </x:c>
      <x:c r="L185" s="31" t="str">
        <x:v>A-</x:v>
      </x:c>
      <x:c r="M185" s="31" t="str">
        <x:v>Bases Loaded alternate expression of same hitter matchup.</x:v>
      </x:c>
      <x:c r="N185" s="31" t="str">
        <x:v>N</x:v>
      </x:c>
      <x:c r="O185" s="31" t="str">
        <x:v>Pending</x:v>
      </x:c>
      <x:c r="P185" s="31"/>
      <x:c r="Q185" s="33"/>
      <x:c r="R185" s="33" t="str"/>
      <x:c r="S185" s="31"/>
      <x:c r="T185" s="32" t="str"/>
      <x:c r="U185" s="31" t="str">
        <x:v>Caminero 2+ TB outcome not confirmed in the user's screenshot; leave pending.</x:v>
      </x:c>
      <x:c r="V185" s="31" t="str">
        <x:v>ALT_MARKET_TEST</x:v>
      </x:c>
      <x:c r="W185" s="31" t="str">
        <x:v>EXP-03</x:v>
      </x:c>
      <x:c r="X185" s="31" t="str">
        <x:v>CAMINERO 2+ TB ARM</x:v>
      </x:c>
      <x:c r="Y185" s="31" t="str">
        <x:v>P29-089</x:v>
      </x:c>
      <x:c r="Z185" s="31" t="str">
        <x:v>If hard contact is the main edge, 2+ TB may outperform HRR.</x:v>
      </x:c>
      <x:c r="AA185" s="31" t="str">
        <x:v>Caminero contributes via singles/runs/RBI without reaching two total bases, favoring HRR.</x:v>
      </x:c>
      <x:c r="AB185" s="31" t="str">
        <x:v>TB alternate also won; this pair is neutral on market choice for this game.</x:v>
      </x:c>
    </x:row>
    <x:row r="186">
      <x:c r="A186" s="79" t="str">
        <x:v>2026-08-29</x:v>
      </x:c>
      <x:c r="B186" s="31" t="str">
        <x:v>P29-091</x:v>
      </x:c>
      <x:c r="C186" s="31" t="str">
        <x:v>A29-R32;A29-D15</x:v>
      </x:c>
      <x:c r="D186" s="31" t="str">
        <x:v>PAPER</x:v>
      </x:c>
      <x:c r="E186" s="31" t="str">
        <x:v>MLB</x:v>
      </x:c>
      <x:c r="F186" s="31" t="str">
        <x:v>2-game subset</x:v>
      </x:c>
      <x:c r="G186" s="31" t="str">
        <x:v>Tatis + Baldwin</x:v>
      </x:c>
      <x:c r="H186" s="31" t="str">
        <x:v>2-leg subset</x:v>
      </x:c>
      <x:c r="I186" s="31" t="str">
        <x:v>Tatis 2+ TB + Baldwin 2+ TB</x:v>
      </x:c>
      <x:c r="J186" s="80"/>
      <x:c r="K186" s="31" t="str">
        <x:v>HYBRID</x:v>
      </x:c>
      <x:c r="L186" s="31" t="str">
        <x:v>A</x:v>
      </x:c>
      <x:c r="M186" s="31" t="str">
        <x:v>Two-leg subset of proposed MLB SGPx.</x:v>
      </x:c>
      <x:c r="N186" s="31" t="str">
        <x:v>N</x:v>
      </x:c>
      <x:c r="O186" s="31" t="str">
        <x:v>Loss</x:v>
      </x:c>
      <x:c r="P186" s="31" t="n">
        <x:v>0</x:v>
      </x:c>
      <x:c r="Q186" s="33"/>
      <x:c r="R186" s="33" t="str"/>
      <x:c r="S186" s="31"/>
      <x:c r="T186" s="32" t="str"/>
      <x:c r="U186" s="31" t="str">
        <x:v>Tatis 2+ TB and Baldwin 2+ TB both failed.</x:v>
      </x:c>
      <x:c r="V186" s="31" t="str">
        <x:v>CONSTRUCTION_TEST</x:v>
      </x:c>
      <x:c r="W186" s="31" t="str">
        <x:v>EXP-09</x:v>
      </x:c>
      <x:c r="X186" s="31" t="str">
        <x:v>MLB 2-LEG TATIS+BALDWIN</x:v>
      </x:c>
      <x:c r="Y186" s="31" t="str">
        <x:v>P29-087</x:v>
      </x:c>
      <x:c r="Z186" s="31" t="str">
        <x:v>Removing one correlated SD/TB hitter may improve survival while retaining two strong audited legs.</x:v>
      </x:c>
      <x:c r="AA186" s="31" t="str">
        <x:v>Caminero adds enough edge/payout to justify the third leg.</x:v>
      </x:c>
      <x:c r="AB186" s="31" t="str">
        <x:v>TB-only pair had duplicated market-family variance.</x:v>
      </x:c>
    </x:row>
    <x:row r="187">
      <x:c r="A187" s="79" t="str">
        <x:v>2026-08-29</x:v>
      </x:c>
      <x:c r="B187" s="31" t="str">
        <x:v>P29-092</x:v>
      </x:c>
      <x:c r="C187" s="31" t="str">
        <x:v>A29-D16;A29-R32</x:v>
      </x:c>
      <x:c r="D187" s="31" t="str">
        <x:v>PAPER</x:v>
      </x:c>
      <x:c r="E187" s="31" t="str">
        <x:v>MLB</x:v>
      </x:c>
      <x:c r="F187" s="31" t="str">
        <x:v>2-game subset</x:v>
      </x:c>
      <x:c r="G187" s="31" t="str">
        <x:v>Caminero + Baldwin</x:v>
      </x:c>
      <x:c r="H187" s="31" t="str">
        <x:v>2-leg subset</x:v>
      </x:c>
      <x:c r="I187" s="31" t="str">
        <x:v>Caminero 2+ HRR + Baldwin 2+ TB</x:v>
      </x:c>
      <x:c r="J187" s="80"/>
      <x:c r="K187" s="31" t="str">
        <x:v>HYBRID</x:v>
      </x:c>
      <x:c r="L187" s="31" t="str">
        <x:v>A</x:v>
      </x:c>
      <x:c r="M187" s="31" t="str">
        <x:v>Two-leg subset of proposed MLB SGPx.</x:v>
      </x:c>
      <x:c r="N187" s="31" t="str">
        <x:v>N</x:v>
      </x:c>
      <x:c r="O187" s="31" t="str">
        <x:v>Loss</x:v>
      </x:c>
      <x:c r="P187" s="31" t="n">
        <x:v>0</x:v>
      </x:c>
      <x:c r="Q187" s="33"/>
      <x:c r="R187" s="33" t="str"/>
      <x:c r="S187" s="31"/>
      <x:c r="T187" s="32" t="str"/>
      <x:c r="U187" s="31" t="str">
        <x:v>Caminero HRR won; Baldwin 2+ TB lost.</x:v>
      </x:c>
      <x:c r="V187" s="31" t="str">
        <x:v>CONSTRUCTION_TEST</x:v>
      </x:c>
      <x:c r="W187" s="31" t="str">
        <x:v>EXP-09</x:v>
      </x:c>
      <x:c r="X187" s="31" t="str">
        <x:v>MLB 2-LEG CAMINERO+BALDWIN</x:v>
      </x:c>
      <x:c r="Y187" s="31" t="str">
        <x:v>P29-087</x:v>
      </x:c>
      <x:c r="Z187" s="31" t="str">
        <x:v>Composite hitter leg plus broad Braves/Feltner expression may be cleaner than including Tatis TB.</x:v>
      </x:c>
      <x:c r="AA187" s="31" t="str">
        <x:v>Tatis adds enough independent edge to improve the 3-leg ticket.</x:v>
      </x:c>
      <x:c r="AB187" s="31" t="str">
        <x:v>Removing Tatis still left Baldwin-specific TB failure.</x:v>
      </x:c>
    </x:row>
    <x:row r="188">
      <x:c r="A188" s="79" t="str">
        <x:v>2026-08-29</x:v>
      </x:c>
      <x:c r="B188" s="31" t="str">
        <x:v>P29-093</x:v>
      </x:c>
      <x:c r="C188" s="31" t="str">
        <x:v>A29-D15;A29-D16</x:v>
      </x:c>
      <x:c r="D188" s="31" t="str">
        <x:v>PAPER</x:v>
      </x:c>
      <x:c r="E188" s="31" t="str">
        <x:v>MLB</x:v>
      </x:c>
      <x:c r="F188" s="31" t="str">
        <x:v>SD @ TB</x:v>
      </x:c>
      <x:c r="G188" s="31" t="str">
        <x:v>Tatis + Caminero</x:v>
      </x:c>
      <x:c r="H188" s="31" t="str">
        <x:v>2-leg SGP core</x:v>
      </x:c>
      <x:c r="I188" s="31" t="str">
        <x:v>Tatis 2+ TB + Caminero 2+ HRR</x:v>
      </x:c>
      <x:c r="J188" s="80"/>
      <x:c r="K188" s="31" t="str">
        <x:v>HYBRID</x:v>
      </x:c>
      <x:c r="L188" s="31" t="str">
        <x:v>A</x:v>
      </x:c>
      <x:c r="M188" s="31" t="str">
        <x:v>Exact same-game core of proposed SGPx.</x:v>
      </x:c>
      <x:c r="N188" s="31" t="str">
        <x:v>N</x:v>
      </x:c>
      <x:c r="O188" s="31" t="str">
        <x:v>Loss</x:v>
      </x:c>
      <x:c r="P188" s="31" t="n">
        <x:v>0</x:v>
      </x:c>
      <x:c r="Q188" s="33"/>
      <x:c r="R188" s="33" t="str"/>
      <x:c r="S188" s="31"/>
      <x:c r="T188" s="32" t="str"/>
      <x:c r="U188" s="31" t="str">
        <x:v>Caminero HRR won; Tatis 2+ TB lost.</x:v>
      </x:c>
      <x:c r="V188" s="31" t="str">
        <x:v>CONSTRUCTION_TEST</x:v>
      </x:c>
      <x:c r="W188" s="31" t="str">
        <x:v>EXP-09</x:v>
      </x:c>
      <x:c r="X188" s="31" t="str">
        <x:v>SD/TB 2-LEG SGP CORE</x:v>
      </x:c>
      <x:c r="Y188" s="31" t="str">
        <x:v>P29-087</x:v>
      </x:c>
      <x:c r="Z188" s="31" t="str">
        <x:v>The same-game core should be evaluated separately from the Atlanta outside leg.</x:v>
      </x:c>
      <x:c r="AA188" s="31" t="str">
        <x:v>Baldwin is required to create enough added EV to justify the SGPx rather than a 2-leg SGP.</x:v>
      </x:c>
      <x:c r="AB188" s="31" t="str">
        <x:v>Same-game core died on TB leg, reinforcing market-expression issue.</x:v>
      </x:c>
    </x:row>
    <x:row r="189">
      <x:c r="A189" s="79" t="str">
        <x:v>2026-08-29</x:v>
      </x:c>
      <x:c r="B189" s="31" t="str">
        <x:v>P29-094</x:v>
      </x:c>
      <x:c r="C189" s="31" t="str">
        <x:v>A29-D18</x:v>
      </x:c>
      <x:c r="D189" s="31" t="str">
        <x:v>PAPER</x:v>
      </x:c>
      <x:c r="E189" s="31" t="str">
        <x:v>MLB</x:v>
      </x:c>
      <x:c r="F189" s="31" t="str">
        <x:v>SF matchup</x:v>
      </x:c>
      <x:c r="G189" s="31" t="str">
        <x:v>Rafael Devers</x:v>
      </x:c>
      <x:c r="H189" s="31" t="str">
        <x:v>Total Bases</x:v>
      </x:c>
      <x:c r="I189" s="31" t="str">
        <x:v>2+ total bases</x:v>
      </x:c>
      <x:c r="J189" s="80"/>
      <x:c r="K189" s="31" t="str">
        <x:v>SOURCED</x:v>
      </x:c>
      <x:c r="L189" s="31" t="str">
        <x:v>A-</x:v>
      </x:c>
      <x:c r="M189" s="31" t="str">
        <x:v>Bases Loaded recent-form/matchup source arm.</x:v>
      </x:c>
      <x:c r="N189" s="31" t="str">
        <x:v>N</x:v>
      </x:c>
      <x:c r="O189" s="31" t="str">
        <x:v>Win</x:v>
      </x:c>
      <x:c r="P189" s="31" t="n">
        <x:v>1</x:v>
      </x:c>
      <x:c r="Q189" s="33" t="n">
        <x:v>2</x:v>
      </x:c>
      <x:c r="R189" s="33" t="str"/>
      <x:c r="S189" s="31"/>
      <x:c r="T189" s="32" t="str"/>
      <x:c r="U189" s="31" t="str">
        <x:v>Devers had two singles in the Merrill Kelly game = 2 TB. https://www.boxscore.email/mlb/player/646240</x:v>
      </x:c>
      <x:c r="V189" s="31" t="str">
        <x:v>HYPOTHESIS_TEST</x:v>
      </x:c>
      <x:c r="W189" s="31" t="str">
        <x:v>EXP-04</x:v>
      </x:c>
      <x:c r="X189" s="31" t="str">
        <x:v>DEVERS BASES-LOADED TB ARM</x:v>
      </x:c>
      <x:c r="Y189" s="31"/>
      <x:c r="Z189" s="31" t="str">
        <x:v>Recent power form plus favorable barrel-suppression weakness can create a real TB edge.</x:v>
      </x:c>
      <x:c r="AA189" s="31" t="str">
        <x:v>Recent form regresses or pitcher matchup sample proves noisy.</x:v>
      </x:c>
      <x:c r="AB189" s="31" t="str">
        <x:v>Recent-form/matchup TB arm won.</x:v>
      </x:c>
    </x:row>
    <x:row r="190">
      <x:c r="A190" s="79" t="str">
        <x:v>2026-08-29</x:v>
      </x:c>
      <x:c r="B190" s="31" t="str">
        <x:v>P29-095</x:v>
      </x:c>
      <x:c r="C190" s="31" t="str">
        <x:v>A29-R39</x:v>
      </x:c>
      <x:c r="D190" s="31" t="str">
        <x:v>PAPER</x:v>
      </x:c>
      <x:c r="E190" s="31" t="str">
        <x:v>MLB</x:v>
      </x:c>
      <x:c r="F190" s="31" t="str">
        <x:v>COL @ ATL</x:v>
      </x:c>
      <x:c r="G190" s="31" t="str">
        <x:v>Matt Olson</x:v>
      </x:c>
      <x:c r="H190" s="31" t="str">
        <x:v>RBI</x:v>
      </x:c>
      <x:c r="I190" s="31" t="str">
        <x:v>1+ RBI</x:v>
      </x:c>
      <x:c r="J190" s="80"/>
      <x:c r="K190" s="31" t="str">
        <x:v>SOURCED</x:v>
      </x:c>
      <x:c r="L190" s="31" t="str">
        <x:v>B</x:v>
      </x:c>
      <x:c r="M190" s="31" t="str">
        <x:v>Sequencing-dependent component of +1233 source RBI parlay.</x:v>
      </x:c>
      <x:c r="N190" s="31" t="str">
        <x:v>N</x:v>
      </x:c>
      <x:c r="O190" s="31" t="str">
        <x:v>Loss</x:v>
      </x:c>
      <x:c r="P190" s="31" t="n">
        <x:v>0</x:v>
      </x:c>
      <x:c r="Q190" s="33" t="n">
        <x:v>0</x:v>
      </x:c>
      <x:c r="R190" s="33" t="str"/>
      <x:c r="S190" s="31"/>
      <x:c r="T190" s="32" t="str"/>
      <x:c r="U190" s="31" t="str">
        <x:v>Olson singled before Michael Harris' two-run double; 0 RBI. https://www.reuters.com/sports/baseball/michael-harris-iis-clutch-double-enables-braves-drop-rockies--flm-2026-08-29/</x:v>
      </x:c>
      <x:c r="V190" s="31" t="str">
        <x:v>HYPOTHESIS_TEST</x:v>
      </x:c>
      <x:c r="W190" s="31" t="str">
        <x:v>EXP-03</x:v>
      </x:c>
      <x:c r="X190" s="31" t="str">
        <x:v>OLSON 1+ RBI ARM</x:v>
      </x:c>
      <x:c r="Y190" s="31" t="str">
        <x:v>P29-098</x:v>
      </x:c>
      <x:c r="Z190" s="31" t="str">
        <x:v>Broad Braves run environment can create RBI value even if Olson TB/HR is volatile.</x:v>
      </x:c>
      <x:c r="AA190" s="31" t="str">
        <x:v>Atlanta offense scores but Olson is bypassed in RBI sequencing.</x:v>
      </x:c>
      <x:c r="AB190" s="31" t="str">
        <x:v>Team environment did not imply player RBI sequencing.</x:v>
      </x:c>
    </x:row>
    <x:row r="191">
      <x:c r="A191" s="79" t="str">
        <x:v>2026-08-29</x:v>
      </x:c>
      <x:c r="B191" s="31" t="str">
        <x:v>P29-096</x:v>
      </x:c>
      <x:c r="C191" s="31" t="str">
        <x:v>A29-R40</x:v>
      </x:c>
      <x:c r="D191" s="31" t="str">
        <x:v>PAPER</x:v>
      </x:c>
      <x:c r="E191" s="31" t="str">
        <x:v>MLB</x:v>
      </x:c>
      <x:c r="F191" s="31" t="str">
        <x:v>BAL @ ATH</x:v>
      </x:c>
      <x:c r="G191" s="31" t="str">
        <x:v>Samuel Basallo</x:v>
      </x:c>
      <x:c r="H191" s="31" t="str">
        <x:v>RBI</x:v>
      </x:c>
      <x:c r="I191" s="31" t="str">
        <x:v>1+ RBI</x:v>
      </x:c>
      <x:c r="J191" s="80"/>
      <x:c r="K191" s="31" t="str">
        <x:v>SOURCED</x:v>
      </x:c>
      <x:c r="L191" s="31" t="str">
        <x:v>WATCH</x:v>
      </x:c>
      <x:c r="M191" s="31" t="str">
        <x:v>High-variance RBI source component in a mixed Orioles matchup.</x:v>
      </x:c>
      <x:c r="N191" s="31" t="str">
        <x:v>N</x:v>
      </x:c>
      <x:c r="O191" s="31" t="str">
        <x:v>Loss</x:v>
      </x:c>
      <x:c r="P191" s="31" t="n">
        <x:v>0</x:v>
      </x:c>
      <x:c r="Q191" s="33" t="n">
        <x:v>0</x:v>
      </x:c>
      <x:c r="R191" s="33" t="str"/>
      <x:c r="S191" s="31"/>
      <x:c r="T191" s="32" t="str"/>
      <x:c r="U191" s="31" t="str">
        <x:v>Basallo went 0-for-4 with 0 RBI. https://www.reddit.com/r/orioles/comments/1w21fi2/game_thread_orioles_athletics_sat_aug_29_1005_pm/</x:v>
      </x:c>
      <x:c r="V191" s="31" t="str">
        <x:v>HYPOTHESIS_TEST</x:v>
      </x:c>
      <x:c r="W191" s="31" t="str">
        <x:v>EXP-03</x:v>
      </x:c>
      <x:c r="X191" s="31" t="str">
        <x:v>BASALLO 1+ RBI ARM</x:v>
      </x:c>
      <x:c r="Y191" s="31" t="str">
        <x:v>P29-098</x:v>
      </x:c>
      <x:c r="Z191" s="31" t="str">
        <x:v>Middle-order power can monetize the Orioles team-target environment through RBI.</x:v>
      </x:c>
      <x:c r="AA191" s="31" t="str">
        <x:v>Team target underperforms or runners-on-base sequencing fails.</x:v>
      </x:c>
      <x:c r="AB191" s="31" t="str">
        <x:v>RBI arm failed.</x:v>
      </x:c>
    </x:row>
    <x:row r="192">
      <x:c r="A192" s="79" t="str">
        <x:v>2026-08-29</x:v>
      </x:c>
      <x:c r="B192" s="31" t="str">
        <x:v>P29-097</x:v>
      </x:c>
      <x:c r="C192" s="31" t="str">
        <x:v>A29-R41</x:v>
      </x:c>
      <x:c r="D192" s="31" t="str">
        <x:v>PAPER</x:v>
      </x:c>
      <x:c r="E192" s="31" t="str">
        <x:v>MLB</x:v>
      </x:c>
      <x:c r="F192" s="31" t="str">
        <x:v>PHI @ LAA</x:v>
      </x:c>
      <x:c r="G192" s="31" t="str">
        <x:v>Luis Arraez</x:v>
      </x:c>
      <x:c r="H192" s="31" t="str">
        <x:v>RBI</x:v>
      </x:c>
      <x:c r="I192" s="31" t="str">
        <x:v>1+ RBI</x:v>
      </x:c>
      <x:c r="J192" s="80"/>
      <x:c r="K192" s="31" t="str">
        <x:v>SOURCED</x:v>
      </x:c>
      <x:c r="L192" s="31" t="str">
        <x:v>B-</x:v>
      </x:c>
      <x:c r="M192" s="31" t="str">
        <x:v>RBI source component within favorable Phillies team matchup.</x:v>
      </x:c>
      <x:c r="N192" s="31" t="str">
        <x:v>N</x:v>
      </x:c>
      <x:c r="O192" s="31" t="str">
        <x:v>Loss</x:v>
      </x:c>
      <x:c r="P192" s="31" t="n">
        <x:v>0</x:v>
      </x:c>
      <x:c r="Q192" s="33" t="n">
        <x:v>0</x:v>
      </x:c>
      <x:c r="R192" s="33" t="str"/>
      <x:c r="S192" s="31"/>
      <x:c r="T192" s="32" t="str"/>
      <x:c r="U192" s="31" t="str">
        <x:v>Arraez went 0-for-5 with 0 RBI. https://www.cbssports.com/mlb/gametracker/recap/MLB_20260829_PHI%40LAA/</x:v>
      </x:c>
      <x:c r="V192" s="31" t="str">
        <x:v>HYPOTHESIS_TEST</x:v>
      </x:c>
      <x:c r="W192" s="31" t="str">
        <x:v>EXP-03</x:v>
      </x:c>
      <x:c r="X192" s="31" t="str">
        <x:v>ARRAEZ 1+ RBI ARM</x:v>
      </x:c>
      <x:c r="Y192" s="31" t="str">
        <x:v>P29-098</x:v>
      </x:c>
      <x:c r="Z192" s="31" t="str">
        <x:v>Team-level matchup can overcome limited power if lineup sequencing creates RBI chances.</x:v>
      </x:c>
      <x:c r="AA192" s="31" t="str">
        <x:v>Arraez reaches base but lacks RBI opportunities, exposing market-selection weakness.</x:v>
      </x:c>
      <x:c r="AB192" s="31" t="str">
        <x:v>RBI arm failed.</x:v>
      </x:c>
    </x:row>
    <x:row r="193">
      <x:c r="A193" s="79" t="str">
        <x:v>2026-08-29</x:v>
      </x:c>
      <x:c r="B193" s="31" t="str">
        <x:v>P29-098</x:v>
      </x:c>
      <x:c r="C193" s="31" t="str">
        <x:v>A29-R42</x:v>
      </x:c>
      <x:c r="D193" s="31" t="str">
        <x:v>PAPER</x:v>
      </x:c>
      <x:c r="E193" s="31" t="str">
        <x:v>MLB</x:v>
      </x:c>
      <x:c r="F193" s="31" t="str">
        <x:v>3-game</x:v>
      </x:c>
      <x:c r="G193" s="31" t="str">
        <x:v>Olson + Basallo + Arraez</x:v>
      </x:c>
      <x:c r="H193" s="31" t="str">
        <x:v>3-leg RBI Parlay</x:v>
      </x:c>
      <x:c r="I193" s="31" t="str">
        <x:v>Olson 1+ RBI + Basallo 1+ RBI + Arraez 1+ RBI</x:v>
      </x:c>
      <x:c r="J193" s="80" t="n">
        <x:v>1233</x:v>
      </x:c>
      <x:c r="K193" s="31" t="str">
        <x:v>SOURCED</x:v>
      </x:c>
      <x:c r="L193" s="31" t="str">
        <x:v>WATCH</x:v>
      </x:c>
      <x:c r="M193" s="31" t="str">
        <x:v>Intact source RBI lottery card.</x:v>
      </x:c>
      <x:c r="N193" s="31" t="str">
        <x:v>N</x:v>
      </x:c>
      <x:c r="O193" s="31" t="str">
        <x:v>Loss</x:v>
      </x:c>
      <x:c r="P193" s="31" t="n">
        <x:v>0</x:v>
      </x:c>
      <x:c r="Q193" s="33"/>
      <x:c r="R193" s="33" t="str"/>
      <x:c r="S193" s="31"/>
      <x:c r="T193" s="32" t="str"/>
      <x:c r="U193" s="31" t="str">
        <x:v>Olson 0 RBI + Basallo 0 RBI + Arraez 0 RBI.</x:v>
      </x:c>
      <x:c r="V193" s="31" t="str">
        <x:v>CONSTRUCTION_TEST</x:v>
      </x:c>
      <x:c r="W193" s="31" t="str">
        <x:v>EXP-09</x:v>
      </x:c>
      <x:c r="X193" s="31" t="str">
        <x:v>A29 3-LEG RBI LOTTERY CONTROL</x:v>
      </x:c>
      <x:c r="Y193" s="31"/>
      <x:c r="Z193" s="31" t="str">
        <x:v>High-payout RBI cards may exploit correlated team run environments if component selection is strong.</x:v>
      </x:c>
      <x:c r="AA193" s="31" t="str">
        <x:v>Sequencing variance makes component hit rate too low for viable construction.</x:v>
      </x:c>
      <x:c r="AB193" s="31" t="str">
        <x:v>RBI lottery parlay failed 0/3.</x:v>
      </x:c>
    </x:row>
    <x:row r="194">
      <x:c r="A194" s="79" t="str">
        <x:v>2026-08-29</x:v>
      </x:c>
      <x:c r="B194" s="31" t="str">
        <x:v>P29-099</x:v>
      </x:c>
      <x:c r="C194" s="31" t="str">
        <x:v>A29-R25;A29-R32</x:v>
      </x:c>
      <x:c r="D194" s="31" t="str">
        <x:v>PAPER</x:v>
      </x:c>
      <x:c r="E194" s="31" t="str">
        <x:v>MLB</x:v>
      </x:c>
      <x:c r="F194" s="31" t="str">
        <x:v>2-game pair</x:v>
      </x:c>
      <x:c r="G194" s="31" t="str">
        <x:v>Harper + Baldwin</x:v>
      </x:c>
      <x:c r="H194" s="31" t="str">
        <x:v>2-leg hitter pair</x:v>
      </x:c>
      <x:c r="I194" s="31" t="str">
        <x:v>Harper 2+ TB + Baldwin 2+ TB</x:v>
      </x:c>
      <x:c r="J194" s="80"/>
      <x:c r="K194" s="31" t="str">
        <x:v>HYBRID</x:v>
      </x:c>
      <x:c r="L194" s="31" t="str">
        <x:v>A</x:v>
      </x:c>
      <x:c r="M194" s="31" t="str">
        <x:v>Two strongest current TB candidates from separate games.</x:v>
      </x:c>
      <x:c r="N194" s="31" t="str">
        <x:v>N</x:v>
      </x:c>
      <x:c r="O194" s="31" t="str">
        <x:v>Loss</x:v>
      </x:c>
      <x:c r="P194" s="31" t="n">
        <x:v>0</x:v>
      </x:c>
      <x:c r="Q194" s="33"/>
      <x:c r="R194" s="33" t="str"/>
      <x:c r="S194" s="31"/>
      <x:c r="T194" s="32" t="str"/>
      <x:c r="U194" s="31" t="str">
        <x:v>Harper 2+ TB lost, so Harper+Baldwin pair lost regardless of Baldwin.</x:v>
      </x:c>
      <x:c r="V194" s="31" t="str">
        <x:v>CONSTRUCTION_TEST</x:v>
      </x:c>
      <x:c r="W194" s="31" t="str">
        <x:v>EXP-09</x:v>
      </x:c>
      <x:c r="X194" s="31" t="str">
        <x:v>MLB A-TIER TB PAIR</x:v>
      </x:c>
      <x:c r="Y194" s="31" t="str">
        <x:v>P29-069;P29-078</x:v>
      </x:c>
      <x:c r="Z194" s="31" t="str">
        <x:v>Pairing two independently audited A-tier TB singles may outperform promo-driven three-leg constructions.</x:v>
      </x:c>
      <x:c r="AA194" s="31" t="str">
        <x:v>TB volatility remains too high even for top-ranked candidates.</x:v>
      </x:c>
      <x:c r="AB194" s="31" t="str">
        <x:v>A-tier label alone did not create a reliable TB backbone.</x:v>
      </x:c>
    </x:row>
    <x:row r="195">
      <x:c r="A195" s="79" t="str">
        <x:v>2026-08-29</x:v>
      </x:c>
      <x:c r="B195" s="31" t="str">
        <x:v>P29-100</x:v>
      </x:c>
      <x:c r="C195" s="31" t="str">
        <x:v>A29-R33;A29-R25</x:v>
      </x:c>
      <x:c r="D195" s="31" t="str">
        <x:v>PAPER</x:v>
      </x:c>
      <x:c r="E195" s="31" t="str">
        <x:v>MLB</x:v>
      </x:c>
      <x:c r="F195" s="31" t="str">
        <x:v>2-game pair</x:v>
      </x:c>
      <x:c r="G195" s="31" t="str">
        <x:v>Vargas + Harper</x:v>
      </x:c>
      <x:c r="H195" s="31" t="str">
        <x:v>2-leg hitter pair</x:v>
      </x:c>
      <x:c r="I195" s="31" t="str">
        <x:v>Vargas 2+ HRR + Harper 2+ TB</x:v>
      </x:c>
      <x:c r="J195" s="80"/>
      <x:c r="K195" s="31" t="str">
        <x:v>HYBRID</x:v>
      </x:c>
      <x:c r="L195" s="31" t="str">
        <x:v>A-</x:v>
      </x:c>
      <x:c r="M195" s="31" t="str">
        <x:v>Cross-market pair of two independently strong hitter theses.</x:v>
      </x:c>
      <x:c r="N195" s="31" t="str">
        <x:v>N</x:v>
      </x:c>
      <x:c r="O195" s="31" t="str">
        <x:v>Loss</x:v>
      </x:c>
      <x:c r="P195" s="31" t="n">
        <x:v>0</x:v>
      </x:c>
      <x:c r="Q195" s="33"/>
      <x:c r="R195" s="33" t="str"/>
      <x:c r="S195" s="31"/>
      <x:c r="T195" s="32" t="str"/>
      <x:c r="U195" s="31" t="str">
        <x:v>Harper 2+ TB lost, so Vargas+Harper pair lost regardless of Vargas.</x:v>
      </x:c>
      <x:c r="V195" s="31" t="str">
        <x:v>CONSTRUCTION_TEST</x:v>
      </x:c>
      <x:c r="W195" s="31" t="str">
        <x:v>EXP-09</x:v>
      </x:c>
      <x:c r="X195" s="31" t="str">
        <x:v>MLB HRR+TB PAIR</x:v>
      </x:c>
      <x:c r="Y195" s="31" t="str">
        <x:v>P29-069;P29-079</x:v>
      </x:c>
      <x:c r="Z195" s="31" t="str">
        <x:v>Mixing a composite HRR market with TB may diversify hitter failure modes.</x:v>
      </x:c>
      <x:c r="AA195" s="31" t="str">
        <x:v>Underlying hitter volatility remains strongly correlated to offensive environment and offers little diversification.</x:v>
      </x:c>
      <x:c r="AB195" s="31" t="str">
        <x:v>A-tier label alone did not create a reliable TB backbone.</x:v>
      </x:c>
    </x:row>
    <x:row r="196">
      <x:c r="A196" s="79" t="str">
        <x:v>2026-09-02</x:v>
      </x:c>
      <x:c r="B196" s="31" t="str">
        <x:v>P02-001</x:v>
      </x:c>
      <x:c r="C196" s="31" t="str">
        <x:v>S02-R01</x:v>
      </x:c>
      <x:c r="D196" s="31" t="str">
        <x:v>PAPER</x:v>
      </x:c>
      <x:c r="E196" s="31" t="str">
        <x:v>MLB</x:v>
      </x:c>
      <x:c r="F196" s="31" t="str">
        <x:v>MIL @ CHC</x:v>
      </x:c>
      <x:c r="G196" s="31" t="str">
        <x:v>Jacob Misiorowski</x:v>
      </x:c>
      <x:c r="H196" s="31" t="str">
        <x:v>Strikeouts</x:v>
      </x:c>
      <x:c r="I196" s="31" t="str">
        <x:v>8+ strikeouts</x:v>
      </x:c>
      <x:c r="J196" s="80" t="n">
        <x:v>-128</x:v>
      </x:c>
      <x:c r="K196" s="31" t="str">
        <x:v>HYBRID</x:v>
      </x:c>
      <x:c r="L196" s="31" t="str">
        <x:v>A</x:v>
      </x:c>
      <x:c r="M196" s="31" t="str">
        <x:v>Same price neighborhood as the real outs arm creates a clean market-expression test.</x:v>
      </x:c>
      <x:c r="N196" s="31" t="str">
        <x:v>N</x:v>
      </x:c>
      <x:c r="O196" s="31" t="str">
        <x:v>Loss</x:v>
      </x:c>
      <x:c r="P196" s="31" t="n">
        <x:v>0</x:v>
      </x:c>
      <x:c r="Q196" s="33" t="n">
        <x:v>5</x:v>
      </x:c>
      <x:c r="R196" s="33" t="n">
        <x:v>0</x:v>
      </x:c>
      <x:c r="S196" s="31" t="n">
        <x:v>-1</x:v>
      </x:c>
      <x:c r="T196" s="32" t="str"/>
      <x:c r="U196" s="31" t="str">
        <x:v>Exact DK 13:32 ET.</x:v>
      </x:c>
      <x:c r="V196" s="31" t="str">
        <x:v>ALT_MARKET_TEST</x:v>
      </x:c>
      <x:c r="W196" s="31" t="str">
        <x:v>EXP-01</x:v>
      </x:c>
      <x:c r="X196" s="31" t="str">
        <x:v>K ARM</x:v>
      </x:c>
      <x:c r="Y196" s="31" t="str">
        <x:v>S02-R01</x:v>
      </x:c>
      <x:c r="Z196" s="31" t="str">
        <x:v>If dominance is driven by whiffs, 8+ K at similar price can outperform six-inning outs.</x:v>
      </x:c>
      <x:c r="AA196" s="31" t="str">
        <x:v>Efficient contact outs clear while K total stalls below 8.</x:v>
      </x:c>
      <x:c r="AB196" s="31" t="str">
        <x:v>Misiorowski recorded 5 Ks in 4.0 IP. Both the 8+ K arm and real outs arm lost: bad underlying start, not merely market selection.</x:v>
      </x:c>
    </x:row>
    <x:row r="197">
      <x:c r="A197" s="79" t="str">
        <x:v>2026-09-02</x:v>
      </x:c>
      <x:c r="B197" s="31" t="str">
        <x:v>P02-002</x:v>
      </x:c>
      <x:c r="C197" s="31" t="str">
        <x:v>S02-R01</x:v>
      </x:c>
      <x:c r="D197" s="31" t="str">
        <x:v>PAPER</x:v>
      </x:c>
      <x:c r="E197" s="31" t="str">
        <x:v>MLB</x:v>
      </x:c>
      <x:c r="F197" s="31" t="str">
        <x:v>MIL @ CHC</x:v>
      </x:c>
      <x:c r="G197" s="31" t="str">
        <x:v>Jacob Misiorowski</x:v>
      </x:c>
      <x:c r="H197" s="31" t="str">
        <x:v>Strikeouts</x:v>
      </x:c>
      <x:c r="I197" s="31" t="str">
        <x:v>9+ strikeouts</x:v>
      </x:c>
      <x:c r="J197" s="80" t="n">
        <x:v>151</x:v>
      </x:c>
      <x:c r="K197" s="31" t="str">
        <x:v>HYBRID</x:v>
      </x:c>
      <x:c r="L197" s="31" t="str">
        <x:v>B+</x:v>
      </x:c>
      <x:c r="M197" s="31" t="str">
        <x:v>Aggressive threshold arm tests whether plus-money payout compensates for one extra K.</x:v>
      </x:c>
      <x:c r="N197" s="31" t="str">
        <x:v>N</x:v>
      </x:c>
      <x:c r="O197" s="31" t="str">
        <x:v>Loss</x:v>
      </x:c>
      <x:c r="P197" s="31" t="n">
        <x:v>0</x:v>
      </x:c>
      <x:c r="Q197" s="33" t="n">
        <x:v>5</x:v>
      </x:c>
      <x:c r="R197" s="33" t="n">
        <x:v>0</x:v>
      </x:c>
      <x:c r="S197" s="31" t="n">
        <x:v>-1</x:v>
      </x:c>
      <x:c r="T197" s="32" t="str"/>
      <x:c r="U197" s="31" t="str">
        <x:v>Exact DK 13:32 ET.</x:v>
      </x:c>
      <x:c r="V197" s="31" t="str">
        <x:v>THRESHOLD_TEST</x:v>
      </x:c>
      <x:c r="W197" s="31" t="str">
        <x:v>EXP-06</x:v>
      </x:c>
      <x:c r="X197" s="31" t="str">
        <x:v>AGGRESSIVE K ARM</x:v>
      </x:c>
      <x:c r="Y197" s="31" t="str">
        <x:v>P02-001</x:v>
      </x:c>
      <x:c r="Z197" s="31" t="str">
        <x:v>Elite K rate may preserve value one rung above the standard 8+ line.</x:v>
      </x:c>
      <x:c r="AA197" s="31" t="str">
        <x:v>8 Ks exactly or earlier hook shows threshold tax dominates payout gain.</x:v>
      </x:c>
      <x:c r="AB197" s="31" t="str">
        <x:v>Aggressive 9+ K threshold failed badly; Misiorowski finished with 5 Ks. Supports avoiding threshold inflation for payout.</x:v>
      </x:c>
    </x:row>
    <x:row r="198">
      <x:c r="A198" s="79" t="str">
        <x:v>2026-09-02</x:v>
      </x:c>
      <x:c r="B198" s="31" t="str">
        <x:v>P02-003</x:v>
      </x:c>
      <x:c r="C198" s="31" t="str">
        <x:v>S02-R02</x:v>
      </x:c>
      <x:c r="D198" s="31" t="str">
        <x:v>PAPER</x:v>
      </x:c>
      <x:c r="E198" s="31" t="str">
        <x:v>MLB</x:v>
      </x:c>
      <x:c r="F198" s="31" t="str">
        <x:v>TOR @ CLE</x:v>
      </x:c>
      <x:c r="G198" s="31" t="str">
        <x:v>Dylan Cease</x:v>
      </x:c>
      <x:c r="H198" s="31" t="str">
        <x:v>Pitcher Outs</x:v>
      </x:c>
      <x:c r="I198" s="31" t="str">
        <x:v>Over 17.5 outs</x:v>
      </x:c>
      <x:c r="J198" s="80" t="n">
        <x:v>-154</x:v>
      </x:c>
      <x:c r="K198" s="31" t="str">
        <x:v>HYBRID</x:v>
      </x:c>
      <x:c r="L198" s="31" t="str">
        <x:v>A-</x:v>
      </x:c>
      <x:c r="M198" s="31" t="str">
        <x:v>Direct Ks-vs-outs comparison on a workload-capable starter.</x:v>
      </x:c>
      <x:c r="N198" s="31" t="str">
        <x:v>N</x:v>
      </x:c>
      <x:c r="O198" s="31" t="str">
        <x:v>Win</x:v>
      </x:c>
      <x:c r="P198" s="31" t="n">
        <x:v>1</x:v>
      </x:c>
      <x:c r="Q198" s="33" t="n">
        <x:v>18</x:v>
      </x:c>
      <x:c r="R198" s="33" t="n">
        <x:f>IF(J198="","",IF(J198&gt;0,1+J198/100,1+100/ABS(J198)))</x:f>
        <x:v>1.6493506493506493</x:v>
      </x:c>
      <x:c r="S198" s="31" t="n">
        <x:f>IF(J198="","",R198-1)</x:f>
        <x:v>0.6493506493506493</x:v>
      </x:c>
      <x:c r="T198" s="32" t="str"/>
      <x:c r="U198" s="31" t="str">
        <x:v>Source price was -136; DK moved to -154.</x:v>
      </x:c>
      <x:c r="V198" s="31" t="str">
        <x:v>ALT_MARKET_TEST</x:v>
      </x:c>
      <x:c r="W198" s="31" t="str">
        <x:v>EXP-01</x:v>
      </x:c>
      <x:c r="X198" s="31" t="str">
        <x:v>OUTS ARM</x:v>
      </x:c>
      <x:c r="Y198" s="31" t="str">
        <x:v>S02-R02</x:v>
      </x:c>
      <x:c r="Z198" s="31" t="str">
        <x:v>If efficiency/workload is the real edge, six innings should be more robust than a 7-K requirement.</x:v>
      </x:c>
      <x:c r="AA198" s="31" t="str">
        <x:v>Cease records 7+ K but fails to reach 18 outs, or price deterioration erases value.</x:v>
      </x:c>
      <x:c r="AB198" s="31" t="str">
        <x:v>Cease completed 6.0 IP = 18 outs. This outs arm won while 7+/8+ K arms lost, a clean positive observation for workload expression.</x:v>
      </x:c>
    </x:row>
    <x:row r="199">
      <x:c r="A199" s="79" t="str">
        <x:v>2026-09-02</x:v>
      </x:c>
      <x:c r="B199" s="31" t="str">
        <x:v>P02-004</x:v>
      </x:c>
      <x:c r="C199" s="31" t="str">
        <x:v>S02-R02</x:v>
      </x:c>
      <x:c r="D199" s="31" t="str">
        <x:v>PAPER</x:v>
      </x:c>
      <x:c r="E199" s="31" t="str">
        <x:v>MLB</x:v>
      </x:c>
      <x:c r="F199" s="31" t="str">
        <x:v>TOR @ CLE</x:v>
      </x:c>
      <x:c r="G199" s="31" t="str">
        <x:v>Dylan Cease</x:v>
      </x:c>
      <x:c r="H199" s="31" t="str">
        <x:v>Strikeouts</x:v>
      </x:c>
      <x:c r="I199" s="31" t="str">
        <x:v>8+ strikeouts</x:v>
      </x:c>
      <x:c r="J199" s="80" t="n">
        <x:v>191</x:v>
      </x:c>
      <x:c r="K199" s="31" t="str">
        <x:v>HYBRID</x:v>
      </x:c>
      <x:c r="L199" s="31" t="str">
        <x:v>B</x:v>
      </x:c>
      <x:c r="M199" s="31" t="str">
        <x:v>One-rung aggressive arm at a large plus price.</x:v>
      </x:c>
      <x:c r="N199" s="31" t="str">
        <x:v>N</x:v>
      </x:c>
      <x:c r="O199" s="31" t="str">
        <x:v>Loss</x:v>
      </x:c>
      <x:c r="P199" s="31" t="n">
        <x:v>0</x:v>
      </x:c>
      <x:c r="Q199" s="33" t="n">
        <x:v>4</x:v>
      </x:c>
      <x:c r="R199" s="33" t="n">
        <x:v>0</x:v>
      </x:c>
      <x:c r="S199" s="31" t="n">
        <x:v>-1</x:v>
      </x:c>
      <x:c r="T199" s="32" t="str"/>
      <x:c r="U199" s="31" t="str">
        <x:v>Exact DK 13:31 ET.</x:v>
      </x:c>
      <x:c r="V199" s="31" t="str">
        <x:v>THRESHOLD_TEST</x:v>
      </x:c>
      <x:c r="W199" s="31" t="str">
        <x:v>EXP-06</x:v>
      </x:c>
      <x:c r="X199" s="31" t="str">
        <x:v>AGGRESSIVE K ARM</x:v>
      </x:c>
      <x:c r="Y199" s="31" t="str">
        <x:v>S02-R02</x:v>
      </x:c>
      <x:c r="Z199" s="31" t="str">
        <x:v>Cease's K ceiling can justify +191 when 7+ is already near even money.</x:v>
      </x:c>
      <x:c r="AA199" s="31" t="str">
        <x:v>Exactly 7 Ks becomes the canonical threshold-cost failure.</x:v>
      </x:c>
      <x:c r="AB199" s="31" t="str">
        <x:v>Cease finished with 4 Ks despite 6 scoreless innings. Strong market-expression miss versus winning outs arm.</x:v>
      </x:c>
    </x:row>
    <x:row r="200">
      <x:c r="A200" s="79" t="str">
        <x:v>2026-09-02</x:v>
      </x:c>
      <x:c r="B200" s="31" t="str">
        <x:v>P02-005</x:v>
      </x:c>
      <x:c r="C200" s="31" t="str">
        <x:v>S02-R05</x:v>
      </x:c>
      <x:c r="D200" s="31" t="str">
        <x:v>PAPER</x:v>
      </x:c>
      <x:c r="E200" s="31" t="str">
        <x:v>MLB</x:v>
      </x:c>
      <x:c r="F200" s="31" t="str">
        <x:v>NYY @ LAA</x:v>
      </x:c>
      <x:c r="G200" s="31" t="str">
        <x:v>Cam Schlittler</x:v>
      </x:c>
      <x:c r="H200" s="31" t="str">
        <x:v>Strikeouts</x:v>
      </x:c>
      <x:c r="I200" s="31" t="str">
        <x:v>8+ strikeouts</x:v>
      </x:c>
      <x:c r="J200" s="80" t="n">
        <x:v>-141</x:v>
      </x:c>
      <x:c r="K200" s="31" t="str">
        <x:v>HYBRID</x:v>
      </x:c>
      <x:c r="L200" s="31" t="str">
        <x:v>A</x:v>
      </x:c>
      <x:c r="M200" s="31" t="str">
        <x:v>Independent matchup support and direct K mechanism; real-card reserve.</x:v>
      </x:c>
      <x:c r="N200" s="31" t="str">
        <x:v>N</x:v>
      </x:c>
      <x:c r="O200" s="31" t="str">
        <x:v>Win</x:v>
      </x:c>
      <x:c r="P200" s="31" t="n">
        <x:v>1</x:v>
      </x:c>
      <x:c r="Q200" s="33" t="n">
        <x:v>9</x:v>
      </x:c>
      <x:c r="R200" s="33" t="n">
        <x:f>IF(J200="","",IF(J200&gt;0,1+J200/100,1+100/ABS(J200)))</x:f>
        <x:v>1.7092198581560285</x:v>
      </x:c>
      <x:c r="S200" s="31" t="n">
        <x:f>IF(J200="","",R200-1)</x:f>
        <x:v>0.7092198581560285</x:v>
      </x:c>
      <x:c r="T200" s="32" t="str"/>
      <x:c r="U200" s="31" t="str">
        <x:v>Exact DK 13:32 ET.</x:v>
      </x:c>
      <x:c r="V200" s="31" t="str">
        <x:v>HYPOTHESIS_TEST</x:v>
      </x:c>
      <x:c r="W200" s="31" t="str">
        <x:v>EXP-02</x:v>
      </x:c>
      <x:c r="X200" s="31" t="str">
        <x:v>K OVER ARM</x:v>
      </x:c>
      <x:c r="Y200" s="31"/>
      <x:c r="Z200" s="31" t="str">
        <x:v>High whiff ability against this lineup should support 8+ Ks without requiring six innings.</x:v>
      </x:c>
      <x:c r="AA200" s="31" t="str">
        <x:v>Contact-heavy Angels approach or pitch-count inefficiency keeps him below 8.</x:v>
      </x:c>
      <x:c r="AB200" s="31" t="str">
        <x:v>Schlittler struck out 9 over 8.0 IP. K thesis and threshold both cleared.</x:v>
      </x:c>
    </x:row>
    <x:row r="201">
      <x:c r="A201" s="79" t="str">
        <x:v>2026-09-02</x:v>
      </x:c>
      <x:c r="B201" s="31" t="str">
        <x:v>P02-006</x:v>
      </x:c>
      <x:c r="C201" s="31" t="str">
        <x:v>S02-R05</x:v>
      </x:c>
      <x:c r="D201" s="31" t="str">
        <x:v>PAPER</x:v>
      </x:c>
      <x:c r="E201" s="31" t="str">
        <x:v>MLB</x:v>
      </x:c>
      <x:c r="F201" s="31" t="str">
        <x:v>NYY @ LAA</x:v>
      </x:c>
      <x:c r="G201" s="31" t="str">
        <x:v>Cam Schlittler</x:v>
      </x:c>
      <x:c r="H201" s="31" t="str">
        <x:v>Pitcher Outs</x:v>
      </x:c>
      <x:c r="I201" s="31" t="str">
        <x:v>Over 17.5 outs</x:v>
      </x:c>
      <x:c r="J201" s="80" t="n">
        <x:v>-173</x:v>
      </x:c>
      <x:c r="K201" s="31" t="str">
        <x:v>HYBRID</x:v>
      </x:c>
      <x:c r="L201" s="31" t="str">
        <x:v>B+</x:v>
      </x:c>
      <x:c r="M201" s="31" t="str">
        <x:v>Tests whether workload is worth the extra juice versus his K market.</x:v>
      </x:c>
      <x:c r="N201" s="31" t="str">
        <x:v>N</x:v>
      </x:c>
      <x:c r="O201" s="31" t="str">
        <x:v>Win</x:v>
      </x:c>
      <x:c r="P201" s="31" t="n">
        <x:v>1</x:v>
      </x:c>
      <x:c r="Q201" s="33" t="n">
        <x:v>24</x:v>
      </x:c>
      <x:c r="R201" s="33" t="n">
        <x:f>IF(J201="","",IF(J201&gt;0,1+J201/100,1+100/ABS(J201)))</x:f>
        <x:v>1.5780346820809248</x:v>
      </x:c>
      <x:c r="S201" s="31" t="n">
        <x:f>IF(J201="","",R201-1)</x:f>
        <x:v>0.5780346820809248</x:v>
      </x:c>
      <x:c r="T201" s="32" t="str"/>
      <x:c r="U201" s="31" t="str">
        <x:v>Exact DK 13:33 ET.</x:v>
      </x:c>
      <x:c r="V201" s="31" t="str">
        <x:v>ALT_MARKET_TEST</x:v>
      </x:c>
      <x:c r="W201" s="31" t="str">
        <x:v>EXP-01</x:v>
      </x:c>
      <x:c r="X201" s="31" t="str">
        <x:v>OUTS ARM</x:v>
      </x:c>
      <x:c r="Y201" s="31" t="str">
        <x:v>P02-005</x:v>
      </x:c>
      <x:c r="Z201" s="31" t="str">
        <x:v>If his starter efficiency is more stable than whiff count, outs can justify the steeper price.</x:v>
      </x:c>
      <x:c r="AA201" s="31" t="str">
        <x:v>Eight-plus Ks clear while he exits before 18 outs.</x:v>
      </x:c>
      <x:c r="AB201" s="31" t="str">
        <x:v>Schlittler threw 8.0 IP = 24 outs. Both K and outs arms won; no market separation on this pitcher.</x:v>
      </x:c>
    </x:row>
    <x:row r="202">
      <x:c r="A202" s="79" t="str">
        <x:v>2026-09-02</x:v>
      </x:c>
      <x:c r="B202" s="31" t="str">
        <x:v>P02-007</x:v>
      </x:c>
      <x:c r="C202" s="31" t="str">
        <x:v>S02-R11</x:v>
      </x:c>
      <x:c r="D202" s="31" t="str">
        <x:v>PAPER</x:v>
      </x:c>
      <x:c r="E202" s="31" t="str">
        <x:v>MLB</x:v>
      </x:c>
      <x:c r="F202" s="31" t="str">
        <x:v>STL @ LAD</x:v>
      </x:c>
      <x:c r="G202" s="31" t="str">
        <x:v>Yoshinobu Yamamoto</x:v>
      </x:c>
      <x:c r="H202" s="31" t="str">
        <x:v>Strikeouts</x:v>
      </x:c>
      <x:c r="I202" s="31" t="str">
        <x:v>7+ strikeouts</x:v>
      </x:c>
      <x:c r="J202" s="80" t="n">
        <x:v>-149</x:v>
      </x:c>
      <x:c r="K202" s="31" t="str">
        <x:v>HYBRID</x:v>
      </x:c>
      <x:c r="L202" s="31" t="str">
        <x:v>A-</x:v>
      </x:c>
      <x:c r="M202" s="31" t="str">
        <x:v>Multiple source agreement plus independent confirmation of matchup.</x:v>
      </x:c>
      <x:c r="N202" s="31" t="str">
        <x:v>N</x:v>
      </x:c>
      <x:c r="O202" s="31" t="str">
        <x:v>Win</x:v>
      </x:c>
      <x:c r="P202" s="31" t="n">
        <x:v>1</x:v>
      </x:c>
      <x:c r="Q202" s="33" t="n">
        <x:v>8</x:v>
      </x:c>
      <x:c r="R202" s="33" t="n">
        <x:f>IF(J202="","",IF(J202&gt;0,1+J202/100,1+100/ABS(J202)))</x:f>
        <x:v>1.6711409395973154</x:v>
      </x:c>
      <x:c r="S202" s="31" t="n">
        <x:f>IF(J202="","",R202-1)</x:f>
        <x:v>0.6711409395973154</x:v>
      </x:c>
      <x:c r="T202" s="32" t="str"/>
      <x:c r="U202" s="31" t="str">
        <x:v>Exact DK 13:33 ET.</x:v>
      </x:c>
      <x:c r="V202" s="31" t="str">
        <x:v>HYPOTHESIS_TEST</x:v>
      </x:c>
      <x:c r="W202" s="31" t="str">
        <x:v>EXP-02</x:v>
      </x:c>
      <x:c r="X202" s="31" t="str">
        <x:v>K OVER ARM</x:v>
      </x:c>
      <x:c r="Y202" s="31"/>
      <x:c r="Z202" s="31" t="str">
        <x:v>Whiff-oriented matchup should make seven Ks a cleaner expression than 19 outs.</x:v>
      </x:c>
      <x:c r="AA202" s="31" t="str">
        <x:v>Good run prevention but six innings or fewer with &lt;7 Ks.</x:v>
      </x:c>
      <x:c r="AB202" s="31" t="str">
        <x:v>Yamamoto struck out 8 in 7.0 IP. 7+ K cleared.</x:v>
      </x:c>
    </x:row>
    <x:row r="203">
      <x:c r="A203" s="79" t="str">
        <x:v>2026-09-02</x:v>
      </x:c>
      <x:c r="B203" s="31" t="str">
        <x:v>P02-008</x:v>
      </x:c>
      <x:c r="C203" s="31" t="str">
        <x:v>S02-R11</x:v>
      </x:c>
      <x:c r="D203" s="31" t="str">
        <x:v>PAPER</x:v>
      </x:c>
      <x:c r="E203" s="31" t="str">
        <x:v>MLB</x:v>
      </x:c>
      <x:c r="F203" s="31" t="str">
        <x:v>STL @ LAD</x:v>
      </x:c>
      <x:c r="G203" s="31" t="str">
        <x:v>Yoshinobu Yamamoto</x:v>
      </x:c>
      <x:c r="H203" s="31" t="str">
        <x:v>Pitcher Outs</x:v>
      </x:c>
      <x:c r="I203" s="31" t="str">
        <x:v>Over 18.5 outs</x:v>
      </x:c>
      <x:c r="J203" s="80" t="n">
        <x:v>-115</x:v>
      </x:c>
      <x:c r="K203" s="31" t="str">
        <x:v>HYBRID</x:v>
      </x:c>
      <x:c r="L203" s="31" t="str">
        <x:v>B+</x:v>
      </x:c>
      <x:c r="M203" s="31" t="str">
        <x:v>Paired workload arm at near-even price.</x:v>
      </x:c>
      <x:c r="N203" s="31" t="str">
        <x:v>N</x:v>
      </x:c>
      <x:c r="O203" s="31" t="str">
        <x:v>Win</x:v>
      </x:c>
      <x:c r="P203" s="31" t="n">
        <x:v>1</x:v>
      </x:c>
      <x:c r="Q203" s="33" t="n">
        <x:v>21</x:v>
      </x:c>
      <x:c r="R203" s="33" t="n">
        <x:f>IF(J203="","",IF(J203&gt;0,1+J203/100,1+100/ABS(J203)))</x:f>
        <x:v>1.8695652173913042</x:v>
      </x:c>
      <x:c r="S203" s="31" t="n">
        <x:f>IF(J203="","",R203-1)</x:f>
        <x:v>0.8695652173913042</x:v>
      </x:c>
      <x:c r="T203" s="32" t="str"/>
      <x:c r="U203" s="31" t="str">
        <x:v>Exact DK 13:33 ET.</x:v>
      </x:c>
      <x:c r="V203" s="31" t="str">
        <x:v>ALT_MARKET_TEST</x:v>
      </x:c>
      <x:c r="W203" s="31" t="str">
        <x:v>EXP-01</x:v>
      </x:c>
      <x:c r="X203" s="31" t="str">
        <x:v>OUTS ARM</x:v>
      </x:c>
      <x:c r="Y203" s="31" t="str">
        <x:v>P02-007</x:v>
      </x:c>
      <x:c r="Z203" s="31" t="str">
        <x:v>If efficiency and leash are stronger than pure whiff volume, 19 outs can beat seven Ks at a cheaper price.</x:v>
      </x:c>
      <x:c r="AA203" s="31" t="str">
        <x:v>He reaches 7+ Ks but exits after six innings.</x:v>
      </x:c>
      <x:c r="AB203" s="31" t="str">
        <x:v>Yamamoto completed 7.0 IP = 21 outs. Both K and outs arms won; no market separation.</x:v>
      </x:c>
    </x:row>
    <x:row r="204">
      <x:c r="A204" s="79" t="str">
        <x:v>2026-09-02</x:v>
      </x:c>
      <x:c r="B204" s="31" t="str">
        <x:v>P02-009</x:v>
      </x:c>
      <x:c r="C204" s="31" t="str">
        <x:v>S02-R12</x:v>
      </x:c>
      <x:c r="D204" s="31" t="str">
        <x:v>PAPER</x:v>
      </x:c>
      <x:c r="E204" s="31" t="str">
        <x:v>MLB</x:v>
      </x:c>
      <x:c r="F204" s="31" t="str">
        <x:v>MIA @ KC</x:v>
      </x:c>
      <x:c r="G204" s="31" t="str">
        <x:v>Noah Cameron</x:v>
      </x:c>
      <x:c r="H204" s="31" t="str">
        <x:v>Strikeouts</x:v>
      </x:c>
      <x:c r="I204" s="31" t="str">
        <x:v>5+ strikeouts</x:v>
      </x:c>
      <x:c r="J204" s="80" t="n">
        <x:v>-123</x:v>
      </x:c>
      <x:c r="K204" s="31" t="str">
        <x:v>HYBRID</x:v>
      </x:c>
      <x:c r="L204" s="31" t="str">
        <x:v>B</x:v>
      </x:c>
      <x:c r="M204" s="31" t="str">
        <x:v>Source threshold held near original price and offers a clean moderate K hurdle.</x:v>
      </x:c>
      <x:c r="N204" s="31" t="str">
        <x:v>N</x:v>
      </x:c>
      <x:c r="O204" s="31" t="str">
        <x:v>Win</x:v>
      </x:c>
      <x:c r="P204" s="31" t="n">
        <x:v>1</x:v>
      </x:c>
      <x:c r="Q204" s="33" t="n">
        <x:v>5</x:v>
      </x:c>
      <x:c r="R204" s="33" t="n">
        <x:f>IF(J204="","",IF(J204&gt;0,1+J204/100,1+100/ABS(J204)))</x:f>
        <x:v>1.8130081300813008</x:v>
      </x:c>
      <x:c r="S204" s="31" t="n">
        <x:f>IF(J204="","",R204-1)</x:f>
        <x:v>0.8130081300813008</x:v>
      </x:c>
      <x:c r="T204" s="32" t="str"/>
      <x:c r="U204" s="31" t="str">
        <x:v>Exact DK 13:32 ET.</x:v>
      </x:c>
      <x:c r="V204" s="31" t="str">
        <x:v>HYPOTHESIS_TEST</x:v>
      </x:c>
      <x:c r="W204" s="31" t="str">
        <x:v>EXP-02</x:v>
      </x:c>
      <x:c r="X204" s="31" t="str">
        <x:v>K OVER ARM</x:v>
      </x:c>
      <x:c r="Y204" s="31"/>
      <x:c r="Z204" s="31" t="str">
        <x:v>Five Ks can clear without a full six-inning workload.</x:v>
      </x:c>
      <x:c r="AA204" s="31" t="str">
        <x:v>Low season K rate manifests and he finishes with four or fewer.</x:v>
      </x:c>
      <x:c r="AB204" s="31" t="str">
        <x:v>Cameron cleared 5+ Ks but did not reach six innings. Positive evidence for modest K threshold over outs in this matchup.</x:v>
      </x:c>
    </x:row>
    <x:row r="205">
      <x:c r="A205" s="79" t="str">
        <x:v>2026-09-02</x:v>
      </x:c>
      <x:c r="B205" s="31" t="str">
        <x:v>P02-010</x:v>
      </x:c>
      <x:c r="C205" s="31" t="str">
        <x:v>S02-R12</x:v>
      </x:c>
      <x:c r="D205" s="31" t="str">
        <x:v>PAPER</x:v>
      </x:c>
      <x:c r="E205" s="31" t="str">
        <x:v>MLB</x:v>
      </x:c>
      <x:c r="F205" s="31" t="str">
        <x:v>MIA @ KC</x:v>
      </x:c>
      <x:c r="G205" s="31" t="str">
        <x:v>Noah Cameron</x:v>
      </x:c>
      <x:c r="H205" s="31" t="str">
        <x:v>Pitcher Outs</x:v>
      </x:c>
      <x:c r="I205" s="31" t="str">
        <x:v>Over 17.5 outs</x:v>
      </x:c>
      <x:c r="J205" s="80" t="n">
        <x:v>-133</x:v>
      </x:c>
      <x:c r="K205" s="31" t="str">
        <x:v>HYBRID</x:v>
      </x:c>
      <x:c r="L205" s="31" t="str">
        <x:v>B</x:v>
      </x:c>
      <x:c r="M205" s="31" t="str">
        <x:v>Paired workload arm against 5+ Ks.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15</x:v>
      </x:c>
      <x:c r="R205" s="33" t="n">
        <x:v>0</x:v>
      </x:c>
      <x:c r="S205" s="31" t="n">
        <x:v>-1</x:v>
      </x:c>
      <x:c r="T205" s="32" t="str"/>
      <x:c r="U205" s="31" t="str">
        <x:v>Exact DK 13:32 ET.</x:v>
      </x:c>
      <x:c r="V205" s="31" t="str">
        <x:v>ALT_MARKET_TEST</x:v>
      </x:c>
      <x:c r="W205" s="31" t="str">
        <x:v>EXP-01</x:v>
      </x:c>
      <x:c r="X205" s="31" t="str">
        <x:v>OUTS ARM</x:v>
      </x:c>
      <x:c r="Y205" s="31" t="str">
        <x:v>P02-009</x:v>
      </x:c>
      <x:c r="Z205" s="31" t="str">
        <x:v>Efficient contact management may make six innings more attainable than five strikeouts.</x:v>
      </x:c>
      <x:c r="AA205" s="31" t="str">
        <x:v>Five Ks clear but he misses 18 outs due pitch count or hook.</x:v>
      </x:c>
      <x:c r="AB205" s="31" t="str">
        <x:v>Cameron exited after five innings (15 outs), so O17.5 failed while 5+ K won. Pitcher-specific counterexample to outs-first bias.</x:v>
      </x:c>
    </x:row>
    <x:row r="206">
      <x:c r="A206" s="79" t="str">
        <x:v>2026-09-02</x:v>
      </x:c>
      <x:c r="B206" s="31" t="str">
        <x:v>P02-011</x:v>
      </x:c>
      <x:c r="C206" s="31"/>
      <x:c r="D206" s="31" t="str">
        <x:v>PAPER</x:v>
      </x:c>
      <x:c r="E206" s="31" t="str">
        <x:v>MLB</x:v>
      </x:c>
      <x:c r="F206" s="31" t="str">
        <x:v>MIA @ KC</x:v>
      </x:c>
      <x:c r="G206" s="31" t="str">
        <x:v>Eury Perez</x:v>
      </x:c>
      <x:c r="H206" s="31" t="str">
        <x:v>Strikeouts</x:v>
      </x:c>
      <x:c r="I206" s="31" t="str">
        <x:v>5+ strikeouts</x:v>
      </x:c>
      <x:c r="J206" s="80" t="n">
        <x:v>-164</x:v>
      </x:c>
      <x:c r="K206" s="31" t="str">
        <x:v>HYBRID</x:v>
      </x:c>
      <x:c r="L206" s="31" t="str">
        <x:v>B</x:v>
      </x:c>
      <x:c r="M206" s="31" t="str">
        <x:v>Independent K profile supports a modest threshold, but juice is meaningful.</x:v>
      </x:c>
      <x:c r="N206" s="31" t="str">
        <x:v>N</x:v>
      </x:c>
      <x:c r="O206" s="31" t="str">
        <x:v>Loss</x:v>
      </x:c>
      <x:c r="P206" s="31" t="n">
        <x:v>0</x:v>
      </x:c>
      <x:c r="Q206" s="33" t="n">
        <x:v>3</x:v>
      </x:c>
      <x:c r="R206" s="33" t="n">
        <x:v>0</x:v>
      </x:c>
      <x:c r="S206" s="31" t="n">
        <x:v>-1</x:v>
      </x:c>
      <x:c r="T206" s="32" t="str"/>
      <x:c r="U206" s="31" t="str">
        <x:v>Exact DK 13:32 ET.</x:v>
      </x:c>
      <x:c r="V206" s="31" t="str">
        <x:v>HYPOTHESIS_TEST</x:v>
      </x:c>
      <x:c r="W206" s="31" t="str">
        <x:v>EXP-02</x:v>
      </x:c>
      <x:c r="X206" s="31" t="str">
        <x:v>K OVER ARM</x:v>
      </x:c>
      <x:c r="Y206" s="31"/>
      <x:c r="Z206" s="31" t="str">
        <x:v>Perez's superior K rate to Cameron should make 5+ robust despite the price.</x:v>
      </x:c>
      <x:c r="AA206" s="31" t="str">
        <x:v>He works five-plus innings and still finishes below five Ks.</x:v>
      </x:c>
      <x:c r="AB206" s="31" t="str">
        <x:v>Eury Perez struck out 3 and allowed 6 runs in 4.2 IP. K thesis failed.</x:v>
      </x:c>
    </x:row>
    <x:row r="207">
      <x:c r="A207" s="79" t="str">
        <x:v>2026-09-02</x:v>
      </x:c>
      <x:c r="B207" s="31" t="str">
        <x:v>P02-012</x:v>
      </x:c>
      <x:c r="C207" s="31"/>
      <x:c r="D207" s="31" t="str">
        <x:v>PAPER</x:v>
      </x:c>
      <x:c r="E207" s="31" t="str">
        <x:v>MLB</x:v>
      </x:c>
      <x:c r="F207" s="31" t="str">
        <x:v>MIA @ KC</x:v>
      </x:c>
      <x:c r="G207" s="31" t="str">
        <x:v>Eury Perez</x:v>
      </x:c>
      <x:c r="H207" s="31" t="str">
        <x:v>Pitcher Outs</x:v>
      </x:c>
      <x:c r="I207" s="31" t="str">
        <x:v>Over 15.5 outs</x:v>
      </x:c>
      <x:c r="J207" s="80" t="n">
        <x:v>-136</x:v>
      </x:c>
      <x:c r="K207" s="31" t="str">
        <x:v>HYBRID</x:v>
      </x:c>
      <x:c r="L207" s="31" t="str">
        <x:v>B+</x:v>
      </x:c>
      <x:c r="M207" s="31" t="str">
        <x:v>Only 16 outs required; useful workload-vs-K test.</x:v>
      </x:c>
      <x:c r="N207" s="31" t="str">
        <x:v>N</x:v>
      </x:c>
      <x:c r="O207" s="31" t="str">
        <x:v>Loss</x:v>
      </x:c>
      <x:c r="P207" s="31" t="n">
        <x:v>0</x:v>
      </x:c>
      <x:c r="Q207" s="33" t="n">
        <x:v>14</x:v>
      </x:c>
      <x:c r="R207" s="33" t="n">
        <x:v>0</x:v>
      </x:c>
      <x:c r="S207" s="31" t="n">
        <x:v>-1</x:v>
      </x:c>
      <x:c r="T207" s="32" t="str"/>
      <x:c r="U207" s="31" t="str">
        <x:v>Exact DK 13:32 ET.</x:v>
      </x:c>
      <x:c r="V207" s="31" t="str">
        <x:v>ALT_MARKET_TEST</x:v>
      </x:c>
      <x:c r="W207" s="31" t="str">
        <x:v>EXP-01</x:v>
      </x:c>
      <x:c r="X207" s="31" t="str">
        <x:v>OUTS ARM</x:v>
      </x:c>
      <x:c r="Y207" s="31" t="str">
        <x:v>P02-011</x:v>
      </x:c>
      <x:c r="Z207" s="31" t="str">
        <x:v>Low outs threshold can outperform a juiced K milestone if he reaches the sixth.</x:v>
      </x:c>
      <x:c r="AA207" s="31" t="str">
        <x:v>Short leash/inefficiency prevents 16 outs while strikeouts still clear.</x:v>
      </x:c>
      <x:c r="AB207" s="31" t="str">
        <x:v>Eury Perez recorded 14 outs (4.2 IP), missing O15.5. Both K and outs arms failed: underlying handicap was wrong.</x:v>
      </x:c>
    </x:row>
    <x:row r="208">
      <x:c r="A208" s="79" t="str">
        <x:v>2026-09-02</x:v>
      </x:c>
      <x:c r="B208" s="31" t="str">
        <x:v>P02-013</x:v>
      </x:c>
      <x:c r="C208" s="31" t="str">
        <x:v>S02-R03</x:v>
      </x:c>
      <x:c r="D208" s="31" t="str">
        <x:v>PAPER</x:v>
      </x:c>
      <x:c r="E208" s="31" t="str">
        <x:v>MLB</x:v>
      </x:c>
      <x:c r="F208" s="31" t="str">
        <x:v>NYM @ TB</x:v>
      </x:c>
      <x:c r="G208" s="31" t="str">
        <x:v>Junior Caminero</x:v>
      </x:c>
      <x:c r="H208" s="31" t="str">
        <x:v>H+R+RBI</x:v>
      </x:c>
      <x:c r="I208" s="31" t="str">
        <x:v>2+ H+R+RBI</x:v>
      </x:c>
      <x:c r="J208" s="80" t="n">
        <x:v>-150</x:v>
      </x:c>
      <x:c r="K208" s="31" t="str">
        <x:v>HYBRID</x:v>
      </x:c>
      <x:c r="L208" s="31" t="str">
        <x:v>A-</x:v>
      </x:c>
      <x:c r="M208" s="31" t="str">
        <x:v>Paired composite arm against real 2+ TB.</x:v>
      </x:c>
      <x:c r="N208" s="31" t="str">
        <x:v>N</x:v>
      </x:c>
      <x:c r="O208" s="31" t="str">
        <x:v>Loss</x:v>
      </x:c>
      <x:c r="P208" s="31" t="n">
        <x:v>0</x:v>
      </x:c>
      <x:c r="Q208" s="33" t="n">
        <x:v>0</x:v>
      </x:c>
      <x:c r="R208" s="33" t="n">
        <x:v>0</x:v>
      </x:c>
      <x:c r="S208" s="31" t="n">
        <x:v>-1</x:v>
      </x:c>
      <x:c r="T208" s="32" t="str"/>
      <x:c r="U208" s="31" t="str">
        <x:v>DK exact market supplied 13:48 ET.</x:v>
      </x:c>
      <x:c r="V208" s="31" t="str">
        <x:v>ALT_MARKET_TEST</x:v>
      </x:c>
      <x:c r="W208" s="31" t="str">
        <x:v>EXP-03</x:v>
      </x:c>
      <x:c r="X208" s="31" t="str">
        <x:v>HRR ARM</x:v>
      </x:c>
      <x:c r="Y208" s="31" t="str">
        <x:v>S02-R03</x:v>
      </x:c>
      <x:c r="Z208" s="31" t="str">
        <x:v>Broad offensive involvement may be more robust than TB because runs/RBI add paths.</x:v>
      </x:c>
      <x:c r="AA208" s="31" t="str">
        <x:v>He reaches two bases without scoring/driving in a run while HRR stays below two.</x:v>
      </x:c>
      <x:c r="AB208" s="31" t="str">
        <x:v>Caminero went 0-for-4: 0 H/R/RBI. HRR did not rescue the matchup.</x:v>
      </x:c>
    </x:row>
    <x:row r="209">
      <x:c r="A209" s="79" t="str">
        <x:v>2026-09-02</x:v>
      </x:c>
      <x:c r="B209" s="31" t="str">
        <x:v>P02-014</x:v>
      </x:c>
      <x:c r="C209" s="31" t="str">
        <x:v>S02-R03</x:v>
      </x:c>
      <x:c r="D209" s="31" t="str">
        <x:v>PAPER</x:v>
      </x:c>
      <x:c r="E209" s="31" t="str">
        <x:v>MLB</x:v>
      </x:c>
      <x:c r="F209" s="31" t="str">
        <x:v>NYM @ TB</x:v>
      </x:c>
      <x:c r="G209" s="31" t="str">
        <x:v>Junior Caminero</x:v>
      </x:c>
      <x:c r="H209" s="31" t="str">
        <x:v>Hits</x:v>
      </x:c>
      <x:c r="I209" s="31" t="str">
        <x:v>1+ hit</x:v>
      </x:c>
      <x:c r="J209" s="80" t="n">
        <x:v>-264</x:v>
      </x:c>
      <x:c r="K209" s="31" t="str">
        <x:v>HYBRID</x:v>
      </x:c>
      <x:c r="L209" s="31" t="str">
        <x:v>WATCH</x:v>
      </x:c>
      <x:c r="M209" s="31" t="str">
        <x:v>Expensive glue control against plus-money TB.</x:v>
      </x:c>
      <x:c r="N209" s="31" t="str">
        <x:v>N</x:v>
      </x:c>
      <x:c r="O209" s="31" t="str">
        <x:v>Loss</x:v>
      </x:c>
      <x:c r="P209" s="31" t="n">
        <x:v>0</x:v>
      </x:c>
      <x:c r="Q209" s="33" t="n">
        <x:v>0</x:v>
      </x:c>
      <x:c r="R209" s="33" t="n">
        <x:v>0</x:v>
      </x:c>
      <x:c r="S209" s="31" t="n">
        <x:v>-1</x:v>
      </x:c>
      <x:c r="T209" s="32" t="str"/>
      <x:c r="U209" s="31" t="str">
        <x:v>DK exact market supplied 13:48 ET.</x:v>
      </x:c>
      <x:c r="V209" s="31" t="str">
        <x:v>GLUE_TEST</x:v>
      </x:c>
      <x:c r="W209" s="31" t="str">
        <x:v>EXP-26</x:v>
      </x:c>
      <x:c r="X209" s="31" t="str">
        <x:v>1+ HIT GLUE ARM</x:v>
      </x:c>
      <x:c r="Y209" s="31" t="str">
        <x:v>S02-R03</x:v>
      </x:c>
      <x:c r="Z209" s="31" t="str">
        <x:v>High raw hit probability may still underperform economically because price is too expensive.</x:v>
      </x:c>
      <x:c r="AA209" s="31" t="str">
        <x:v>Hit loses less often but produces inferior price-adjusted ROI over sample.</x:v>
      </x:c>
      <x:c r="AB209" s="31" t="str">
        <x:v>Caminero had no hit. Expensive 1+ hit glue failed outright, illustrating that high implied probability is not protection from a bad game.</x:v>
      </x:c>
    </x:row>
    <x:row r="210">
      <x:c r="A210" s="79" t="str">
        <x:v>2026-09-02</x:v>
      </x:c>
      <x:c r="B210" s="31" t="str">
        <x:v>P02-015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Home Run</x:v>
      </x:c>
      <x:c r="I210" s="31" t="str">
        <x:v>1+ home run</x:v>
      </x:c>
      <x:c r="J210" s="80" t="n">
        <x:v>284</x:v>
      </x:c>
      <x:c r="K210" s="31" t="str">
        <x:v>HYBRID</x:v>
      </x:c>
      <x:c r="L210" s="31" t="str">
        <x:v>B</x:v>
      </x:c>
      <x:c r="M210" s="31" t="str">
        <x:v>Power ceiling arm and Grand Slam-qualifier candidate.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DK exact HR price supplied 13:47 ET.</x:v>
      </x:c>
      <x:c r="V210" s="31" t="str">
        <x:v>HYPOTHESIS_TEST</x:v>
      </x:c>
      <x:c r="W210" s="31" t="str">
        <x:v>EXP-16</x:v>
      </x:c>
      <x:c r="X210" s="31" t="str">
        <x:v>HR ARM</x:v>
      </x:c>
      <x:c r="Y210" s="31" t="str">
        <x:v>S02-R03</x:v>
      </x:c>
      <x:c r="Z210" s="31" t="str">
        <x:v>Elite contact quality can create HR value even when TB is the more robust real expression.</x:v>
      </x:c>
      <x:c r="AA210" s="31" t="str">
        <x:v>No HR despite strong contact, reinforcing variance and price sensitivity.</x:v>
      </x:c>
      <x:c r="AB210" s="31" t="str">
        <x:v>Caminero did not homer. All four Caminero market arms failed, so market choice was not the root cause.</x:v>
      </x:c>
    </x:row>
    <x:row r="211">
      <x:c r="A211" s="79" t="str">
        <x:v>2026-09-02</x:v>
      </x:c>
      <x:c r="B211" s="31" t="str">
        <x:v>P02-016</x:v>
      </x:c>
      <x:c r="C211" s="31" t="str">
        <x:v>S02-R06</x:v>
      </x:c>
      <x:c r="D211" s="31" t="str">
        <x:v>PAPER</x:v>
      </x:c>
      <x:c r="E211" s="31" t="str">
        <x:v>MLB</x:v>
      </x:c>
      <x:c r="F211" s="31" t="str">
        <x:v>MIL @ CHC</x:v>
      </x:c>
      <x:c r="G211" s="31" t="str">
        <x:v>William Contreras</x:v>
      </x:c>
      <x:c r="H211" s="31" t="str">
        <x:v>Total Bases</x:v>
      </x:c>
      <x:c r="I211" s="31" t="str">
        <x:v>2+ total bases</x:v>
      </x:c>
      <x:c r="J211" s="80" t="n">
        <x:v>116</x:v>
      </x:c>
      <x:c r="K211" s="31" t="str">
        <x:v>HYBRID</x:v>
      </x:c>
      <x:c r="L211" s="31" t="str">
        <x:v>A-</x:v>
      </x:c>
      <x:c r="M211" s="31" t="str">
        <x:v>Clean lefty matchup and intact source price.</x:v>
      </x:c>
      <x:c r="N211" s="31" t="str">
        <x:v>N</x:v>
      </x:c>
      <x:c r="O211" s="31" t="str">
        <x:v>Win</x:v>
      </x:c>
      <x:c r="P211" s="31" t="n">
        <x:v>1</x:v>
      </x:c>
      <x:c r="Q211" s="33" t="n">
        <x:v>2</x:v>
      </x:c>
      <x:c r="R211" s="33" t="n">
        <x:f>IF(J211="","",IF(J211&gt;0,1+J211/100,1+100/ABS(J211)))</x:f>
        <x:v>2.16</x:v>
      </x:c>
      <x:c r="S211" s="31" t="n">
        <x:f>IF(J211="","",R211-1)</x:f>
        <x:v>1.1600000000000001</x:v>
      </x:c>
      <x:c r="T211" s="32" t="str"/>
      <x:c r="U211" s="31" t="str">
        <x:v>DK exact market supplied 13:50 ET.</x:v>
      </x:c>
      <x:c r="V211" s="31" t="str">
        <x:v>ALT_MARKET_TEST</x:v>
      </x:c>
      <x:c r="W211" s="31" t="str">
        <x:v>EXP-03</x:v>
      </x:c>
      <x:c r="X211" s="31" t="str">
        <x:v>TB ARM</x:v>
      </x:c>
      <x:c r="Y211" s="31"/>
      <x:c r="Z211" s="31" t="str">
        <x:v>Extra-base/contact paths can make TB more efficient than a juiced composite.</x:v>
      </x:c>
      <x:c r="AA211" s="31" t="str">
        <x:v>Single plus run/RBI clears HRR while TB stays at one.</x:v>
      </x:c>
      <x:c r="AB211" s="31" t="str">
        <x:v>Contreras had 2 hits, so 2+ TB cleared at minimum. TB expression worked.</x:v>
      </x:c>
    </x:row>
    <x:row r="212">
      <x:c r="A212" s="79" t="str">
        <x:v>2026-09-02</x:v>
      </x:c>
      <x:c r="B212" s="31" t="str">
        <x:v>P02-017</x:v>
      </x:c>
      <x:c r="C212" s="31" t="str">
        <x:v>S02-R06</x:v>
      </x:c>
      <x:c r="D212" s="31" t="str">
        <x:v>PAPER</x:v>
      </x:c>
      <x:c r="E212" s="31" t="str">
        <x:v>MLB</x:v>
      </x:c>
      <x:c r="F212" s="31" t="str">
        <x:v>MIL @ CHC</x:v>
      </x:c>
      <x:c r="G212" s="31" t="str">
        <x:v>William Contreras</x:v>
      </x:c>
      <x:c r="H212" s="31" t="str">
        <x:v>H+R+RBI</x:v>
      </x:c>
      <x:c r="I212" s="31" t="str">
        <x:v>2+ H+R+RBI</x:v>
      </x:c>
      <x:c r="J212" s="80" t="n">
        <x:v>-138</x:v>
      </x:c>
      <x:c r="K212" s="31" t="str">
        <x:v>HYBRID</x:v>
      </x:c>
      <x:c r="L212" s="31" t="str">
        <x:v>A-</x:v>
      </x:c>
      <x:c r="M212" s="31" t="str">
        <x:v>Paired composite arm versus TB +116.</x:v>
      </x:c>
      <x:c r="N212" s="31" t="str">
        <x:v>N</x:v>
      </x:c>
      <x:c r="O212" s="31" t="str">
        <x:v>Win</x:v>
      </x:c>
      <x:c r="P212" s="31" t="n">
        <x:v>1</x:v>
      </x:c>
      <x:c r="Q212" s="33" t="n">
        <x:v>4</x:v>
      </x:c>
      <x:c r="R212" s="33" t="n">
        <x:f>IF(J212="","",IF(J212&gt;0,1+J212/100,1+100/ABS(J212)))</x:f>
        <x:v>1.7246376811594204</x:v>
      </x:c>
      <x:c r="S212" s="31" t="n">
        <x:f>IF(J212="","",R212-1)</x:f>
        <x:v>0.7246376811594204</x:v>
      </x:c>
      <x:c r="T212" s="32" t="str"/>
      <x:c r="U212" s="31" t="str">
        <x:v>DK exact market supplied 13:50 ET.</x:v>
      </x:c>
      <x:c r="V212" s="31" t="str">
        <x:v>ALT_MARKET_TEST</x:v>
      </x:c>
      <x:c r="W212" s="31" t="str">
        <x:v>EXP-03</x:v>
      </x:c>
      <x:c r="X212" s="31" t="str">
        <x:v>HRR ARM</x:v>
      </x:c>
      <x:c r="Y212" s="31" t="str">
        <x:v>P02-016</x:v>
      </x:c>
      <x:c r="Z212" s="31" t="str">
        <x:v>Multiple involvement paths may justify the juice versus requiring two bases.</x:v>
      </x:c>
      <x:c r="AA212" s="31" t="str">
        <x:v>Two bases clear with no run/RBI, making TB the better conversion.</x:v>
      </x:c>
      <x:c r="AB212" s="31" t="str">
        <x:v>Contreras produced 2 H + 1 R + 1 RBI = 4 HRR. Composite also cleared comfortably.</x:v>
      </x:c>
    </x:row>
    <x:row r="213">
      <x:c r="A213" s="79" t="str">
        <x:v>2026-09-02</x:v>
      </x:c>
      <x:c r="B213" s="31" t="str">
        <x:v>P02-018</x:v>
      </x:c>
      <x:c r="C213" s="31" t="str">
        <x:v>S02-R06</x:v>
      </x:c>
      <x:c r="D213" s="31" t="str">
        <x:v>PAPER</x:v>
      </x:c>
      <x:c r="E213" s="31" t="str">
        <x:v>MLB</x:v>
      </x:c>
      <x:c r="F213" s="31" t="str">
        <x:v>MIL @ CHC</x:v>
      </x:c>
      <x:c r="G213" s="31" t="str">
        <x:v>William Contreras</x:v>
      </x:c>
      <x:c r="H213" s="31" t="str">
        <x:v>Home Run</x:v>
      </x:c>
      <x:c r="I213" s="31" t="str">
        <x:v>1+ home run</x:v>
      </x:c>
      <x:c r="J213" s="80" t="n">
        <x:v>481</x:v>
      </x:c>
      <x:c r="K213" s="31" t="str">
        <x:v>HYBRID</x:v>
      </x:c>
      <x:c r="L213" s="31" t="str">
        <x:v>B</x:v>
      </x:c>
      <x:c r="M213" s="31" t="str">
        <x:v>Independent HR sources also like Contreras; high-price HR arm.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HYPOTHESIS_TEST</x:v>
      </x:c>
      <x:c r="W213" s="31" t="str">
        <x:v>EXP-16</x:v>
      </x:c>
      <x:c r="X213" s="31" t="str">
        <x:v>HR ARM</x:v>
      </x:c>
      <x:c r="Y213" s="31" t="str">
        <x:v>P02-016</x:v>
      </x:c>
      <x:c r="Z213" s="31" t="str">
        <x:v>Pitcher/platoon contact profile may create enough lift for a long HR price.</x:v>
      </x:c>
      <x:c r="AA213" s="31" t="str">
        <x:v>Good offensive game without HR shows broad-edge thesis should remain TB/HRR.</x:v>
      </x:c>
      <x:c r="AB213" s="31" t="str">
        <x:v>Contreras did not homer despite a productive offensive game. Supports broader TB/HRR over HR when thesis is general involvement.</x:v>
      </x:c>
    </x:row>
    <x:row r="214">
      <x:c r="A214" s="79" t="str">
        <x:v>2026-09-02</x:v>
      </x:c>
      <x:c r="B214" s="31" t="str">
        <x:v>P02-019</x:v>
      </x:c>
      <x:c r="C214" s="31" t="str">
        <x:v>S02-R07</x:v>
      </x:c>
      <x:c r="D214" s="31" t="str">
        <x:v>PAPER</x:v>
      </x:c>
      <x:c r="E214" s="31" t="str">
        <x:v>MLB</x:v>
      </x:c>
      <x:c r="F214" s="31" t="str">
        <x:v>CHW @ HOU</x:v>
      </x:c>
      <x:c r="G214" s="31" t="str">
        <x:v>Isaac Paredes</x:v>
      </x:c>
      <x:c r="H214" s="31" t="str">
        <x:v>H+R+RBI</x:v>
      </x:c>
      <x:c r="I214" s="31" t="str">
        <x:v>2+ H+R+RBI</x:v>
      </x:c>
      <x:c r="J214" s="80" t="n">
        <x:v>-116</x:v>
      </x:c>
      <x:c r="K214" s="31" t="str">
        <x:v>SOURCED</x:v>
      </x:c>
      <x:c r="L214" s="31" t="str">
        <x:v>A-</x:v>
      </x:c>
      <x:c r="M214" s="31" t="str">
        <x:v>Source best-bet thesis is explicitly broad involvement.</x:v>
      </x:c>
      <x:c r="N214" s="31" t="str">
        <x:v>N</x:v>
      </x:c>
      <x:c r="O214" s="31" t="str">
        <x:v>Win</x:v>
      </x:c>
      <x:c r="P214" s="31" t="n">
        <x:v>1</x:v>
      </x:c>
      <x:c r="Q214" s="33" t="n">
        <x:v>2</x:v>
      </x:c>
      <x:c r="R214" s="33" t="n">
        <x:f>IF(J214="","",IF(J214&gt;0,1+J214/100,1+100/ABS(J214)))</x:f>
        <x:v>1.8620689655172413</x:v>
      </x:c>
      <x:c r="S214" s="31" t="n">
        <x:f>IF(J214="","",R214-1)</x:f>
        <x:v>0.8620689655172413</x:v>
      </x:c>
      <x:c r="T214" s="32" t="str"/>
      <x:c r="U214" s="31" t="str">
        <x:v>DK exact market supplied 13:52 ET.</x:v>
      </x:c>
      <x:c r="V214" s="31" t="str">
        <x:v>ALT_MARKET_TEST</x:v>
      </x:c>
      <x:c r="W214" s="31" t="str">
        <x:v>EXP-03</x:v>
      </x:c>
      <x:c r="X214" s="31" t="str">
        <x:v>HRR ARM</x:v>
      </x:c>
      <x:c r="Y214" s="31"/>
      <x:c r="Z214" s="31" t="str">
        <x:v>Home RHP matchup creates multiple ways to reach two combined events.</x:v>
      </x:c>
      <x:c r="AA214" s="31" t="str">
        <x:v>He records extra bases but no run/RBI support, exposing composite sequencing dependence.</x:v>
      </x:c>
      <x:c r="AB214" s="31" t="str">
        <x:v>Paredes had 1 hit and 1 run = 2 HRR. Composite won even though 2+ TB failed.</x:v>
      </x:c>
    </x:row>
    <x:row r="215">
      <x:c r="A215" s="79" t="str">
        <x:v>2026-09-02</x:v>
      </x:c>
      <x:c r="B215" s="31" t="str">
        <x:v>P02-020</x:v>
      </x:c>
      <x:c r="C215" s="31" t="str">
        <x:v>S02-R07</x:v>
      </x:c>
      <x:c r="D215" s="31" t="str">
        <x:v>PAPER</x:v>
      </x:c>
      <x:c r="E215" s="31" t="str">
        <x:v>MLB</x:v>
      </x:c>
      <x:c r="F215" s="31" t="str">
        <x:v>CHW @ HOU</x:v>
      </x:c>
      <x:c r="G215" s="31" t="str">
        <x:v>Isaac Paredes</x:v>
      </x:c>
      <x:c r="H215" s="31" t="str">
        <x:v>Total Bases</x:v>
      </x:c>
      <x:c r="I215" s="31" t="str">
        <x:v>2+ total bases</x:v>
      </x:c>
      <x:c r="J215" s="80" t="n">
        <x:v>138</x:v>
      </x:c>
      <x:c r="K215" s="31" t="str">
        <x:v>HYBRID</x:v>
      </x:c>
      <x:c r="L215" s="31" t="str">
        <x:v>B+</x:v>
      </x:c>
      <x:c r="M215" s="31" t="str">
        <x:v>Plus-money challenger to the sourced HRR market.</x:v>
      </x:c>
      <x:c r="N215" s="31" t="str">
        <x:v>N</x:v>
      </x:c>
      <x:c r="O215" s="31" t="str">
        <x:v>Loss</x:v>
      </x:c>
      <x:c r="P215" s="31" t="n">
        <x:v>0</x:v>
      </x:c>
      <x:c r="Q215" s="33" t="n">
        <x:v>1</x:v>
      </x:c>
      <x:c r="R215" s="33" t="n">
        <x:v>0</x:v>
      </x:c>
      <x:c r="S215" s="31" t="n">
        <x:v>-1</x:v>
      </x:c>
      <x:c r="T215" s="32" t="str"/>
      <x:c r="U215" s="31" t="str">
        <x:v>DK exact market supplied 13:51 ET.</x:v>
      </x:c>
      <x:c r="V215" s="31" t="str">
        <x:v>ALT_MARKET_TEST</x:v>
      </x:c>
      <x:c r="W215" s="31" t="str">
        <x:v>EXP-03</x:v>
      </x:c>
      <x:c r="X215" s="31" t="str">
        <x:v>TB ARM</x:v>
      </x:c>
      <x:c r="Y215" s="31" t="str">
        <x:v>P02-019</x:v>
      </x:c>
      <x:c r="Z215" s="31" t="str">
        <x:v>If the matchup is truly about hard contact, TB can beat HRR despite narrower paths.</x:v>
      </x:c>
      <x:c r="AA215" s="31" t="str">
        <x:v>Walk/run/RBI involvement clears HRR while TB remains below two.</x:v>
      </x:c>
      <x:c r="AB215" s="31" t="str">
        <x:v>Paredes had one single = 1 TB. Clean paired win for HRR over TB on this observation.</x:v>
      </x:c>
    </x:row>
    <x:row r="216">
      <x:c r="A216" s="79" t="str">
        <x:v>2026-09-02</x:v>
      </x:c>
      <x:c r="B216" s="31" t="str">
        <x:v>P02-021</x:v>
      </x:c>
      <x:c r="C216" s="31" t="str">
        <x:v>S02-R08</x:v>
      </x:c>
      <x:c r="D216" s="31" t="str">
        <x:v>PAPER</x:v>
      </x:c>
      <x:c r="E216" s="31" t="str">
        <x:v>MLB</x:v>
      </x:c>
      <x:c r="F216" s="31" t="str">
        <x:v>ATH @ TEX</x:v>
      </x:c>
      <x:c r="G216" s="31" t="str">
        <x:v>Lawrence Butler</x:v>
      </x:c>
      <x:c r="H216" s="31" t="str">
        <x:v>H+R+RBI</x:v>
      </x:c>
      <x:c r="I216" s="31" t="str">
        <x:v>2+ H+R+RBI</x:v>
      </x:c>
      <x:c r="J216" s="80" t="n">
        <x:v>108</x:v>
      </x:c>
      <x:c r="K216" s="31" t="str">
        <x:v>HYBRID</x:v>
      </x:c>
      <x:c r="L216" s="31" t="str">
        <x:v>A-</x:v>
      </x:c>
      <x:c r="M216" s="31" t="str">
        <x:v>Natural plus-money composite and source trend support.</x:v>
      </x:c>
      <x:c r="N216" s="31" t="str">
        <x:v>N</x:v>
      </x:c>
      <x:c r="O216" s="31" t="str">
        <x:v>Loss</x:v>
      </x:c>
      <x:c r="P216" s="31" t="n">
        <x:v>0</x:v>
      </x:c>
      <x:c r="Q216" s="33" t="n">
        <x:v>1</x:v>
      </x:c>
      <x:c r="R216" s="33" t="n">
        <x:v>0</x:v>
      </x:c>
      <x:c r="S216" s="31" t="n">
        <x:v>-1</x:v>
      </x:c>
      <x:c r="T216" s="32" t="str"/>
      <x:c r="U216" s="31" t="str">
        <x:v>DK exact market supplied 13:55 ET; game 2:35 ET.</x:v>
      </x:c>
      <x:c r="V216" s="31" t="str">
        <x:v>ALT_MARKET_TEST</x:v>
      </x:c>
      <x:c r="W216" s="31" t="str">
        <x:v>EXP-03</x:v>
      </x:c>
      <x:c r="X216" s="31" t="str">
        <x:v>HRR ARM</x:v>
      </x:c>
      <x:c r="Y216" s="31"/>
      <x:c r="Z216" s="31" t="str">
        <x:v>Broad involvement can monetize contact plus lineup context better than 2+ TB.</x:v>
      </x:c>
      <x:c r="AA216" s="31" t="str">
        <x:v>He gets two bases but no run/RBI, favoring TB.</x:v>
      </x:c>
      <x:c r="AB216" s="31" t="str">
        <x:v>Butler had 1 hit, 0 runs, 0 RBI = 1 HRR. Composite missed.</x:v>
      </x:c>
    </x:row>
    <x:row r="217">
      <x:c r="A217" s="79" t="str">
        <x:v>2026-09-02</x:v>
      </x:c>
      <x:c r="B217" s="31" t="str">
        <x:v>P02-022</x:v>
      </x:c>
      <x:c r="C217" s="31" t="str">
        <x:v>S02-R08</x:v>
      </x:c>
      <x:c r="D217" s="31" t="str">
        <x:v>PAPER</x:v>
      </x:c>
      <x:c r="E217" s="31" t="str">
        <x:v>MLB</x:v>
      </x:c>
      <x:c r="F217" s="31" t="str">
        <x:v>ATH @ TEX</x:v>
      </x:c>
      <x:c r="G217" s="31" t="str">
        <x:v>Lawrence Butler</x:v>
      </x:c>
      <x:c r="H217" s="31" t="str">
        <x:v>Total Bases</x:v>
      </x:c>
      <x:c r="I217" s="31" t="str">
        <x:v>2+ total bases</x:v>
      </x:c>
      <x:c r="J217" s="80" t="n">
        <x:v>153</x:v>
      </x:c>
      <x:c r="K217" s="31" t="str">
        <x:v>HYBRID</x:v>
      </x:c>
      <x:c r="L217" s="31" t="str">
        <x:v>B+</x:v>
      </x:c>
      <x:c r="M217" s="31" t="str">
        <x:v>Higher-payout TB challenger.</x:v>
      </x:c>
      <x:c r="N217" s="31" t="str">
        <x:v>N</x:v>
      </x:c>
      <x:c r="O217" s="31" t="str">
        <x:v>Loss</x:v>
      </x:c>
      <x:c r="P217" s="31" t="n">
        <x:v>0</x:v>
      </x:c>
      <x:c r="Q217" s="33" t="n">
        <x:v>1</x:v>
      </x:c>
      <x:c r="R217" s="33" t="n">
        <x:v>0</x:v>
      </x:c>
      <x:c r="S217" s="31" t="n">
        <x:v>-1</x:v>
      </x:c>
      <x:c r="T217" s="32" t="str"/>
      <x:c r="U217" s="31" t="str">
        <x:v>DK exact market supplied 13:55 ET.</x:v>
      </x:c>
      <x:c r="V217" s="31" t="str">
        <x:v>ALT_MARKET_TEST</x:v>
      </x:c>
      <x:c r="W217" s="31" t="str">
        <x:v>EXP-03</x:v>
      </x:c>
      <x:c r="X217" s="31" t="str">
        <x:v>TB ARM</x:v>
      </x:c>
      <x:c r="Y217" s="31" t="str">
        <x:v>P02-021</x:v>
      </x:c>
      <x:c r="Z217" s="31" t="str">
        <x:v>The contact matchup may be strong enough that plus-money TB outperforms HRR.</x:v>
      </x:c>
      <x:c r="AA217" s="31" t="str">
        <x:v>Single plus run/RBI clears HRR while TB misses.</x:v>
      </x:c>
      <x:c r="AB217" s="31" t="str">
        <x:v>Butler recorded one hit and no extra-base damage; 2+ TB lost.</x:v>
      </x:c>
    </x:row>
    <x:row r="218">
      <x:c r="A218" s="79" t="str">
        <x:v>2026-09-02</x:v>
      </x:c>
      <x:c r="B218" s="31" t="str">
        <x:v>P02-023</x:v>
      </x:c>
      <x:c r="C218" s="31" t="str">
        <x:v>S02-R09</x:v>
      </x:c>
      <x:c r="D218" s="31" t="str">
        <x:v>PAPER</x:v>
      </x:c>
      <x:c r="E218" s="31" t="str">
        <x:v>MLB</x:v>
      </x:c>
      <x:c r="F218" s="31" t="str">
        <x:v>DET @ MIN</x:v>
      </x:c>
      <x:c r="G218" s="31" t="str">
        <x:v>Gleyber Torres</x:v>
      </x:c>
      <x:c r="H218" s="31" t="str">
        <x:v>H+R+RBI</x:v>
      </x:c>
      <x:c r="I218" s="31" t="str">
        <x:v>2+ H+R+RBI</x:v>
      </x:c>
      <x:c r="J218" s="80" t="n">
        <x:v>-108</x:v>
      </x:c>
      <x:c r="K218" s="31" t="str">
        <x:v>HYBRID</x:v>
      </x:c>
      <x:c r="L218" s="31" t="str">
        <x:v>A-</x:v>
      </x:c>
      <x:c r="M218" s="31" t="str">
        <x:v>BvP/recent-form cluster with a multi-path price near even.</x:v>
      </x:c>
      <x:c r="N218" s="31" t="str">
        <x:v>N</x:v>
      </x:c>
      <x:c r="O218" s="31" t="str">
        <x:v>Void</x:v>
      </x:c>
      <x:c r="P218" s="31"/>
      <x:c r="Q218" s="33"/>
      <x:c r="R218" s="33"/>
      <x:c r="S218" s="31" t="n">
        <x:v>0</x:v>
      </x:c>
      <x:c r="T218" s="32" t="str"/>
      <x:c r="U218" s="31" t="str">
        <x:v>DK exact market supplied 13:53 ET.</x:v>
      </x:c>
      <x:c r="V218" s="31" t="str">
        <x:v>ALT_MARKET_TEST</x:v>
      </x:c>
      <x:c r="W218" s="31" t="str">
        <x:v>EXP-03</x:v>
      </x:c>
      <x:c r="X218" s="31" t="str">
        <x:v>HRR ARM</x:v>
      </x:c>
      <x:c r="Y218" s="31"/>
      <x:c r="Z218" s="31" t="str">
        <x:v>Composite should monetize broad matchup better than expensive hit or TB requirement.</x:v>
      </x:c>
      <x:c r="AA218" s="31" t="str">
        <x:v>Two total bases with no scoring context makes TB superior.</x:v>
      </x:c>
      <x:c r="AB218" s="31" t="str">
        <x:v>Gleyber Torres did not play. Paper proposition excluded from hit-rate/ROI sample.</x:v>
      </x:c>
    </x:row>
    <x:row r="219">
      <x:c r="A219" s="79" t="str">
        <x:v>2026-09-02</x:v>
      </x:c>
      <x:c r="B219" s="31" t="str">
        <x:v>P02-024</x:v>
      </x:c>
      <x:c r="C219" s="31" t="str">
        <x:v>S02-R09</x:v>
      </x:c>
      <x:c r="D219" s="31" t="str">
        <x:v>PAPER</x:v>
      </x:c>
      <x:c r="E219" s="31" t="str">
        <x:v>MLB</x:v>
      </x:c>
      <x:c r="F219" s="31" t="str">
        <x:v>DET @ MIN</x:v>
      </x:c>
      <x:c r="G219" s="31" t="str">
        <x:v>Gleyber Torres</x:v>
      </x:c>
      <x:c r="H219" s="31" t="str">
        <x:v>Total Bases</x:v>
      </x:c>
      <x:c r="I219" s="31" t="str">
        <x:v>2+ total bases</x:v>
      </x:c>
      <x:c r="J219" s="80" t="n">
        <x:v>146</x:v>
      </x:c>
      <x:c r="K219" s="31" t="str">
        <x:v>HYBRID</x:v>
      </x:c>
      <x:c r="L219" s="31" t="str">
        <x:v>B+</x:v>
      </x:c>
      <x:c r="M219" s="31" t="str">
        <x:v>Plus-money challenger to HRR -108.</x:v>
      </x:c>
      <x:c r="N219" s="31" t="str">
        <x:v>N</x:v>
      </x:c>
      <x:c r="O219" s="31" t="str">
        <x:v>Void</x:v>
      </x:c>
      <x:c r="P219" s="31"/>
      <x:c r="Q219" s="33"/>
      <x:c r="R219" s="33"/>
      <x:c r="S219" s="31" t="n">
        <x:v>0</x:v>
      </x:c>
      <x:c r="T219" s="32" t="str"/>
      <x:c r="U219" s="31" t="str">
        <x:v>DK exact market supplied 13:53 ET.</x:v>
      </x:c>
      <x:c r="V219" s="31" t="str">
        <x:v>ALT_MARKET_TEST</x:v>
      </x:c>
      <x:c r="W219" s="31" t="str">
        <x:v>EXP-03</x:v>
      </x:c>
      <x:c r="X219" s="31" t="str">
        <x:v>TB ARM</x:v>
      </x:c>
      <x:c r="Y219" s="31" t="str">
        <x:v>P02-023</x:v>
      </x:c>
      <x:c r="Z219" s="31" t="str">
        <x:v>BvP contact quality may translate specifically into bases rather than sequencing-dependent HRR.</x:v>
      </x:c>
      <x:c r="AA219" s="31" t="str">
        <x:v>One hit plus run/RBI clears HRR while TB misses.</x:v>
      </x:c>
      <x:c r="AB219" s="31" t="str">
        <x:v>Gleyber Torres did not play. Paper proposition excluded from hit-rate/ROI sample.</x:v>
      </x:c>
    </x:row>
    <x:row r="220">
      <x:c r="A220" s="79" t="str">
        <x:v>2026-09-02</x:v>
      </x:c>
      <x:c r="B220" s="31" t="str">
        <x:v>P02-025</x:v>
      </x:c>
      <x:c r="C220" s="31" t="str">
        <x:v>S02-R10</x:v>
      </x:c>
      <x:c r="D220" s="31" t="str">
        <x:v>PAPER</x:v>
      </x:c>
      <x:c r="E220" s="31" t="str">
        <x:v>MLB</x:v>
      </x:c>
      <x:c r="F220" s="31" t="str">
        <x:v>DET @ MIN</x:v>
      </x:c>
      <x:c r="G220" s="31" t="str">
        <x:v>Luke Keaschall</x:v>
      </x:c>
      <x:c r="H220" s="31" t="str">
        <x:v>Total Bases</x:v>
      </x:c>
      <x:c r="I220" s="31" t="str">
        <x:v>2+ total bases</x:v>
      </x:c>
      <x:c r="J220" s="80" t="n">
        <x:v>133</x:v>
      </x:c>
      <x:c r="K220" s="31" t="str">
        <x:v>HYBRID</x:v>
      </x:c>
      <x:c r="L220" s="31" t="str">
        <x:v>B+</x:v>
      </x:c>
      <x:c r="M220" s="31" t="str">
        <x:v>Recent TB trend gives direct market-specific motivation.</x:v>
      </x:c>
      <x:c r="N220" s="31" t="str">
        <x:v>N</x:v>
      </x:c>
      <x:c r="O220" s="31" t="str">
        <x:v>Loss</x:v>
      </x:c>
      <x:c r="P220" s="31" t="n">
        <x:v>0</x:v>
      </x:c>
      <x:c r="Q220" s="33" t="n">
        <x:v>1</x:v>
      </x:c>
      <x:c r="R220" s="33" t="n">
        <x:v>0</x:v>
      </x:c>
      <x:c r="S220" s="31" t="n">
        <x:v>-1</x:v>
      </x:c>
      <x:c r="T220" s="32" t="str"/>
      <x:c r="U220" s="31" t="str">
        <x:v>DK exact market supplied 13:53 ET.</x:v>
      </x:c>
      <x:c r="V220" s="31" t="str">
        <x:v>ALT_MARKET_TEST</x:v>
      </x:c>
      <x:c r="W220" s="31" t="str">
        <x:v>EXP-03</x:v>
      </x:c>
      <x:c r="X220" s="31" t="str">
        <x:v>TB ARM</x:v>
      </x:c>
      <x:c r="Y220" s="31"/>
      <x:c r="Z220" s="31" t="str">
        <x:v>Market-specific recent TB production can justify plus-money TB over broad composite.</x:v>
      </x:c>
      <x:c r="AA220" s="31" t="str">
        <x:v>He produces run/RBI involvement without two bases.</x:v>
      </x:c>
      <x:c r="AB220" s="31" t="str">
        <x:v>Keaschall had one RBI single = 1 TB, so 2+ TB lost.</x:v>
      </x:c>
    </x:row>
    <x:row r="221">
      <x:c r="A221" s="79" t="str">
        <x:v>2026-09-02</x:v>
      </x:c>
      <x:c r="B221" s="31" t="str">
        <x:v>P02-026</x:v>
      </x:c>
      <x:c r="C221" s="31" t="str">
        <x:v>S02-R10</x:v>
      </x:c>
      <x:c r="D221" s="31" t="str">
        <x:v>PAPER</x:v>
      </x:c>
      <x:c r="E221" s="31" t="str">
        <x:v>MLB</x:v>
      </x:c>
      <x:c r="F221" s="31" t="str">
        <x:v>DET @ MIN</x:v>
      </x:c>
      <x:c r="G221" s="31" t="str">
        <x:v>Luke Keaschall</x:v>
      </x:c>
      <x:c r="H221" s="31" t="str">
        <x:v>H+R+RBI</x:v>
      </x:c>
      <x:c r="I221" s="31" t="str">
        <x:v>2+ H+R+RBI</x:v>
      </x:c>
      <x:c r="J221" s="80" t="n">
        <x:v>-126</x:v>
      </x:c>
      <x:c r="K221" s="31" t="str">
        <x:v>HYBRID</x:v>
      </x:c>
      <x:c r="L221" s="31" t="str">
        <x:v>B+</x:v>
      </x:c>
      <x:c r="M221" s="31" t="str">
        <x:v>Safer composite control against TB +133.</x:v>
      </x:c>
      <x:c r="N221" s="31" t="str">
        <x:v>N</x:v>
      </x:c>
      <x:c r="O221" s="31" t="str">
        <x:v>Win</x:v>
      </x:c>
      <x:c r="P221" s="31" t="n">
        <x:v>1</x:v>
      </x:c>
      <x:c r="Q221" s="33" t="n">
        <x:v>2</x:v>
      </x:c>
      <x:c r="R221" s="33" t="n">
        <x:f>IF(J221="","",IF(J221&gt;0,1+J221/100,1+100/ABS(J221)))</x:f>
        <x:v>1.7936507936507935</x:v>
      </x:c>
      <x:c r="S221" s="31" t="n">
        <x:f>IF(J221="","",R221-1)</x:f>
        <x:v>0.7936507936507935</x:v>
      </x:c>
      <x:c r="T221" s="32" t="str"/>
      <x:c r="U221" s="31" t="str">
        <x:v>DK exact market supplied 13:53 ET.</x:v>
      </x:c>
      <x:c r="V221" s="31" t="str">
        <x:v>ALT_MARKET_TEST</x:v>
      </x:c>
      <x:c r="W221" s="31" t="str">
        <x:v>EXP-03</x:v>
      </x:c>
      <x:c r="X221" s="31" t="str">
        <x:v>HRR ARM</x:v>
      </x:c>
      <x:c r="Y221" s="31" t="str">
        <x:v>P02-025</x:v>
      </x:c>
      <x:c r="Z221" s="31" t="str">
        <x:v>Broader paths may reduce threshold misses enough to justify the juice.</x:v>
      </x:c>
      <x:c r="AA221" s="31" t="str">
        <x:v>TB clears while composite stalls below two.</x:v>
      </x:c>
      <x:c r="AB221" s="31" t="str">
        <x:v>Keaschall had 1 hit + 1 RBI = 2 HRR. Another paired win for HRR over TB.</x:v>
      </x:c>
    </x:row>
    <x:row r="222">
      <x:c r="A222" s="79" t="str">
        <x:v>2026-09-02</x:v>
      </x:c>
      <x:c r="B222" s="31" t="str">
        <x:v>P02-027</x:v>
      </x:c>
      <x:c r="C222" s="31" t="str">
        <x:v>S02-R03</x:v>
      </x:c>
      <x:c r="D222" s="31" t="str">
        <x:v>PAPER</x:v>
      </x:c>
      <x:c r="E222" s="31" t="str">
        <x:v>MLB</x:v>
      </x:c>
      <x:c r="F222" s="31" t="str">
        <x:v>NYM @ TB</x:v>
      </x:c>
      <x:c r="G222" s="31" t="str">
        <x:v>Junior Caminero</x:v>
      </x:c>
      <x:c r="H222" s="31" t="str">
        <x:v>Promo Control</x:v>
      </x:c>
      <x:c r="I222" s="31" t="str">
        <x:v>2+ total bases +101 (unboosted control)</x:v>
      </x:c>
      <x:c r="J222" s="80" t="n">
        <x:v>101</x:v>
      </x:c>
      <x:c r="K222" s="31" t="str">
        <x:v>HYBRID</x:v>
      </x:c>
      <x:c r="L222" s="31" t="str">
        <x:v>A</x:v>
      </x:c>
      <x:c r="M222" s="31" t="str">
        <x:v>Same real proposition without the 50% profit boost isolates promo contribution.</x:v>
      </x:c>
      <x:c r="N222" s="31" t="str">
        <x:v>N</x:v>
      </x:c>
      <x:c r="O222" s="31" t="str">
        <x:v>Loss</x:v>
      </x:c>
      <x:c r="P222" s="31" t="n">
        <x:v>0</x:v>
      </x:c>
      <x:c r="Q222" s="33" t="n">
        <x:v>0</x:v>
      </x:c>
      <x:c r="R222" s="33" t="n">
        <x:v>0</x:v>
      </x:c>
      <x:c r="S222" s="31" t="n">
        <x:v>-1</x:v>
      </x:c>
      <x:c r="T222" s="32" t="str"/>
      <x:c r="U222" s="31" t="str">
        <x:v>Real plan uses 50% any-sport boost if lineup/price hold.</x:v>
      </x:c>
      <x:c r="V222" s="31" t="str">
        <x:v>PROMO_CONTROL</x:v>
      </x:c>
      <x:c r="W222" s="31" t="str">
        <x:v>EXP-24</x:v>
      </x:c>
      <x:c r="X222" s="31" t="str">
        <x:v>UNBOOSTED NATURAL +100 ARM</x:v>
      </x:c>
      <x:c r="Y222" s="31" t="str">
        <x:v>S02-R03</x:v>
      </x:c>
      <x:c r="Z222" s="31" t="str">
        <x:v>A naturally qualifying +100 edge should retain positive economics before the boost; the promo should amplify rather than rescue it.</x:v>
      </x:c>
      <x:c r="AA222" s="31" t="str">
        <x:v>Unboosted economics are poor enough that only the boost creates apparent value.</x:v>
      </x:c>
      <x:c r="AB222" s="31" t="str">
        <x:v>Unboosted Caminero 2+ TB control lost with the real boosted version. Promo amplified payout only; it did not rescue the underlying proposition.</x:v>
      </x:c>
    </x:row>
    <x:row r="223">
      <x:c r="A223" s="79" t="str">
        <x:v>2026-09-02</x:v>
      </x:c>
      <x:c r="B223" s="31" t="str">
        <x:v>P02-028</x:v>
      </x:c>
      <x:c r="C223" s="31"/>
      <x:c r="D223" s="31" t="str">
        <x:v>PAPER</x:v>
      </x:c>
      <x:c r="E223" s="31" t="str">
        <x:v>MLB</x:v>
      </x:c>
      <x:c r="F223" s="31" t="str">
        <x:v>CHW @ HOU</x:v>
      </x:c>
      <x:c r="G223" s="31" t="str">
        <x:v>Yordan Alvarez</x:v>
      </x:c>
      <x:c r="H223" s="31" t="str">
        <x:v>Home Run</x:v>
      </x:c>
      <x:c r="I223" s="31" t="str">
        <x:v>1+ home run</x:v>
      </x:c>
      <x:c r="J223" s="80" t="n">
        <x:v>296</x:v>
      </x:c>
      <x:c r="K223" s="31" t="str">
        <x:v>HYBRID</x:v>
      </x:c>
      <x:c r="L223" s="31" t="str">
        <x:v>A-</x:v>
      </x:c>
      <x:c r="M223" s="31" t="str">
        <x:v>Top HR source/model candidate and potential Grand Slam qualifier.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0</x:v>
      </x:c>
      <x:c r="S223" s="31" t="n">
        <x:v>-1</x:v>
      </x:c>
      <x:c r="T223" s="32" t="str"/>
      <x:c r="U223" s="31" t="str">
        <x:v>DK exact HR price supplied 13:51 ET.</x:v>
      </x:c>
      <x:c r="V223" s="31" t="str">
        <x:v>PROMO_ECONOMICS_TEST</x:v>
      </x:c>
      <x:c r="W223" s="31" t="str">
        <x:v>EXP-25</x:v>
      </x:c>
      <x:c r="X223" s="31" t="str">
        <x:v>GRAND SLAM HR ARM</x:v>
      </x:c>
      <x:c r="Y223" s="31"/>
      <x:c r="Z223" s="31" t="str">
        <x:v>A Grand Slam qualifier should only be considered when the base HR bet independently grades well; Yordan is the cleanest current example.</x:v>
      </x:c>
      <x:c r="AA223" s="31" t="str">
        <x:v>The HR thesis is not strong enough at market price or bankroll cost overwhelms the uncertain jackpot overlay.</x:v>
      </x:c>
      <x:c r="AB223" s="31" t="str">
        <x:v>Yordan produced 3 TB but no HR. Good offensive thesis, wrong high-variance HR expression for this outcome.</x:v>
      </x:c>
    </x:row>
    <x:row r="224">
      <x:c r="A224" s="79" t="str">
        <x:v>2026-09-02</x:v>
      </x:c>
      <x:c r="B224" s="31" t="str">
        <x:v>P02-029</x:v>
      </x:c>
      <x:c r="C224" s="31"/>
      <x:c r="D224" s="31" t="str">
        <x:v>PAPER</x:v>
      </x:c>
      <x:c r="E224" s="31" t="str">
        <x:v>MLB</x:v>
      </x:c>
      <x:c r="F224" s="31" t="str">
        <x:v>SF @ PIT</x:v>
      </x:c>
      <x:c r="G224" s="31" t="str">
        <x:v>Rafael Devers</x:v>
      </x:c>
      <x:c r="H224" s="31" t="str">
        <x:v>Home Run</x:v>
      </x:c>
      <x:c r="I224" s="31" t="str">
        <x:v>1+ home run</x:v>
      </x:c>
      <x:c r="J224" s="80" t="n">
        <x:v>403</x:v>
      </x:c>
      <x:c r="K224" s="31" t="str">
        <x:v>HYBRID</x:v>
      </x:c>
      <x:c r="L224" s="31" t="str">
        <x:v>B+</x:v>
      </x:c>
      <x:c r="M224" s="31" t="str">
        <x:v>Multiple source signals plus long HR price; qualifier challenger.</x:v>
      </x:c>
      <x:c r="N224" s="31" t="str">
        <x:v>N</x:v>
      </x:c>
      <x:c r="O224" s="31" t="str">
        <x:v>Win</x:v>
      </x:c>
      <x:c r="P224" s="31" t="n">
        <x:v>1</x:v>
      </x:c>
      <x:c r="Q224" s="33" t="n">
        <x:v>1</x:v>
      </x:c>
      <x:c r="R224" s="33" t="n">
        <x:f>IF(J224="","",IF(J224&gt;0,1+J224/100,1+100/ABS(J224)))</x:f>
        <x:v>5.03</x:v>
      </x:c>
      <x:c r="S224" s="31" t="n">
        <x:f>IF(J224="","",R224-1)</x:f>
        <x:v>4.03</x:v>
      </x:c>
      <x:c r="T224" s="32" t="str"/>
      <x:c r="U224" s="31" t="str">
        <x:v>DK exact HR price supplied 13:45 ET.</x:v>
      </x:c>
      <x:c r="V224" s="31" t="str">
        <x:v>PROMO_ECONOMICS_TEST</x:v>
      </x:c>
      <x:c r="W224" s="31" t="str">
        <x:v>EXP-25</x:v>
      </x:c>
      <x:c r="X224" s="31" t="str">
        <x:v>GRAND SLAM HR CHALLENGER</x:v>
      </x:c>
      <x:c r="Y224" s="31"/>
      <x:c r="Z224" s="31" t="str">
        <x:v>Longer HR price can improve base-bet economics if matchup power survives independent adjustment.</x:v>
      </x:c>
      <x:c r="AA224" s="31" t="str">
        <x:v>Underlying matchup does not justify the raw long-shot price.</x:v>
      </x:c>
      <x:c r="AB224" s="31" t="str">
        <x:v>Devers homered in the first inning. Base HR challenger won; however the homer was not a grand slam, so the Grand Slam promo still would not have paid.</x:v>
      </x:c>
    </x:row>
    <x:row r="225">
      <x:c r="A225" s="79" t="str">
        <x:v>2026-09-02</x:v>
      </x:c>
      <x:c r="B225" s="31" t="str">
        <x:v>P02-030</x:v>
      </x:c>
      <x:c r="C225" s="31"/>
      <x:c r="D225" s="31" t="str">
        <x:v>PAPER</x:v>
      </x:c>
      <x:c r="E225" s="31" t="str">
        <x:v>MLB</x:v>
      </x:c>
      <x:c r="F225" s="31" t="str">
        <x:v>MIL @ CHC</x:v>
      </x:c>
      <x:c r="G225" s="31" t="str">
        <x:v>Pete Crow-Armstrong</x:v>
      </x:c>
      <x:c r="H225" s="31" t="str">
        <x:v>Home Run</x:v>
      </x:c>
      <x:c r="I225" s="31" t="str">
        <x:v>1+ home run</x:v>
      </x:c>
      <x:c r="J225" s="80" t="n">
        <x:v>340</x:v>
      </x:c>
      <x:c r="K225" s="31" t="str">
        <x:v>SOURCED</x:v>
      </x:c>
      <x:c r="L225" s="31" t="str">
        <x:v>B</x:v>
      </x:c>
      <x:c r="M225" s="31" t="str">
        <x:v>HR source candidate but directly conflicts with Misiorowski dominance thesis.</x:v>
      </x:c>
      <x:c r="N225" s="31" t="str">
        <x:v>N</x:v>
      </x:c>
      <x:c r="O225" s="31" t="str">
        <x:v>Loss</x:v>
      </x:c>
      <x:c r="P225" s="31" t="n">
        <x:v>0</x:v>
      </x:c>
      <x:c r="Q225" s="33" t="n">
        <x:v>0</x:v>
      </x:c>
      <x:c r="R225" s="33" t="n">
        <x:v>0</x:v>
      </x:c>
      <x:c r="S225" s="31" t="n">
        <x:v>-1</x:v>
      </x:c>
      <x:c r="T225" s="32" t="str"/>
      <x:c r="U225" s="31" t="str">
        <x:v>DK exact HR price supplied 13:49 ET.</x:v>
      </x:c>
      <x:c r="V225" s="31" t="str">
        <x:v>PORTFOLIO_CONFLICT_TEST</x:v>
      </x:c>
      <x:c r="W225" s="31" t="str">
        <x:v>EXP-25</x:v>
      </x:c>
      <x:c r="X225" s="31" t="str">
        <x:v>CONFLICTING HR ARM</x:v>
      </x:c>
      <x:c r="Y225" s="31" t="str">
        <x:v>S02-R01</x:v>
      </x:c>
      <x:c r="Z225" s="31" t="str">
        <x:v>Even a qualified HR price should be downgraded when it directly opposes a higher-ranked pitcher thesis.</x:v>
      </x:c>
      <x:c r="AA225" s="31" t="str">
        <x:v>PCA HR wins while Misiorowski still clears outs, showing conflict may be less severe than assumed.</x:v>
      </x:c>
      <x:c r="AB225" s="31" t="str">
        <x:v>PCA did not homer. The portfolio-conflict arm lost while Misiorowski also lost; avoiding conflict did not matter to realized result.</x:v>
      </x:c>
    </x:row>
    <x:row r="226">
      <x:c r="A226" s="79" t="str">
        <x:v>2026-09-02</x:v>
      </x:c>
      <x:c r="B226" s="31" t="str">
        <x:v>P02-031</x:v>
      </x:c>
      <x:c r="C226" s="31" t="str">
        <x:v>S02-R01;S02-R02</x:v>
      </x:c>
      <x:c r="D226" s="31" t="str">
        <x:v>PAPER</x:v>
      </x:c>
      <x:c r="E226" s="31" t="str">
        <x:v>MLB</x:v>
      </x:c>
      <x:c r="F226" s="31" t="str">
        <x:v>2-game pair</x:v>
      </x:c>
      <x:c r="G226" s="31" t="str">
        <x:v>Misiorowski + Cease</x:v>
      </x:c>
      <x:c r="H226" s="31" t="str">
        <x:v>2-leg pitcher pair</x:v>
      </x:c>
      <x:c r="I226" s="31" t="str">
        <x:v>Misiorowski O17.5 outs + Cease 7+ K</x:v>
      </x:c>
      <x:c r="J226" s="80"/>
      <x:c r="K226" s="31" t="str">
        <x:v>HYBRID</x:v>
      </x:c>
      <x:c r="L226" s="31" t="str">
        <x:v>A</x:v>
      </x:c>
      <x:c r="M226" s="31" t="str">
        <x:v>Two top independently qualified pitcher singles packaged as a control.</x:v>
      </x:c>
      <x:c r="N226" s="31" t="str">
        <x:v>N</x:v>
      </x:c>
      <x:c r="O226" s="31" t="str">
        <x:v>Loss</x:v>
      </x:c>
      <x:c r="P226" s="31" t="n">
        <x:v>0</x:v>
      </x:c>
      <x:c r="Q226" s="33"/>
      <x:c r="R226" s="33" t="n">
        <x:v>0</x:v>
      </x:c>
      <x:c r="S226" s="31"/>
      <x:c r="T226" s="32" t="str"/>
      <x:c r="U226" s="31" t="str">
        <x:v>Combined price not captured; do not fabricate.</x:v>
      </x:c>
      <x:c r="V226" s="31" t="str">
        <x:v>CONSTRUCTION_TEST</x:v>
      </x:c>
      <x:c r="W226" s="31" t="str">
        <x:v>EXP-20</x:v>
      </x:c>
      <x:c r="X226" s="31" t="str">
        <x:v>2-LEG PAIR ARM</x:v>
      </x:c>
      <x:c r="Y226" s="31" t="str">
        <x:v>S02-R01;S02-R02</x:v>
      </x:c>
      <x:c r="Z226" s="31" t="str">
        <x:v>If both singles are truly A-tier, packaging them should not outperform the lower-variance standalone allocation over time.</x:v>
      </x:c>
      <x:c r="AA226" s="31" t="str">
        <x:v>One leg miss wipes ticket while the other single wins, reinforcing singles preference.</x:v>
      </x:c>
      <x:c r="AB226" s="31" t="str">
        <x:v>Two-leg Misiorowski outs + Cease 7+ K control lost because both real components lost.</x:v>
      </x:c>
    </x:row>
    <x:row r="227">
      <x:c r="A227" s="79" t="str">
        <x:v>2026-09-02</x:v>
      </x:c>
      <x:c r="B227" s="31" t="str">
        <x:v>P02-032</x:v>
      </x:c>
      <x:c r="C227" s="31" t="str">
        <x:v>S02-R01;S02-R02;S02-R03</x:v>
      </x:c>
      <x:c r="D227" s="31" t="str">
        <x:v>PAPER</x:v>
      </x:c>
      <x:c r="E227" s="31" t="str">
        <x:v>MLB</x:v>
      </x:c>
      <x:c r="F227" s="31" t="str">
        <x:v>3-game parlay</x:v>
      </x:c>
      <x:c r="G227" s="31" t="str">
        <x:v>Misiorowski + Cease + Caminero</x:v>
      </x:c>
      <x:c r="H227" s="31" t="str">
        <x:v>3-leg mixed parlay</x:v>
      </x:c>
      <x:c r="I227" s="31" t="str">
        <x:v>Misiorowski O17.5 outs + Cease 7+ K + Caminero 2+ TB</x:v>
      </x:c>
      <x:c r="J227" s="80"/>
      <x:c r="K227" s="31" t="str">
        <x:v>HYBRID</x:v>
      </x:c>
      <x:c r="L227" s="31" t="str">
        <x:v>A-</x:v>
      </x:c>
      <x:c r="M227" s="31" t="str">
        <x:v>Best current real candidates packaged strictly as a construction control.</x:v>
      </x:c>
      <x:c r="N227" s="31" t="str">
        <x:v>N</x:v>
      </x:c>
      <x:c r="O227" s="31" t="str">
        <x:v>Loss</x:v>
      </x:c>
      <x:c r="P227" s="31" t="n">
        <x:v>0</x:v>
      </x:c>
      <x:c r="Q227" s="33"/>
      <x:c r="R227" s="33" t="n">
        <x:v>0</x:v>
      </x:c>
      <x:c r="S227" s="31"/>
      <x:c r="T227" s="32" t="str"/>
      <x:c r="U227" s="31" t="str">
        <x:v>No real-money recommendation; combined odds not captured.</x:v>
      </x:c>
      <x:c r="V227" s="31" t="str">
        <x:v>CONSTRUCTION_TEST</x:v>
      </x:c>
      <x:c r="W227" s="31" t="str">
        <x:v>EXP-09</x:v>
      </x:c>
      <x:c r="X227" s="31" t="str">
        <x:v>3-LEG TOP-CANDIDATE ARM</x:v>
      </x:c>
      <x:c r="Y227" s="31" t="str">
        <x:v>P02-031</x:v>
      </x:c>
      <x:c r="Z227" s="31" t="str">
        <x:v>Even top legs may lose economic efficiency when forced into a 3-leg ticket.</x:v>
      </x:c>
      <x:c r="AA227" s="31" t="str">
        <x:v>Any single miss destroys ticket while standalone real card remains partially profitable.</x:v>
      </x:c>
      <x:c r="AB227" s="31" t="str">
        <x:v>Three-leg Misiorowski outs + Cease 7+ K + Caminero 2+ TB control went 0/3.</x:v>
      </x:c>
    </x:row>
    <x:row r="228">
      <x:c r="A228" s="79" t="str">
        <x:v>2026-09-02</x:v>
      </x:c>
      <x:c r="B228" s="31" t="str">
        <x:v>P02-033</x:v>
      </x:c>
      <x:c r="C228" s="31" t="str">
        <x:v>S02-R13</x:v>
      </x:c>
      <x:c r="D228" s="31" t="str">
        <x:v>PAPER</x:v>
      </x:c>
      <x:c r="E228" s="31" t="str">
        <x:v>MLB</x:v>
      </x:c>
      <x:c r="F228" s="31" t="str">
        <x:v>BAL @ COL</x:v>
      </x:c>
      <x:c r="G228" s="31" t="str">
        <x:v>Pete Alonso</x:v>
      </x:c>
      <x:c r="H228" s="31" t="str">
        <x:v>Home Run</x:v>
      </x:c>
      <x:c r="I228" s="31" t="str">
        <x:v>1+ home run — raw control</x:v>
      </x:c>
      <x:c r="J228" s="80" t="n">
        <x:v>251</x:v>
      </x:c>
      <x:c r="K228" s="31" t="str">
        <x:v>HYBRID</x:v>
      </x:c>
      <x:c r="L228" s="31" t="str">
        <x:v>A-</x:v>
      </x:c>
      <x:c r="M228" s="31" t="str">
        <x:v>Unboosted control isolates the incremental value of the 50% HR promo.</x:v>
      </x:c>
      <x:c r="N228" s="31" t="str">
        <x:v>Y</x:v>
      </x:c>
      <x:c r="O228" s="31" t="str">
        <x:v>Loss</x:v>
      </x:c>
      <x:c r="P228" s="31" t="n">
        <x:v>0</x:v>
      </x:c>
      <x:c r="Q228" s="33" t="n">
        <x:v>0</x:v>
      </x:c>
      <x:c r="R228" s="33" t="n">
        <x:v>0</x:v>
      </x:c>
      <x:c r="S228" s="31" t="n">
        <x:v>-1</x:v>
      </x:c>
      <x:c r="T228" s="32" t="str"/>
      <x:c r="U228" s="31" t="str">
        <x:v>Real ticket used +377 boosted price; raw market was +251.</x:v>
      </x:c>
      <x:c r="V228" s="31" t="str">
        <x:v>PROMO_CONTROL</x:v>
      </x:c>
      <x:c r="W228" s="31" t="str">
        <x:v>EXP-16</x:v>
      </x:c>
      <x:c r="X228" s="31" t="str">
        <x:v>UNBOOSTED HR ARM</x:v>
      </x:c>
      <x:c r="Y228" s="31" t="str">
        <x:v>S02-R13</x:v>
      </x:c>
      <x:c r="Z228" s="31" t="str">
        <x:v>If Alonso is a legitimate HR edge before the promo, raw +251 should remain defensible; boost should amplify rather than create the thesis.</x:v>
      </x:c>
      <x:c r="AA228" s="31" t="str">
        <x:v>If the raw matchup grade is weak relative to market, the promo is masking a poor underlying HR selection.</x:v>
      </x:c>
      <x:c r="AB228" s="31" t="str">
        <x:v>Alonso raw HR control lost. The 50% boost improved economics but the base HR proposition still failed.</x:v>
      </x:c>
    </x:row>
    <x:row r="229">
      <x:c r="A229" s="79" t="str">
        <x:v>2026-09-02</x:v>
      </x:c>
      <x:c r="B229" s="31" t="str">
        <x:v>P02-034</x:v>
      </x:c>
      <x:c r="C229" s="31"/>
      <x:c r="D229" s="31" t="str">
        <x:v>PAPER</x:v>
      </x:c>
      <x:c r="E229" s="31" t="str">
        <x:v>MLB</x:v>
      </x:c>
      <x:c r="F229" s="31" t="str">
        <x:v>BAL @ COL</x:v>
      </x:c>
      <x:c r="G229" s="31" t="str">
        <x:v>Hunter Goodman</x:v>
      </x:c>
      <x:c r="H229" s="31" t="str">
        <x:v>Home Run</x:v>
      </x:c>
      <x:c r="I229" s="31" t="str">
        <x:v>1+ home run</x:v>
      </x:c>
      <x:c r="J229" s="80" t="n">
        <x:v>273</x:v>
      </x:c>
      <x:c r="K229" s="31" t="str">
        <x:v>HYBRID</x:v>
      </x:c>
      <x:c r="L229" s="31" t="str">
        <x:v>A-</x:v>
      </x:c>
      <x:c r="M229" s="31" t="str">
        <x:v>Runner-up in eligible 2–4 PM HR audit; same Coors environment but different opponent/pitcher mechanism.</x:v>
      </x:c>
      <x:c r="N229" s="31" t="str">
        <x:v>N</x:v>
      </x:c>
      <x:c r="O229" s="31" t="str">
        <x:v>Loss</x:v>
      </x:c>
      <x:c r="P229" s="31" t="n">
        <x:v>0</x:v>
      </x:c>
      <x:c r="Q229" s="33" t="n">
        <x:v>0</x:v>
      </x:c>
      <x:c r="R229" s="33" t="n">
        <x:v>0</x:v>
      </x:c>
      <x:c r="S229" s="31" t="n">
        <x:v>-1</x:v>
      </x:c>
      <x:c r="T229" s="32" t="str"/>
      <x:c r="U229" s="31" t="str">
        <x:v>Exact DK +273 supplied 14:05 ET.</x:v>
      </x:c>
      <x:c r="V229" s="31" t="str">
        <x:v>PROMO_CHALLENGER</x:v>
      </x:c>
      <x:c r="W229" s="31" t="str">
        <x:v>EXP-16</x:v>
      </x:c>
      <x:c r="X229" s="31" t="str">
        <x:v>ELIGIBLE HR CHALLENGER</x:v>
      </x:c>
      <x:c r="Y229" s="31" t="str">
        <x:v>P02-033</x:v>
      </x:c>
      <x:c r="Z229" s="31" t="str">
        <x:v>Goodman's platoon/hard-contact setup may outperform the chosen Alonso HR despite slightly longer raw price.</x:v>
      </x:c>
      <x:c r="AA229" s="31" t="str">
        <x:v>Alonso clears while Goodman misses or Goodman matchup quality proves overstated relative to Rogers.</x:v>
      </x:c>
      <x:c r="AB229" s="31" t="str">
        <x:v>Goodman did not homer. Runner-up HR challenger also failed.</x:v>
      </x:c>
    </x:row>
    <x:row r="230">
      <x:c r="A230" s="79" t="str">
        <x:v>2026-09-02</x:v>
      </x:c>
      <x:c r="B230" s="31" t="str">
        <x:v>P02-035</x:v>
      </x:c>
      <x:c r="C230" s="31"/>
      <x:c r="D230" s="31" t="str">
        <x:v>PAPER</x:v>
      </x:c>
      <x:c r="E230" s="31" t="str">
        <x:v>MLB</x:v>
      </x:c>
      <x:c r="F230" s="31" t="str">
        <x:v>STL @ LAD</x:v>
      </x:c>
      <x:c r="G230" s="31" t="str">
        <x:v>Los Angeles Dodgers</x:v>
      </x:c>
      <x:c r="H230" s="31" t="str">
        <x:v>Moneyline</x:v>
      </x:c>
      <x:c r="I230" s="31" t="str">
        <x:v>LAD ML</x:v>
      </x:c>
      <x:c r="J230" s="80"/>
      <x:c r="K230" s="31" t="str">
        <x:v>SOURCED</x:v>
      </x:c>
      <x:c r="L230" s="31" t="str">
        <x:v>WATCH</x:v>
      </x:c>
      <x:c r="M230" s="31" t="str">
        <x:v>Source lists LAD as its top game pick at 67% win probability; prospectively test source calibration rather than treating 67% as fair odds.</x:v>
      </x:c>
      <x:c r="N230" s="31" t="str">
        <x:v>N</x:v>
      </x:c>
      <x:c r="O230" s="31" t="str">
        <x:v>Loss</x:v>
      </x:c>
      <x:c r="P230" s="31" t="n">
        <x:v>0</x:v>
      </x:c>
      <x:c r="Q230" s="33"/>
      <x:c r="R230" s="33" t="n">
        <x:v>0</x:v>
      </x:c>
      <x:c r="S230" s="31"/>
      <x:c r="T230" s="32" t="str"/>
      <x:c r="U230" s="31" t="str">
        <x:v>Source screenshot supplied 14:39 ET; exact DK price not provided.</x:v>
      </x:c>
      <x:c r="V230" s="31" t="str">
        <x:v>SOURCE_CALIBRATION_TEST</x:v>
      </x:c>
      <x:c r="W230" s="31" t="str">
        <x:v>EXP-27</x:v>
      </x:c>
      <x:c r="X230" s="31" t="str">
        <x:v>67% ML ARM</x:v>
      </x:c>
      <x:c r="Y230" s="31"/>
      <x:c r="Z230" s="31" t="str">
        <x:v>If the source probability ranking contains signal, the 67% top-ranked ML should win at a rate broadly consistent with its stated confidence and later show acceptable price-adjusted value.</x:v>
      </x:c>
      <x:c r="AA230" s="31" t="str">
        <x:v>Repeated misses or materially worse market-implied pricing than the source probability would weaken the signal.</x:v>
      </x:c>
      <x:c r="AB230" s="31" t="str">
        <x:v>Source 67% LAD ML lost 8-6 in 10 innings. One negative observation for source calibration.</x:v>
      </x:c>
    </x:row>
    <x:row r="231">
      <x:c r="A231" s="79" t="str">
        <x:v>2026-09-02</x:v>
      </x:c>
      <x:c r="B231" s="31" t="str">
        <x:v>P02-036</x:v>
      </x:c>
      <x:c r="C231" s="31"/>
      <x:c r="D231" s="31" t="str">
        <x:v>PAPER</x:v>
      </x:c>
      <x:c r="E231" s="31" t="str">
        <x:v>MLB</x:v>
      </x:c>
      <x:c r="F231" s="31" t="str">
        <x:v>MIL @ CHC</x:v>
      </x:c>
      <x:c r="G231" s="31" t="str">
        <x:v>Milwaukee Brewers</x:v>
      </x:c>
      <x:c r="H231" s="31" t="str">
        <x:v>Moneyline</x:v>
      </x:c>
      <x:c r="I231" s="31" t="str">
        <x:v>MIL ML</x:v>
      </x:c>
      <x:c r="J231" s="80"/>
      <x:c r="K231" s="31" t="str">
        <x:v>SOURCED</x:v>
      </x:c>
      <x:c r="L231" s="31" t="str">
        <x:v>WATCH</x:v>
      </x:c>
      <x:c r="M231" s="31" t="str">
        <x:v>Source lists MIL at 66%; preserve as a prospective source-only game-side observation for calibration.</x:v>
      </x:c>
      <x:c r="N231" s="31" t="str">
        <x:v>N</x:v>
      </x:c>
      <x:c r="O231" s="31" t="str">
        <x:v>Win</x:v>
      </x:c>
      <x:c r="P231" s="31" t="n">
        <x:v>1</x:v>
      </x:c>
      <x:c r="Q231" s="33"/>
      <x:c r="R231" s="33" t="str">
        <x:f>IF(J231="","",IF(J231&gt;0,1+J231/100,1+100/ABS(J231)))</x:f>
      </x:c>
      <x:c r="S231" s="31" t="str">
        <x:f>IF(J231="","",R231-1)</x:f>
      </x:c>
      <x:c r="T231" s="32" t="str"/>
      <x:c r="U231" s="31" t="str">
        <x:v>Source screenshot supplied 14:39 ET; exact DK price not provided.</x:v>
      </x:c>
      <x:c r="V231" s="31" t="str">
        <x:v>SOURCE_CALIBRATION_TEST</x:v>
      </x:c>
      <x:c r="W231" s="31" t="str">
        <x:v>EXP-27</x:v>
      </x:c>
      <x:c r="X231" s="31" t="str">
        <x:v>66% ML ARM</x:v>
      </x:c>
      <x:c r="Y231" s="31"/>
      <x:c r="Z231" s="31" t="str">
        <x:v>A genuinely calibrated source should convert a 66% moneyline signal at roughly that frequency over a large sample and retain value once exact prices are added.</x:v>
      </x:c>
      <x:c r="AA231" s="31" t="str">
        <x:v>Poor hit-rate calibration or negative price-adjusted ROI after enough samples would falsify the usefulness of the source score.</x:v>
      </x:c>
      <x:c r="AB231" s="31" t="str">
        <x:v>Source 66% MIL ML won 9-5. Positive source-calibration observation.</x:v>
      </x:c>
    </x:row>
    <x:row r="232">
      <x:c r="A232" s="79" t="str">
        <x:v>2026-09-02</x:v>
      </x:c>
      <x:c r="B232" s="31" t="str">
        <x:v>P02-037</x:v>
      </x:c>
      <x:c r="C232" s="31"/>
      <x:c r="D232" s="31" t="str">
        <x:v>PAPER</x:v>
      </x:c>
      <x:c r="E232" s="31" t="str">
        <x:v>MLB</x:v>
      </x:c>
      <x:c r="F232" s="31" t="str">
        <x:v>PHI @ ARI</x:v>
      </x:c>
      <x:c r="G232" s="31" t="str">
        <x:v>Arizona Diamondbacks</x:v>
      </x:c>
      <x:c r="H232" s="31" t="str">
        <x:v>Moneyline</x:v>
      </x:c>
      <x:c r="I232" s="31" t="str">
        <x:v>ARI ML</x:v>
      </x:c>
      <x:c r="J232" s="80"/>
      <x:c r="K232" s="31" t="str">
        <x:v>SOURCED</x:v>
      </x:c>
      <x:c r="L232" s="31" t="str">
        <x:v>WATCH</x:v>
      </x:c>
      <x:c r="M232" s="31" t="str">
        <x:v>Source lists ARI at 65%; log before the 3:40 ET start as a prospective source-only paper trade.</x:v>
      </x:c>
      <x:c r="N232" s="31" t="str">
        <x:v>N</x:v>
      </x:c>
      <x:c r="O232" s="31" t="str">
        <x:v>Win</x:v>
      </x:c>
      <x:c r="P232" s="31" t="n">
        <x:v>1</x:v>
      </x:c>
      <x:c r="Q232" s="33"/>
      <x:c r="R232" s="33" t="str">
        <x:f>IF(J232="","",IF(J232&gt;0,1+J232/100,1+100/ABS(J232)))</x:f>
      </x:c>
      <x:c r="S232" s="31" t="str">
        <x:f>IF(J232="","",R232-1)</x:f>
      </x:c>
      <x:c r="T232" s="32" t="str"/>
      <x:c r="U232" s="31" t="str">
        <x:v>Source screenshot supplied 14:39 ET; exact DK price not provided.</x:v>
      </x:c>
      <x:c r="V232" s="31" t="str">
        <x:v>SOURCE_CALIBRATION_TEST</x:v>
      </x:c>
      <x:c r="W232" s="31" t="str">
        <x:v>EXP-27</x:v>
      </x:c>
      <x:c r="X232" s="31" t="str">
        <x:v>65% ML ARM</x:v>
      </x:c>
      <x:c r="Y232" s="31"/>
      <x:c r="Z232" s="31" t="str">
        <x:v>If the model's game-level probabilities are useful, a 65% selection should contribute positively to calibration and later ROI when exact market price is captured.</x:v>
      </x:c>
      <x:c r="AA232" s="31" t="str">
        <x:v>A pattern of 60–69% selections underperforming their stated confidence or market baseline would weaken the hypothesis.</x:v>
      </x:c>
      <x:c r="AB232" s="31" t="str">
        <x:v>Source 65% ARI ML won 1-0. Source 60–69% bucket finished 2-1 on this first tiny cluster.</x:v>
      </x:c>
    </x:row>
    <x:row r="233">
      <x:c r="A233" s="79" t="str">
        <x:v>2026-09-03</x:v>
      </x:c>
      <x:c r="B233" s="31" t="str">
        <x:v>P03-001</x:v>
      </x:c>
      <x:c r="C233" s="31" t="str">
        <x:v>S03-R01</x:v>
      </x:c>
      <x:c r="D233" s="31" t="str">
        <x:v>PAPER</x:v>
      </x:c>
      <x:c r="E233" s="31" t="str">
        <x:v>MLB</x:v>
      </x:c>
      <x:c r="F233" s="31" t="str">
        <x:v>CHW @ HOU</x:v>
      </x:c>
      <x:c r="G233" s="31" t="str">
        <x:v>Yordan Alvarez</x:v>
      </x:c>
      <x:c r="H233" s="31" t="str">
        <x:v>H+R+RBI</x:v>
      </x:c>
      <x:c r="I233" s="31" t="str">
        <x:v>2+ H+R+RBI</x:v>
      </x:c>
      <x:c r="J233" s="80" t="n">
        <x:v>-198</x:v>
      </x:c>
      <x:c r="K233" s="31" t="str">
        <x:v>HYBRID</x:v>
      </x:c>
      <x:c r="L233" s="31" t="str">
        <x:v>A-</x:v>
      </x:c>
      <x:c r="M233" s="31" t="str">
        <x:v>Paired market-expression challenger to real 2+ TB; adds run/RBI paths.</x:v>
      </x:c>
      <x:c r="N233" s="31" t="str">
        <x:v>N</x:v>
      </x:c>
      <x:c r="O233" s="31" t="str">
        <x:v>Pending</x:v>
      </x:c>
      <x:c r="P233" s="31" t="str"/>
      <x:c r="Q233" s="33" t="n">
        <x:v>0</x:v>
      </x:c>
      <x:c r="R233" s="33"/>
      <x:c r="S233" s="31"/>
      <x:c r="T233" s="32" t="str"/>
      <x:c r="U233" s="31" t="str">
        <x:v>Exact DK price captured pregame.</x:v>
      </x:c>
      <x:c r="V233" s="31" t="str">
        <x:v>ALT_MARKET_TEST</x:v>
      </x:c>
      <x:c r="W233" s="31" t="str">
        <x:v>EXP-03</x:v>
      </x:c>
      <x:c r="X233" s="31" t="str">
        <x:v>HRR ARM</x:v>
      </x:c>
      <x:c r="Y233" s="31" t="str">
        <x:v>S03-R01</x:v>
      </x:c>
      <x:c r="Z233" s="31" t="str">
        <x:v>If Yordan's edge is broad offensive involvement rather than specifically extra-base damage, HRR should be more resilient than TB.</x:v>
      </x:c>
      <x:c r="AA233" s="31" t="str">
        <x:v>TB repeatedly wins while HRR misses despite similar matchup quality, or juice overwhelms hit-rate advantage.</x:v>
      </x:c>
      <x:c r="AB233" s="31"/>
    </x:row>
    <x:row r="234">
      <x:c r="A234" s="79" t="str">
        <x:v>2026-09-03</x:v>
      </x:c>
      <x:c r="B234" s="31" t="str">
        <x:v>P03-002</x:v>
      </x:c>
      <x:c r="C234" s="31" t="str">
        <x:v>S03-R01</x:v>
      </x:c>
      <x:c r="D234" s="31" t="str">
        <x:v>PAPER</x:v>
      </x:c>
      <x:c r="E234" s="31" t="str">
        <x:v>MLB</x:v>
      </x:c>
      <x:c r="F234" s="31" t="str">
        <x:v>CHW @ HOU</x:v>
      </x:c>
      <x:c r="G234" s="31" t="str">
        <x:v>Yordan Alvarez</x:v>
      </x:c>
      <x:c r="H234" s="31" t="str">
        <x:v>Home Run</x:v>
      </x:c>
      <x:c r="I234" s="31" t="str">
        <x:v>1+ home run</x:v>
      </x:c>
      <x:c r="J234" s="80" t="n">
        <x:v>209</x:v>
      </x:c>
      <x:c r="K234" s="31" t="str">
        <x:v>HYBRID</x:v>
      </x:c>
      <x:c r="L234" s="31" t="str">
        <x:v>B+</x:v>
      </x:c>
      <x:c r="M234" s="31" t="str">
        <x:v>Power/BvP mechanism supports an HR satellite arm, but variance is much higher than TB.</x:v>
      </x:c>
      <x:c r="N234" s="31" t="str">
        <x:v>N</x:v>
      </x:c>
      <x:c r="O234" s="31" t="str">
        <x:v>Pending</x:v>
      </x:c>
      <x:c r="P234" s="31" t="str"/>
      <x:c r="Q234" s="33" t="n">
        <x:v>0</x:v>
      </x:c>
      <x:c r="R234" s="33"/>
      <x:c r="S234" s="31"/>
      <x:c r="T234" s="32" t="str"/>
      <x:c r="U234" s="31" t="str">
        <x:v>Exact DK HR price captured pregame; also relevant to Grand Slam promo economics.</x:v>
      </x:c>
      <x:c r="V234" s="31" t="str">
        <x:v>PROMO_ECONOMICS_TEST</x:v>
      </x:c>
      <x:c r="W234" s="31" t="str">
        <x:v>EXP-25</x:v>
      </x:c>
      <x:c r="X234" s="31" t="str">
        <x:v>HR ARM</x:v>
      </x:c>
      <x:c r="Y234" s="31" t="str">
        <x:v>P03-001</x:v>
      </x:c>
      <x:c r="Z234" s="31" t="str">
        <x:v>A base HR bet should justify itself before any jackpot overlay; Yordan is the strongest observed example.</x:v>
      </x:c>
      <x:c r="AA234" s="31" t="str">
        <x:v>Frequent non-HR offensive success shows the broad edge is real but HR expression is too narrow/volatile.</x:v>
      </x:c>
      <x:c r="AB234" s="31"/>
    </x:row>
    <x:row r="235">
      <x:c r="A235" s="79" t="str">
        <x:v>2026-09-03</x:v>
      </x:c>
      <x:c r="B235" s="31" t="str">
        <x:v>P03-003</x:v>
      </x:c>
      <x:c r="C235" s="31" t="str">
        <x:v>S03-R02</x:v>
      </x:c>
      <x:c r="D235" s="31" t="str">
        <x:v>PAPER</x:v>
      </x:c>
      <x:c r="E235" s="31" t="str">
        <x:v>MLB</x:v>
      </x:c>
      <x:c r="F235" s="31" t="str">
        <x:v>BOS @ BAL</x:v>
      </x:c>
      <x:c r="G235" s="31" t="str">
        <x:v>Jake Bennett</x:v>
      </x:c>
      <x:c r="H235" s="31" t="str">
        <x:v>Strikeouts</x:v>
      </x:c>
      <x:c r="I235" s="31" t="str">
        <x:v>5+ strikeouts</x:v>
      </x:c>
      <x:c r="J235" s="80" t="n">
        <x:v>-162</x:v>
      </x:c>
      <x:c r="K235" s="31" t="str">
        <x:v>HYBRID</x:v>
      </x:c>
      <x:c r="L235" s="31" t="str">
        <x:v>A-</x:v>
      </x:c>
      <x:c r="M235" s="31" t="str">
        <x:v>Direct paired K control against the real outs bet.</x:v>
      </x:c>
      <x:c r="N235" s="31" t="str">
        <x:v>N</x:v>
      </x:c>
      <x:c r="O235" s="31" t="str">
        <x:v>Pending</x:v>
      </x:c>
      <x:c r="P235" s="31" t="str"/>
      <x:c r="Q235" s="33" t="n">
        <x:v>0</x:v>
      </x:c>
      <x:c r="R235" s="33"/>
      <x:c r="S235" s="31"/>
      <x:c r="T235" s="32" t="str"/>
      <x:c r="U235" s="31" t="str">
        <x:v>Exact DK K ladder captured pregame.</x:v>
      </x:c>
      <x:c r="V235" s="31" t="str">
        <x:v>ALT_MARKET_TEST</x:v>
      </x:c>
      <x:c r="W235" s="31" t="str">
        <x:v>EXP-01</x:v>
      </x:c>
      <x:c r="X235" s="31" t="str">
        <x:v>K ARM</x:v>
      </x:c>
      <x:c r="Y235" s="31" t="str">
        <x:v>S03-R02</x:v>
      </x:c>
      <x:c r="Z235" s="31" t="str">
        <x:v>If Bennett's edge is whiff ability rather than efficiency/workload, 5+ Ks should outperform O16.5 outs.</x:v>
      </x:c>
      <x:c r="AA235" s="31" t="str">
        <x:v>Bennett reaches 17+ outs with fewer than five Ks, supporting outs as the cleaner expression.</x:v>
      </x:c>
      <x:c r="AB235" s="31"/>
    </x:row>
    <x:row r="236">
      <x:c r="A236" s="79" t="str">
        <x:v>2026-09-03</x:v>
      </x:c>
      <x:c r="B236" s="31" t="str">
        <x:v>P03-004</x:v>
      </x:c>
      <x:c r="C236" s="31" t="str">
        <x:v>S03-R02</x:v>
      </x:c>
      <x:c r="D236" s="31" t="str">
        <x:v>PAPER</x:v>
      </x:c>
      <x:c r="E236" s="31" t="str">
        <x:v>MLB</x:v>
      </x:c>
      <x:c r="F236" s="31" t="str">
        <x:v>BOS @ BAL</x:v>
      </x:c>
      <x:c r="G236" s="31" t="str">
        <x:v>Jake Bennett</x:v>
      </x:c>
      <x:c r="H236" s="31" t="str">
        <x:v>Strikeouts</x:v>
      </x:c>
      <x:c r="I236" s="31" t="str">
        <x:v>6+ strikeouts</x:v>
      </x:c>
      <x:c r="J236" s="80" t="n">
        <x:v>137</x:v>
      </x:c>
      <x:c r="K236" s="31" t="str">
        <x:v>HYBRID</x:v>
      </x:c>
      <x:c r="L236" s="31" t="str">
        <x:v>B+</x:v>
      </x:c>
      <x:c r="M236" s="31" t="str">
        <x:v>Aggressive K threshold tests payout gain versus one-rung threshold cost.</x:v>
      </x:c>
      <x:c r="N236" s="31" t="str">
        <x:v>N</x:v>
      </x:c>
      <x:c r="O236" s="31" t="str">
        <x:v>Pending</x:v>
      </x:c>
      <x:c r="P236" s="31" t="str"/>
      <x:c r="Q236" s="33" t="n">
        <x:v>0</x:v>
      </x:c>
      <x:c r="R236" s="33"/>
      <x:c r="S236" s="31"/>
      <x:c r="T236" s="32" t="str"/>
      <x:c r="U236" s="31" t="str">
        <x:v>Exact DK 6+ price captured pregame.</x:v>
      </x:c>
      <x:c r="V236" s="31" t="str">
        <x:v>ALT_THRESHOLD_TEST</x:v>
      </x:c>
      <x:c r="W236" s="31" t="str">
        <x:v>EXP-06</x:v>
      </x:c>
      <x:c r="X236" s="31" t="str">
        <x:v>AGGRESSIVE K ARM</x:v>
      </x:c>
      <x:c r="Y236" s="31" t="str">
        <x:v>P03-003</x:v>
      </x:c>
      <x:c r="Z236" s="31" t="str">
        <x:v>If Bennett's K ceiling is underpriced, +137 can outperform the juiced 5+ rung.</x:v>
      </x:c>
      <x:c r="AA236" s="31" t="str">
        <x:v>Exactly five Ks or early hook demonstrates threshold-tax failure.</x:v>
      </x:c>
      <x:c r="AB236" s="31"/>
    </x:row>
    <x:row r="237">
      <x:c r="A237" s="79" t="str">
        <x:v>2026-09-03</x:v>
      </x:c>
      <x:c r="B237" s="31" t="str">
        <x:v>P03-005</x:v>
      </x:c>
      <x:c r="C237" s="31" t="str">
        <x:v>S03-R06</x:v>
      </x:c>
      <x:c r="D237" s="31" t="str">
        <x:v>PAPER</x:v>
      </x:c>
      <x:c r="E237" s="31" t="str">
        <x:v>MLB</x:v>
      </x:c>
      <x:c r="F237" s="31" t="str">
        <x:v>MIL @ CHC</x:v>
      </x:c>
      <x:c r="G237" s="31" t="str">
        <x:v>Kevin Gausman</x:v>
      </x:c>
      <x:c r="H237" s="31" t="str">
        <x:v>Hits Allowed</x:v>
      </x:c>
      <x:c r="I237" s="31" t="str">
        <x:v>Over 4.5 hits allowed</x:v>
      </x:c>
      <x:c r="J237" s="80" t="n">
        <x:v>-139</x:v>
      </x:c>
      <x:c r="K237" s="31" t="str">
        <x:v>HYBRID</x:v>
      </x:c>
      <x:c r="L237" s="31" t="str">
        <x:v>A-</x:v>
      </x:c>
      <x:c r="M237" s="31" t="str">
        <x:v>Pitcher-level expression of a broad Milwaukee contact thesis.</x:v>
      </x:c>
      <x:c r="N237" s="31" t="str">
        <x:v>N</x:v>
      </x:c>
      <x:c r="O237" s="31" t="str">
        <x:v>Pending</x:v>
      </x:c>
      <x:c r="P237" s="31" t="str"/>
      <x:c r="Q237" s="33" t="n">
        <x:v>0</x:v>
      </x:c>
      <x:c r="R237" s="33"/>
      <x:c r="S237" s="31"/>
      <x:c r="T237" s="32" t="str"/>
      <x:c r="U237" s="31" t="str">
        <x:v>Exact DK O4.5 HA price captured pregame.</x:v>
      </x:c>
      <x:c r="V237" s="31" t="str">
        <x:v>ALT_MARKET_TEST</x:v>
      </x:c>
      <x:c r="W237" s="31" t="str">
        <x:v>EXP-03</x:v>
      </x:c>
      <x:c r="X237" s="31" t="str">
        <x:v>PITCHER CONTACT ARM</x:v>
      </x:c>
      <x:c r="Y237" s="31" t="str">
        <x:v>S03-R03;S03-R04</x:v>
      </x:c>
      <x:c r="Z237" s="31" t="str">
        <x:v>If the edge is team-wide contact, pitcher hits allowed should capture more lineup paths than choosing individual hitters.</x:v>
      </x:c>
      <x:c r="AA237" s="31" t="str">
        <x:v>Gausman suppresses total hits while one selected hitter still clears via sequencing/power, favoring hitter-specific expression.</x:v>
      </x:c>
      <x:c r="AB237" s="31"/>
    </x:row>
    <x:row r="238">
      <x:c r="A238" s="79" t="str">
        <x:v>2026-09-03</x:v>
      </x:c>
      <x:c r="B238" s="31" t="str">
        <x:v>P03-006</x:v>
      </x:c>
      <x:c r="C238" s="31" t="str">
        <x:v>S03-R03</x:v>
      </x:c>
      <x:c r="D238" s="31" t="str">
        <x:v>PAPER</x:v>
      </x:c>
      <x:c r="E238" s="31" t="str">
        <x:v>MLB</x:v>
      </x:c>
      <x:c r="F238" s="31" t="str">
        <x:v>MIL @ CHC</x:v>
      </x:c>
      <x:c r="G238" s="31" t="str">
        <x:v>Jackson Chourio</x:v>
      </x:c>
      <x:c r="H238" s="31" t="str">
        <x:v>Total Bases</x:v>
      </x:c>
      <x:c r="I238" s="31" t="str">
        <x:v>2+ total bases</x:v>
      </x:c>
      <x:c r="J238" s="80" t="n">
        <x:v>-104</x:v>
      </x:c>
      <x:c r="K238" s="31" t="str">
        <x:v>HYBRID</x:v>
      </x:c>
      <x:c r="L238" s="31" t="str">
        <x:v>A-</x:v>
      </x:c>
      <x:c r="M238" s="31" t="str">
        <x:v>Direct TB challenger to real 2+ HRR.</x:v>
      </x:c>
      <x:c r="N238" s="31" t="str">
        <x:v>N</x:v>
      </x:c>
      <x:c r="O238" s="31" t="str">
        <x:v>Pending</x:v>
      </x:c>
      <x:c r="P238" s="31" t="str"/>
      <x:c r="Q238" s="33" t="n">
        <x:v>0</x:v>
      </x:c>
      <x:c r="R238" s="33"/>
      <x:c r="S238" s="31"/>
      <x:c r="T238" s="32" t="str"/>
      <x:c r="U238" s="31" t="str">
        <x:v>Exact DK price captured pregame.</x:v>
      </x:c>
      <x:c r="V238" s="31" t="str">
        <x:v>ALT_MARKET_TEST</x:v>
      </x:c>
      <x:c r="W238" s="31" t="str">
        <x:v>EXP-03</x:v>
      </x:c>
      <x:c r="X238" s="31" t="str">
        <x:v>TB ARM</x:v>
      </x:c>
      <x:c r="Y238" s="31" t="str">
        <x:v>S03-R03</x:v>
      </x:c>
      <x:c r="Z238" s="31" t="str">
        <x:v>If Chourio's matchup edge is damage-specific, TB should outperform the broader HRR composite.</x:v>
      </x:c>
      <x:c r="AA238" s="31" t="str">
        <x:v>Single plus run/RBI clears HRR while TB stalls at one.</x:v>
      </x:c>
      <x:c r="AB238" s="31"/>
    </x:row>
    <x:row r="239">
      <x:c r="A239" s="79" t="str">
        <x:v>2026-09-03</x:v>
      </x:c>
      <x:c r="B239" s="31" t="str">
        <x:v>P03-007</x:v>
      </x:c>
      <x:c r="C239" s="31" t="str">
        <x:v>S03-R03</x:v>
      </x:c>
      <x:c r="D239" s="31" t="str">
        <x:v>PAPER</x:v>
      </x:c>
      <x:c r="E239" s="31" t="str">
        <x:v>MLB</x:v>
      </x:c>
      <x:c r="F239" s="31" t="str">
        <x:v>MIL @ CHC</x:v>
      </x:c>
      <x:c r="G239" s="31" t="str">
        <x:v>Jackson Chourio</x:v>
      </x:c>
      <x:c r="H239" s="31" t="str">
        <x:v>Hits</x:v>
      </x:c>
      <x:c r="I239" s="31" t="str">
        <x:v>1+ hit</x:v>
      </x:c>
      <x:c r="J239" s="80" t="n">
        <x:v>-285</x:v>
      </x:c>
      <x:c r="K239" s="31" t="str">
        <x:v>HYBRID</x:v>
      </x:c>
      <x:c r="L239" s="31" t="str">
        <x:v>WATCH</x:v>
      </x:c>
      <x:c r="M239" s="31" t="str">
        <x:v>Expensive glue control for price-adjusted comparison.</x:v>
      </x:c>
      <x:c r="N239" s="31" t="str">
        <x:v>N</x:v>
      </x:c>
      <x:c r="O239" s="31" t="str">
        <x:v>Pending</x:v>
      </x:c>
      <x:c r="P239" s="31" t="str"/>
      <x:c r="Q239" s="33" t="n">
        <x:v>0</x:v>
      </x:c>
      <x:c r="R239" s="33"/>
      <x:c r="S239" s="31"/>
      <x:c r="T239" s="32" t="str"/>
      <x:c r="U239" s="31" t="str">
        <x:v>Exact DK 1+ hit price captured pregame.</x:v>
      </x:c>
      <x:c r="V239" s="31" t="str">
        <x:v>ALT_MARKET_TEST</x:v>
      </x:c>
      <x:c r="W239" s="31" t="str">
        <x:v>EXP-26</x:v>
      </x:c>
      <x:c r="X239" s="31" t="str">
        <x:v>1+ HIT GLUE ARM</x:v>
      </x:c>
      <x:c r="Y239" s="31" t="str">
        <x:v>P03-006</x:v>
      </x:c>
      <x:c r="Z239" s="31" t="str">
        <x:v>The high raw hit rate may not compensate for severe price tax versus HRR/TB alternatives.</x:v>
      </x:c>
      <x:c r="AA239" s="31" t="str">
        <x:v>1+ hit produces materially better price-adjusted ROI and lower drawdown over a meaningful paired sample.</x:v>
      </x:c>
      <x:c r="AB239" s="31"/>
    </x:row>
    <x:row r="240">
      <x:c r="A240" s="79" t="str">
        <x:v>2026-09-03</x:v>
      </x:c>
      <x:c r="B240" s="31" t="str">
        <x:v>P03-008</x:v>
      </x:c>
      <x:c r="C240" s="31" t="str">
        <x:v>S03-R04</x:v>
      </x:c>
      <x:c r="D240" s="31" t="str">
        <x:v>PAPER</x:v>
      </x:c>
      <x:c r="E240" s="31" t="str">
        <x:v>MLB</x:v>
      </x:c>
      <x:c r="F240" s="31" t="str">
        <x:v>MIL @ CHC</x:v>
      </x:c>
      <x:c r="G240" s="31" t="str">
        <x:v>William Contreras</x:v>
      </x:c>
      <x:c r="H240" s="31" t="str">
        <x:v>Total Bases</x:v>
      </x:c>
      <x:c r="I240" s="31" t="str">
        <x:v>2+ total bases</x:v>
      </x:c>
      <x:c r="J240" s="80" t="n">
        <x:v>137</x:v>
      </x:c>
      <x:c r="K240" s="31" t="str">
        <x:v>HYBRID</x:v>
      </x:c>
      <x:c r="L240" s="31" t="str">
        <x:v>A-</x:v>
      </x:c>
      <x:c r="M240" s="31" t="str">
        <x:v>Plus-money TB challenger to real HRR.</x:v>
      </x:c>
      <x:c r="N240" s="31" t="str">
        <x:v>N</x:v>
      </x:c>
      <x:c r="O240" s="31" t="str">
        <x:v>Pending</x:v>
      </x:c>
      <x:c r="P240" s="31" t="str"/>
      <x:c r="Q240" s="33" t="n">
        <x:v>0</x:v>
      </x:c>
      <x:c r="R240" s="33"/>
      <x:c r="S240" s="31"/>
      <x:c r="T240" s="32" t="str"/>
      <x:c r="U240" s="31" t="str">
        <x:v>Exact DK price captured pregame.</x:v>
      </x:c>
      <x:c r="V240" s="31" t="str">
        <x:v>ALT_MARKET_TEST</x:v>
      </x:c>
      <x:c r="W240" s="31" t="str">
        <x:v>EXP-03</x:v>
      </x:c>
      <x:c r="X240" s="31" t="str">
        <x:v>TB ARM</x:v>
      </x:c>
      <x:c r="Y240" s="31" t="str">
        <x:v>S03-R04</x:v>
      </x:c>
      <x:c r="Z240" s="31" t="str">
        <x:v>If Contreras' edge is extra-base/contact quality, +137 TB may beat the juiced composite.</x:v>
      </x:c>
      <x:c r="AA240" s="31" t="str">
        <x:v>Single plus run/RBI clears HRR while TB misses.</x:v>
      </x:c>
      <x:c r="AB240" s="31"/>
    </x:row>
    <x:row r="241">
      <x:c r="A241" s="79" t="str">
        <x:v>2026-09-03</x:v>
      </x:c>
      <x:c r="B241" s="31" t="str">
        <x:v>P03-009</x:v>
      </x:c>
      <x:c r="C241" s="31" t="str">
        <x:v>S03-R04</x:v>
      </x:c>
      <x:c r="D241" s="31" t="str">
        <x:v>PAPER</x:v>
      </x:c>
      <x:c r="E241" s="31" t="str">
        <x:v>MLB</x:v>
      </x:c>
      <x:c r="F241" s="31" t="str">
        <x:v>MIL @ CHC</x:v>
      </x:c>
      <x:c r="G241" s="31" t="str">
        <x:v>William Contreras</x:v>
      </x:c>
      <x:c r="H241" s="31" t="str">
        <x:v>Hits</x:v>
      </x:c>
      <x:c r="I241" s="31" t="str">
        <x:v>1+ hit</x:v>
      </x:c>
      <x:c r="J241" s="80" t="n">
        <x:v>-214</x:v>
      </x:c>
      <x:c r="K241" s="31" t="str">
        <x:v>HYBRID</x:v>
      </x:c>
      <x:c r="L241" s="31" t="str">
        <x:v>WATCH</x:v>
      </x:c>
      <x:c r="M241" s="31" t="str">
        <x:v>Juiced glue control against HRR/TB alternatives.</x:v>
      </x:c>
      <x:c r="N241" s="31" t="str">
        <x:v>N</x:v>
      </x:c>
      <x:c r="O241" s="31" t="str">
        <x:v>Pending</x:v>
      </x:c>
      <x:c r="P241" s="31" t="str"/>
      <x:c r="Q241" s="33" t="n">
        <x:v>0</x:v>
      </x:c>
      <x:c r="R241" s="33"/>
      <x:c r="S241" s="31"/>
      <x:c r="T241" s="32" t="str"/>
      <x:c r="U241" s="31" t="str">
        <x:v>Exact DK 1+ hit price captured pregame.</x:v>
      </x:c>
      <x:c r="V241" s="31" t="str">
        <x:v>ALT_MARKET_TEST</x:v>
      </x:c>
      <x:c r="W241" s="31" t="str">
        <x:v>EXP-26</x:v>
      </x:c>
      <x:c r="X241" s="31" t="str">
        <x:v>1+ HIT GLUE ARM</x:v>
      </x:c>
      <x:c r="Y241" s="31" t="str">
        <x:v>P03-008</x:v>
      </x:c>
      <x:c r="Z241" s="31" t="str">
        <x:v>Expensive single-hit markets may underperform economically despite higher raw hit rate.</x:v>
      </x:c>
      <x:c r="AA241" s="31" t="str">
        <x:v>Price-adjusted ROI and drawdown materially beat HRR/TB alternatives.</x:v>
      </x:c>
      <x:c r="AB241" s="31"/>
    </x:row>
    <x:row r="242">
      <x:c r="A242" s="79" t="str">
        <x:v>2026-09-03</x:v>
      </x:c>
      <x:c r="B242" s="31" t="str">
        <x:v>P03-010</x:v>
      </x:c>
      <x:c r="C242" s="31" t="str">
        <x:v>S03-R05</x:v>
      </x:c>
      <x:c r="D242" s="31" t="str">
        <x:v>PAPER</x:v>
      </x:c>
      <x:c r="E242" s="31" t="str">
        <x:v>MLB</x:v>
      </x:c>
      <x:c r="F242" s="31" t="str">
        <x:v>ATH @ SEA</x:v>
      </x:c>
      <x:c r="G242" s="31" t="str">
        <x:v>Kade Anderson</x:v>
      </x:c>
      <x:c r="H242" s="31" t="str">
        <x:v>Strikeouts</x:v>
      </x:c>
      <x:c r="I242" s="31" t="str">
        <x:v>6+ strikeouts</x:v>
      </x:c>
      <x:c r="J242" s="80" t="n">
        <x:v>-149</x:v>
      </x:c>
      <x:c r="K242" s="31" t="str">
        <x:v>HYBRID</x:v>
      </x:c>
      <x:c r="L242" s="31" t="str">
        <x:v>A-</x:v>
      </x:c>
      <x:c r="M242" s="31" t="str">
        <x:v>K arm paired against real U16.5 outs; both can win together if he is dominant but pitch-limited.</x:v>
      </x:c>
      <x:c r="N242" s="31" t="str">
        <x:v>N</x:v>
      </x:c>
      <x:c r="O242" s="31" t="str">
        <x:v>Pending</x:v>
      </x:c>
      <x:c r="P242" s="31" t="str"/>
      <x:c r="Q242" s="33" t="n">
        <x:v>0</x:v>
      </x:c>
      <x:c r="R242" s="33"/>
      <x:c r="S242" s="31"/>
      <x:c r="T242" s="32" t="str"/>
      <x:c r="U242" s="31" t="str">
        <x:v>Exact DK 6+ price captured pregame.</x:v>
      </x:c>
      <x:c r="V242" s="31" t="str">
        <x:v>ALT_MARKET_TEST</x:v>
      </x:c>
      <x:c r="W242" s="31" t="str">
        <x:v>EXP-01</x:v>
      </x:c>
      <x:c r="X242" s="31" t="str">
        <x:v>K ARM</x:v>
      </x:c>
      <x:c r="Y242" s="31" t="str">
        <x:v>S03-R05</x:v>
      </x:c>
      <x:c r="Z242" s="31" t="str">
        <x:v>Rookie can accumulate six Ks while still failing to reach 17 outs, separating whiff quality from workload.</x:v>
      </x:c>
      <x:c r="AA242" s="31" t="str">
        <x:v>He reaches six innings efficiently but stays below six Ks, favoring outs/workload over K ceiling.</x:v>
      </x:c>
      <x:c r="AB242" s="31"/>
    </x:row>
    <x:row r="243">
      <x:c r="A243" s="79" t="str">
        <x:v>2026-09-03</x:v>
      </x:c>
      <x:c r="B243" s="31" t="str">
        <x:v>P03-011</x:v>
      </x:c>
      <x:c r="C243" s="31" t="str">
        <x:v>S03-R05</x:v>
      </x:c>
      <x:c r="D243" s="31" t="str">
        <x:v>PAPER</x:v>
      </x:c>
      <x:c r="E243" s="31" t="str">
        <x:v>MLB</x:v>
      </x:c>
      <x:c r="F243" s="31" t="str">
        <x:v>ATH @ SEA</x:v>
      </x:c>
      <x:c r="G243" s="31" t="str">
        <x:v>Kade Anderson</x:v>
      </x:c>
      <x:c r="H243" s="31" t="str">
        <x:v>Strikeouts</x:v>
      </x:c>
      <x:c r="I243" s="31" t="str">
        <x:v>7+ strikeouts</x:v>
      </x:c>
      <x:c r="J243" s="80" t="n">
        <x:v>138</x:v>
      </x:c>
      <x:c r="K243" s="31" t="str">
        <x:v>HYBRID</x:v>
      </x:c>
      <x:c r="L243" s="31" t="str">
        <x:v>B+</x:v>
      </x:c>
      <x:c r="M243" s="31" t="str">
        <x:v>Aggressive K rung for threshold-cost testing.</x:v>
      </x:c>
      <x:c r="N243" s="31" t="str">
        <x:v>N</x:v>
      </x:c>
      <x:c r="O243" s="31" t="str">
        <x:v>Pending</x:v>
      </x:c>
      <x:c r="P243" s="31" t="str"/>
      <x:c r="Q243" s="33" t="n">
        <x:v>0</x:v>
      </x:c>
      <x:c r="R243" s="33"/>
      <x:c r="S243" s="31"/>
      <x:c r="T243" s="32" t="str"/>
      <x:c r="U243" s="31" t="str">
        <x:v>Exact DK 7+ price captured pregame.</x:v>
      </x:c>
      <x:c r="V243" s="31" t="str">
        <x:v>ALT_THRESHOLD_TEST</x:v>
      </x:c>
      <x:c r="W243" s="31" t="str">
        <x:v>EXP-06</x:v>
      </x:c>
      <x:c r="X243" s="31" t="str">
        <x:v>AGGRESSIVE K ARM</x:v>
      </x:c>
      <x:c r="Y243" s="31" t="str">
        <x:v>P03-010</x:v>
      </x:c>
      <x:c r="Z243" s="31" t="str">
        <x:v>If swing-and-miss ceiling is real, one-rung higher plus-money threshold may improve economics.</x:v>
      </x:c>
      <x:c r="AA243" s="31" t="str">
        <x:v>Exactly six Ks becomes canonical threshold-cost miss.</x:v>
      </x:c>
      <x:c r="AB243" s="31"/>
    </x:row>
    <x:row r="244">
      <x:c r="A244" s="79" t="str">
        <x:v>2026-09-03</x:v>
      </x:c>
      <x:c r="B244" s="31" t="str">
        <x:v>P03-012</x:v>
      </x:c>
      <x:c r="C244" s="31" t="str">
        <x:v>S03-R09</x:v>
      </x:c>
      <x:c r="D244" s="31" t="str">
        <x:v>PAPER</x:v>
      </x:c>
      <x:c r="E244" s="31" t="str">
        <x:v>MLB</x:v>
      </x:c>
      <x:c r="F244" s="31" t="str">
        <x:v>ATH @ SEA</x:v>
      </x:c>
      <x:c r="G244" s="31" t="str">
        <x:v>Lawrence Butler</x:v>
      </x:c>
      <x:c r="H244" s="31" t="str">
        <x:v>Hits</x:v>
      </x:c>
      <x:c r="I244" s="31" t="str">
        <x:v>1+ hit</x:v>
      </x:c>
      <x:c r="J244" s="80" t="n">
        <x:v>-128</x:v>
      </x:c>
      <x:c r="K244" s="31" t="str">
        <x:v>HYBRID</x:v>
      </x:c>
      <x:c r="L244" s="31" t="str">
        <x:v>B+</x:v>
      </x:c>
      <x:c r="M244" s="31" t="str">
        <x:v>Unusually cheap 1+ hit price makes this a useful glue-control exception test.</x:v>
      </x:c>
      <x:c r="N244" s="31" t="str">
        <x:v>N</x:v>
      </x:c>
      <x:c r="O244" s="31" t="str">
        <x:v>Pending</x:v>
      </x:c>
      <x:c r="P244" s="31" t="str"/>
      <x:c r="Q244" s="33" t="n">
        <x:v>0</x:v>
      </x:c>
      <x:c r="R244" s="33"/>
      <x:c r="S244" s="31"/>
      <x:c r="T244" s="32" t="str"/>
      <x:c r="U244" s="31" t="str">
        <x:v>Exact DK price captured pregame.</x:v>
      </x:c>
      <x:c r="V244" s="31" t="str">
        <x:v>ALT_MARKET_TEST</x:v>
      </x:c>
      <x:c r="W244" s="31" t="str">
        <x:v>EXP-26</x:v>
      </x:c>
      <x:c r="X244" s="31" t="str">
        <x:v>1+ HIT GLUE ARM</x:v>
      </x:c>
      <x:c r="Y244" s="31" t="str">
        <x:v>P03-013;P03-014</x:v>
      </x:c>
      <x:c r="Z244" s="31" t="str">
        <x:v>At modest juice, 1+ hit may outperform the usual expensive-glue economics.</x:v>
      </x:c>
      <x:c r="AA244" s="31" t="str">
        <x:v>HRR/TB alternatives produce better price-adjusted ROI despite lower raw hit probability.</x:v>
      </x:c>
      <x:c r="AB244" s="31"/>
    </x:row>
    <x:row r="245">
      <x:c r="A245" s="79" t="str">
        <x:v>2026-09-03</x:v>
      </x:c>
      <x:c r="B245" s="31" t="str">
        <x:v>P03-013</x:v>
      </x:c>
      <x:c r="C245" s="31" t="str">
        <x:v>S03-R09</x:v>
      </x:c>
      <x:c r="D245" s="31" t="str">
        <x:v>PAPER</x:v>
      </x:c>
      <x:c r="E245" s="31" t="str">
        <x:v>MLB</x:v>
      </x:c>
      <x:c r="F245" s="31" t="str">
        <x:v>ATH @ SEA</x:v>
      </x:c>
      <x:c r="G245" s="31" t="str">
        <x:v>Lawrence Butler</x:v>
      </x:c>
      <x:c r="H245" s="31" t="str">
        <x:v>H+R+RBI</x:v>
      </x:c>
      <x:c r="I245" s="31" t="str">
        <x:v>2+ H+R+RBI</x:v>
      </x:c>
      <x:c r="J245" s="80" t="n">
        <x:v>153</x:v>
      </x:c>
      <x:c r="K245" s="31" t="str">
        <x:v>HYBRID</x:v>
      </x:c>
      <x:c r="L245" s="31" t="str">
        <x:v>B+</x:v>
      </x:c>
      <x:c r="M245" s="31" t="str">
        <x:v>Multi-path plus-money challenger to 1+ hit.</x:v>
      </x:c>
      <x:c r="N245" s="31" t="str">
        <x:v>N</x:v>
      </x:c>
      <x:c r="O245" s="31" t="str">
        <x:v>Pending</x:v>
      </x:c>
      <x:c r="P245" s="31" t="str"/>
      <x:c r="Q245" s="33" t="n">
        <x:v>0</x:v>
      </x:c>
      <x:c r="R245" s="33"/>
      <x:c r="S245" s="31"/>
      <x:c r="T245" s="32" t="str"/>
      <x:c r="U245" s="31" t="str">
        <x:v>Exact DK price captured pregame.</x:v>
      </x:c>
      <x:c r="V245" s="31" t="str">
        <x:v>ALT_MARKET_TEST</x:v>
      </x:c>
      <x:c r="W245" s="31" t="str">
        <x:v>EXP-03</x:v>
      </x:c>
      <x:c r="X245" s="31" t="str">
        <x:v>HRR ARM</x:v>
      </x:c>
      <x:c r="Y245" s="31" t="str">
        <x:v>P03-012</x:v>
      </x:c>
      <x:c r="Z245" s="31" t="str">
        <x:v>Composite can monetize a single plus scoring contribution without requiring extra bases.</x:v>
      </x:c>
      <x:c r="AA245" s="31" t="str">
        <x:v>Butler records two bases without run/RBI or the composite's sequencing dependency repeatedly hurts.</x:v>
      </x:c>
      <x:c r="AB245" s="31"/>
    </x:row>
    <x:row r="246">
      <x:c r="A246" s="79" t="str">
        <x:v>2026-09-03</x:v>
      </x:c>
      <x:c r="B246" s="31" t="str">
        <x:v>P03-014</x:v>
      </x:c>
      <x:c r="C246" s="31" t="str">
        <x:v>S03-R09</x:v>
      </x:c>
      <x:c r="D246" s="31" t="str">
        <x:v>PAPER</x:v>
      </x:c>
      <x:c r="E246" s="31" t="str">
        <x:v>MLB</x:v>
      </x:c>
      <x:c r="F246" s="31" t="str">
        <x:v>ATH @ SEA</x:v>
      </x:c>
      <x:c r="G246" s="31" t="str">
        <x:v>Lawrence Butler</x:v>
      </x:c>
      <x:c r="H246" s="31" t="str">
        <x:v>Total Bases</x:v>
      </x:c>
      <x:c r="I246" s="31" t="str">
        <x:v>2+ total bases</x:v>
      </x:c>
      <x:c r="J246" s="80" t="n">
        <x:v>228</x:v>
      </x:c>
      <x:c r="K246" s="31" t="str">
        <x:v>HYBRID</x:v>
      </x:c>
      <x:c r="L246" s="31" t="str">
        <x:v>B</x:v>
      </x:c>
      <x:c r="M246" s="31" t="str">
        <x:v>Narrower damage arm at a much longer price.</x:v>
      </x:c>
      <x:c r="N246" s="31" t="str">
        <x:v>N</x:v>
      </x:c>
      <x:c r="O246" s="31" t="str">
        <x:v>Pending</x:v>
      </x:c>
      <x:c r="P246" s="31" t="str"/>
      <x:c r="Q246" s="33" t="n">
        <x:v>0</x:v>
      </x:c>
      <x:c r="R246" s="33"/>
      <x:c r="S246" s="31"/>
      <x:c r="T246" s="32" t="str"/>
      <x:c r="U246" s="31" t="str">
        <x:v>Exact DK price captured pregame.</x:v>
      </x:c>
      <x:c r="V246" s="31" t="str">
        <x:v>ALT_MARKET_TEST</x:v>
      </x:c>
      <x:c r="W246" s="31" t="str">
        <x:v>EXP-03</x:v>
      </x:c>
      <x:c r="X246" s="31" t="str">
        <x:v>TB ARM</x:v>
      </x:c>
      <x:c r="Y246" s="31" t="str">
        <x:v>P03-013</x:v>
      </x:c>
      <x:c r="Z246" s="31" t="str">
        <x:v>If the pitch-type matchup produces hard contact, +228 TB can justify the narrower path.</x:v>
      </x:c>
      <x:c r="AA246" s="31" t="str">
        <x:v>Single plus run/RBI clears HRR while TB misses, or extra-base damage frequency is too low.</x:v>
      </x:c>
      <x:c r="AB246" s="31"/>
    </x:row>
    <x:row r="247">
      <x:c r="A247" s="79" t="str">
        <x:v>2026-09-03</x:v>
      </x:c>
      <x:c r="B247" s="31" t="str">
        <x:v>P03-015</x:v>
      </x:c>
      <x:c r="C247" s="31" t="str">
        <x:v>S03-R08</x:v>
      </x:c>
      <x:c r="D247" s="31" t="str">
        <x:v>PAPER</x:v>
      </x:c>
      <x:c r="E247" s="31" t="str">
        <x:v>MLB</x:v>
      </x:c>
      <x:c r="F247" s="31" t="str">
        <x:v>STL @ LAD</x:v>
      </x:c>
      <x:c r="G247" s="31" t="str">
        <x:v>Tarik Skubal</x:v>
      </x:c>
      <x:c r="H247" s="31" t="str">
        <x:v>Hits Allowed</x:v>
      </x:c>
      <x:c r="I247" s="31" t="str">
        <x:v>Under 4.5 hits allowed</x:v>
      </x:c>
      <x:c r="J247" s="80" t="n">
        <x:v>-135</x:v>
      </x:c>
      <x:c r="K247" s="31" t="str">
        <x:v>HYBRID</x:v>
      </x:c>
      <x:c r="L247" s="31" t="str">
        <x:v>A-</x:v>
      </x:c>
      <x:c r="M247" s="31" t="str">
        <x:v>Contact-suppression expression of Skubal dominance.</x:v>
      </x:c>
      <x:c r="N247" s="31" t="str">
        <x:v>N</x:v>
      </x:c>
      <x:c r="O247" s="31" t="str">
        <x:v>Pending</x:v>
      </x:c>
      <x:c r="P247" s="31" t="str"/>
      <x:c r="Q247" s="33" t="n">
        <x:v>0</x:v>
      </x:c>
      <x:c r="R247" s="33"/>
      <x:c r="S247" s="31"/>
      <x:c r="T247" s="32" t="str"/>
      <x:c r="U247" s="31" t="str">
        <x:v>Exact DK price captured pregame.</x:v>
      </x:c>
      <x:c r="V247" s="31" t="str">
        <x:v>ALT_MARKET_TEST</x:v>
      </x:c>
      <x:c r="W247" s="31" t="str">
        <x:v>EXP-01</x:v>
      </x:c>
      <x:c r="X247" s="31" t="str">
        <x:v>HITS-ALLOWED UNDER ARM</x:v>
      </x:c>
      <x:c r="Y247" s="31" t="str">
        <x:v>P03-016</x:v>
      </x:c>
      <x:c r="Z247" s="31" t="str">
        <x:v>If Skubal dominance is broader than strikeouts, U4.5 HA may be more stable than 8+ Ks.</x:v>
      </x:c>
      <x:c r="AA247" s="31" t="str">
        <x:v>He allows 5+ hits while still recording 8+ Ks, showing K is the cleaner dominance expression.</x:v>
      </x:c>
      <x:c r="AB247" s="31"/>
    </x:row>
    <x:row r="248">
      <x:c r="A248" s="79" t="str">
        <x:v>2026-09-03</x:v>
      </x:c>
      <x:c r="B248" s="31" t="str">
        <x:v>P03-016</x:v>
      </x:c>
      <x:c r="C248" s="31" t="str">
        <x:v>S03-R08</x:v>
      </x:c>
      <x:c r="D248" s="31" t="str">
        <x:v>PAPER</x:v>
      </x:c>
      <x:c r="E248" s="31" t="str">
        <x:v>MLB</x:v>
      </x:c>
      <x:c r="F248" s="31" t="str">
        <x:v>STL @ LAD</x:v>
      </x:c>
      <x:c r="G248" s="31" t="str">
        <x:v>Tarik Skubal</x:v>
      </x:c>
      <x:c r="H248" s="31" t="str">
        <x:v>Strikeouts</x:v>
      </x:c>
      <x:c r="I248" s="31" t="str">
        <x:v>8+ strikeouts</x:v>
      </x:c>
      <x:c r="J248" s="80" t="n">
        <x:v>-142</x:v>
      </x:c>
      <x:c r="K248" s="31" t="str">
        <x:v>HYBRID</x:v>
      </x:c>
      <x:c r="L248" s="31" t="str">
        <x:v>A-</x:v>
      </x:c>
      <x:c r="M248" s="31" t="str">
        <x:v>Whiff-specific challenger at nearly identical price to U4.5 HA.</x:v>
      </x:c>
      <x:c r="N248" s="31" t="str">
        <x:v>N</x:v>
      </x:c>
      <x:c r="O248" s="31" t="str">
        <x:v>Pending</x:v>
      </x:c>
      <x:c r="P248" s="31" t="str"/>
      <x:c r="Q248" s="33" t="n">
        <x:v>0</x:v>
      </x:c>
      <x:c r="R248" s="33"/>
      <x:c r="S248" s="31"/>
      <x:c r="T248" s="32" t="str"/>
      <x:c r="U248" s="31" t="str">
        <x:v>Exact DK 8+ price captured pregame.</x:v>
      </x:c>
      <x:c r="V248" s="31" t="str">
        <x:v>ALT_MARKET_TEST</x:v>
      </x:c>
      <x:c r="W248" s="31" t="str">
        <x:v>EXP-01</x:v>
      </x:c>
      <x:c r="X248" s="31" t="str">
        <x:v>K ARM</x:v>
      </x:c>
      <x:c r="Y248" s="31" t="str">
        <x:v>P03-015</x:v>
      </x:c>
      <x:c r="Z248" s="31" t="str">
        <x:v>If Skubal's edge is primarily swing-and-miss, 8+ Ks should beat hits-allowed suppression at similar price.</x:v>
      </x:c>
      <x:c r="AA248" s="31" t="str">
        <x:v>Low-hit dominance with seven or fewer Ks favors HA under.</x:v>
      </x:c>
      <x:c r="AB248" s="31"/>
    </x:row>
    <x:row r="249">
      <x:c r="A249" s="79" t="str">
        <x:v>2026-09-03</x:v>
      </x:c>
      <x:c r="B249" s="31" t="str">
        <x:v>P03-017</x:v>
      </x:c>
      <x:c r="C249" s="31" t="str">
        <x:v>S03-R08</x:v>
      </x:c>
      <x:c r="D249" s="31" t="str">
        <x:v>PAPER</x:v>
      </x:c>
      <x:c r="E249" s="31" t="str">
        <x:v>MLB</x:v>
      </x:c>
      <x:c r="F249" s="31" t="str">
        <x:v>STL @ LAD</x:v>
      </x:c>
      <x:c r="G249" s="31" t="str">
        <x:v>Tarik Skubal</x:v>
      </x:c>
      <x:c r="H249" s="31" t="str">
        <x:v>Hits Allowed</x:v>
      </x:c>
      <x:c r="I249" s="31" t="str">
        <x:v>Over 4.5 hits allowed</x:v>
      </x:c>
      <x:c r="J249" s="80" t="n">
        <x:v>101</x:v>
      </x:c>
      <x:c r="K249" s="31" t="str">
        <x:v>SOURCED</x:v>
      </x:c>
      <x:c r="L249" s="31" t="str">
        <x:v>WATCH</x:v>
      </x:c>
      <x:c r="M249" s="31" t="str">
        <x:v>Challenger to source '4+ hits allowed' trend; DK requires 5+, so this intentionally tests threshold deterioration.</x:v>
      </x:c>
      <x:c r="N249" s="31" t="str">
        <x:v>N</x:v>
      </x:c>
      <x:c r="O249" s="31" t="str">
        <x:v>Pending</x:v>
      </x:c>
      <x:c r="P249" s="31" t="str"/>
      <x:c r="Q249" s="33" t="n">
        <x:v>0</x:v>
      </x:c>
      <x:c r="R249" s="33"/>
      <x:c r="S249" s="31"/>
      <x:c r="T249" s="32" t="str"/>
      <x:c r="U249" s="31" t="str">
        <x:v>Exact DK O4.5 +101. Source trend was 4+ HA, not 5+; do not conflate.</x:v>
      </x:c>
      <x:c r="V249" s="31" t="str">
        <x:v>ALT_THRESHOLD_TEST</x:v>
      </x:c>
      <x:c r="W249" s="31" t="str">
        <x:v>EXP-06</x:v>
      </x:c>
      <x:c r="X249" s="31" t="str">
        <x:v>SOURCE-TREND THRESHOLD CHALLENGER</x:v>
      </x:c>
      <x:c r="Y249" s="31" t="str">
        <x:v>P03-015</x:v>
      </x:c>
      <x:c r="Z249" s="31" t="str">
        <x:v>A strong 4+ hit trend may not survive moving the required threshold to five hits.</x:v>
      </x:c>
      <x:c r="AA249" s="31" t="str">
        <x:v>Four hits exactly or fewer shows that one-hit threshold inflation destroys the apparent trend edge.</x:v>
      </x:c>
      <x:c r="AB249" s="31"/>
    </x:row>
    <x:row r="250">
      <x:c r="A250" s="79" t="str">
        <x:v>2026-09-03</x:v>
      </x:c>
      <x:c r="B250" s="31" t="str">
        <x:v>P03-018</x:v>
      </x:c>
      <x:c r="C250" s="31" t="str">
        <x:v>S03-R07</x:v>
      </x:c>
      <x:c r="D250" s="31" t="str">
        <x:v>PAPER</x:v>
      </x:c>
      <x:c r="E250" s="31" t="str">
        <x:v>MLB</x:v>
      </x:c>
      <x:c r="F250" s="31" t="str">
        <x:v>STL @ LAD</x:v>
      </x:c>
      <x:c r="G250" s="31" t="str">
        <x:v>Mookie Betts</x:v>
      </x:c>
      <x:c r="H250" s="31" t="str">
        <x:v>H+R+RBI</x:v>
      </x:c>
      <x:c r="I250" s="31" t="str">
        <x:v>2+ H+R+RBI</x:v>
      </x:c>
      <x:c r="J250" s="80" t="n">
        <x:v>-141</x:v>
      </x:c>
      <x:c r="K250" s="31" t="str">
        <x:v>HYBRID</x:v>
      </x:c>
      <x:c r="L250" s="31" t="str">
        <x:v>A-</x:v>
      </x:c>
      <x:c r="M250" s="31" t="str">
        <x:v>Broad involvement arm and strongest observed Mookie expression.</x:v>
      </x:c>
      <x:c r="N250" s="31" t="str">
        <x:v>N</x:v>
      </x:c>
      <x:c r="O250" s="31" t="str">
        <x:v>Pending</x:v>
      </x:c>
      <x:c r="P250" s="31" t="str"/>
      <x:c r="Q250" s="33" t="n">
        <x:v>0</x:v>
      </x:c>
      <x:c r="R250" s="33"/>
      <x:c r="S250" s="31"/>
      <x:c r="T250" s="32" t="str"/>
      <x:c r="U250" s="31" t="str">
        <x:v>Exact DK price captured pregame.</x:v>
      </x:c>
      <x:c r="V250" s="31" t="str">
        <x:v>ALT_MARKET_TEST</x:v>
      </x:c>
      <x:c r="W250" s="31" t="str">
        <x:v>EXP-03</x:v>
      </x:c>
      <x:c r="X250" s="31" t="str">
        <x:v>HRR ARM</x:v>
      </x:c>
      <x:c r="Y250" s="31" t="str">
        <x:v>P03-019;P03-020</x:v>
      </x:c>
      <x:c r="Z250" s="31" t="str">
        <x:v>Broad LAD offensive edge should be more resilient in HRR than TB.</x:v>
      </x:c>
      <x:c r="AA250" s="31" t="str">
        <x:v>Mookie reaches two bases but fails to add run/RBI context often enough to make TB superior.</x:v>
      </x:c>
      <x:c r="AB250" s="31"/>
    </x:row>
    <x:row r="251">
      <x:c r="A251" s="79" t="str">
        <x:v>2026-09-03</x:v>
      </x:c>
      <x:c r="B251" s="31" t="str">
        <x:v>P03-019</x:v>
      </x:c>
      <x:c r="C251" s="31" t="str">
        <x:v>S03-R07</x:v>
      </x:c>
      <x:c r="D251" s="31" t="str">
        <x:v>PAPER</x:v>
      </x:c>
      <x:c r="E251" s="31" t="str">
        <x:v>MLB</x:v>
      </x:c>
      <x:c r="F251" s="31" t="str">
        <x:v>STL @ LAD</x:v>
      </x:c>
      <x:c r="G251" s="31" t="str">
        <x:v>Mookie Betts</x:v>
      </x:c>
      <x:c r="H251" s="31" t="str">
        <x:v>Total Bases</x:v>
      </x:c>
      <x:c r="I251" s="31" t="str">
        <x:v>2+ total bases</x:v>
      </x:c>
      <x:c r="J251" s="80" t="n">
        <x:v>116</x:v>
      </x:c>
      <x:c r="K251" s="31" t="str">
        <x:v>HYBRID</x:v>
      </x:c>
      <x:c r="L251" s="31" t="str">
        <x:v>A-</x:v>
      </x:c>
      <x:c r="M251" s="31" t="str">
        <x:v>Plus-money damage challenger to HRR.</x:v>
      </x:c>
      <x:c r="N251" s="31" t="str">
        <x:v>N</x:v>
      </x:c>
      <x:c r="O251" s="31" t="str">
        <x:v>Pending</x:v>
      </x:c>
      <x:c r="P251" s="31" t="str"/>
      <x:c r="Q251" s="33" t="n">
        <x:v>0</x:v>
      </x:c>
      <x:c r="R251" s="33"/>
      <x:c r="S251" s="31"/>
      <x:c r="T251" s="32" t="str"/>
      <x:c r="U251" s="31" t="str">
        <x:v>Exact DK price captured pregame.</x:v>
      </x:c>
      <x:c r="V251" s="31" t="str">
        <x:v>ALT_MARKET_TEST</x:v>
      </x:c>
      <x:c r="W251" s="31" t="str">
        <x:v>EXP-03</x:v>
      </x:c>
      <x:c r="X251" s="31" t="str">
        <x:v>TB ARM</x:v>
      </x:c>
      <x:c r="Y251" s="31" t="str">
        <x:v>P03-018</x:v>
      </x:c>
      <x:c r="Z251" s="31" t="str">
        <x:v>If contact quality rather than sequencing drives the edge, +116 TB can outperform HRR juice.</x:v>
      </x:c>
      <x:c r="AA251" s="31" t="str">
        <x:v>Single plus run/RBI clears HRR while TB stays below two.</x:v>
      </x:c>
      <x:c r="AB251" s="31"/>
    </x:row>
    <x:row r="252">
      <x:c r="A252" s="79" t="str">
        <x:v>2026-09-03</x:v>
      </x:c>
      <x:c r="B252" s="31" t="str">
        <x:v>P03-020</x:v>
      </x:c>
      <x:c r="C252" s="31" t="str">
        <x:v>S03-R07</x:v>
      </x:c>
      <x:c r="D252" s="31" t="str">
        <x:v>PAPER</x:v>
      </x:c>
      <x:c r="E252" s="31" t="str">
        <x:v>MLB</x:v>
      </x:c>
      <x:c r="F252" s="31" t="str">
        <x:v>STL @ LAD</x:v>
      </x:c>
      <x:c r="G252" s="31" t="str">
        <x:v>Mookie Betts</x:v>
      </x:c>
      <x:c r="H252" s="31" t="str">
        <x:v>Hits</x:v>
      </x:c>
      <x:c r="I252" s="31" t="str">
        <x:v>1+ hit</x:v>
      </x:c>
      <x:c r="J252" s="80" t="n">
        <x:v>-261</x:v>
      </x:c>
      <x:c r="K252" s="31" t="str">
        <x:v>HYBRID</x:v>
      </x:c>
      <x:c r="L252" s="31" t="str">
        <x:v>WATCH</x:v>
      </x:c>
      <x:c r="M252" s="31" t="str">
        <x:v>Expensive hit-glue control against HRR/TB.</x:v>
      </x:c>
      <x:c r="N252" s="31" t="str">
        <x:v>N</x:v>
      </x:c>
      <x:c r="O252" s="31" t="str">
        <x:v>Pending</x:v>
      </x:c>
      <x:c r="P252" s="31" t="str"/>
      <x:c r="Q252" s="33" t="n">
        <x:v>0</x:v>
      </x:c>
      <x:c r="R252" s="33"/>
      <x:c r="S252" s="31"/>
      <x:c r="T252" s="32" t="str"/>
      <x:c r="U252" s="31" t="str">
        <x:v>Exact DK price captured pregame.</x:v>
      </x:c>
      <x:c r="V252" s="31" t="str">
        <x:v>ALT_MARKET_TEST</x:v>
      </x:c>
      <x:c r="W252" s="31" t="str">
        <x:v>EXP-26</x:v>
      </x:c>
      <x:c r="X252" s="31" t="str">
        <x:v>1+ HIT GLUE ARM</x:v>
      </x:c>
      <x:c r="Y252" s="31" t="str">
        <x:v>P03-018</x:v>
      </x:c>
      <x:c r="Z252" s="31" t="str">
        <x:v>High hit probability may still be economically inferior after -261 price tax.</x:v>
      </x:c>
      <x:c r="AA252" s="31" t="str">
        <x:v>Lower variance produces superior price-adjusted ROI over paired samples.</x:v>
      </x:c>
      <x:c r="AB252" s="31"/>
    </x:row>
    <x:row r="253">
      <x:c r="A253" s="79" t="str">
        <x:v>2026-09-03</x:v>
      </x:c>
      <x:c r="B253" s="31" t="str">
        <x:v>P03-021</x:v>
      </x:c>
      <x:c r="C253" s="31" t="str">
        <x:v>S03-R03;S03-R04;S03-R06</x:v>
      </x:c>
      <x:c r="D253" s="31" t="str">
        <x:v>PAPER</x:v>
      </x:c>
      <x:c r="E253" s="31" t="str">
        <x:v>MLB</x:v>
      </x:c>
      <x:c r="F253" s="31" t="str">
        <x:v>MIL @ CHC</x:v>
      </x:c>
      <x:c r="G253" s="31" t="str">
        <x:v>Chourio + Contreras + Gausman</x:v>
      </x:c>
      <x:c r="H253" s="31" t="str">
        <x:v>3-leg SGP</x:v>
      </x:c>
      <x:c r="I253" s="31" t="str">
        <x:v>Chourio 2+ HRR + Contreras 2+ HRR + Gausman O4.5 hits allowed</x:v>
      </x:c>
      <x:c r="J253" s="80"/>
      <x:c r="K253" s="31" t="str">
        <x:v>HYBRID</x:v>
      </x:c>
      <x:c r="L253" s="31" t="str">
        <x:v>A-</x:v>
      </x:c>
      <x:c r="M253" s="31" t="str">
        <x:v>Pure same-game construction control versus the real 2+1 SGPx.</x:v>
      </x:c>
      <x:c r="N253" s="31" t="str">
        <x:v>N</x:v>
      </x:c>
      <x:c r="O253" s="31" t="str">
        <x:v>Pending</x:v>
      </x:c>
      <x:c r="P253" s="31" t="str"/>
      <x:c r="Q253" s="33" t="str"/>
      <x:c r="R253" s="33"/>
      <x:c r="S253" s="31"/>
      <x:c r="T253" s="32" t="str"/>
      <x:c r="U253" s="31" t="str">
        <x:v>Combined raw odds were not captured; do not fabricate.</x:v>
      </x:c>
      <x:c r="V253" s="31" t="str">
        <x:v>CONSTRUCTION_TEST</x:v>
      </x:c>
      <x:c r="W253" s="31" t="str">
        <x:v>EXP-20</x:v>
      </x:c>
      <x:c r="X253" s="31" t="str">
        <x:v>PURE SGP ARM</x:v>
      </x:c>
      <x:c r="Y253" s="31" t="str">
        <x:v>S03-T03</x:v>
      </x:c>
      <x:c r="Z253" s="31" t="str">
        <x:v>If all three MIL-contact legs share a valid mechanism, a concentrated SGP may outperform adding an independent outside leg.</x:v>
      </x:c>
      <x:c r="AA253" s="31" t="str">
        <x:v>One Milwaukee thesis failure wipes all three correlated legs while the independent Kade leg would have diversified the real SGPx.</x:v>
      </x:c>
      <x:c r="AB253" s="31"/>
    </x:row>
    <x:row r="254">
      <x:c r="A254" s="79" t="str">
        <x:v>2026-09-03</x:v>
      </x:c>
      <x:c r="B254" s="31" t="str">
        <x:v>P03-022</x:v>
      </x:c>
      <x:c r="C254" s="31"/>
      <x:c r="D254" s="31" t="str">
        <x:v>PAPER</x:v>
      </x:c>
      <x:c r="E254" s="31" t="str">
        <x:v>MLB</x:v>
      </x:c>
      <x:c r="F254" s="31" t="str">
        <x:v>ATH @ SEA</x:v>
      </x:c>
      <x:c r="G254" s="31" t="str">
        <x:v>Seattle Mariners</x:v>
      </x:c>
      <x:c r="H254" s="31" t="str">
        <x:v>Moneyline</x:v>
      </x:c>
      <x:c r="I254" s="31" t="str">
        <x:v>SEA ML</x:v>
      </x:c>
      <x:c r="J254" s="80"/>
      <x:c r="K254" s="31" t="str">
        <x:v>SOURCED</x:v>
      </x:c>
      <x:c r="L254" s="31" t="str">
        <x:v>WATCH</x:v>
      </x:c>
      <x:c r="M254" s="31" t="str">
        <x:v>Source game-pick model listed Seattle at 65%; preserve for calibration only.</x:v>
      </x:c>
      <x:c r="N254" s="31" t="str">
        <x:v>N</x:v>
      </x:c>
      <x:c r="O254" s="31" t="str">
        <x:v>Pending</x:v>
      </x:c>
      <x:c r="P254" s="31" t="str"/>
      <x:c r="Q254" s="33" t="str"/>
      <x:c r="R254" s="33"/>
      <x:c r="S254" s="31"/>
      <x:c r="T254" s="32" t="str"/>
      <x:c r="U254" s="31" t="str">
        <x:v>Exact DK ML price not captured; no price-adjusted inference yet.</x:v>
      </x:c>
      <x:c r="V254" s="31" t="str">
        <x:v>SOURCE_CALIBRATION_TEST</x:v>
      </x:c>
      <x:c r="W254" s="31" t="str">
        <x:v>EXP-27</x:v>
      </x:c>
      <x:c r="X254" s="31" t="str">
        <x:v>65% ML ARM</x:v>
      </x:c>
      <x:c r="Y254" s="31"/>
      <x:c r="Z254" s="31" t="str">
        <x:v>If the source probability contains signal, the 65% bucket should calibrate over a large prospective sample.</x:v>
      </x:c>
      <x:c r="AA254" s="31" t="str">
        <x:v>Repeated underperformance versus stated probability or market baseline weakens the source signal.</x:v>
      </x:c>
      <x:c r="AB254" s="31"/>
    </x:row>
    <x:row r="255">
      <x:c r="A255" s="79" t="str">
        <x:v>2026-09-03</x:v>
      </x:c>
      <x:c r="B255" s="31" t="str">
        <x:v>P03-023</x:v>
      </x:c>
      <x:c r="C255" s="31"/>
      <x:c r="D255" s="31" t="str">
        <x:v>PAPER</x:v>
      </x:c>
      <x:c r="E255" s="31" t="str">
        <x:v>MLB</x:v>
      </x:c>
      <x:c r="F255" s="31" t="str">
        <x:v>STL @ LAD</x:v>
      </x:c>
      <x:c r="G255" s="31" t="str">
        <x:v>Los Angeles Dodgers</x:v>
      </x:c>
      <x:c r="H255" s="31" t="str">
        <x:v>Moneyline</x:v>
      </x:c>
      <x:c r="I255" s="31" t="str">
        <x:v>LAD ML</x:v>
      </x:c>
      <x:c r="J255" s="80"/>
      <x:c r="K255" s="31" t="str">
        <x:v>SOURCED</x:v>
      </x:c>
      <x:c r="L255" s="31" t="str">
        <x:v>WATCH</x:v>
      </x:c>
      <x:c r="M255" s="31" t="str">
        <x:v>Source game-pick model listed LAD at 67%; calibration observation only.</x:v>
      </x:c>
      <x:c r="N255" s="31" t="str">
        <x:v>N</x:v>
      </x:c>
      <x:c r="O255" s="31" t="str">
        <x:v>Pending</x:v>
      </x:c>
      <x:c r="P255" s="31" t="str"/>
      <x:c r="Q255" s="33" t="str"/>
      <x:c r="R255" s="33"/>
      <x:c r="S255" s="31"/>
      <x:c r="T255" s="32" t="str"/>
      <x:c r="U255" s="31" t="str">
        <x:v>Exact DK ML price not captured.</x:v>
      </x:c>
      <x:c r="V255" s="31" t="str">
        <x:v>SOURCE_CALIBRATION_TEST</x:v>
      </x:c>
      <x:c r="W255" s="31" t="str">
        <x:v>EXP-27</x:v>
      </x:c>
      <x:c r="X255" s="31" t="str">
        <x:v>67% ML ARM</x:v>
      </x:c>
      <x:c r="Y255" s="31"/>
      <x:c r="Z255" s="31" t="str">
        <x:v>A 67% source signal should contribute positively to calibration over a large sample if the ranking is useful.</x:v>
      </x:c>
      <x:c r="AA255" s="31" t="str">
        <x:v>Persistent misses or poor price-adjusted ROI weakens the source score.</x:v>
      </x:c>
      <x:c r="AB255" s="31"/>
    </x:row>
    <x:row r="256">
      <x:c r="A256" s="79" t="str">
        <x:v>2026-09-03</x:v>
      </x:c>
      <x:c r="B256" s="31" t="str">
        <x:v>P03-024</x:v>
      </x:c>
      <x:c r="C256" s="31"/>
      <x:c r="D256" s="31" t="str">
        <x:v>PAPER</x:v>
      </x:c>
      <x:c r="E256" s="31" t="str">
        <x:v>MLB</x:v>
      </x:c>
      <x:c r="F256" s="31" t="str">
        <x:v>SF @ PIT</x:v>
      </x:c>
      <x:c r="G256" s="31" t="str">
        <x:v>Blade Tidwell</x:v>
      </x:c>
      <x:c r="H256" s="31" t="str">
        <x:v>Strikeout Under</x:v>
      </x:c>
      <x:c r="I256" s="31" t="str">
        <x:v>Under 4.5 strikeouts</x:v>
      </x:c>
      <x:c r="J256" s="80"/>
      <x:c r="K256" s="31" t="str">
        <x:v>SOURCED</x:v>
      </x:c>
      <x:c r="L256" s="31" t="str">
        <x:v>WATCH</x:v>
      </x:c>
      <x:c r="M256" s="31" t="str">
        <x:v>External optimizer flagged +6.4% EV; preserve as prospective source-model observation.</x:v>
      </x:c>
      <x:c r="N256" s="31" t="str">
        <x:v>N</x:v>
      </x:c>
      <x:c r="O256" s="31" t="str">
        <x:v>Pending</x:v>
      </x:c>
      <x:c r="P256" s="31" t="str"/>
      <x:c r="Q256" s="33" t="str"/>
      <x:c r="R256" s="33"/>
      <x:c r="S256" s="31"/>
      <x:c r="T256" s="32" t="str"/>
      <x:c r="U256" s="31" t="str">
        <x:v>Exact DK under price was not captured before first pitch; do not invent.</x:v>
      </x:c>
      <x:c r="V256" s="31" t="str">
        <x:v>HYPOTHESIS_TEST</x:v>
      </x:c>
      <x:c r="W256" s="31" t="str">
        <x:v>EXP-02</x:v>
      </x:c>
      <x:c r="X256" s="31" t="str">
        <x:v>K UNDER ARM</x:v>
      </x:c>
      <x:c r="Y256" s="31"/>
      <x:c r="Z256" s="31" t="str">
        <x:v>Optimizer K-under signal may identify exceptions to our general skepticism of routine K unders.</x:v>
      </x:c>
      <x:c r="AA256" s="31" t="str">
        <x:v>If K unders continue to fail despite source EV flags and workload controls, keep routine unders suspended.</x:v>
      </x:c>
      <x:c r="AB256" s="31"/>
    </x:row>
    <x:row r="257">
      <x:c r="A257" s="79" t="str">
        <x:v>2026-09-03</x:v>
      </x:c>
      <x:c r="B257" s="31" t="str">
        <x:v>P03-025</x:v>
      </x:c>
      <x:c r="C257" s="31"/>
      <x:c r="D257" s="31" t="str">
        <x:v>PAPER</x:v>
      </x:c>
      <x:c r="E257" s="31" t="str">
        <x:v>MLB</x:v>
      </x:c>
      <x:c r="F257" s="31" t="str">
        <x:v>TOR @ CLE</x:v>
      </x:c>
      <x:c r="G257" s="31" t="str">
        <x:v>Jose Soriano</x:v>
      </x:c>
      <x:c r="H257" s="31" t="str">
        <x:v>Pitcher Outs</x:v>
      </x:c>
      <x:c r="I257" s="31" t="str">
        <x:v>Over 16.5 outs</x:v>
      </x:c>
      <x:c r="J257" s="80"/>
      <x:c r="K257" s="31" t="str">
        <x:v>SOURCED</x:v>
      </x:c>
      <x:c r="L257" s="31" t="str">
        <x:v>WATCH</x:v>
      </x:c>
      <x:c r="M257" s="31" t="str">
        <x:v>External optimizer flagged +7.8% EV; workload expression fits EXP-01.</x:v>
      </x:c>
      <x:c r="N257" s="31" t="str">
        <x:v>N</x:v>
      </x:c>
      <x:c r="O257" s="31" t="str">
        <x:v>Pending</x:v>
      </x:c>
      <x:c r="P257" s="31" t="str"/>
      <x:c r="Q257" s="33" t="str"/>
      <x:c r="R257" s="33"/>
      <x:c r="S257" s="31"/>
      <x:c r="T257" s="32" t="str"/>
      <x:c r="U257" s="31" t="str">
        <x:v>Exact DK outs price not captured before game; do not invent.</x:v>
      </x:c>
      <x:c r="V257" s="31" t="str">
        <x:v>HYPOTHESIS_TEST</x:v>
      </x:c>
      <x:c r="W257" s="31" t="str">
        <x:v>EXP-01</x:v>
      </x:c>
      <x:c r="X257" s="31" t="str">
        <x:v>OUTS ARM</x:v>
      </x:c>
      <x:c r="Y257" s="31"/>
      <x:c r="Z257" s="31" t="str">
        <x:v>If the optimizer's workload signal is real, O16.5 outs should outperform comparable K markets over prospective samples.</x:v>
      </x:c>
      <x:c r="AA257" s="31" t="str">
        <x:v>Short leash/inefficiency or poor price transfer from source to DK would weaken the signal.</x:v>
      </x:c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 t="str">
        <x:f>IF(O258="Win",1,IF(O258="Loss",0,""))</x:f>
      </x:c>
      <x:c r="Q258" s="33" t="str">
        <x:f>IF(OR(O258="",J258=""),"",IF(O258="Win",IF(J258&gt;0,1+J258/100,1+100/ABS(J258)),IF(O258="Push",1,0)))</x:f>
      </x:c>
      <x:c r="R258" s="33" t="str">
        <x:f>IF(Q258="","",Q258-1)</x:f>
      </x:c>
      <x:c r="S258" s="31"/>
      <x:c r="T258" s="32" t="str">
        <x:f>IF(OR(J258="",S258=""),"",IF(J258&gt;0,100/(J258+100),ABS(J258)/(ABS(J258)+100))-IF(S258&gt;0,100/(S258+100),ABS(S258)/(ABS(S258)+100)))</x:f>
      </x:c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 t="str">
        <x:f>IF(O259="Win",1,IF(O259="Loss",0,""))</x:f>
      </x:c>
      <x:c r="Q259" s="33" t="str">
        <x:f>IF(OR(O259="",J259=""),"",IF(O259="Win",IF(J259&gt;0,1+J259/100,1+100/ABS(J259)),IF(O259="Push",1,0)))</x:f>
      </x:c>
      <x:c r="R259" s="33" t="str">
        <x:f>IF(Q259="","",Q259-1)</x:f>
      </x:c>
      <x:c r="S259" s="31"/>
      <x:c r="T259" s="32" t="str">
        <x:f>IF(OR(J259="",S259=""),"",IF(J259&gt;0,100/(J259+100),ABS(J259)/(ABS(J259)+100))-IF(S259&gt;0,100/(S259+100),ABS(S259)/(ABS(S259)+100)))</x:f>
      </x:c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 t="str">
        <x:f>IF(O260="Win",1,IF(O260="Loss",0,""))</x:f>
      </x:c>
      <x:c r="Q260" s="33" t="str">
        <x:f>IF(OR(O260="",J260=""),"",IF(O260="Win",IF(J260&gt;0,1+J260/100,1+100/ABS(J260)),IF(O260="Push",1,0)))</x:f>
      </x:c>
      <x:c r="R260" s="33" t="str">
        <x:f>IF(Q260="","",Q260-1)</x:f>
      </x:c>
      <x:c r="S260" s="31"/>
      <x:c r="T260" s="32" t="str">
        <x:f>IF(OR(J260="",S260=""),"",IF(J260&gt;0,100/(J260+100),ABS(J260)/(ABS(J260)+100))-IF(S260&gt;0,100/(S260+100),ABS(S260)/(ABS(S260)+100)))</x:f>
      </x:c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 t="str">
        <x:f>IF(O261="Win",1,IF(O261="Loss",0,""))</x:f>
      </x:c>
      <x:c r="Q261" s="33" t="str">
        <x:f>IF(OR(O261="",J261=""),"",IF(O261="Win",IF(J261&gt;0,1+J261/100,1+100/ABS(J261)),IF(O261="Push",1,0)))</x:f>
      </x:c>
      <x:c r="R261" s="33" t="str">
        <x:f>IF(Q261="","",Q261-1)</x:f>
      </x:c>
      <x:c r="S261" s="31"/>
      <x:c r="T261" s="32" t="str">
        <x:f>IF(OR(J261="",S261=""),"",IF(J261&gt;0,100/(J261+100),ABS(J261)/(ABS(J261)+100))-IF(S261&gt;0,100/(S261+100),ABS(S261)/(ABS(S261)+100)))</x:f>
      </x:c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 t="str">
        <x:f>IF(O262="Win",1,IF(O262="Loss",0,""))</x:f>
      </x:c>
      <x:c r="Q262" s="33" t="str">
        <x:f>IF(OR(O262="",J262=""),"",IF(O262="Win",IF(J262&gt;0,1+J262/100,1+100/ABS(J262)),IF(O262="Push",1,0)))</x:f>
      </x:c>
      <x:c r="R262" s="33" t="str">
        <x:f>IF(Q262="","",Q262-1)</x:f>
      </x:c>
      <x:c r="S262" s="31"/>
      <x:c r="T262" s="32" t="str">
        <x:f>IF(OR(J262="",S262=""),"",IF(J262&gt;0,100/(J262+100),ABS(J262)/(ABS(J262)+100))-IF(S262&gt;0,100/(S262+100),ABS(S262)/(ABS(S262)+100)))</x:f>
      </x:c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 t="str">
        <x:f>IF(O263="Win",1,IF(O263="Loss",0,""))</x:f>
      </x:c>
      <x:c r="Q263" s="33" t="str">
        <x:f>IF(OR(O263="",J263=""),"",IF(O263="Win",IF(J263&gt;0,1+J263/100,1+100/ABS(J263)),IF(O263="Push",1,0)))</x:f>
      </x:c>
      <x:c r="R263" s="33" t="str">
        <x:f>IF(Q263="","",Q263-1)</x:f>
      </x:c>
      <x:c r="S263" s="31"/>
      <x:c r="T263" s="32" t="str">
        <x:f>IF(OR(J263="",S263=""),"",IF(J263&gt;0,100/(J263+100),ABS(J263)/(ABS(J263)+100))-IF(S263&gt;0,100/(S263+100),ABS(S263)/(ABS(S263)+100)))</x:f>
      </x:c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 t="str">
        <x:f>IF(O264="Win",1,IF(O264="Loss",0,""))</x:f>
      </x:c>
      <x:c r="Q264" s="33" t="str">
        <x:f>IF(OR(O264="",J264=""),"",IF(O264="Win",IF(J264&gt;0,1+J264/100,1+100/ABS(J264)),IF(O264="Push",1,0)))</x:f>
      </x:c>
      <x:c r="R264" s="33" t="str">
        <x:f>IF(Q264="","",Q264-1)</x:f>
      </x:c>
      <x:c r="S264" s="31"/>
      <x:c r="T264" s="32" t="str">
        <x:f>IF(OR(J264="",S264=""),"",IF(J264&gt;0,100/(J264+100),ABS(J264)/(ABS(J264)+100))-IF(S264&gt;0,100/(S264+100),ABS(S264)/(ABS(S264)+100)))</x:f>
      </x:c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 t="str">
        <x:f>IF(O265="Win",1,IF(O265="Loss",0,""))</x:f>
      </x:c>
      <x:c r="Q265" s="33" t="str">
        <x:f>IF(OR(O265="",J265=""),"",IF(O265="Win",IF(J265&gt;0,1+J265/100,1+100/ABS(J265)),IF(O265="Push",1,0)))</x:f>
      </x:c>
      <x:c r="R265" s="33" t="str">
        <x:f>IF(Q265="","",Q265-1)</x:f>
      </x:c>
      <x:c r="S265" s="31"/>
      <x:c r="T265" s="32" t="str">
        <x:f>IF(OR(J265="",S265=""),"",IF(J265&gt;0,100/(J265+100),ABS(J265)/(ABS(J265)+100))-IF(S265&gt;0,100/(S265+100),ABS(S265)/(ABS(S265)+100)))</x:f>
      </x:c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 t="str">
        <x:f>IF(O266="Win",1,IF(O266="Loss",0,""))</x:f>
      </x:c>
      <x:c r="Q266" s="33" t="str">
        <x:f>IF(OR(O266="",J266=""),"",IF(O266="Win",IF(J266&gt;0,1+J266/100,1+100/ABS(J266)),IF(O266="Push",1,0)))</x:f>
      </x:c>
      <x:c r="R266" s="33" t="str">
        <x:f>IF(Q266="","",Q266-1)</x:f>
      </x:c>
      <x:c r="S266" s="31"/>
      <x:c r="T266" s="32" t="str">
        <x:f>IF(OR(J266="",S266=""),"",IF(J266&gt;0,100/(J266+100),ABS(J266)/(ABS(J266)+100))-IF(S266&gt;0,100/(S266+100),ABS(S266)/(ABS(S266)+100)))</x:f>
      </x:c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 t="str">
        <x:f>IF(O267="Win",1,IF(O267="Loss",0,""))</x:f>
      </x:c>
      <x:c r="Q267" s="33" t="str">
        <x:f>IF(OR(O267="",J267=""),"",IF(O267="Win",IF(J267&gt;0,1+J267/100,1+100/ABS(J267)),IF(O267="Push",1,0)))</x:f>
      </x:c>
      <x:c r="R267" s="33" t="str">
        <x:f>IF(Q267="","",Q267-1)</x:f>
      </x:c>
      <x:c r="S267" s="31"/>
      <x:c r="T267" s="32" t="str">
        <x:f>IF(OR(J267="",S267=""),"",IF(J267&gt;0,100/(J267+100),ABS(J267)/(ABS(J267)+100))-IF(S267&gt;0,100/(S267+100),ABS(S267)/(ABS(S267)+100)))</x:f>
      </x:c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 t="str">
        <x:f>IF(O268="Win",1,IF(O268="Loss",0,""))</x:f>
      </x:c>
      <x:c r="Q268" s="33" t="str">
        <x:f>IF(OR(O268="",J268=""),"",IF(O268="Win",IF(J268&gt;0,1+J268/100,1+100/ABS(J268)),IF(O268="Push",1,0)))</x:f>
      </x:c>
      <x:c r="R268" s="33" t="str">
        <x:f>IF(Q268="","",Q268-1)</x:f>
      </x:c>
      <x:c r="S268" s="31"/>
      <x:c r="T268" s="32" t="str">
        <x:f>IF(OR(J268="",S268=""),"",IF(J268&gt;0,100/(J268+100),ABS(J268)/(ABS(J268)+100))-IF(S268&gt;0,100/(S268+100),ABS(S268)/(ABS(S268)+100)))</x:f>
      </x:c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 t="str">
        <x:f>IF(O269="Win",1,IF(O269="Loss",0,""))</x:f>
      </x:c>
      <x:c r="Q269" s="33" t="str">
        <x:f>IF(OR(O269="",J269=""),"",IF(O269="Win",IF(J269&gt;0,1+J269/100,1+100/ABS(J269)),IF(O269="Push",1,0)))</x:f>
      </x:c>
      <x:c r="R269" s="33" t="str">
        <x:f>IF(Q269="","",Q269-1)</x:f>
      </x:c>
      <x:c r="S269" s="31"/>
      <x:c r="T269" s="32" t="str">
        <x:f>IF(OR(J269="",S269=""),"",IF(J269&gt;0,100/(J269+100),ABS(J269)/(ABS(J269)+100))-IF(S269&gt;0,100/(S269+100),ABS(S269)/(ABS(S269)+100)))</x:f>
      </x:c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 t="str">
        <x:f>IF(O270="Win",1,IF(O270="Loss",0,""))</x:f>
      </x:c>
      <x:c r="Q270" s="33" t="str">
        <x:f>IF(OR(O270="",J270=""),"",IF(O270="Win",IF(J270&gt;0,1+J270/100,1+100/ABS(J270)),IF(O270="Push",1,0)))</x:f>
      </x:c>
      <x:c r="R270" s="33" t="str">
        <x:f>IF(Q270="","",Q270-1)</x:f>
      </x:c>
      <x:c r="S270" s="31"/>
      <x:c r="T270" s="32" t="str">
        <x:f>IF(OR(J270="",S270=""),"",IF(J270&gt;0,100/(J270+100),ABS(J270)/(ABS(J270)+100))-IF(S270&gt;0,100/(S270+100),ABS(S270)/(ABS(S270)+100)))</x:f>
      </x:c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 t="str">
        <x:f>IF(O271="Win",1,IF(O271="Loss",0,""))</x:f>
      </x:c>
      <x:c r="Q271" s="33" t="str">
        <x:f>IF(OR(O271="",J271=""),"",IF(O271="Win",IF(J271&gt;0,1+J271/100,1+100/ABS(J271)),IF(O271="Push",1,0)))</x:f>
      </x:c>
      <x:c r="R271" s="33" t="str">
        <x:f>IF(Q271="","",Q271-1)</x:f>
      </x:c>
      <x:c r="S271" s="31"/>
      <x:c r="T271" s="32" t="str">
        <x:f>IF(OR(J271="",S271=""),"",IF(J271&gt;0,100/(J271+100),ABS(J271)/(ABS(J271)+100))-IF(S271&gt;0,100/(S271+100),ABS(S271)/(ABS(S271)+100)))</x:f>
      </x:c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 t="str">
        <x:f>IF(O272="Win",1,IF(O272="Loss",0,""))</x:f>
      </x:c>
      <x:c r="Q272" s="33" t="str">
        <x:f>IF(OR(O272="",J272=""),"",IF(O272="Win",IF(J272&gt;0,1+J272/100,1+100/ABS(J272)),IF(O272="Push",1,0)))</x:f>
      </x:c>
      <x:c r="R272" s="33" t="str">
        <x:f>IF(Q272="","",Q272-1)</x:f>
      </x:c>
      <x:c r="S272" s="31"/>
      <x:c r="T272" s="32" t="str">
        <x:f>IF(OR(J272="",S272=""),"",IF(J272&gt;0,100/(J272+100),ABS(J272)/(ABS(J272)+100))-IF(S272&gt;0,100/(S272+100),ABS(S272)/(ABS(S272)+100)))</x:f>
      </x:c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 t="str">
        <x:f>IF(O273="Win",1,IF(O273="Loss",0,""))</x:f>
      </x:c>
      <x:c r="Q273" s="33" t="str">
        <x:f>IF(OR(O273="",J273=""),"",IF(O273="Win",IF(J273&gt;0,1+J273/100,1+100/ABS(J273)),IF(O273="Push",1,0)))</x:f>
      </x:c>
      <x:c r="R273" s="33" t="str">
        <x:f>IF(Q273="","",Q273-1)</x:f>
      </x:c>
      <x:c r="S273" s="31"/>
      <x:c r="T273" s="32" t="str">
        <x:f>IF(OR(J273="",S273=""),"",IF(J273&gt;0,100/(J273+100),ABS(J273)/(ABS(J273)+100))-IF(S273&gt;0,100/(S273+100),ABS(S273)/(ABS(S273)+100)))</x:f>
      </x:c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 t="str">
        <x:f>IF(O274="Win",1,IF(O274="Loss",0,""))</x:f>
      </x:c>
      <x:c r="Q274" s="33" t="str">
        <x:f>IF(OR(O274="",J274=""),"",IF(O274="Win",IF(J274&gt;0,1+J274/100,1+100/ABS(J274)),IF(O274="Push",1,0)))</x:f>
      </x:c>
      <x:c r="R274" s="33" t="str">
        <x:f>IF(Q274="","",Q274-1)</x:f>
      </x:c>
      <x:c r="S274" s="31"/>
      <x:c r="T274" s="32" t="str">
        <x:f>IF(OR(J274="",S274=""),"",IF(J274&gt;0,100/(J274+100),ABS(J274)/(ABS(J274)+100))-IF(S274&gt;0,100/(S274+100),ABS(S274)/(ABS(S274)+100)))</x:f>
      </x:c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 t="str">
        <x:f>IF(O275="Win",1,IF(O275="Loss",0,""))</x:f>
      </x:c>
      <x:c r="Q275" s="33" t="str">
        <x:f>IF(OR(O275="",J275=""),"",IF(O275="Win",IF(J275&gt;0,1+J275/100,1+100/ABS(J275)),IF(O275="Push",1,0)))</x:f>
      </x:c>
      <x:c r="R275" s="33" t="str">
        <x:f>IF(Q275="","",Q275-1)</x:f>
      </x:c>
      <x:c r="S275" s="31"/>
      <x:c r="T275" s="32" t="str">
        <x:f>IF(OR(J275="",S275=""),"",IF(J275&gt;0,100/(J275+100),ABS(J275)/(ABS(J275)+100))-IF(S275&gt;0,100/(S275+100),ABS(S275)/(ABS(S275)+100)))</x:f>
      </x:c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 t="str">
        <x:f>IF(O276="Win",1,IF(O276="Loss",0,""))</x:f>
      </x:c>
      <x:c r="Q276" s="33" t="str">
        <x:f>IF(OR(O276="",J276=""),"",IF(O276="Win",IF(J276&gt;0,1+J276/100,1+100/ABS(J276)),IF(O276="Push",1,0)))</x:f>
      </x:c>
      <x:c r="R276" s="33" t="str">
        <x:f>IF(Q276="","",Q276-1)</x:f>
      </x:c>
      <x:c r="S276" s="31"/>
      <x:c r="T276" s="32" t="str">
        <x:f>IF(OR(J276="",S276=""),"",IF(J276&gt;0,100/(J276+100),ABS(J276)/(ABS(J276)+100))-IF(S276&gt;0,100/(S276+100),ABS(S276)/(ABS(S276)+100)))</x:f>
      </x:c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 t="str">
        <x:f>IF(O277="Win",1,IF(O277="Loss",0,""))</x:f>
      </x:c>
      <x:c r="Q277" s="33" t="str">
        <x:f>IF(OR(O277="",J277=""),"",IF(O277="Win",IF(J277&gt;0,1+J277/100,1+100/ABS(J277)),IF(O277="Push",1,0)))</x:f>
      </x:c>
      <x:c r="R277" s="33" t="str">
        <x:f>IF(Q277="","",Q277-1)</x:f>
      </x:c>
      <x:c r="S277" s="31"/>
      <x:c r="T277" s="32" t="str">
        <x:f>IF(OR(J277="",S277=""),"",IF(J277&gt;0,100/(J277+100),ABS(J277)/(ABS(J277)+100))-IF(S277&gt;0,100/(S277+100),ABS(S277)/(ABS(S277)+100)))</x:f>
      </x:c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 t="str">
        <x:f>IF(O278="Win",1,IF(O278="Loss",0,""))</x:f>
      </x:c>
      <x:c r="Q278" s="33" t="str">
        <x:f>IF(OR(O278="",J278=""),"",IF(O278="Win",IF(J278&gt;0,1+J278/100,1+100/ABS(J278)),IF(O278="Push",1,0)))</x:f>
      </x:c>
      <x:c r="R278" s="33" t="str">
        <x:f>IF(Q278="","",Q278-1)</x:f>
      </x:c>
      <x:c r="S278" s="31"/>
      <x:c r="T278" s="32" t="str">
        <x:f>IF(OR(J278="",S278=""),"",IF(J278&gt;0,100/(J278+100),ABS(J278)/(ABS(J278)+100))-IF(S278&gt;0,100/(S278+100),ABS(S278)/(ABS(S278)+100)))</x:f>
      </x:c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 t="str">
        <x:f>IF(O279="Win",1,IF(O279="Loss",0,""))</x:f>
      </x:c>
      <x:c r="Q279" s="33" t="str">
        <x:f>IF(OR(O279="",J279=""),"",IF(O279="Win",IF(J279&gt;0,1+J279/100,1+100/ABS(J279)),IF(O279="Push",1,0)))</x:f>
      </x:c>
      <x:c r="R279" s="33" t="str">
        <x:f>IF(Q279="","",Q279-1)</x:f>
      </x:c>
      <x:c r="S279" s="31"/>
      <x:c r="T279" s="32" t="str">
        <x:f>IF(OR(J279="",S279=""),"",IF(J279&gt;0,100/(J279+100),ABS(J279)/(ABS(J279)+100))-IF(S279&gt;0,100/(S279+100),ABS(S279)/(ABS(S279)+100)))</x:f>
      </x:c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 t="str">
        <x:f>IF(O280="Win",1,IF(O280="Loss",0,""))</x:f>
      </x:c>
      <x:c r="Q280" s="33" t="str">
        <x:f>IF(OR(O280="",J280=""),"",IF(O280="Win",IF(J280&gt;0,1+J280/100,1+100/ABS(J280)),IF(O280="Push",1,0)))</x:f>
      </x:c>
      <x:c r="R280" s="33" t="str">
        <x:f>IF(Q280="","",Q280-1)</x:f>
      </x:c>
      <x:c r="S280" s="31"/>
      <x:c r="T280" s="32" t="str">
        <x:f>IF(OR(J280="",S280=""),"",IF(J280&gt;0,100/(J280+100),ABS(J280)/(ABS(J280)+100))-IF(S280&gt;0,100/(S280+100),ABS(S280)/(ABS(S280)+100)))</x:f>
      </x:c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 t="str">
        <x:f>IF(O281="Win",1,IF(O281="Loss",0,""))</x:f>
      </x:c>
      <x:c r="Q281" s="33" t="str">
        <x:f>IF(OR(O281="",J281=""),"",IF(O281="Win",IF(J281&gt;0,1+J281/100,1+100/ABS(J281)),IF(O281="Push",1,0)))</x:f>
      </x:c>
      <x:c r="R281" s="33" t="str">
        <x:f>IF(Q281="","",Q281-1)</x:f>
      </x:c>
      <x:c r="S281" s="31"/>
      <x:c r="T281" s="32" t="str">
        <x:f>IF(OR(J281="",S281=""),"",IF(J281&gt;0,100/(J281+100),ABS(J281)/(ABS(J281)+100))-IF(S281&gt;0,100/(S281+100),ABS(S281)/(ABS(S281)+100)))</x:f>
      </x:c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 t="str">
        <x:f>IF(O282="Win",1,IF(O282="Loss",0,""))</x:f>
      </x:c>
      <x:c r="Q282" s="33" t="str">
        <x:f>IF(OR(O282="",J282=""),"",IF(O282="Win",IF(J282&gt;0,1+J282/100,1+100/ABS(J282)),IF(O282="Push",1,0)))</x:f>
      </x:c>
      <x:c r="R282" s="33" t="str">
        <x:f>IF(Q282="","",Q282-1)</x:f>
      </x:c>
      <x:c r="S282" s="31"/>
      <x:c r="T282" s="32" t="str">
        <x:f>IF(OR(J282="",S282=""),"",IF(J282&gt;0,100/(J282+100),ABS(J282)/(ABS(J282)+100))-IF(S282&gt;0,100/(S282+100),ABS(S282)/(ABS(S282)+100)))</x:f>
      </x:c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 t="str">
        <x:f>IF(O283="Win",1,IF(O283="Loss",0,""))</x:f>
      </x:c>
      <x:c r="Q283" s="33" t="str">
        <x:f>IF(OR(O283="",J283=""),"",IF(O283="Win",IF(J283&gt;0,1+J283/100,1+100/ABS(J283)),IF(O283="Push",1,0)))</x:f>
      </x:c>
      <x:c r="R283" s="33" t="str">
        <x:f>IF(Q283="","",Q283-1)</x:f>
      </x:c>
      <x:c r="S283" s="31"/>
      <x:c r="T283" s="32" t="str">
        <x:f>IF(OR(J283="",S283=""),"",IF(J283&gt;0,100/(J283+100),ABS(J283)/(ABS(J283)+100))-IF(S283&gt;0,100/(S283+100),ABS(S283)/(ABS(S283)+100)))</x:f>
      </x:c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 t="str">
        <x:f>IF(O284="Win",1,IF(O284="Loss",0,""))</x:f>
      </x:c>
      <x:c r="Q284" s="33" t="str">
        <x:f>IF(OR(O284="",J284=""),"",IF(O284="Win",IF(J284&gt;0,1+J284/100,1+100/ABS(J284)),IF(O284="Push",1,0)))</x:f>
      </x:c>
      <x:c r="R284" s="33" t="str">
        <x:f>IF(Q284="","",Q284-1)</x:f>
      </x:c>
      <x:c r="S284" s="31"/>
      <x:c r="T284" s="32" t="str">
        <x:f>IF(OR(J284="",S284=""),"",IF(J284&gt;0,100/(J284+100),ABS(J284)/(ABS(J284)+100))-IF(S284&gt;0,100/(S284+100),ABS(S284)/(ABS(S284)+100)))</x:f>
      </x:c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 t="str">
        <x:f>IF(O285="Win",1,IF(O285="Loss",0,""))</x:f>
      </x:c>
      <x:c r="Q285" s="33" t="str">
        <x:f>IF(OR(O285="",J285=""),"",IF(O285="Win",IF(J285&gt;0,1+J285/100,1+100/ABS(J285)),IF(O285="Push",1,0)))</x:f>
      </x:c>
      <x:c r="R285" s="33" t="str">
        <x:f>IF(Q285="","",Q285-1)</x:f>
      </x:c>
      <x:c r="S285" s="31"/>
      <x:c r="T285" s="32" t="str">
        <x:f>IF(OR(J285="",S285=""),"",IF(J285&gt;0,100/(J285+100),ABS(J285)/(ABS(J285)+100))-IF(S285&gt;0,100/(S285+100),ABS(S285)/(ABS(S285)+100)))</x:f>
      </x:c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 t="str">
        <x:f>IF(O286="Win",1,IF(O286="Loss",0,""))</x:f>
      </x:c>
      <x:c r="Q286" s="33" t="str">
        <x:f>IF(OR(O286="",J286=""),"",IF(O286="Win",IF(J286&gt;0,1+J286/100,1+100/ABS(J286)),IF(O286="Push",1,0)))</x:f>
      </x:c>
      <x:c r="R286" s="33" t="str">
        <x:f>IF(Q286="","",Q286-1)</x:f>
      </x:c>
      <x:c r="S286" s="31"/>
      <x:c r="T286" s="32" t="str">
        <x:f>IF(OR(J286="",S286=""),"",IF(J286&gt;0,100/(J286+100),ABS(J286)/(ABS(J286)+100))-IF(S286&gt;0,100/(S286+100),ABS(S286)/(ABS(S286)+100)))</x:f>
      </x:c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 t="str">
        <x:f>IF(O287="Win",1,IF(O287="Loss",0,""))</x:f>
      </x:c>
      <x:c r="Q287" s="33" t="str">
        <x:f>IF(OR(O287="",J287=""),"",IF(O287="Win",IF(J287&gt;0,1+J287/100,1+100/ABS(J287)),IF(O287="Push",1,0)))</x:f>
      </x:c>
      <x:c r="R287" s="33" t="str">
        <x:f>IF(Q287="","",Q287-1)</x:f>
      </x:c>
      <x:c r="S287" s="31"/>
      <x:c r="T287" s="32" t="str">
        <x:f>IF(OR(J287="",S287=""),"",IF(J287&gt;0,100/(J287+100),ABS(J287)/(ABS(J287)+100))-IF(S287&gt;0,100/(S287+100),ABS(S287)/(ABS(S287)+100)))</x:f>
      </x:c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 t="str">
        <x:f>IF(O288="Win",1,IF(O288="Loss",0,""))</x:f>
      </x:c>
      <x:c r="Q288" s="33" t="str">
        <x:f>IF(OR(O288="",J288=""),"",IF(O288="Win",IF(J288&gt;0,1+J288/100,1+100/ABS(J288)),IF(O288="Push",1,0)))</x:f>
      </x:c>
      <x:c r="R288" s="33" t="str">
        <x:f>IF(Q288="","",Q288-1)</x:f>
      </x:c>
      <x:c r="S288" s="31"/>
      <x:c r="T288" s="32" t="str">
        <x:f>IF(OR(J288="",S288=""),"",IF(J288&gt;0,100/(J288+100),ABS(J288)/(ABS(J288)+100))-IF(S288&gt;0,100/(S288+100),ABS(S288)/(ABS(S288)+100)))</x:f>
      </x:c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 t="str">
        <x:f>IF(O289="Win",1,IF(O289="Loss",0,""))</x:f>
      </x:c>
      <x:c r="Q289" s="33" t="str">
        <x:f>IF(OR(O289="",J289=""),"",IF(O289="Win",IF(J289&gt;0,1+J289/100,1+100/ABS(J289)),IF(O289="Push",1,0)))</x:f>
      </x:c>
      <x:c r="R289" s="33" t="str">
        <x:f>IF(Q289="","",Q289-1)</x:f>
      </x:c>
      <x:c r="S289" s="31"/>
      <x:c r="T289" s="32" t="str">
        <x:f>IF(OR(J289="",S289=""),"",IF(J289&gt;0,100/(J289+100),ABS(J289)/(ABS(J289)+100))-IF(S289&gt;0,100/(S289+100),ABS(S289)/(ABS(S289)+100)))</x:f>
      </x:c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 t="str">
        <x:f>IF(O290="Win",1,IF(O290="Loss",0,""))</x:f>
      </x:c>
      <x:c r="Q290" s="33" t="str">
        <x:f>IF(OR(O290="",J290=""),"",IF(O290="Win",IF(J290&gt;0,1+J290/100,1+100/ABS(J290)),IF(O290="Push",1,0)))</x:f>
      </x:c>
      <x:c r="R290" s="33" t="str">
        <x:f>IF(Q290="","",Q290-1)</x:f>
      </x:c>
      <x:c r="S290" s="31"/>
      <x:c r="T290" s="32" t="str">
        <x:f>IF(OR(J290="",S290=""),"",IF(J290&gt;0,100/(J290+100),ABS(J290)/(ABS(J290)+100))-IF(S290&gt;0,100/(S290+100),ABS(S290)/(ABS(S290)+100)))</x:f>
      </x:c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 t="str">
        <x:f>IF(O291="Win",1,IF(O291="Loss",0,""))</x:f>
      </x:c>
      <x:c r="Q291" s="33" t="str">
        <x:f>IF(OR(O291="",J291=""),"",IF(O291="Win",IF(J291&gt;0,1+J291/100,1+100/ABS(J291)),IF(O291="Push",1,0)))</x:f>
      </x:c>
      <x:c r="R291" s="33" t="str">
        <x:f>IF(Q291="","",Q291-1)</x:f>
      </x:c>
      <x:c r="S291" s="31"/>
      <x:c r="T291" s="32" t="str">
        <x:f>IF(OR(J291="",S291=""),"",IF(J291&gt;0,100/(J291+100),ABS(J291)/(ABS(J291)+100))-IF(S291&gt;0,100/(S291+100),ABS(S291)/(ABS(S291)+100)))</x:f>
      </x:c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 t="str">
        <x:f>IF(O292="Win",1,IF(O292="Loss",0,""))</x:f>
      </x:c>
      <x:c r="Q292" s="33" t="str">
        <x:f>IF(OR(O292="",J292=""),"",IF(O292="Win",IF(J292&gt;0,1+J292/100,1+100/ABS(J292)),IF(O292="Push",1,0)))</x:f>
      </x:c>
      <x:c r="R292" s="33" t="str">
        <x:f>IF(Q292="","",Q292-1)</x:f>
      </x:c>
      <x:c r="S292" s="31"/>
      <x:c r="T292" s="32" t="str">
        <x:f>IF(OR(J292="",S292=""),"",IF(J292&gt;0,100/(J292+100),ABS(J292)/(ABS(J292)+100))-IF(S292&gt;0,100/(S292+100),ABS(S292)/(ABS(S292)+100)))</x:f>
      </x:c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 t="str">
        <x:f>IF(O293="Win",1,IF(O293="Loss",0,""))</x:f>
      </x:c>
      <x:c r="Q293" s="33" t="str">
        <x:f>IF(OR(O293="",J293=""),"",IF(O293="Win",IF(J293&gt;0,1+J293/100,1+100/ABS(J293)),IF(O293="Push",1,0)))</x:f>
      </x:c>
      <x:c r="R293" s="33" t="str">
        <x:f>IF(Q293="","",Q293-1)</x:f>
      </x:c>
      <x:c r="S293" s="31"/>
      <x:c r="T293" s="32" t="str">
        <x:f>IF(OR(J293="",S293=""),"",IF(J293&gt;0,100/(J293+100),ABS(J293)/(ABS(J293)+100))-IF(S293&gt;0,100/(S293+100),ABS(S293)/(ABS(S293)+100)))</x:f>
      </x:c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 t="str">
        <x:f>IF(O294="Win",1,IF(O294="Loss",0,""))</x:f>
      </x:c>
      <x:c r="Q294" s="33" t="str">
        <x:f>IF(OR(O294="",J294=""),"",IF(O294="Win",IF(J294&gt;0,1+J294/100,1+100/ABS(J294)),IF(O294="Push",1,0)))</x:f>
      </x:c>
      <x:c r="R294" s="33" t="str">
        <x:f>IF(Q294="","",Q294-1)</x:f>
      </x:c>
      <x:c r="S294" s="31"/>
      <x:c r="T294" s="32" t="str">
        <x:f>IF(OR(J294="",S294=""),"",IF(J294&gt;0,100/(J294+100),ABS(J294)/(ABS(J294)+100))-IF(S294&gt;0,100/(S294+100),ABS(S294)/(ABS(S294)+100)))</x:f>
      </x:c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 t="str">
        <x:f>IF(O295="Win",1,IF(O295="Loss",0,""))</x:f>
      </x:c>
      <x:c r="Q295" s="33" t="str">
        <x:f>IF(OR(O295="",J295=""),"",IF(O295="Win",IF(J295&gt;0,1+J295/100,1+100/ABS(J295)),IF(O295="Push",1,0)))</x:f>
      </x:c>
      <x:c r="R295" s="33" t="str">
        <x:f>IF(Q295="","",Q295-1)</x:f>
      </x:c>
      <x:c r="S295" s="31"/>
      <x:c r="T295" s="32" t="str">
        <x:f>IF(OR(J295="",S295=""),"",IF(J295&gt;0,100/(J295+100),ABS(J295)/(ABS(J295)+100))-IF(S295&gt;0,100/(S295+100),ABS(S295)/(ABS(S295)+100)))</x:f>
      </x:c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 t="str">
        <x:f>IF(O296="Win",1,IF(O296="Loss",0,""))</x:f>
      </x:c>
      <x:c r="Q296" s="33" t="str">
        <x:f>IF(OR(O296="",J296=""),"",IF(O296="Win",IF(J296&gt;0,1+J296/100,1+100/ABS(J296)),IF(O296="Push",1,0)))</x:f>
      </x:c>
      <x:c r="R296" s="33" t="str">
        <x:f>IF(Q296="","",Q296-1)</x:f>
      </x:c>
      <x:c r="S296" s="31"/>
      <x:c r="T296" s="32" t="str">
        <x:f>IF(OR(J296="",S296=""),"",IF(J296&gt;0,100/(J296+100),ABS(J296)/(ABS(J296)+100))-IF(S296&gt;0,100/(S296+100),ABS(S296)/(ABS(S296)+100)))</x:f>
      </x:c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 t="str">
        <x:f>IF(O297="Win",1,IF(O297="Loss",0,""))</x:f>
      </x:c>
      <x:c r="Q297" s="33" t="str">
        <x:f>IF(OR(O297="",J297=""),"",IF(O297="Win",IF(J297&gt;0,1+J297/100,1+100/ABS(J297)),IF(O297="Push",1,0)))</x:f>
      </x:c>
      <x:c r="R297" s="33" t="str">
        <x:f>IF(Q297="","",Q297-1)</x:f>
      </x:c>
      <x:c r="S297" s="31"/>
      <x:c r="T297" s="32" t="str">
        <x:f>IF(OR(J297="",S297=""),"",IF(J297&gt;0,100/(J297+100),ABS(J297)/(ABS(J297)+100))-IF(S297&gt;0,100/(S297+100),ABS(S297)/(ABS(S297)+100)))</x:f>
      </x:c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 t="str">
        <x:f>IF(O298="Win",1,IF(O298="Loss",0,""))</x:f>
      </x:c>
      <x:c r="Q298" s="33" t="str">
        <x:f>IF(OR(O298="",J298=""),"",IF(O298="Win",IF(J298&gt;0,1+J298/100,1+100/ABS(J298)),IF(O298="Push",1,0)))</x:f>
      </x:c>
      <x:c r="R298" s="33" t="str">
        <x:f>IF(Q298="","",Q298-1)</x:f>
      </x:c>
      <x:c r="S298" s="31"/>
      <x:c r="T298" s="32" t="str">
        <x:f>IF(OR(J298="",S298=""),"",IF(J298&gt;0,100/(J298+100),ABS(J298)/(ABS(J298)+100))-IF(S298&gt;0,100/(S298+100),ABS(S298)/(ABS(S298)+100)))</x:f>
      </x:c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 t="str">
        <x:f>IF(O299="Win",1,IF(O299="Loss",0,""))</x:f>
      </x:c>
      <x:c r="Q299" s="33" t="str">
        <x:f>IF(OR(O299="",J299=""),"",IF(O299="Win",IF(J299&gt;0,1+J299/100,1+100/ABS(J299)),IF(O299="Push",1,0)))</x:f>
      </x:c>
      <x:c r="R299" s="33" t="str">
        <x:f>IF(Q299="","",Q299-1)</x:f>
      </x:c>
      <x:c r="S299" s="31"/>
      <x:c r="T299" s="32" t="str">
        <x:f>IF(OR(J299="",S299=""),"",IF(J299&gt;0,100/(J299+100),ABS(J299)/(ABS(J299)+100))-IF(S299&gt;0,100/(S299+100),ABS(S299)/(ABS(S299)+100)))</x:f>
      </x:c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 t="str">
        <x:f>IF(O300="Win",1,IF(O300="Loss",0,""))</x:f>
      </x:c>
      <x:c r="Q300" s="33" t="str">
        <x:f>IF(OR(O300="",J300=""),"",IF(O300="Win",IF(J300&gt;0,1+J300/100,1+100/ABS(J300)),IF(O300="Push",1,0)))</x:f>
      </x:c>
      <x:c r="R300" s="33" t="str">
        <x:f>IF(Q300="","",Q300-1)</x:f>
      </x:c>
      <x:c r="S300" s="31"/>
      <x:c r="T300" s="32" t="str">
        <x:f>IF(OR(J300="",S300=""),"",IF(J300&gt;0,100/(J300+100),ABS(J300)/(ABS(J300)+100))-IF(S300&gt;0,100/(S300+100),ABS(S300)/(ABS(S300)+100)))</x:f>
      </x:c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 t="str">
        <x:f>IF(O301="Win",1,IF(O301="Loss",0,""))</x:f>
      </x:c>
      <x:c r="Q301" s="33" t="str">
        <x:f>IF(OR(O301="",J301=""),"",IF(O301="Win",IF(J301&gt;0,1+J301/100,1+100/ABS(J301)),IF(O301="Push",1,0)))</x:f>
      </x:c>
      <x:c r="R301" s="33" t="str">
        <x:f>IF(Q301="","",Q301-1)</x:f>
      </x:c>
      <x:c r="S301" s="31"/>
      <x:c r="T301" s="32" t="str">
        <x:f>IF(OR(J301="",S301=""),"",IF(J301&gt;0,100/(J301+100),ABS(J301)/(ABS(J301)+100))-IF(S301&gt;0,100/(S301+100),ABS(S301)/(ABS(S301)+100)))</x:f>
      </x:c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 t="str">
        <x:f>IF(O302="Win",1,IF(O302="Loss",0,""))</x:f>
      </x:c>
      <x:c r="Q302" s="33" t="str">
        <x:f>IF(OR(O302="",J302=""),"",IF(O302="Win",IF(J302&gt;0,1+J302/100,1+100/ABS(J302)),IF(O302="Push",1,0)))</x:f>
      </x:c>
      <x:c r="R302" s="33" t="str">
        <x:f>IF(Q302="","",Q302-1)</x:f>
      </x:c>
      <x:c r="S302" s="31"/>
      <x:c r="T302" s="32" t="str">
        <x:f>IF(OR(J302="",S302=""),"",IF(J302&gt;0,100/(J302+100),ABS(J302)/(ABS(J302)+100))-IF(S302&gt;0,100/(S302+100),ABS(S302)/(ABS(S302)+100)))</x:f>
      </x:c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 t="str">
        <x:f>IF(O303="Win",1,IF(O303="Loss",0,""))</x:f>
      </x:c>
      <x:c r="Q303" s="33" t="str">
        <x:f>IF(OR(O303="",J303=""),"",IF(O303="Win",IF(J303&gt;0,1+J303/100,1+100/ABS(J303)),IF(O303="Push",1,0)))</x:f>
      </x:c>
      <x:c r="R303" s="33" t="str">
        <x:f>IF(Q303="","",Q303-1)</x:f>
      </x:c>
      <x:c r="S303" s="31"/>
      <x:c r="T303" s="32" t="str">
        <x:f>IF(OR(J303="",S303=""),"",IF(J303&gt;0,100/(J303+100),ABS(J303)/(ABS(J303)+100))-IF(S303&gt;0,100/(S303+100),ABS(S303)/(ABS(S303)+100)))</x:f>
      </x:c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 t="str">
        <x:f>IF(O304="Win",1,IF(O304="Loss",0,""))</x:f>
      </x:c>
      <x:c r="Q304" s="33" t="str">
        <x:f>IF(OR(O304="",J304=""),"",IF(O304="Win",IF(J304&gt;0,1+J304/100,1+100/ABS(J304)),IF(O304="Push",1,0)))</x:f>
      </x:c>
      <x:c r="R304" s="33" t="str">
        <x:f>IF(Q304="","",Q304-1)</x:f>
      </x:c>
      <x:c r="S304" s="31"/>
      <x:c r="T304" s="32" t="str">
        <x:f>IF(OR(J304="",S304=""),"",IF(J304&gt;0,100/(J304+100),ABS(J304)/(ABS(J304)+100))-IF(S304&gt;0,100/(S304+100),ABS(S304)/(ABS(S304)+100)))</x:f>
      </x:c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 t="str">
        <x:f>IF(O305="Win",1,IF(O305="Loss",0,""))</x:f>
      </x:c>
      <x:c r="Q305" s="33" t="str">
        <x:f>IF(OR(O305="",J305=""),"",IF(O305="Win",IF(J305&gt;0,1+J305/100,1+100/ABS(J305)),IF(O305="Push",1,0)))</x:f>
      </x:c>
      <x:c r="R305" s="33" t="str">
        <x:f>IF(Q305="","",Q305-1)</x:f>
      </x:c>
      <x:c r="S305" s="31"/>
      <x:c r="T305" s="32" t="str">
        <x:f>IF(OR(J305="",S305=""),"",IF(J305&gt;0,100/(J305+100),ABS(J305)/(ABS(J305)+100))-IF(S305&gt;0,100/(S305+100),ABS(S305)/(ABS(S305)+100)))</x:f>
      </x:c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 t="str">
        <x:f>IF(O306="Win",1,IF(O306="Loss",0,""))</x:f>
      </x:c>
      <x:c r="Q306" s="33" t="str">
        <x:f>IF(OR(O306="",J306=""),"",IF(O306="Win",IF(J306&gt;0,1+J306/100,1+100/ABS(J306)),IF(O306="Push",1,0)))</x:f>
      </x:c>
      <x:c r="R306" s="33" t="str">
        <x:f>IF(Q306="","",Q306-1)</x:f>
      </x:c>
      <x:c r="S306" s="31"/>
      <x:c r="T306" s="32" t="str">
        <x:f>IF(OR(J306="",S306=""),"",IF(J306&gt;0,100/(J306+100),ABS(J306)/(ABS(J306)+100))-IF(S306&gt;0,100/(S306+100),ABS(S306)/(ABS(S306)+100)))</x:f>
      </x:c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 t="str">
        <x:f>IF(O307="Win",1,IF(O307="Loss",0,""))</x:f>
      </x:c>
      <x:c r="Q307" s="33" t="str">
        <x:f>IF(OR(O307="",J307=""),"",IF(O307="Win",IF(J307&gt;0,1+J307/100,1+100/ABS(J307)),IF(O307="Push",1,0)))</x:f>
      </x:c>
      <x:c r="R307" s="33" t="str">
        <x:f>IF(Q307="","",Q307-1)</x:f>
      </x:c>
      <x:c r="S307" s="31"/>
      <x:c r="T307" s="32" t="str">
        <x:f>IF(OR(J307="",S307=""),"",IF(J307&gt;0,100/(J307+100),ABS(J307)/(ABS(J307)+100))-IF(S307&gt;0,100/(S307+100),ABS(S307)/(ABS(S307)+100)))</x:f>
      </x:c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 t="str">
        <x:f>IF(O308="Win",1,IF(O308="Loss",0,""))</x:f>
      </x:c>
      <x:c r="Q308" s="33" t="str">
        <x:f>IF(OR(O308="",J308=""),"",IF(O308="Win",IF(J308&gt;0,1+J308/100,1+100/ABS(J308)),IF(O308="Push",1,0)))</x:f>
      </x:c>
      <x:c r="R308" s="33" t="str">
        <x:f>IF(Q308="","",Q308-1)</x:f>
      </x:c>
      <x:c r="S308" s="31"/>
      <x:c r="T308" s="32" t="str">
        <x:f>IF(OR(J308="",S308=""),"",IF(J308&gt;0,100/(J308+100),ABS(J308)/(ABS(J308)+100))-IF(S308&gt;0,100/(S308+100),ABS(S308)/(ABS(S308)+100)))</x:f>
      </x:c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 t="str">
        <x:f>IF(O309="Win",1,IF(O309="Loss",0,""))</x:f>
      </x:c>
      <x:c r="Q309" s="33" t="str">
        <x:f>IF(OR(O309="",J309=""),"",IF(O309="Win",IF(J309&gt;0,1+J309/100,1+100/ABS(J309)),IF(O309="Push",1,0)))</x:f>
      </x:c>
      <x:c r="R309" s="33" t="str">
        <x:f>IF(Q309="","",Q309-1)</x:f>
      </x:c>
      <x:c r="S309" s="31"/>
      <x:c r="T309" s="32" t="str">
        <x:f>IF(OR(J309="",S309=""),"",IF(J309&gt;0,100/(J309+100),ABS(J309)/(ABS(J309)+100))-IF(S309&gt;0,100/(S309+100),ABS(S309)/(ABS(S309)+100)))</x:f>
      </x:c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 t="str">
        <x:f>IF(O310="Win",1,IF(O310="Loss",0,""))</x:f>
      </x:c>
      <x:c r="Q310" s="33" t="str">
        <x:f>IF(OR(O310="",J310=""),"",IF(O310="Win",IF(J310&gt;0,1+J310/100,1+100/ABS(J310)),IF(O310="Push",1,0)))</x:f>
      </x:c>
      <x:c r="R310" s="33" t="str">
        <x:f>IF(Q310="","",Q310-1)</x:f>
      </x:c>
      <x:c r="S310" s="31"/>
      <x:c r="T310" s="32" t="str">
        <x:f>IF(OR(J310="",S310=""),"",IF(J310&gt;0,100/(J310+100),ABS(J310)/(ABS(J310)+100))-IF(S310&gt;0,100/(S310+100),ABS(S310)/(ABS(S310)+100)))</x:f>
      </x:c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 t="str">
        <x:f>IF(O311="Win",1,IF(O311="Loss",0,""))</x:f>
      </x:c>
      <x:c r="Q311" s="33" t="str">
        <x:f>IF(OR(O311="",J311=""),"",IF(O311="Win",IF(J311&gt;0,1+J311/100,1+100/ABS(J311)),IF(O311="Push",1,0)))</x:f>
      </x:c>
      <x:c r="R311" s="33" t="str">
        <x:f>IF(Q311="","",Q311-1)</x:f>
      </x:c>
      <x:c r="S311" s="31"/>
      <x:c r="T311" s="32" t="str">
        <x:f>IF(OR(J311="",S311=""),"",IF(J311&gt;0,100/(J311+100),ABS(J311)/(ABS(J311)+100))-IF(S311&gt;0,100/(S311+100),ABS(S311)/(ABS(S311)+100)))</x:f>
      </x:c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 t="str">
        <x:f>IF(O312="Win",1,IF(O312="Loss",0,""))</x:f>
      </x:c>
      <x:c r="Q312" s="33" t="str">
        <x:f>IF(OR(O312="",J312=""),"",IF(O312="Win",IF(J312&gt;0,1+J312/100,1+100/ABS(J312)),IF(O312="Push",1,0)))</x:f>
      </x:c>
      <x:c r="R312" s="33" t="str">
        <x:f>IF(Q312="","",Q312-1)</x:f>
      </x:c>
      <x:c r="S312" s="31"/>
      <x:c r="T312" s="32" t="str">
        <x:f>IF(OR(J312="",S312=""),"",IF(J312&gt;0,100/(J312+100),ABS(J312)/(ABS(J312)+100))-IF(S312&gt;0,100/(S312+100),ABS(S312)/(ABS(S312)+100)))</x:f>
      </x:c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 t="str">
        <x:f>IF(O313="Win",1,IF(O313="Loss",0,""))</x:f>
      </x:c>
      <x:c r="Q313" s="33" t="str">
        <x:f>IF(OR(O313="",J313=""),"",IF(O313="Win",IF(J313&gt;0,1+J313/100,1+100/ABS(J313)),IF(O313="Push",1,0)))</x:f>
      </x:c>
      <x:c r="R313" s="33" t="str">
        <x:f>IF(Q313="","",Q313-1)</x:f>
      </x:c>
      <x:c r="S313" s="31"/>
      <x:c r="T313" s="32" t="str">
        <x:f>IF(OR(J313="",S313=""),"",IF(J313&gt;0,100/(J313+100),ABS(J313)/(ABS(J313)+100))-IF(S313&gt;0,100/(S313+100),ABS(S313)/(ABS(S313)+100)))</x:f>
      </x:c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 t="str">
        <x:f>IF(O314="Win",1,IF(O314="Loss",0,""))</x:f>
      </x:c>
      <x:c r="Q314" s="33" t="str">
        <x:f>IF(OR(O314="",J314=""),"",IF(O314="Win",IF(J314&gt;0,1+J314/100,1+100/ABS(J314)),IF(O314="Push",1,0)))</x:f>
      </x:c>
      <x:c r="R314" s="33" t="str">
        <x:f>IF(Q314="","",Q314-1)</x:f>
      </x:c>
      <x:c r="S314" s="31"/>
      <x:c r="T314" s="32" t="str">
        <x:f>IF(OR(J314="",S314=""),"",IF(J314&gt;0,100/(J314+100),ABS(J314)/(ABS(J314)+100))-IF(S314&gt;0,100/(S314+100),ABS(S314)/(ABS(S314)+100)))</x:f>
      </x:c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 t="str">
        <x:f>IF(O315="Win",1,IF(O315="Loss",0,""))</x:f>
      </x:c>
      <x:c r="Q315" s="33" t="str">
        <x:f>IF(OR(O315="",J315=""),"",IF(O315="Win",IF(J315&gt;0,1+J315/100,1+100/ABS(J315)),IF(O315="Push",1,0)))</x:f>
      </x:c>
      <x:c r="R315" s="33" t="str">
        <x:f>IF(Q315="","",Q315-1)</x:f>
      </x:c>
      <x:c r="S315" s="31"/>
      <x:c r="T315" s="32" t="str">
        <x:f>IF(OR(J315="",S315=""),"",IF(J315&gt;0,100/(J315+100),ABS(J315)/(ABS(J315)+100))-IF(S315&gt;0,100/(S315+100),ABS(S315)/(ABS(S315)+100)))</x:f>
      </x:c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 t="str">
        <x:f>IF(O316="Win",1,IF(O316="Loss",0,""))</x:f>
      </x:c>
      <x:c r="Q316" s="33" t="str">
        <x:f>IF(OR(O316="",J316=""),"",IF(O316="Win",IF(J316&gt;0,1+J316/100,1+100/ABS(J316)),IF(O316="Push",1,0)))</x:f>
      </x:c>
      <x:c r="R316" s="33" t="str">
        <x:f>IF(Q316="","",Q316-1)</x:f>
      </x:c>
      <x:c r="S316" s="31"/>
      <x:c r="T316" s="32" t="str">
        <x:f>IF(OR(J316="",S316=""),"",IF(J316&gt;0,100/(J316+100),ABS(J316)/(ABS(J316)+100))-IF(S316&gt;0,100/(S316+100),ABS(S316)/(ABS(S316)+100)))</x:f>
      </x:c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 t="str">
        <x:f>IF(O317="Win",1,IF(O317="Loss",0,""))</x:f>
      </x:c>
      <x:c r="Q317" s="33" t="str">
        <x:f>IF(OR(O317="",J317=""),"",IF(O317="Win",IF(J317&gt;0,1+J317/100,1+100/ABS(J317)),IF(O317="Push",1,0)))</x:f>
      </x:c>
      <x:c r="R317" s="33" t="str">
        <x:f>IF(Q317="","",Q317-1)</x:f>
      </x:c>
      <x:c r="S317" s="31"/>
      <x:c r="T317" s="32" t="str">
        <x:f>IF(OR(J317="",S317=""),"",IF(J317&gt;0,100/(J317+100),ABS(J317)/(ABS(J317)+100))-IF(S317&gt;0,100/(S317+100),ABS(S317)/(ABS(S317)+100)))</x:f>
      </x:c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 t="str">
        <x:f>IF(O318="Win",1,IF(O318="Loss",0,""))</x:f>
      </x:c>
      <x:c r="Q318" s="33" t="str">
        <x:f>IF(OR(O318="",J318=""),"",IF(O318="Win",IF(J318&gt;0,1+J318/100,1+100/ABS(J318)),IF(O318="Push",1,0)))</x:f>
      </x:c>
      <x:c r="R318" s="33" t="str">
        <x:f>IF(Q318="","",Q318-1)</x:f>
      </x:c>
      <x:c r="S318" s="31"/>
      <x:c r="T318" s="32" t="str">
        <x:f>IF(OR(J318="",S318=""),"",IF(J318&gt;0,100/(J318+100),ABS(J318)/(ABS(J318)+100))-IF(S318&gt;0,100/(S318+100),ABS(S318)/(ABS(S318)+100)))</x:f>
      </x:c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 t="str">
        <x:f>IF(O319="Win",1,IF(O319="Loss",0,""))</x:f>
      </x:c>
      <x:c r="Q319" s="33" t="str">
        <x:f>IF(OR(O319="",J319=""),"",IF(O319="Win",IF(J319&gt;0,1+J319/100,1+100/ABS(J319)),IF(O319="Push",1,0)))</x:f>
      </x:c>
      <x:c r="R319" s="33" t="str">
        <x:f>IF(Q319="","",Q319-1)</x:f>
      </x:c>
      <x:c r="S319" s="31"/>
      <x:c r="T319" s="32" t="str">
        <x:f>IF(OR(J319="",S319=""),"",IF(J319&gt;0,100/(J319+100),ABS(J319)/(ABS(J319)+100))-IF(S319&gt;0,100/(S319+100),ABS(S319)/(ABS(S319)+100)))</x:f>
      </x:c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 t="str">
        <x:f>IF(O320="Win",1,IF(O320="Loss",0,""))</x:f>
      </x:c>
      <x:c r="Q320" s="33" t="str">
        <x:f>IF(OR(O320="",J320=""),"",IF(O320="Win",IF(J320&gt;0,1+J320/100,1+100/ABS(J320)),IF(O320="Push",1,0)))</x:f>
      </x:c>
      <x:c r="R320" s="33" t="str">
        <x:f>IF(Q320="","",Q320-1)</x:f>
      </x:c>
      <x:c r="S320" s="31"/>
      <x:c r="T320" s="32" t="str">
        <x:f>IF(OR(J320="",S320=""),"",IF(J320&gt;0,100/(J320+100),ABS(J320)/(ABS(J320)+100))-IF(S320&gt;0,100/(S320+100),ABS(S320)/(ABS(S320)+100)))</x:f>
      </x:c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 t="str">
        <x:f>IF(O321="Win",1,IF(O321="Loss",0,""))</x:f>
      </x:c>
      <x:c r="Q321" s="33" t="str">
        <x:f>IF(OR(O321="",J321=""),"",IF(O321="Win",IF(J321&gt;0,1+J321/100,1+100/ABS(J321)),IF(O321="Push",1,0)))</x:f>
      </x:c>
      <x:c r="R321" s="33" t="str">
        <x:f>IF(Q321="","",Q321-1)</x:f>
      </x:c>
      <x:c r="S321" s="31"/>
      <x:c r="T321" s="32" t="str">
        <x:f>IF(OR(J321="",S321=""),"",IF(J321&gt;0,100/(J321+100),ABS(J321)/(ABS(J321)+100))-IF(S321&gt;0,100/(S321+100),ABS(S321)/(ABS(S321)+100)))</x:f>
      </x:c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 t="str">
        <x:f>IF(O322="Win",1,IF(O322="Loss",0,""))</x:f>
      </x:c>
      <x:c r="Q322" s="33" t="str">
        <x:f>IF(OR(O322="",J322=""),"",IF(O322="Win",IF(J322&gt;0,1+J322/100,1+100/ABS(J322)),IF(O322="Push",1,0)))</x:f>
      </x:c>
      <x:c r="R322" s="33" t="str">
        <x:f>IF(Q322="","",Q322-1)</x:f>
      </x:c>
      <x:c r="S322" s="31"/>
      <x:c r="T322" s="32" t="str">
        <x:f>IF(OR(J322="",S322=""),"",IF(J322&gt;0,100/(J322+100),ABS(J322)/(ABS(J322)+100))-IF(S322&gt;0,100/(S322+100),ABS(S322)/(ABS(S322)+100)))</x:f>
      </x:c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 t="str">
        <x:f>IF(O323="Win",1,IF(O323="Loss",0,""))</x:f>
      </x:c>
      <x:c r="Q323" s="33" t="str">
        <x:f>IF(OR(O323="",J323=""),"",IF(O323="Win",IF(J323&gt;0,1+J323/100,1+100/ABS(J323)),IF(O323="Push",1,0)))</x:f>
      </x:c>
      <x:c r="R323" s="33" t="str">
        <x:f>IF(Q323="","",Q323-1)</x:f>
      </x:c>
      <x:c r="S323" s="31"/>
      <x:c r="T323" s="32" t="str">
        <x:f>IF(OR(J323="",S323=""),"",IF(J323&gt;0,100/(J323+100),ABS(J323)/(ABS(J323)+100))-IF(S323&gt;0,100/(S323+100),ABS(S323)/(ABS(S323)+100)))</x:f>
      </x:c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 t="str">
        <x:f>IF(O324="Win",1,IF(O324="Loss",0,""))</x:f>
      </x:c>
      <x:c r="Q324" s="33" t="str">
        <x:f>IF(OR(O324="",J324=""),"",IF(O324="Win",IF(J324&gt;0,1+J324/100,1+100/ABS(J324)),IF(O324="Push",1,0)))</x:f>
      </x:c>
      <x:c r="R324" s="33" t="str">
        <x:f>IF(Q324="","",Q324-1)</x:f>
      </x:c>
      <x:c r="S324" s="31"/>
      <x:c r="T324" s="32" t="str">
        <x:f>IF(OR(J324="",S324=""),"",IF(J324&gt;0,100/(J324+100),ABS(J324)/(ABS(J324)+100))-IF(S324&gt;0,100/(S324+100),ABS(S324)/(ABS(S324)+100)))</x:f>
      </x:c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 t="str">
        <x:f>IF(O325="Win",1,IF(O325="Loss",0,""))</x:f>
      </x:c>
      <x:c r="Q325" s="33" t="str">
        <x:f>IF(OR(O325="",J325=""),"",IF(O325="Win",IF(J325&gt;0,1+J325/100,1+100/ABS(J325)),IF(O325="Push",1,0)))</x:f>
      </x:c>
      <x:c r="R325" s="33" t="str">
        <x:f>IF(Q325="","",Q325-1)</x:f>
      </x:c>
      <x:c r="S325" s="31"/>
      <x:c r="T325" s="32" t="str">
        <x:f>IF(OR(J325="",S325=""),"",IF(J325&gt;0,100/(J325+100),ABS(J325)/(ABS(J325)+100))-IF(S325&gt;0,100/(S325+100),ABS(S325)/(ABS(S325)+100)))</x:f>
      </x:c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 t="str">
        <x:f>IF(O326="Win",1,IF(O326="Loss",0,""))</x:f>
      </x:c>
      <x:c r="Q326" s="33" t="str">
        <x:f>IF(OR(O326="",J326=""),"",IF(O326="Win",IF(J326&gt;0,1+J326/100,1+100/ABS(J326)),IF(O326="Push",1,0)))</x:f>
      </x:c>
      <x:c r="R326" s="33" t="str">
        <x:f>IF(Q326="","",Q326-1)</x:f>
      </x:c>
      <x:c r="S326" s="31"/>
      <x:c r="T326" s="32" t="str">
        <x:f>IF(OR(J326="",S326=""),"",IF(J326&gt;0,100/(J326+100),ABS(J326)/(ABS(J326)+100))-IF(S326&gt;0,100/(S326+100),ABS(S326)/(ABS(S326)+100)))</x:f>
      </x:c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 t="str">
        <x:f>IF(O327="Win",1,IF(O327="Loss",0,""))</x:f>
      </x:c>
      <x:c r="Q327" s="33" t="str">
        <x:f>IF(OR(O327="",J327=""),"",IF(O327="Win",IF(J327&gt;0,1+J327/100,1+100/ABS(J327)),IF(O327="Push",1,0)))</x:f>
      </x:c>
      <x:c r="R327" s="33" t="str">
        <x:f>IF(Q327="","",Q327-1)</x:f>
      </x:c>
      <x:c r="S327" s="31"/>
      <x:c r="T327" s="32" t="str">
        <x:f>IF(OR(J327="",S327=""),"",IF(J327&gt;0,100/(J327+100),ABS(J327)/(ABS(J327)+100))-IF(S327&gt;0,100/(S327+100),ABS(S327)/(ABS(S327)+100)))</x:f>
      </x:c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 t="str">
        <x:f>IF(O328="Win",1,IF(O328="Loss",0,""))</x:f>
      </x:c>
      <x:c r="Q328" s="33" t="str">
        <x:f>IF(OR(O328="",J328=""),"",IF(O328="Win",IF(J328&gt;0,1+J328/100,1+100/ABS(J328)),IF(O328="Push",1,0)))</x:f>
      </x:c>
      <x:c r="R328" s="33" t="str">
        <x:f>IF(Q328="","",Q328-1)</x:f>
      </x:c>
      <x:c r="S328" s="31"/>
      <x:c r="T328" s="32" t="str">
        <x:f>IF(OR(J328="",S328=""),"",IF(J328&gt;0,100/(J328+100),ABS(J328)/(ABS(J328)+100))-IF(S328&gt;0,100/(S328+100),ABS(S328)/(ABS(S328)+100)))</x:f>
      </x:c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 t="str">
        <x:f>IF(O329="Win",1,IF(O329="Loss",0,""))</x:f>
      </x:c>
      <x:c r="Q329" s="33" t="str">
        <x:f>IF(OR(O329="",J329=""),"",IF(O329="Win",IF(J329&gt;0,1+J329/100,1+100/ABS(J329)),IF(O329="Push",1,0)))</x:f>
      </x:c>
      <x:c r="R329" s="33" t="str">
        <x:f>IF(Q329="","",Q329-1)</x:f>
      </x:c>
      <x:c r="S329" s="31"/>
      <x:c r="T329" s="32" t="str">
        <x:f>IF(OR(J329="",S329=""),"",IF(J329&gt;0,100/(J329+100),ABS(J329)/(ABS(J329)+100))-IF(S329&gt;0,100/(S329+100),ABS(S329)/(ABS(S329)+100)))</x:f>
      </x:c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 t="str">
        <x:f>IF(O330="Win",1,IF(O330="Loss",0,""))</x:f>
      </x:c>
      <x:c r="Q330" s="33" t="str">
        <x:f>IF(OR(O330="",J330=""),"",IF(O330="Win",IF(J330&gt;0,1+J330/100,1+100/ABS(J330)),IF(O330="Push",1,0)))</x:f>
      </x:c>
      <x:c r="R330" s="33" t="str">
        <x:f>IF(Q330="","",Q330-1)</x:f>
      </x:c>
      <x:c r="S330" s="31"/>
      <x:c r="T330" s="32" t="str">
        <x:f>IF(OR(J330="",S330=""),"",IF(J330&gt;0,100/(J330+100),ABS(J330)/(ABS(J330)+100))-IF(S330&gt;0,100/(S330+100),ABS(S330)/(ABS(S330)+100)))</x:f>
      </x:c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 t="str">
        <x:f>IF(O331="Win",1,IF(O331="Loss",0,""))</x:f>
      </x:c>
      <x:c r="Q331" s="33" t="str">
        <x:f>IF(OR(O331="",J331=""),"",IF(O331="Win",IF(J331&gt;0,1+J331/100,1+100/ABS(J331)),IF(O331="Push",1,0)))</x:f>
      </x:c>
      <x:c r="R331" s="33" t="str">
        <x:f>IF(Q331="","",Q331-1)</x:f>
      </x:c>
      <x:c r="S331" s="31"/>
      <x:c r="T331" s="32" t="str">
        <x:f>IF(OR(J331="",S331=""),"",IF(J331&gt;0,100/(J331+100),ABS(J331)/(ABS(J331)+100))-IF(S331&gt;0,100/(S331+100),ABS(S331)/(ABS(S331)+100)))</x:f>
      </x:c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 t="str">
        <x:f>IF(O332="Win",1,IF(O332="Loss",0,""))</x:f>
      </x:c>
      <x:c r="Q332" s="33" t="str">
        <x:f>IF(OR(O332="",J332=""),"",IF(O332="Win",IF(J332&gt;0,1+J332/100,1+100/ABS(J332)),IF(O332="Push",1,0)))</x:f>
      </x:c>
      <x:c r="R332" s="33" t="str">
        <x:f>IF(Q332="","",Q332-1)</x:f>
      </x:c>
      <x:c r="S332" s="31"/>
      <x:c r="T332" s="32" t="str">
        <x:f>IF(OR(J332="",S332=""),"",IF(J332&gt;0,100/(J332+100),ABS(J332)/(ABS(J332)+100))-IF(S332&gt;0,100/(S332+100),ABS(S332)/(ABS(S332)+100)))</x:f>
      </x:c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 t="str">
        <x:f>IF(O333="Win",1,IF(O333="Loss",0,""))</x:f>
      </x:c>
      <x:c r="Q333" s="33" t="str">
        <x:f>IF(OR(O333="",J333=""),"",IF(O333="Win",IF(J333&gt;0,1+J333/100,1+100/ABS(J333)),IF(O333="Push",1,0)))</x:f>
      </x:c>
      <x:c r="R333" s="33" t="str">
        <x:f>IF(Q333="","",Q333-1)</x:f>
      </x:c>
      <x:c r="S333" s="31"/>
      <x:c r="T333" s="32" t="str">
        <x:f>IF(OR(J333="",S333=""),"",IF(J333&gt;0,100/(J333+100),ABS(J333)/(ABS(J333)+100))-IF(S333&gt;0,100/(S333+100),ABS(S333)/(ABS(S333)+100)))</x:f>
      </x:c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 t="str">
        <x:f>IF(O334="Win",1,IF(O334="Loss",0,""))</x:f>
      </x:c>
      <x:c r="Q334" s="33" t="str">
        <x:f>IF(OR(O334="",J334=""),"",IF(O334="Win",IF(J334&gt;0,1+J334/100,1+100/ABS(J334)),IF(O334="Push",1,0)))</x:f>
      </x:c>
      <x:c r="R334" s="33" t="str">
        <x:f>IF(Q334="","",Q334-1)</x:f>
      </x:c>
      <x:c r="S334" s="31"/>
      <x:c r="T334" s="32" t="str">
        <x:f>IF(OR(J334="",S334=""),"",IF(J334&gt;0,100/(J334+100),ABS(J334)/(ABS(J334)+100))-IF(S334&gt;0,100/(S334+100),ABS(S334)/(ABS(S334)+100)))</x:f>
      </x:c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 t="str">
        <x:f>IF(O335="Win",1,IF(O335="Loss",0,""))</x:f>
      </x:c>
      <x:c r="Q335" s="33" t="str">
        <x:f>IF(OR(O335="",J335=""),"",IF(O335="Win",IF(J335&gt;0,1+J335/100,1+100/ABS(J335)),IF(O335="Push",1,0)))</x:f>
      </x:c>
      <x:c r="R335" s="33" t="str">
        <x:f>IF(Q335="","",Q335-1)</x:f>
      </x:c>
      <x:c r="S335" s="31"/>
      <x:c r="T335" s="32" t="str">
        <x:f>IF(OR(J335="",S335=""),"",IF(J335&gt;0,100/(J335+100),ABS(J335)/(ABS(J335)+100))-IF(S335&gt;0,100/(S335+100),ABS(S335)/(ABS(S335)+100)))</x:f>
      </x:c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 t="str">
        <x:f>IF(O336="Win",1,IF(O336="Loss",0,""))</x:f>
      </x:c>
      <x:c r="Q336" s="33" t="str">
        <x:f>IF(OR(O336="",J336=""),"",IF(O336="Win",IF(J336&gt;0,1+J336/100,1+100/ABS(J336)),IF(O336="Push",1,0)))</x:f>
      </x:c>
      <x:c r="R336" s="33" t="str">
        <x:f>IF(Q336="","",Q336-1)</x:f>
      </x:c>
      <x:c r="S336" s="31"/>
      <x:c r="T336" s="32" t="str">
        <x:f>IF(OR(J336="",S336=""),"",IF(J336&gt;0,100/(J336+100),ABS(J336)/(ABS(J336)+100))-IF(S336&gt;0,100/(S336+100),ABS(S336)/(ABS(S336)+100)))</x:f>
      </x:c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 t="str">
        <x:f>IF(O337="Win",1,IF(O337="Loss",0,""))</x:f>
      </x:c>
      <x:c r="Q337" s="33" t="str">
        <x:f>IF(OR(O337="",J337=""),"",IF(O337="Win",IF(J337&gt;0,1+J337/100,1+100/ABS(J337)),IF(O337="Push",1,0)))</x:f>
      </x:c>
      <x:c r="R337" s="33" t="str">
        <x:f>IF(Q337="","",Q337-1)</x:f>
      </x:c>
      <x:c r="S337" s="31"/>
      <x:c r="T337" s="32" t="str">
        <x:f>IF(OR(J337="",S337=""),"",IF(J337&gt;0,100/(J337+100),ABS(J337)/(ABS(J337)+100))-IF(S337&gt;0,100/(S337+100),ABS(S337)/(ABS(S337)+100)))</x:f>
      </x:c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 t="str">
        <x:f>IF(O338="Win",1,IF(O338="Loss",0,""))</x:f>
      </x:c>
      <x:c r="Q338" s="33" t="str">
        <x:f>IF(OR(O338="",J338=""),"",IF(O338="Win",IF(J338&gt;0,1+J338/100,1+100/ABS(J338)),IF(O338="Push",1,0)))</x:f>
      </x:c>
      <x:c r="R338" s="33" t="str">
        <x:f>IF(Q338="","",Q338-1)</x:f>
      </x:c>
      <x:c r="S338" s="31"/>
      <x:c r="T338" s="32" t="str">
        <x:f>IF(OR(J338="",S338=""),"",IF(J338&gt;0,100/(J338+100),ABS(J338)/(ABS(J338)+100))-IF(S338&gt;0,100/(S338+100),ABS(S338)/(ABS(S338)+100)))</x:f>
      </x:c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 t="str">
        <x:f>IF(O339="Win",1,IF(O339="Loss",0,""))</x:f>
      </x:c>
      <x:c r="Q339" s="33" t="str">
        <x:f>IF(OR(O339="",J339=""),"",IF(O339="Win",IF(J339&gt;0,1+J339/100,1+100/ABS(J339)),IF(O339="Push",1,0)))</x:f>
      </x:c>
      <x:c r="R339" s="33" t="str">
        <x:f>IF(Q339="","",Q339-1)</x:f>
      </x:c>
      <x:c r="S339" s="31"/>
      <x:c r="T339" s="32" t="str">
        <x:f>IF(OR(J339="",S339=""),"",IF(J339&gt;0,100/(J339+100),ABS(J339)/(ABS(J339)+100))-IF(S339&gt;0,100/(S339+100),ABS(S339)/(ABS(S339)+100)))</x:f>
      </x:c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 t="str">
        <x:f>IF(O340="Win",1,IF(O340="Loss",0,""))</x:f>
      </x:c>
      <x:c r="Q340" s="33" t="str">
        <x:f>IF(OR(O340="",J340=""),"",IF(O340="Win",IF(J340&gt;0,1+J340/100,1+100/ABS(J340)),IF(O340="Push",1,0)))</x:f>
      </x:c>
      <x:c r="R340" s="33" t="str">
        <x:f>IF(Q340="","",Q340-1)</x:f>
      </x:c>
      <x:c r="S340" s="31"/>
      <x:c r="T340" s="32" t="str">
        <x:f>IF(OR(J340="",S340=""),"",IF(J340&gt;0,100/(J340+100),ABS(J340)/(ABS(J340)+100))-IF(S340&gt;0,100/(S340+100),ABS(S340)/(ABS(S340)+100)))</x:f>
      </x:c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 t="str">
        <x:f>IF(O341="Win",1,IF(O341="Loss",0,""))</x:f>
      </x:c>
      <x:c r="Q341" s="33" t="str">
        <x:f>IF(OR(O341="",J341=""),"",IF(O341="Win",IF(J341&gt;0,1+J341/100,1+100/ABS(J341)),IF(O341="Push",1,0)))</x:f>
      </x:c>
      <x:c r="R341" s="33" t="str">
        <x:f>IF(Q341="","",Q341-1)</x:f>
      </x:c>
      <x:c r="S341" s="31"/>
      <x:c r="T341" s="32" t="str">
        <x:f>IF(OR(J341="",S341=""),"",IF(J341&gt;0,100/(J341+100),ABS(J341)/(ABS(J341)+100))-IF(S341&gt;0,100/(S341+100),ABS(S341)/(ABS(S341)+100)))</x:f>
      </x:c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 t="str">
        <x:f>IF(O342="Win",1,IF(O342="Loss",0,""))</x:f>
      </x:c>
      <x:c r="Q342" s="33" t="str">
        <x:f>IF(OR(O342="",J342=""),"",IF(O342="Win",IF(J342&gt;0,1+J342/100,1+100/ABS(J342)),IF(O342="Push",1,0)))</x:f>
      </x:c>
      <x:c r="R342" s="33" t="str">
        <x:f>IF(Q342="","",Q342-1)</x:f>
      </x:c>
      <x:c r="S342" s="31"/>
      <x:c r="T342" s="32" t="str">
        <x:f>IF(OR(J342="",S342=""),"",IF(J342&gt;0,100/(J342+100),ABS(J342)/(ABS(J342)+100))-IF(S342&gt;0,100/(S342+100),ABS(S342)/(ABS(S342)+100)))</x:f>
      </x:c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 t="str">
        <x:f>IF(O343="Win",1,IF(O343="Loss",0,""))</x:f>
      </x:c>
      <x:c r="Q343" s="33" t="str">
        <x:f>IF(OR(O343="",J343=""),"",IF(O343="Win",IF(J343&gt;0,1+J343/100,1+100/ABS(J343)),IF(O343="Push",1,0)))</x:f>
      </x:c>
      <x:c r="R343" s="33" t="str">
        <x:f>IF(Q343="","",Q343-1)</x:f>
      </x:c>
      <x:c r="S343" s="31"/>
      <x:c r="T343" s="32" t="str">
        <x:f>IF(OR(J343="",S343=""),"",IF(J343&gt;0,100/(J343+100),ABS(J343)/(ABS(J343)+100))-IF(S343&gt;0,100/(S343+100),ABS(S343)/(ABS(S343)+100)))</x:f>
      </x:c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 t="str">
        <x:f>IF(O344="Win",1,IF(O344="Loss",0,""))</x:f>
      </x:c>
      <x:c r="Q344" s="33" t="str">
        <x:f>IF(OR(O344="",J344=""),"",IF(O344="Win",IF(J344&gt;0,1+J344/100,1+100/ABS(J344)),IF(O344="Push",1,0)))</x:f>
      </x:c>
      <x:c r="R344" s="33" t="str">
        <x:f>IF(Q344="","",Q344-1)</x:f>
      </x:c>
      <x:c r="S344" s="31"/>
      <x:c r="T344" s="32" t="str">
        <x:f>IF(OR(J344="",S344=""),"",IF(J344&gt;0,100/(J344+100),ABS(J344)/(ABS(J344)+100))-IF(S344&gt;0,100/(S344+100),ABS(S344)/(ABS(S344)+100)))</x:f>
      </x:c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 t="str">
        <x:f>IF(O345="Win",1,IF(O345="Loss",0,""))</x:f>
      </x:c>
      <x:c r="Q345" s="33" t="str">
        <x:f>IF(OR(O345="",J345=""),"",IF(O345="Win",IF(J345&gt;0,1+J345/100,1+100/ABS(J345)),IF(O345="Push",1,0)))</x:f>
      </x:c>
      <x:c r="R345" s="33" t="str">
        <x:f>IF(Q345="","",Q345-1)</x:f>
      </x:c>
      <x:c r="S345" s="31"/>
      <x:c r="T345" s="32" t="str">
        <x:f>IF(OR(J345="",S345=""),"",IF(J345&gt;0,100/(J345+100),ABS(J345)/(ABS(J345)+100))-IF(S345&gt;0,100/(S345+100),ABS(S345)/(ABS(S345)+100)))</x:f>
      </x:c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 t="str">
        <x:f>IF(O346="Win",1,IF(O346="Loss",0,""))</x:f>
      </x:c>
      <x:c r="Q346" s="33" t="str">
        <x:f>IF(OR(O346="",J346=""),"",IF(O346="Win",IF(J346&gt;0,1+J346/100,1+100/ABS(J346)),IF(O346="Push",1,0)))</x:f>
      </x:c>
      <x:c r="R346" s="33" t="str">
        <x:f>IF(Q346="","",Q346-1)</x:f>
      </x:c>
      <x:c r="S346" s="31"/>
      <x:c r="T346" s="32" t="str">
        <x:f>IF(OR(J346="",S346=""),"",IF(J346&gt;0,100/(J346+100),ABS(J346)/(ABS(J346)+100))-IF(S346&gt;0,100/(S346+100),ABS(S346)/(ABS(S346)+100)))</x:f>
      </x:c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 t="str">
        <x:f>IF(O347="Win",1,IF(O347="Loss",0,""))</x:f>
      </x:c>
      <x:c r="Q347" s="33" t="str">
        <x:f>IF(OR(O347="",J347=""),"",IF(O347="Win",IF(J347&gt;0,1+J347/100,1+100/ABS(J347)),IF(O347="Push",1,0)))</x:f>
      </x:c>
      <x:c r="R347" s="33" t="str">
        <x:f>IF(Q347="","",Q347-1)</x:f>
      </x:c>
      <x:c r="S347" s="31"/>
      <x:c r="T347" s="32" t="str">
        <x:f>IF(OR(J347="",S347=""),"",IF(J347&gt;0,100/(J347+100),ABS(J347)/(ABS(J347)+100))-IF(S347&gt;0,100/(S347+100),ABS(S347)/(ABS(S347)+100)))</x:f>
      </x:c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 t="str">
        <x:f>IF(O348="Win",1,IF(O348="Loss",0,""))</x:f>
      </x:c>
      <x:c r="Q348" s="33" t="str">
        <x:f>IF(OR(O348="",J348=""),"",IF(O348="Win",IF(J348&gt;0,1+J348/100,1+100/ABS(J348)),IF(O348="Push",1,0)))</x:f>
      </x:c>
      <x:c r="R348" s="33" t="str">
        <x:f>IF(Q348="","",Q348-1)</x:f>
      </x:c>
      <x:c r="S348" s="31"/>
      <x:c r="T348" s="32" t="str">
        <x:f>IF(OR(J348="",S348=""),"",IF(J348&gt;0,100/(J348+100),ABS(J348)/(ABS(J348)+100))-IF(S348&gt;0,100/(S348+100),ABS(S348)/(ABS(S348)+100)))</x:f>
      </x:c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 t="str">
        <x:f>IF(O349="Win",1,IF(O349="Loss",0,""))</x:f>
      </x:c>
      <x:c r="Q349" s="33" t="str">
        <x:f>IF(OR(O349="",J349=""),"",IF(O349="Win",IF(J349&gt;0,1+J349/100,1+100/ABS(J349)),IF(O349="Push",1,0)))</x:f>
      </x:c>
      <x:c r="R349" s="33" t="str">
        <x:f>IF(Q349="","",Q349-1)</x:f>
      </x:c>
      <x:c r="S349" s="31"/>
      <x:c r="T349" s="32" t="str">
        <x:f>IF(OR(J349="",S349=""),"",IF(J349&gt;0,100/(J349+100),ABS(J349)/(ABS(J349)+100))-IF(S349&gt;0,100/(S349+100),ABS(S349)/(ABS(S349)+100)))</x:f>
      </x:c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 t="str">
        <x:f>IF(O350="Win",1,IF(O350="Loss",0,""))</x:f>
      </x:c>
      <x:c r="Q350" s="33" t="str">
        <x:f>IF(OR(O350="",J350=""),"",IF(O350="Win",IF(J350&gt;0,1+J350/100,1+100/ABS(J350)),IF(O350="Push",1,0)))</x:f>
      </x:c>
      <x:c r="R350" s="33" t="str">
        <x:f>IF(Q350="","",Q350-1)</x:f>
      </x:c>
      <x:c r="S350" s="31"/>
      <x:c r="T350" s="32" t="str">
        <x:f>IF(OR(J350="",S350=""),"",IF(J350&gt;0,100/(J350+100),ABS(J350)/(ABS(J350)+100))-IF(S350&gt;0,100/(S350+100),ABS(S350)/(ABS(S350)+100)))</x:f>
      </x:c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 t="str">
        <x:f>IF(O351="Win",1,IF(O351="Loss",0,""))</x:f>
      </x:c>
      <x:c r="Q351" s="33" t="str">
        <x:f>IF(OR(O351="",J351=""),"",IF(O351="Win",IF(J351&gt;0,1+J351/100,1+100/ABS(J351)),IF(O351="Push",1,0)))</x:f>
      </x:c>
      <x:c r="R351" s="33" t="str">
        <x:f>IF(Q351="","",Q351-1)</x:f>
      </x:c>
      <x:c r="S351" s="31"/>
      <x:c r="T351" s="32" t="str">
        <x:f>IF(OR(J351="",S351=""),"",IF(J351&gt;0,100/(J351+100),ABS(J351)/(ABS(J351)+100))-IF(S351&gt;0,100/(S351+100),ABS(S351)/(ABS(S351)+100)))</x:f>
      </x:c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 t="str">
        <x:f>IF(O352="Win",1,IF(O352="Loss",0,""))</x:f>
      </x:c>
      <x:c r="Q352" s="33" t="str">
        <x:f>IF(OR(O352="",J352=""),"",IF(O352="Win",IF(J352&gt;0,1+J352/100,1+100/ABS(J352)),IF(O352="Push",1,0)))</x:f>
      </x:c>
      <x:c r="R352" s="33" t="str">
        <x:f>IF(Q352="","",Q352-1)</x:f>
      </x:c>
      <x:c r="S352" s="31"/>
      <x:c r="T352" s="32" t="str">
        <x:f>IF(OR(J352="",S352=""),"",IF(J352&gt;0,100/(J352+100),ABS(J352)/(ABS(J352)+100))-IF(S352&gt;0,100/(S352+100),ABS(S352)/(ABS(S352)+100)))</x:f>
      </x:c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 t="str">
        <x:f>IF(O353="Win",1,IF(O353="Loss",0,""))</x:f>
      </x:c>
      <x:c r="Q353" s="33" t="str">
        <x:f>IF(OR(O353="",J353=""),"",IF(O353="Win",IF(J353&gt;0,1+J353/100,1+100/ABS(J353)),IF(O353="Push",1,0)))</x:f>
      </x:c>
      <x:c r="R353" s="33" t="str">
        <x:f>IF(Q353="","",Q353-1)</x:f>
      </x:c>
      <x:c r="S353" s="31"/>
      <x:c r="T353" s="32" t="str">
        <x:f>IF(OR(J353="",S353=""),"",IF(J353&gt;0,100/(J353+100),ABS(J353)/(ABS(J353)+100))-IF(S353&gt;0,100/(S353+100),ABS(S353)/(ABS(S353)+100)))</x:f>
      </x:c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 t="str">
        <x:f>IF(O354="Win",1,IF(O354="Loss",0,""))</x:f>
      </x:c>
      <x:c r="Q354" s="33" t="str">
        <x:f>IF(OR(O354="",J354=""),"",IF(O354="Win",IF(J354&gt;0,1+J354/100,1+100/ABS(J354)),IF(O354="Push",1,0)))</x:f>
      </x:c>
      <x:c r="R354" s="33" t="str">
        <x:f>IF(Q354="","",Q354-1)</x:f>
      </x:c>
      <x:c r="S354" s="31"/>
      <x:c r="T354" s="32" t="str">
        <x:f>IF(OR(J354="",S354=""),"",IF(J354&gt;0,100/(J354+100),ABS(J354)/(ABS(J354)+100))-IF(S354&gt;0,100/(S354+100),ABS(S354)/(ABS(S354)+100)))</x:f>
      </x:c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 t="str">
        <x:f>IF(O355="Win",1,IF(O355="Loss",0,""))</x:f>
      </x:c>
      <x:c r="Q355" s="33" t="str">
        <x:f>IF(OR(O355="",J355=""),"",IF(O355="Win",IF(J355&gt;0,1+J355/100,1+100/ABS(J355)),IF(O355="Push",1,0)))</x:f>
      </x:c>
      <x:c r="R355" s="33" t="str">
        <x:f>IF(Q355="","",Q355-1)</x:f>
      </x:c>
      <x:c r="S355" s="31"/>
      <x:c r="T355" s="32" t="str">
        <x:f>IF(OR(J355="",S355=""),"",IF(J355&gt;0,100/(J355+100),ABS(J355)/(ABS(J355)+100))-IF(S355&gt;0,100/(S355+100),ABS(S355)/(ABS(S355)+100)))</x:f>
      </x:c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 t="str">
        <x:f>IF(O356="Win",1,IF(O356="Loss",0,""))</x:f>
      </x:c>
      <x:c r="Q356" s="33" t="str">
        <x:f>IF(OR(O356="",J356=""),"",IF(O356="Win",IF(J356&gt;0,1+J356/100,1+100/ABS(J356)),IF(O356="Push",1,0)))</x:f>
      </x:c>
      <x:c r="R356" s="33" t="str">
        <x:f>IF(Q356="","",Q356-1)</x:f>
      </x:c>
      <x:c r="S356" s="31"/>
      <x:c r="T356" s="32" t="str">
        <x:f>IF(OR(J356="",S356=""),"",IF(J356&gt;0,100/(J356+100),ABS(J356)/(ABS(J356)+100))-IF(S356&gt;0,100/(S356+100),ABS(S356)/(ABS(S356)+100)))</x:f>
      </x:c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 t="str">
        <x:f>IF(O357="Win",1,IF(O357="Loss",0,""))</x:f>
      </x:c>
      <x:c r="Q357" s="33" t="str">
        <x:f>IF(OR(O357="",J357=""),"",IF(O357="Win",IF(J357&gt;0,1+J357/100,1+100/ABS(J357)),IF(O357="Push",1,0)))</x:f>
      </x:c>
      <x:c r="R357" s="33" t="str">
        <x:f>IF(Q357="","",Q357-1)</x:f>
      </x:c>
      <x:c r="S357" s="31"/>
      <x:c r="T357" s="32" t="str">
        <x:f>IF(OR(J357="",S357=""),"",IF(J357&gt;0,100/(J357+100),ABS(J357)/(ABS(J357)+100))-IF(S357&gt;0,100/(S357+100),ABS(S357)/(ABS(S357)+100)))</x:f>
      </x:c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 t="str">
        <x:f>IF(O358="Win",1,IF(O358="Loss",0,""))</x:f>
      </x:c>
      <x:c r="Q358" s="33" t="str">
        <x:f>IF(OR(O358="",J358=""),"",IF(O358="Win",IF(J358&gt;0,1+J358/100,1+100/ABS(J358)),IF(O358="Push",1,0)))</x:f>
      </x:c>
      <x:c r="R358" s="33" t="str">
        <x:f>IF(Q358="","",Q358-1)</x:f>
      </x:c>
      <x:c r="S358" s="31"/>
      <x:c r="T358" s="32" t="str">
        <x:f>IF(OR(J358="",S358=""),"",IF(J358&gt;0,100/(J358+100),ABS(J358)/(ABS(J358)+100))-IF(S358&gt;0,100/(S358+100),ABS(S358)/(ABS(S358)+100)))</x:f>
      </x:c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 t="str">
        <x:f>IF(O359="Win",1,IF(O359="Loss",0,""))</x:f>
      </x:c>
      <x:c r="Q359" s="33" t="str">
        <x:f>IF(OR(O359="",J359=""),"",IF(O359="Win",IF(J359&gt;0,1+J359/100,1+100/ABS(J359)),IF(O359="Push",1,0)))</x:f>
      </x:c>
      <x:c r="R359" s="33" t="str">
        <x:f>IF(Q359="","",Q359-1)</x:f>
      </x:c>
      <x:c r="S359" s="31"/>
      <x:c r="T359" s="32" t="str">
        <x:f>IF(OR(J359="",S359=""),"",IF(J359&gt;0,100/(J359+100),ABS(J359)/(ABS(J359)+100))-IF(S359&gt;0,100/(S359+100),ABS(S359)/(ABS(S359)+100)))</x:f>
      </x:c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 t="str">
        <x:f>IF(O360="Win",1,IF(O360="Loss",0,""))</x:f>
      </x:c>
      <x:c r="Q360" s="33" t="str">
        <x:f>IF(OR(O360="",J360=""),"",IF(O360="Win",IF(J360&gt;0,1+J360/100,1+100/ABS(J360)),IF(O360="Push",1,0)))</x:f>
      </x:c>
      <x:c r="R360" s="33" t="str">
        <x:f>IF(Q360="","",Q360-1)</x:f>
      </x:c>
      <x:c r="S360" s="31"/>
      <x:c r="T360" s="32" t="str">
        <x:f>IF(OR(J360="",S360=""),"",IF(J360&gt;0,100/(J360+100),ABS(J360)/(ABS(J360)+100))-IF(S360&gt;0,100/(S360+100),ABS(S360)/(ABS(S360)+100)))</x:f>
      </x:c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 t="str">
        <x:f>IF(O361="Win",1,IF(O361="Loss",0,""))</x:f>
      </x:c>
      <x:c r="Q361" s="33" t="str">
        <x:f>IF(OR(O361="",J361=""),"",IF(O361="Win",IF(J361&gt;0,1+J361/100,1+100/ABS(J361)),IF(O361="Push",1,0)))</x:f>
      </x:c>
      <x:c r="R361" s="33" t="str">
        <x:f>IF(Q361="","",Q361-1)</x:f>
      </x:c>
      <x:c r="S361" s="31"/>
      <x:c r="T361" s="32" t="str">
        <x:f>IF(OR(J361="",S361=""),"",IF(J361&gt;0,100/(J361+100),ABS(J361)/(ABS(J361)+100))-IF(S361&gt;0,100/(S361+100),ABS(S361)/(ABS(S361)+100)))</x:f>
      </x:c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 t="str">
        <x:f>IF(O362="Win",1,IF(O362="Loss",0,""))</x:f>
      </x:c>
      <x:c r="Q362" s="33" t="str">
        <x:f>IF(OR(O362="",J362=""),"",IF(O362="Win",IF(J362&gt;0,1+J362/100,1+100/ABS(J362)),IF(O362="Push",1,0)))</x:f>
      </x:c>
      <x:c r="R362" s="33" t="str">
        <x:f>IF(Q362="","",Q362-1)</x:f>
      </x:c>
      <x:c r="S362" s="31"/>
      <x:c r="T362" s="32" t="str">
        <x:f>IF(OR(J362="",S362=""),"",IF(J362&gt;0,100/(J362+100),ABS(J362)/(ABS(J362)+100))-IF(S362&gt;0,100/(S362+100),ABS(S362)/(ABS(S362)+100)))</x:f>
      </x:c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 t="str">
        <x:f>IF(O363="Win",1,IF(O363="Loss",0,""))</x:f>
      </x:c>
      <x:c r="Q363" s="33" t="str">
        <x:f>IF(OR(O363="",J363=""),"",IF(O363="Win",IF(J363&gt;0,1+J363/100,1+100/ABS(J363)),IF(O363="Push",1,0)))</x:f>
      </x:c>
      <x:c r="R363" s="33" t="str">
        <x:f>IF(Q363="","",Q363-1)</x:f>
      </x:c>
      <x:c r="S363" s="31"/>
      <x:c r="T363" s="32" t="str">
        <x:f>IF(OR(J363="",S363=""),"",IF(J363&gt;0,100/(J363+100),ABS(J363)/(ABS(J363)+100))-IF(S363&gt;0,100/(S363+100),ABS(S363)/(ABS(S363)+100)))</x:f>
      </x:c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 t="str">
        <x:f>IF(O364="Win",1,IF(O364="Loss",0,""))</x:f>
      </x:c>
      <x:c r="Q364" s="33" t="str">
        <x:f>IF(OR(O364="",J364=""),"",IF(O364="Win",IF(J364&gt;0,1+J364/100,1+100/ABS(J364)),IF(O364="Push",1,0)))</x:f>
      </x:c>
      <x:c r="R364" s="33" t="str">
        <x:f>IF(Q364="","",Q364-1)</x:f>
      </x:c>
      <x:c r="S364" s="31"/>
      <x:c r="T364" s="32" t="str">
        <x:f>IF(OR(J364="",S364=""),"",IF(J364&gt;0,100/(J364+100),ABS(J364)/(ABS(J364)+100))-IF(S364&gt;0,100/(S364+100),ABS(S364)/(ABS(S364)+100)))</x:f>
      </x:c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 t="str">
        <x:f>IF(O365="Win",1,IF(O365="Loss",0,""))</x:f>
      </x:c>
      <x:c r="Q365" s="33" t="str">
        <x:f>IF(OR(O365="",J365=""),"",IF(O365="Win",IF(J365&gt;0,1+J365/100,1+100/ABS(J365)),IF(O365="Push",1,0)))</x:f>
      </x:c>
      <x:c r="R365" s="33" t="str">
        <x:f>IF(Q365="","",Q365-1)</x:f>
      </x:c>
      <x:c r="S365" s="31"/>
      <x:c r="T365" s="32" t="str">
        <x:f>IF(OR(J365="",S365=""),"",IF(J365&gt;0,100/(J365+100),ABS(J365)/(ABS(J365)+100))-IF(S365&gt;0,100/(S365+100),ABS(S365)/(ABS(S365)+100)))</x:f>
      </x:c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 t="str">
        <x:f>IF(O366="Win",1,IF(O366="Loss",0,""))</x:f>
      </x:c>
      <x:c r="Q366" s="33" t="str">
        <x:f>IF(OR(O366="",J366=""),"",IF(O366="Win",IF(J366&gt;0,1+J366/100,1+100/ABS(J366)),IF(O366="Push",1,0)))</x:f>
      </x:c>
      <x:c r="R366" s="33" t="str">
        <x:f>IF(Q366="","",Q366-1)</x:f>
      </x:c>
      <x:c r="S366" s="31"/>
      <x:c r="T366" s="32" t="str">
        <x:f>IF(OR(J366="",S366=""),"",IF(J366&gt;0,100/(J366+100),ABS(J366)/(ABS(J366)+100))-IF(S366&gt;0,100/(S366+100),ABS(S366)/(ABS(S366)+100)))</x:f>
      </x:c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 t="str">
        <x:f>IF(O367="Win",1,IF(O367="Loss",0,""))</x:f>
      </x:c>
      <x:c r="Q367" s="33" t="str">
        <x:f>IF(OR(O367="",J367=""),"",IF(O367="Win",IF(J367&gt;0,1+J367/100,1+100/ABS(J367)),IF(O367="Push",1,0)))</x:f>
      </x:c>
      <x:c r="R367" s="33" t="str">
        <x:f>IF(Q367="","",Q367-1)</x:f>
      </x:c>
      <x:c r="S367" s="31"/>
      <x:c r="T367" s="32" t="str">
        <x:f>IF(OR(J367="",S367=""),"",IF(J367&gt;0,100/(J367+100),ABS(J367)/(ABS(J367)+100))-IF(S367&gt;0,100/(S367+100),ABS(S367)/(ABS(S367)+100)))</x:f>
      </x:c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 t="str">
        <x:f>IF(O368="Win",1,IF(O368="Loss",0,""))</x:f>
      </x:c>
      <x:c r="Q368" s="33" t="str">
        <x:f>IF(OR(O368="",J368=""),"",IF(O368="Win",IF(J368&gt;0,1+J368/100,1+100/ABS(J368)),IF(O368="Push",1,0)))</x:f>
      </x:c>
      <x:c r="R368" s="33" t="str">
        <x:f>IF(Q368="","",Q368-1)</x:f>
      </x:c>
      <x:c r="S368" s="31"/>
      <x:c r="T368" s="32" t="str">
        <x:f>IF(OR(J368="",S368=""),"",IF(J368&gt;0,100/(J368+100),ABS(J368)/(ABS(J368)+100))-IF(S368&gt;0,100/(S368+100),ABS(S368)/(ABS(S368)+100)))</x:f>
      </x:c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 t="str">
        <x:f>IF(O369="Win",1,IF(O369="Loss",0,""))</x:f>
      </x:c>
      <x:c r="Q369" s="33" t="str">
        <x:f>IF(OR(O369="",J369=""),"",IF(O369="Win",IF(J369&gt;0,1+J369/100,1+100/ABS(J369)),IF(O369="Push",1,0)))</x:f>
      </x:c>
      <x:c r="R369" s="33" t="str">
        <x:f>IF(Q369="","",Q369-1)</x:f>
      </x:c>
      <x:c r="S369" s="31"/>
      <x:c r="T369" s="32" t="str">
        <x:f>IF(OR(J369="",S369=""),"",IF(J369&gt;0,100/(J369+100),ABS(J369)/(ABS(J369)+100))-IF(S369&gt;0,100/(S369+100),ABS(S369)/(ABS(S369)+100)))</x:f>
      </x:c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 t="str">
        <x:f>IF(O370="Win",1,IF(O370="Loss",0,""))</x:f>
      </x:c>
      <x:c r="Q370" s="33" t="str">
        <x:f>IF(OR(O370="",J370=""),"",IF(O370="Win",IF(J370&gt;0,1+J370/100,1+100/ABS(J370)),IF(O370="Push",1,0)))</x:f>
      </x:c>
      <x:c r="R370" s="33" t="str">
        <x:f>IF(Q370="","",Q370-1)</x:f>
      </x:c>
      <x:c r="S370" s="31"/>
      <x:c r="T370" s="32" t="str">
        <x:f>IF(OR(J370="",S370=""),"",IF(J370&gt;0,100/(J370+100),ABS(J370)/(ABS(J370)+100))-IF(S370&gt;0,100/(S370+100),ABS(S370)/(ABS(S370)+100)))</x:f>
      </x:c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 t="str">
        <x:f>IF(O371="Win",1,IF(O371="Loss",0,""))</x:f>
      </x:c>
      <x:c r="Q371" s="33" t="str">
        <x:f>IF(OR(O371="",J371=""),"",IF(O371="Win",IF(J371&gt;0,1+J371/100,1+100/ABS(J371)),IF(O371="Push",1,0)))</x:f>
      </x:c>
      <x:c r="R371" s="33" t="str">
        <x:f>IF(Q371="","",Q371-1)</x:f>
      </x:c>
      <x:c r="S371" s="31"/>
      <x:c r="T371" s="32" t="str">
        <x:f>IF(OR(J371="",S371=""),"",IF(J371&gt;0,100/(J371+100),ABS(J371)/(ABS(J371)+100))-IF(S371&gt;0,100/(S371+100),ABS(S371)/(ABS(S371)+100)))</x:f>
      </x:c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 t="str">
        <x:f>IF(O372="Win",1,IF(O372="Loss",0,""))</x:f>
      </x:c>
      <x:c r="Q372" s="33" t="str">
        <x:f>IF(OR(O372="",J372=""),"",IF(O372="Win",IF(J372&gt;0,1+J372/100,1+100/ABS(J372)),IF(O372="Push",1,0)))</x:f>
      </x:c>
      <x:c r="R372" s="33" t="str">
        <x:f>IF(Q372="","",Q372-1)</x:f>
      </x:c>
      <x:c r="S372" s="31"/>
      <x:c r="T372" s="32" t="str">
        <x:f>IF(OR(J372="",S372=""),"",IF(J372&gt;0,100/(J372+100),ABS(J372)/(ABS(J372)+100))-IF(S372&gt;0,100/(S372+100),ABS(S372)/(ABS(S372)+100)))</x:f>
      </x:c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 t="str">
        <x:f>IF(O373="Win",1,IF(O373="Loss",0,""))</x:f>
      </x:c>
      <x:c r="Q373" s="33" t="str">
        <x:f>IF(OR(O373="",J373=""),"",IF(O373="Win",IF(J373&gt;0,1+J373/100,1+100/ABS(J373)),IF(O373="Push",1,0)))</x:f>
      </x:c>
      <x:c r="R373" s="33" t="str">
        <x:f>IF(Q373="","",Q373-1)</x:f>
      </x:c>
      <x:c r="S373" s="31"/>
      <x:c r="T373" s="32" t="str">
        <x:f>IF(OR(J373="",S373=""),"",IF(J373&gt;0,100/(J373+100),ABS(J373)/(ABS(J373)+100))-IF(S373&gt;0,100/(S373+100),ABS(S373)/(ABS(S373)+100)))</x:f>
      </x:c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 t="str">
        <x:f>IF(O374="Win",1,IF(O374="Loss",0,""))</x:f>
      </x:c>
      <x:c r="Q374" s="33" t="str">
        <x:f>IF(OR(O374="",J374=""),"",IF(O374="Win",IF(J374&gt;0,1+J374/100,1+100/ABS(J374)),IF(O374="Push",1,0)))</x:f>
      </x:c>
      <x:c r="R374" s="33" t="str">
        <x:f>IF(Q374="","",Q374-1)</x:f>
      </x:c>
      <x:c r="S374" s="31"/>
      <x:c r="T374" s="32" t="str">
        <x:f>IF(OR(J374="",S374=""),"",IF(J374&gt;0,100/(J374+100),ABS(J374)/(ABS(J374)+100))-IF(S374&gt;0,100/(S374+100),ABS(S374)/(ABS(S374)+100)))</x:f>
      </x:c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 t="str">
        <x:f>IF(O375="Win",1,IF(O375="Loss",0,""))</x:f>
      </x:c>
      <x:c r="Q375" s="33" t="str">
        <x:f>IF(OR(O375="",J375=""),"",IF(O375="Win",IF(J375&gt;0,1+J375/100,1+100/ABS(J375)),IF(O375="Push",1,0)))</x:f>
      </x:c>
      <x:c r="R375" s="33" t="str">
        <x:f>IF(Q375="","",Q375-1)</x:f>
      </x:c>
      <x:c r="S375" s="31"/>
      <x:c r="T375" s="32" t="str">
        <x:f>IF(OR(J375="",S375=""),"",IF(J375&gt;0,100/(J375+100),ABS(J375)/(ABS(J375)+100))-IF(S375&gt;0,100/(S375+100),ABS(S375)/(ABS(S375)+100)))</x:f>
      </x:c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 t="str">
        <x:f>IF(O376="Win",1,IF(O376="Loss",0,""))</x:f>
      </x:c>
      <x:c r="Q376" s="33" t="str">
        <x:f>IF(OR(O376="",J376=""),"",IF(O376="Win",IF(J376&gt;0,1+J376/100,1+100/ABS(J376)),IF(O376="Push",1,0)))</x:f>
      </x:c>
      <x:c r="R376" s="33" t="str">
        <x:f>IF(Q376="","",Q376-1)</x:f>
      </x:c>
      <x:c r="S376" s="31"/>
      <x:c r="T376" s="32" t="str">
        <x:f>IF(OR(J376="",S376=""),"",IF(J376&gt;0,100/(J376+100),ABS(J376)/(ABS(J376)+100))-IF(S376&gt;0,100/(S376+100),ABS(S376)/(ABS(S376)+100)))</x:f>
      </x:c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 t="str">
        <x:f>IF(O377="Win",1,IF(O377="Loss",0,""))</x:f>
      </x:c>
      <x:c r="Q377" s="33" t="str">
        <x:f>IF(OR(O377="",J377=""),"",IF(O377="Win",IF(J377&gt;0,1+J377/100,1+100/ABS(J377)),IF(O377="Push",1,0)))</x:f>
      </x:c>
      <x:c r="R377" s="33" t="str">
        <x:f>IF(Q377="","",Q377-1)</x:f>
      </x:c>
      <x:c r="S377" s="31"/>
      <x:c r="T377" s="32" t="str">
        <x:f>IF(OR(J377="",S377=""),"",IF(J377&gt;0,100/(J377+100),ABS(J377)/(ABS(J377)+100))-IF(S377&gt;0,100/(S377+100),ABS(S377)/(ABS(S377)+100)))</x:f>
      </x:c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 t="str">
        <x:f>IF(O378="Win",1,IF(O378="Loss",0,""))</x:f>
      </x:c>
      <x:c r="Q378" s="33" t="str">
        <x:f>IF(OR(O378="",J378=""),"",IF(O378="Win",IF(J378&gt;0,1+J378/100,1+100/ABS(J378)),IF(O378="Push",1,0)))</x:f>
      </x:c>
      <x:c r="R378" s="33" t="str">
        <x:f>IF(Q378="","",Q378-1)</x:f>
      </x:c>
      <x:c r="S378" s="31"/>
      <x:c r="T378" s="32" t="str">
        <x:f>IF(OR(J378="",S378=""),"",IF(J378&gt;0,100/(J378+100),ABS(J378)/(ABS(J378)+100))-IF(S378&gt;0,100/(S378+100),ABS(S378)/(ABS(S378)+100)))</x:f>
      </x:c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 t="str">
        <x:f>IF(O379="Win",1,IF(O379="Loss",0,""))</x:f>
      </x:c>
      <x:c r="Q379" s="33" t="str">
        <x:f>IF(OR(O379="",J379=""),"",IF(O379="Win",IF(J379&gt;0,1+J379/100,1+100/ABS(J379)),IF(O379="Push",1,0)))</x:f>
      </x:c>
      <x:c r="R379" s="33" t="str">
        <x:f>IF(Q379="","",Q379-1)</x:f>
      </x:c>
      <x:c r="S379" s="31"/>
      <x:c r="T379" s="32" t="str">
        <x:f>IF(OR(J379="",S379=""),"",IF(J379&gt;0,100/(J379+100),ABS(J379)/(ABS(J379)+100))-IF(S379&gt;0,100/(S379+100),ABS(S379)/(ABS(S379)+100)))</x:f>
      </x:c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 t="str">
        <x:f>IF(O380="Win",1,IF(O380="Loss",0,""))</x:f>
      </x:c>
      <x:c r="Q380" s="33" t="str">
        <x:f>IF(OR(O380="",J380=""),"",IF(O380="Win",IF(J380&gt;0,1+J380/100,1+100/ABS(J380)),IF(O380="Push",1,0)))</x:f>
      </x:c>
      <x:c r="R380" s="33" t="str">
        <x:f>IF(Q380="","",Q380-1)</x:f>
      </x:c>
      <x:c r="S380" s="31"/>
      <x:c r="T380" s="32" t="str">
        <x:f>IF(OR(J380="",S380=""),"",IF(J380&gt;0,100/(J380+100),ABS(J380)/(ABS(J380)+100))-IF(S380&gt;0,100/(S380+100),ABS(S380)/(ABS(S380)+100)))</x:f>
      </x:c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 t="str">
        <x:f>IF(O381="Win",1,IF(O381="Loss",0,""))</x:f>
      </x:c>
      <x:c r="Q381" s="33" t="str">
        <x:f>IF(OR(O381="",J381=""),"",IF(O381="Win",IF(J381&gt;0,1+J381/100,1+100/ABS(J381)),IF(O381="Push",1,0)))</x:f>
      </x:c>
      <x:c r="R381" s="33" t="str">
        <x:f>IF(Q381="","",Q381-1)</x:f>
      </x:c>
      <x:c r="S381" s="31"/>
      <x:c r="T381" s="32" t="str">
        <x:f>IF(OR(J381="",S381=""),"",IF(J381&gt;0,100/(J381+100),ABS(J381)/(ABS(J381)+100))-IF(S381&gt;0,100/(S381+100),ABS(S381)/(ABS(S381)+100)))</x:f>
      </x:c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 t="str">
        <x:f>IF(O382="Win",1,IF(O382="Loss",0,""))</x:f>
      </x:c>
      <x:c r="Q382" s="33" t="str">
        <x:f>IF(OR(O382="",J382=""),"",IF(O382="Win",IF(J382&gt;0,1+J382/100,1+100/ABS(J382)),IF(O382="Push",1,0)))</x:f>
      </x:c>
      <x:c r="R382" s="33" t="str">
        <x:f>IF(Q382="","",Q382-1)</x:f>
      </x:c>
      <x:c r="S382" s="31"/>
      <x:c r="T382" s="32" t="str">
        <x:f>IF(OR(J382="",S382=""),"",IF(J382&gt;0,100/(J382+100),ABS(J382)/(ABS(J382)+100))-IF(S382&gt;0,100/(S382+100),ABS(S382)/(ABS(S382)+100)))</x:f>
      </x:c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 t="str">
        <x:f>IF(O383="Win",1,IF(O383="Loss",0,""))</x:f>
      </x:c>
      <x:c r="Q383" s="33" t="str">
        <x:f>IF(OR(O383="",J383=""),"",IF(O383="Win",IF(J383&gt;0,1+J383/100,1+100/ABS(J383)),IF(O383="Push",1,0)))</x:f>
      </x:c>
      <x:c r="R383" s="33" t="str">
        <x:f>IF(Q383="","",Q383-1)</x:f>
      </x:c>
      <x:c r="S383" s="31"/>
      <x:c r="T383" s="32" t="str">
        <x:f>IF(OR(J383="",S383=""),"",IF(J383&gt;0,100/(J383+100),ABS(J383)/(ABS(J383)+100))-IF(S383&gt;0,100/(S383+100),ABS(S383)/(ABS(S383)+100)))</x:f>
      </x:c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 t="str">
        <x:f>IF(O384="Win",1,IF(O384="Loss",0,""))</x:f>
      </x:c>
      <x:c r="Q384" s="33" t="str">
        <x:f>IF(OR(O384="",J384=""),"",IF(O384="Win",IF(J384&gt;0,1+J384/100,1+100/ABS(J384)),IF(O384="Push",1,0)))</x:f>
      </x:c>
      <x:c r="R384" s="33" t="str">
        <x:f>IF(Q384="","",Q384-1)</x:f>
      </x:c>
      <x:c r="S384" s="31"/>
      <x:c r="T384" s="32" t="str">
        <x:f>IF(OR(J384="",S384=""),"",IF(J384&gt;0,100/(J384+100),ABS(J384)/(ABS(J384)+100))-IF(S384&gt;0,100/(S384+100),ABS(S384)/(ABS(S384)+100)))</x:f>
      </x:c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 t="str">
        <x:f>IF(O385="Win",1,IF(O385="Loss",0,""))</x:f>
      </x:c>
      <x:c r="Q385" s="33" t="str">
        <x:f>IF(OR(O385="",J385=""),"",IF(O385="Win",IF(J385&gt;0,1+J385/100,1+100/ABS(J385)),IF(O385="Push",1,0)))</x:f>
      </x:c>
      <x:c r="R385" s="33" t="str">
        <x:f>IF(Q385="","",Q385-1)</x:f>
      </x:c>
      <x:c r="S385" s="31"/>
      <x:c r="T385" s="32" t="str">
        <x:f>IF(OR(J385="",S385=""),"",IF(J385&gt;0,100/(J385+100),ABS(J385)/(ABS(J385)+100))-IF(S385&gt;0,100/(S385+100),ABS(S385)/(ABS(S385)+100)))</x:f>
      </x:c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 t="str">
        <x:f>IF(O386="Win",1,IF(O386="Loss",0,""))</x:f>
      </x:c>
      <x:c r="Q386" s="33" t="str">
        <x:f>IF(OR(O386="",J386=""),"",IF(O386="Win",IF(J386&gt;0,1+J386/100,1+100/ABS(J386)),IF(O386="Push",1,0)))</x:f>
      </x:c>
      <x:c r="R386" s="33" t="str">
        <x:f>IF(Q386="","",Q386-1)</x:f>
      </x:c>
      <x:c r="S386" s="31"/>
      <x:c r="T386" s="32" t="str">
        <x:f>IF(OR(J386="",S386=""),"",IF(J386&gt;0,100/(J386+100),ABS(J386)/(ABS(J386)+100))-IF(S386&gt;0,100/(S386+100),ABS(S386)/(ABS(S386)+100)))</x:f>
      </x:c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 t="str">
        <x:f>IF(O387="Win",1,IF(O387="Loss",0,""))</x:f>
      </x:c>
      <x:c r="Q387" s="33" t="str">
        <x:f>IF(OR(O387="",J387=""),"",IF(O387="Win",IF(J387&gt;0,1+J387/100,1+100/ABS(J387)),IF(O387="Push",1,0)))</x:f>
      </x:c>
      <x:c r="R387" s="33" t="str">
        <x:f>IF(Q387="","",Q387-1)</x:f>
      </x:c>
      <x:c r="S387" s="31"/>
      <x:c r="T387" s="32" t="str">
        <x:f>IF(OR(J387="",S387=""),"",IF(J387&gt;0,100/(J387+100),ABS(J387)/(ABS(J387)+100))-IF(S387&gt;0,100/(S387+100),ABS(S387)/(ABS(S387)+100)))</x:f>
      </x:c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 t="str">
        <x:f>IF(O388="Win",1,IF(O388="Loss",0,""))</x:f>
      </x:c>
      <x:c r="Q388" s="33" t="str">
        <x:f>IF(OR(O388="",J388=""),"",IF(O388="Win",IF(J388&gt;0,1+J388/100,1+100/ABS(J388)),IF(O388="Push",1,0)))</x:f>
      </x:c>
      <x:c r="R388" s="33" t="str">
        <x:f>IF(Q388="","",Q388-1)</x:f>
      </x:c>
      <x:c r="S388" s="31"/>
      <x:c r="T388" s="32" t="str">
        <x:f>IF(OR(J388="",S388=""),"",IF(J388&gt;0,100/(J388+100),ABS(J388)/(ABS(J388)+100))-IF(S388&gt;0,100/(S388+100),ABS(S388)/(ABS(S388)+100)))</x:f>
      </x:c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 t="str">
        <x:f>IF(O389="Win",1,IF(O389="Loss",0,""))</x:f>
      </x:c>
      <x:c r="Q389" s="33" t="str">
        <x:f>IF(OR(O389="",J389=""),"",IF(O389="Win",IF(J389&gt;0,1+J389/100,1+100/ABS(J389)),IF(O389="Push",1,0)))</x:f>
      </x:c>
      <x:c r="R389" s="33" t="str">
        <x:f>IF(Q389="","",Q389-1)</x:f>
      </x:c>
      <x:c r="S389" s="31"/>
      <x:c r="T389" s="32" t="str">
        <x:f>IF(OR(J389="",S389=""),"",IF(J389&gt;0,100/(J389+100),ABS(J389)/(ABS(J389)+100))-IF(S389&gt;0,100/(S389+100),ABS(S389)/(ABS(S389)+100)))</x:f>
      </x:c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 t="str">
        <x:f>IF(O390="Win",1,IF(O390="Loss",0,""))</x:f>
      </x:c>
      <x:c r="Q390" s="33" t="str">
        <x:f>IF(OR(O390="",J390=""),"",IF(O390="Win",IF(J390&gt;0,1+J390/100,1+100/ABS(J390)),IF(O390="Push",1,0)))</x:f>
      </x:c>
      <x:c r="R390" s="33" t="str">
        <x:f>IF(Q390="","",Q390-1)</x:f>
      </x:c>
      <x:c r="S390" s="31"/>
      <x:c r="T390" s="32" t="str">
        <x:f>IF(OR(J390="",S390=""),"",IF(J390&gt;0,100/(J390+100),ABS(J390)/(ABS(J390)+100))-IF(S390&gt;0,100/(S390+100),ABS(S390)/(ABS(S390)+100)))</x:f>
      </x:c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 t="str">
        <x:f>IF(O391="Win",1,IF(O391="Loss",0,""))</x:f>
      </x:c>
      <x:c r="Q391" s="33" t="str">
        <x:f>IF(OR(O391="",J391=""),"",IF(O391="Win",IF(J391&gt;0,1+J391/100,1+100/ABS(J391)),IF(O391="Push",1,0)))</x:f>
      </x:c>
      <x:c r="R391" s="33" t="str">
        <x:f>IF(Q391="","",Q391-1)</x:f>
      </x:c>
      <x:c r="S391" s="31"/>
      <x:c r="T391" s="32" t="str">
        <x:f>IF(OR(J391="",S391=""),"",IF(J391&gt;0,100/(J391+100),ABS(J391)/(ABS(J391)+100))-IF(S391&gt;0,100/(S391+100),ABS(S391)/(ABS(S391)+100)))</x:f>
      </x:c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 t="str">
        <x:f>IF(O392="Win",1,IF(O392="Loss",0,""))</x:f>
      </x:c>
      <x:c r="Q392" s="33" t="str">
        <x:f>IF(OR(O392="",J392=""),"",IF(O392="Win",IF(J392&gt;0,1+J392/100,1+100/ABS(J392)),IF(O392="Push",1,0)))</x:f>
      </x:c>
      <x:c r="R392" s="33" t="str">
        <x:f>IF(Q392="","",Q392-1)</x:f>
      </x:c>
      <x:c r="S392" s="31"/>
      <x:c r="T392" s="32" t="str">
        <x:f>IF(OR(J392="",S392=""),"",IF(J392&gt;0,100/(J392+100),ABS(J392)/(ABS(J392)+100))-IF(S392&gt;0,100/(S392+100),ABS(S392)/(ABS(S392)+100)))</x:f>
      </x:c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 t="str">
        <x:f>IF(O393="Win",1,IF(O393="Loss",0,""))</x:f>
      </x:c>
      <x:c r="Q393" s="33" t="str">
        <x:f>IF(OR(O393="",J393=""),"",IF(O393="Win",IF(J393&gt;0,1+J393/100,1+100/ABS(J393)),IF(O393="Push",1,0)))</x:f>
      </x:c>
      <x:c r="R393" s="33" t="str">
        <x:f>IF(Q393="","",Q393-1)</x:f>
      </x:c>
      <x:c r="S393" s="31"/>
      <x:c r="T393" s="32" t="str">
        <x:f>IF(OR(J393="",S393=""),"",IF(J393&gt;0,100/(J393+100),ABS(J393)/(ABS(J393)+100))-IF(S393&gt;0,100/(S393+100),ABS(S393)/(ABS(S393)+100)))</x:f>
      </x:c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 t="str">
        <x:f>IF(O394="Win",1,IF(O394="Loss",0,""))</x:f>
      </x:c>
      <x:c r="Q394" s="33" t="str">
        <x:f>IF(OR(O394="",J394=""),"",IF(O394="Win",IF(J394&gt;0,1+J394/100,1+100/ABS(J394)),IF(O394="Push",1,0)))</x:f>
      </x:c>
      <x:c r="R394" s="33" t="str">
        <x:f>IF(Q394="","",Q394-1)</x:f>
      </x:c>
      <x:c r="S394" s="31"/>
      <x:c r="T394" s="32" t="str">
        <x:f>IF(OR(J394="",S394=""),"",IF(J394&gt;0,100/(J394+100),ABS(J394)/(ABS(J394)+100))-IF(S394&gt;0,100/(S394+100),ABS(S394)/(ABS(S394)+100)))</x:f>
      </x:c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 t="str">
        <x:f>IF(O395="Win",1,IF(O395="Loss",0,""))</x:f>
      </x:c>
      <x:c r="Q395" s="33" t="str">
        <x:f>IF(OR(O395="",J395=""),"",IF(O395="Win",IF(J395&gt;0,1+J395/100,1+100/ABS(J395)),IF(O395="Push",1,0)))</x:f>
      </x:c>
      <x:c r="R395" s="33" t="str">
        <x:f>IF(Q395="","",Q395-1)</x:f>
      </x:c>
      <x:c r="S395" s="31"/>
      <x:c r="T395" s="32" t="str">
        <x:f>IF(OR(J395="",S395=""),"",IF(J395&gt;0,100/(J395+100),ABS(J395)/(ABS(J395)+100))-IF(S395&gt;0,100/(S395+100),ABS(S395)/(ABS(S395)+100)))</x:f>
      </x:c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 t="str">
        <x:f>IF(O396="Win",1,IF(O396="Loss",0,""))</x:f>
      </x:c>
      <x:c r="Q396" s="33" t="str">
        <x:f>IF(OR(O396="",J396=""),"",IF(O396="Win",IF(J396&gt;0,1+J396/100,1+100/ABS(J396)),IF(O396="Push",1,0)))</x:f>
      </x:c>
      <x:c r="R396" s="33" t="str">
        <x:f>IF(Q396="","",Q396-1)</x:f>
      </x:c>
      <x:c r="S396" s="31"/>
      <x:c r="T396" s="32" t="str">
        <x:f>IF(OR(J396="",S396=""),"",IF(J396&gt;0,100/(J396+100),ABS(J396)/(ABS(J396)+100))-IF(S396&gt;0,100/(S396+100),ABS(S396)/(ABS(S396)+100)))</x:f>
      </x:c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 t="str">
        <x:f>IF(O397="Win",1,IF(O397="Loss",0,""))</x:f>
      </x:c>
      <x:c r="Q397" s="33" t="str">
        <x:f>IF(OR(O397="",J397=""),"",IF(O397="Win",IF(J397&gt;0,1+J397/100,1+100/ABS(J397)),IF(O397="Push",1,0)))</x:f>
      </x:c>
      <x:c r="R397" s="33" t="str">
        <x:f>IF(Q397="","",Q397-1)</x:f>
      </x:c>
      <x:c r="S397" s="31"/>
      <x:c r="T397" s="32" t="str">
        <x:f>IF(OR(J397="",S397=""),"",IF(J397&gt;0,100/(J397+100),ABS(J397)/(ABS(J397)+100))-IF(S397&gt;0,100/(S397+100),ABS(S397)/(ABS(S397)+100)))</x:f>
      </x:c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 t="str">
        <x:f>IF(O398="Win",1,IF(O398="Loss",0,""))</x:f>
      </x:c>
      <x:c r="Q398" s="33" t="str">
        <x:f>IF(OR(O398="",J398=""),"",IF(O398="Win",IF(J398&gt;0,1+J398/100,1+100/ABS(J398)),IF(O398="Push",1,0)))</x:f>
      </x:c>
      <x:c r="R398" s="33" t="str">
        <x:f>IF(Q398="","",Q398-1)</x:f>
      </x:c>
      <x:c r="S398" s="31"/>
      <x:c r="T398" s="32" t="str">
        <x:f>IF(OR(J398="",S398=""),"",IF(J398&gt;0,100/(J398+100),ABS(J398)/(ABS(J398)+100))-IF(S398&gt;0,100/(S398+100),ABS(S398)/(ABS(S398)+100)))</x:f>
      </x:c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 t="str">
        <x:f>IF(O399="Win",1,IF(O399="Loss",0,""))</x:f>
      </x:c>
      <x:c r="Q399" s="33" t="str">
        <x:f>IF(OR(O399="",J399=""),"",IF(O399="Win",IF(J399&gt;0,1+J399/100,1+100/ABS(J399)),IF(O399="Push",1,0)))</x:f>
      </x:c>
      <x:c r="R399" s="33" t="str">
        <x:f>IF(Q399="","",Q399-1)</x:f>
      </x:c>
      <x:c r="S399" s="31"/>
      <x:c r="T399" s="32" t="str">
        <x:f>IF(OR(J399="",S399=""),"",IF(J399&gt;0,100/(J399+100),ABS(J399)/(ABS(J399)+100))-IF(S399&gt;0,100/(S399+100),ABS(S399)/(ABS(S399)+100)))</x:f>
      </x:c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 t="str">
        <x:f>IF(O400="Win",1,IF(O400="Loss",0,""))</x:f>
      </x:c>
      <x:c r="Q400" s="33" t="str">
        <x:f>IF(OR(O400="",J400=""),"",IF(O400="Win",IF(J400&gt;0,1+J400/100,1+100/ABS(J400)),IF(O400="Push",1,0)))</x:f>
      </x:c>
      <x:c r="R400" s="33" t="str">
        <x:f>IF(Q400="","",Q400-1)</x:f>
      </x:c>
      <x:c r="S400" s="31"/>
      <x:c r="T400" s="32" t="str">
        <x:f>IF(OR(J400="",S400=""),"",IF(J400&gt;0,100/(J400+100),ABS(J400)/(ABS(J400)+100))-IF(S400&gt;0,100/(S400+100),ABS(S400)/(ABS(S400)+100)))</x:f>
      </x:c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 t="str">
        <x:f>IF(O401="Win",1,IF(O401="Loss",0,""))</x:f>
      </x:c>
      <x:c r="Q401" s="33" t="str">
        <x:f>IF(OR(O401="",J401=""),"",IF(O401="Win",IF(J401&gt;0,1+J401/100,1+100/ABS(J401)),IF(O401="Push",1,0)))</x:f>
      </x:c>
      <x:c r="R401" s="33" t="str">
        <x:f>IF(Q401="","",Q401-1)</x:f>
      </x:c>
      <x:c r="S401" s="31"/>
      <x:c r="T401" s="32" t="str">
        <x:f>IF(OR(J401="",S401=""),"",IF(J401&gt;0,100/(J401+100),ABS(J401)/(ABS(J401)+100))-IF(S401&gt;0,100/(S401+100),ABS(S401)/(ABS(S401)+100)))</x:f>
      </x:c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 t="str">
        <x:f>IF(O402="Win",1,IF(O402="Loss",0,""))</x:f>
      </x:c>
      <x:c r="Q402" s="33" t="str">
        <x:f>IF(OR(O402="",J402=""),"",IF(O402="Win",IF(J402&gt;0,1+J402/100,1+100/ABS(J402)),IF(O402="Push",1,0)))</x:f>
      </x:c>
      <x:c r="R402" s="33" t="str">
        <x:f>IF(Q402="","",Q402-1)</x:f>
      </x:c>
      <x:c r="S402" s="31"/>
      <x:c r="T402" s="32" t="str">
        <x:f>IF(OR(J402="",S402=""),"",IF(J402&gt;0,100/(J402+100),ABS(J402)/(ABS(J402)+100))-IF(S402&gt;0,100/(S402+100),ABS(S402)/(ABS(S402)+100)))</x:f>
      </x:c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 t="str">
        <x:f>IF(O403="Win",1,IF(O403="Loss",0,""))</x:f>
      </x:c>
      <x:c r="Q403" s="33" t="str">
        <x:f>IF(OR(O403="",J403=""),"",IF(O403="Win",IF(J403&gt;0,1+J403/100,1+100/ABS(J403)),IF(O403="Push",1,0)))</x:f>
      </x:c>
      <x:c r="R403" s="33" t="str">
        <x:f>IF(Q403="","",Q403-1)</x:f>
      </x:c>
      <x:c r="S403" s="31"/>
      <x:c r="T403" s="32" t="str">
        <x:f>IF(OR(J403="",S403=""),"",IF(J403&gt;0,100/(J403+100),ABS(J403)/(ABS(J403)+100))-IF(S403&gt;0,100/(S403+100),ABS(S403)/(ABS(S403)+100)))</x:f>
      </x:c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 t="str">
        <x:f>IF(O404="Win",1,IF(O404="Loss",0,""))</x:f>
      </x:c>
      <x:c r="Q404" s="33" t="str">
        <x:f>IF(OR(O404="",J404=""),"",IF(O404="Win",IF(J404&gt;0,1+J404/100,1+100/ABS(J404)),IF(O404="Push",1,0)))</x:f>
      </x:c>
      <x:c r="R404" s="33" t="str">
        <x:f>IF(Q404="","",Q404-1)</x:f>
      </x:c>
      <x:c r="S404" s="31"/>
      <x:c r="T404" s="32" t="str">
        <x:f>IF(OR(J404="",S404=""),"",IF(J404&gt;0,100/(J404+100),ABS(J404)/(ABS(J404)+100))-IF(S404&gt;0,100/(S404+100),ABS(S404)/(ABS(S404)+100)))</x:f>
      </x:c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 t="str">
        <x:f>IF(O405="Win",1,IF(O405="Loss",0,""))</x:f>
      </x:c>
      <x:c r="Q405" s="33" t="str">
        <x:f>IF(OR(O405="",J405=""),"",IF(O405="Win",IF(J405&gt;0,1+J405/100,1+100/ABS(J405)),IF(O405="Push",1,0)))</x:f>
      </x:c>
      <x:c r="R405" s="33" t="str">
        <x:f>IF(Q405="","",Q405-1)</x:f>
      </x:c>
      <x:c r="S405" s="31"/>
      <x:c r="T405" s="32" t="str">
        <x:f>IF(OR(J405="",S405=""),"",IF(J405&gt;0,100/(J405+100),ABS(J405)/(ABS(J405)+100))-IF(S405&gt;0,100/(S405+100),ABS(S405)/(ABS(S405)+100)))</x:f>
      </x:c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 t="str">
        <x:f>IF(O406="Win",1,IF(O406="Loss",0,""))</x:f>
      </x:c>
      <x:c r="Q406" s="33" t="str">
        <x:f>IF(OR(O406="",J406=""),"",IF(O406="Win",IF(J406&gt;0,1+J406/100,1+100/ABS(J406)),IF(O406="Push",1,0)))</x:f>
      </x:c>
      <x:c r="R406" s="33" t="str">
        <x:f>IF(Q406="","",Q406-1)</x:f>
      </x:c>
      <x:c r="S406" s="31"/>
      <x:c r="T406" s="32" t="str">
        <x:f>IF(OR(J406="",S406=""),"",IF(J406&gt;0,100/(J406+100),ABS(J406)/(ABS(J406)+100))-IF(S406&gt;0,100/(S406+100),ABS(S406)/(ABS(S406)+100)))</x:f>
      </x:c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 t="str">
        <x:f>IF(O407="Win",1,IF(O407="Loss",0,""))</x:f>
      </x:c>
      <x:c r="Q407" s="33" t="str">
        <x:f>IF(OR(O407="",J407=""),"",IF(O407="Win",IF(J407&gt;0,1+J407/100,1+100/ABS(J407)),IF(O407="Push",1,0)))</x:f>
      </x:c>
      <x:c r="R407" s="33" t="str">
        <x:f>IF(Q407="","",Q407-1)</x:f>
      </x:c>
      <x:c r="S407" s="31"/>
      <x:c r="T407" s="32" t="str">
        <x:f>IF(OR(J407="",S407=""),"",IF(J407&gt;0,100/(J407+100),ABS(J407)/(ABS(J407)+100))-IF(S407&gt;0,100/(S407+100),ABS(S407)/(ABS(S407)+100)))</x:f>
      </x:c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 t="str">
        <x:f>IF(O408="Win",1,IF(O408="Loss",0,""))</x:f>
      </x:c>
      <x:c r="Q408" s="33" t="str">
        <x:f>IF(OR(O408="",J408=""),"",IF(O408="Win",IF(J408&gt;0,1+J408/100,1+100/ABS(J408)),IF(O408="Push",1,0)))</x:f>
      </x:c>
      <x:c r="R408" s="33" t="str">
        <x:f>IF(Q408="","",Q408-1)</x:f>
      </x:c>
      <x:c r="S408" s="31"/>
      <x:c r="T408" s="32" t="str">
        <x:f>IF(OR(J408="",S408=""),"",IF(J408&gt;0,100/(J408+100),ABS(J408)/(ABS(J408)+100))-IF(S408&gt;0,100/(S408+100),ABS(S408)/(ABS(S408)+100)))</x:f>
      </x:c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 t="str">
        <x:f>IF(O409="Win",1,IF(O409="Loss",0,""))</x:f>
      </x:c>
      <x:c r="Q409" s="33" t="str">
        <x:f>IF(OR(O409="",J409=""),"",IF(O409="Win",IF(J409&gt;0,1+J409/100,1+100/ABS(J409)),IF(O409="Push",1,0)))</x:f>
      </x:c>
      <x:c r="R409" s="33" t="str">
        <x:f>IF(Q409="","",Q409-1)</x:f>
      </x:c>
      <x:c r="S409" s="31"/>
      <x:c r="T409" s="32" t="str">
        <x:f>IF(OR(J409="",S409=""),"",IF(J409&gt;0,100/(J409+100),ABS(J409)/(ABS(J409)+100))-IF(S409&gt;0,100/(S409+100),ABS(S409)/(ABS(S409)+100)))</x:f>
      </x:c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 t="str">
        <x:f>IF(O410="Win",1,IF(O410="Loss",0,""))</x:f>
      </x:c>
      <x:c r="Q410" s="33" t="str">
        <x:f>IF(OR(O410="",J410=""),"",IF(O410="Win",IF(J410&gt;0,1+J410/100,1+100/ABS(J410)),IF(O410="Push",1,0)))</x:f>
      </x:c>
      <x:c r="R410" s="33" t="str">
        <x:f>IF(Q410="","",Q410-1)</x:f>
      </x:c>
      <x:c r="S410" s="31"/>
      <x:c r="T410" s="32" t="str">
        <x:f>IF(OR(J410="",S410=""),"",IF(J410&gt;0,100/(J410+100),ABS(J410)/(ABS(J410)+100))-IF(S410&gt;0,100/(S410+100),ABS(S410)/(ABS(S410)+100)))</x:f>
      </x:c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 t="str">
        <x:f>IF(O411="Win",1,IF(O411="Loss",0,""))</x:f>
      </x:c>
      <x:c r="Q411" s="33" t="str">
        <x:f>IF(OR(O411="",J411=""),"",IF(O411="Win",IF(J411&gt;0,1+J411/100,1+100/ABS(J411)),IF(O411="Push",1,0)))</x:f>
      </x:c>
      <x:c r="R411" s="33" t="str">
        <x:f>IF(Q411="","",Q411-1)</x:f>
      </x:c>
      <x:c r="S411" s="31"/>
      <x:c r="T411" s="32" t="str">
        <x:f>IF(OR(J411="",S411=""),"",IF(J411&gt;0,100/(J411+100),ABS(J411)/(ABS(J411)+100))-IF(S411&gt;0,100/(S411+100),ABS(S411)/(ABS(S411)+100)))</x:f>
      </x:c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 t="str">
        <x:f>IF(O412="Win",1,IF(O412="Loss",0,""))</x:f>
      </x:c>
      <x:c r="Q412" s="33" t="str">
        <x:f>IF(OR(O412="",J412=""),"",IF(O412="Win",IF(J412&gt;0,1+J412/100,1+100/ABS(J412)),IF(O412="Push",1,0)))</x:f>
      </x:c>
      <x:c r="R412" s="33" t="str">
        <x:f>IF(Q412="","",Q412-1)</x:f>
      </x:c>
      <x:c r="S412" s="31"/>
      <x:c r="T412" s="32" t="str">
        <x:f>IF(OR(J412="",S412=""),"",IF(J412&gt;0,100/(J412+100),ABS(J412)/(ABS(J412)+100))-IF(S412&gt;0,100/(S412+100),ABS(S412)/(ABS(S412)+100)))</x:f>
      </x:c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 t="str">
        <x:f>IF(O413="Win",1,IF(O413="Loss",0,""))</x:f>
      </x:c>
      <x:c r="Q413" s="33" t="str">
        <x:f>IF(OR(O413="",J413=""),"",IF(O413="Win",IF(J413&gt;0,1+J413/100,1+100/ABS(J413)),IF(O413="Push",1,0)))</x:f>
      </x:c>
      <x:c r="R413" s="33" t="str">
        <x:f>IF(Q413="","",Q413-1)</x:f>
      </x:c>
      <x:c r="S413" s="31"/>
      <x:c r="T413" s="32" t="str">
        <x:f>IF(OR(J413="",S413=""),"",IF(J413&gt;0,100/(J413+100),ABS(J413)/(ABS(J413)+100))-IF(S413&gt;0,100/(S413+100),ABS(S413)/(ABS(S413)+100)))</x:f>
      </x:c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 t="str">
        <x:f>IF(O414="Win",1,IF(O414="Loss",0,""))</x:f>
      </x:c>
      <x:c r="Q414" s="33" t="str">
        <x:f>IF(OR(O414="",J414=""),"",IF(O414="Win",IF(J414&gt;0,1+J414/100,1+100/ABS(J414)),IF(O414="Push",1,0)))</x:f>
      </x:c>
      <x:c r="R414" s="33" t="str">
        <x:f>IF(Q414="","",Q414-1)</x:f>
      </x:c>
      <x:c r="S414" s="31"/>
      <x:c r="T414" s="32" t="str">
        <x:f>IF(OR(J414="",S414=""),"",IF(J414&gt;0,100/(J414+100),ABS(J414)/(ABS(J414)+100))-IF(S414&gt;0,100/(S414+100),ABS(S414)/(ABS(S414)+100)))</x:f>
      </x:c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 t="str">
        <x:f>IF(O415="Win",1,IF(O415="Loss",0,""))</x:f>
      </x:c>
      <x:c r="Q415" s="33" t="str">
        <x:f>IF(OR(O415="",J415=""),"",IF(O415="Win",IF(J415&gt;0,1+J415/100,1+100/ABS(J415)),IF(O415="Push",1,0)))</x:f>
      </x:c>
      <x:c r="R415" s="33" t="str">
        <x:f>IF(Q415="","",Q415-1)</x:f>
      </x:c>
      <x:c r="S415" s="31"/>
      <x:c r="T415" s="32" t="str">
        <x:f>IF(OR(J415="",S415=""),"",IF(J415&gt;0,100/(J415+100),ABS(J415)/(ABS(J415)+100))-IF(S415&gt;0,100/(S415+100),ABS(S415)/(ABS(S415)+100)))</x:f>
      </x:c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 t="str">
        <x:f>IF(O416="Win",1,IF(O416="Loss",0,""))</x:f>
      </x:c>
      <x:c r="Q416" s="33" t="str">
        <x:f>IF(OR(O416="",J416=""),"",IF(O416="Win",IF(J416&gt;0,1+J416/100,1+100/ABS(J416)),IF(O416="Push",1,0)))</x:f>
      </x:c>
      <x:c r="R416" s="33" t="str">
        <x:f>IF(Q416="","",Q416-1)</x:f>
      </x:c>
      <x:c r="S416" s="31"/>
      <x:c r="T416" s="32" t="str">
        <x:f>IF(OR(J416="",S416=""),"",IF(J416&gt;0,100/(J416+100),ABS(J416)/(ABS(J416)+100))-IF(S416&gt;0,100/(S416+100),ABS(S416)/(ABS(S416)+100)))</x:f>
      </x:c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 t="str">
        <x:f>IF(O417="Win",1,IF(O417="Loss",0,""))</x:f>
      </x:c>
      <x:c r="Q417" s="33" t="str">
        <x:f>IF(OR(O417="",J417=""),"",IF(O417="Win",IF(J417&gt;0,1+J417/100,1+100/ABS(J417)),IF(O417="Push",1,0)))</x:f>
      </x:c>
      <x:c r="R417" s="33" t="str">
        <x:f>IF(Q417="","",Q417-1)</x:f>
      </x:c>
      <x:c r="S417" s="31"/>
      <x:c r="T417" s="32" t="str">
        <x:f>IF(OR(J417="",S417=""),"",IF(J417&gt;0,100/(J417+100),ABS(J417)/(ABS(J417)+100))-IF(S417&gt;0,100/(S417+100),ABS(S417)/(ABS(S417)+100)))</x:f>
      </x:c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 t="str">
        <x:f>IF(O418="Win",1,IF(O418="Loss",0,""))</x:f>
      </x:c>
      <x:c r="Q418" s="33" t="str">
        <x:f>IF(OR(O418="",J418=""),"",IF(O418="Win",IF(J418&gt;0,1+J418/100,1+100/ABS(J418)),IF(O418="Push",1,0)))</x:f>
      </x:c>
      <x:c r="R418" s="33" t="str">
        <x:f>IF(Q418="","",Q418-1)</x:f>
      </x:c>
      <x:c r="S418" s="31"/>
      <x:c r="T418" s="32" t="str">
        <x:f>IF(OR(J418="",S418=""),"",IF(J418&gt;0,100/(J418+100),ABS(J418)/(ABS(J418)+100))-IF(S418&gt;0,100/(S418+100),ABS(S418)/(ABS(S418)+100)))</x:f>
      </x:c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 t="str">
        <x:f>IF(O419="Win",1,IF(O419="Loss",0,""))</x:f>
      </x:c>
      <x:c r="Q419" s="33" t="str">
        <x:f>IF(OR(O419="",J419=""),"",IF(O419="Win",IF(J419&gt;0,1+J419/100,1+100/ABS(J419)),IF(O419="Push",1,0)))</x:f>
      </x:c>
      <x:c r="R419" s="33" t="str">
        <x:f>IF(Q419="","",Q419-1)</x:f>
      </x:c>
      <x:c r="S419" s="31"/>
      <x:c r="T419" s="32" t="str">
        <x:f>IF(OR(J419="",S419=""),"",IF(J419&gt;0,100/(J419+100),ABS(J419)/(ABS(J419)+100))-IF(S419&gt;0,100/(S419+100),ABS(S419)/(ABS(S419)+100)))</x:f>
      </x:c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 t="str">
        <x:f>IF(O420="Win",1,IF(O420="Loss",0,""))</x:f>
      </x:c>
      <x:c r="Q420" s="33" t="str">
        <x:f>IF(OR(O420="",J420=""),"",IF(O420="Win",IF(J420&gt;0,1+J420/100,1+100/ABS(J420)),IF(O420="Push",1,0)))</x:f>
      </x:c>
      <x:c r="R420" s="33" t="str">
        <x:f>IF(Q420="","",Q420-1)</x:f>
      </x:c>
      <x:c r="S420" s="31"/>
      <x:c r="T420" s="32" t="str">
        <x:f>IF(OR(J420="",S420=""),"",IF(J420&gt;0,100/(J420+100),ABS(J420)/(ABS(J420)+100))-IF(S420&gt;0,100/(S420+100),ABS(S420)/(ABS(S420)+100)))</x:f>
      </x:c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 t="str">
        <x:f>IF(O421="Win",1,IF(O421="Loss",0,""))</x:f>
      </x:c>
      <x:c r="Q421" s="33" t="str">
        <x:f>IF(OR(O421="",J421=""),"",IF(O421="Win",IF(J421&gt;0,1+J421/100,1+100/ABS(J421)),IF(O421="Push",1,0)))</x:f>
      </x:c>
      <x:c r="R421" s="33" t="str">
        <x:f>IF(Q421="","",Q421-1)</x:f>
      </x:c>
      <x:c r="S421" s="31"/>
      <x:c r="T421" s="32" t="str">
        <x:f>IF(OR(J421="",S421=""),"",IF(J421&gt;0,100/(J421+100),ABS(J421)/(ABS(J421)+100))-IF(S421&gt;0,100/(S421+100),ABS(S421)/(ABS(S421)+100)))</x:f>
      </x:c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 t="str">
        <x:f>IF(O422="Win",1,IF(O422="Loss",0,""))</x:f>
      </x:c>
      <x:c r="Q422" s="33" t="str">
        <x:f>IF(OR(O422="",J422=""),"",IF(O422="Win",IF(J422&gt;0,1+J422/100,1+100/ABS(J422)),IF(O422="Push",1,0)))</x:f>
      </x:c>
      <x:c r="R422" s="33" t="str">
        <x:f>IF(Q422="","",Q422-1)</x:f>
      </x:c>
      <x:c r="S422" s="31"/>
      <x:c r="T422" s="32" t="str">
        <x:f>IF(OR(J422="",S422=""),"",IF(J422&gt;0,100/(J422+100),ABS(J422)/(ABS(J422)+100))-IF(S422&gt;0,100/(S422+100),ABS(S422)/(ABS(S422)+100)))</x:f>
      </x:c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 t="str">
        <x:f>IF(O423="Win",1,IF(O423="Loss",0,""))</x:f>
      </x:c>
      <x:c r="Q423" s="33" t="str">
        <x:f>IF(OR(O423="",J423=""),"",IF(O423="Win",IF(J423&gt;0,1+J423/100,1+100/ABS(J423)),IF(O423="Push",1,0)))</x:f>
      </x:c>
      <x:c r="R423" s="33" t="str">
        <x:f>IF(Q423="","",Q423-1)</x:f>
      </x:c>
      <x:c r="S423" s="31"/>
      <x:c r="T423" s="32" t="str">
        <x:f>IF(OR(J423="",S423=""),"",IF(J423&gt;0,100/(J423+100),ABS(J423)/(ABS(J423)+100))-IF(S423&gt;0,100/(S423+100),ABS(S423)/(ABS(S423)+100)))</x:f>
      </x:c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 t="str">
        <x:f>IF(O424="Win",1,IF(O424="Loss",0,""))</x:f>
      </x:c>
      <x:c r="Q424" s="33" t="str">
        <x:f>IF(OR(O424="",J424=""),"",IF(O424="Win",IF(J424&gt;0,1+J424/100,1+100/ABS(J424)),IF(O424="Push",1,0)))</x:f>
      </x:c>
      <x:c r="R424" s="33" t="str">
        <x:f>IF(Q424="","",Q424-1)</x:f>
      </x:c>
      <x:c r="S424" s="31"/>
      <x:c r="T424" s="32" t="str">
        <x:f>IF(OR(J424="",S424=""),"",IF(J424&gt;0,100/(J424+100),ABS(J424)/(ABS(J424)+100))-IF(S424&gt;0,100/(S424+100),ABS(S424)/(ABS(S424)+100)))</x:f>
      </x:c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 t="str">
        <x:f>IF(O425="Win",1,IF(O425="Loss",0,""))</x:f>
      </x:c>
      <x:c r="Q425" s="33" t="str">
        <x:f>IF(OR(O425="",J425=""),"",IF(O425="Win",IF(J425&gt;0,1+J425/100,1+100/ABS(J425)),IF(O425="Push",1,0)))</x:f>
      </x:c>
      <x:c r="R425" s="33" t="str">
        <x:f>IF(Q425="","",Q425-1)</x:f>
      </x:c>
      <x:c r="S425" s="31"/>
      <x:c r="T425" s="32" t="str">
        <x:f>IF(OR(J425="",S425=""),"",IF(J425&gt;0,100/(J425+100),ABS(J425)/(ABS(J425)+100))-IF(S425&gt;0,100/(S425+100),ABS(S425)/(ABS(S425)+100)))</x:f>
      </x:c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 t="str">
        <x:f>IF(O426="Win",1,IF(O426="Loss",0,""))</x:f>
      </x:c>
      <x:c r="Q426" s="33" t="str">
        <x:f>IF(OR(O426="",J426=""),"",IF(O426="Win",IF(J426&gt;0,1+J426/100,1+100/ABS(J426)),IF(O426="Push",1,0)))</x:f>
      </x:c>
      <x:c r="R426" s="33" t="str">
        <x:f>IF(Q426="","",Q426-1)</x:f>
      </x:c>
      <x:c r="S426" s="31"/>
      <x:c r="T426" s="32" t="str">
        <x:f>IF(OR(J426="",S426=""),"",IF(J426&gt;0,100/(J426+100),ABS(J426)/(ABS(J426)+100))-IF(S426&gt;0,100/(S426+100),ABS(S426)/(ABS(S426)+100)))</x:f>
      </x:c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 t="str">
        <x:f>IF(O427="Win",1,IF(O427="Loss",0,""))</x:f>
      </x:c>
      <x:c r="Q427" s="33" t="str">
        <x:f>IF(OR(O427="",J427=""),"",IF(O427="Win",IF(J427&gt;0,1+J427/100,1+100/ABS(J427)),IF(O427="Push",1,0)))</x:f>
      </x:c>
      <x:c r="R427" s="33" t="str">
        <x:f>IF(Q427="","",Q427-1)</x:f>
      </x:c>
      <x:c r="S427" s="31"/>
      <x:c r="T427" s="32" t="str">
        <x:f>IF(OR(J427="",S427=""),"",IF(J427&gt;0,100/(J427+100),ABS(J427)/(ABS(J427)+100))-IF(S427&gt;0,100/(S427+100),ABS(S427)/(ABS(S427)+100)))</x:f>
      </x:c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 t="str">
        <x:f>IF(O428="Win",1,IF(O428="Loss",0,""))</x:f>
      </x:c>
      <x:c r="Q428" s="33" t="str">
        <x:f>IF(OR(O428="",J428=""),"",IF(O428="Win",IF(J428&gt;0,1+J428/100,1+100/ABS(J428)),IF(O428="Push",1,0)))</x:f>
      </x:c>
      <x:c r="R428" s="33" t="str">
        <x:f>IF(Q428="","",Q428-1)</x:f>
      </x:c>
      <x:c r="S428" s="31"/>
      <x:c r="T428" s="32" t="str">
        <x:f>IF(OR(J428="",S428=""),"",IF(J428&gt;0,100/(J428+100),ABS(J428)/(ABS(J428)+100))-IF(S428&gt;0,100/(S428+100),ABS(S428)/(ABS(S428)+100)))</x:f>
      </x:c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 t="str">
        <x:f>IF(O429="Win",1,IF(O429="Loss",0,""))</x:f>
      </x:c>
      <x:c r="Q429" s="33" t="str">
        <x:f>IF(OR(O429="",J429=""),"",IF(O429="Win",IF(J429&gt;0,1+J429/100,1+100/ABS(J429)),IF(O429="Push",1,0)))</x:f>
      </x:c>
      <x:c r="R429" s="33" t="str">
        <x:f>IF(Q429="","",Q429-1)</x:f>
      </x:c>
      <x:c r="S429" s="31"/>
      <x:c r="T429" s="32" t="str">
        <x:f>IF(OR(J429="",S429=""),"",IF(J429&gt;0,100/(J429+100),ABS(J429)/(ABS(J429)+100))-IF(S429&gt;0,100/(S429+100),ABS(S429)/(ABS(S429)+100)))</x:f>
      </x:c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 t="str">
        <x:f>IF(O430="Win",1,IF(O430="Loss",0,""))</x:f>
      </x:c>
      <x:c r="Q430" s="33" t="str">
        <x:f>IF(OR(O430="",J430=""),"",IF(O430="Win",IF(J430&gt;0,1+J430/100,1+100/ABS(J430)),IF(O430="Push",1,0)))</x:f>
      </x:c>
      <x:c r="R430" s="33" t="str">
        <x:f>IF(Q430="","",Q430-1)</x:f>
      </x:c>
      <x:c r="S430" s="31"/>
      <x:c r="T430" s="32" t="str">
        <x:f>IF(OR(J430="",S430=""),"",IF(J430&gt;0,100/(J430+100),ABS(J430)/(ABS(J430)+100))-IF(S430&gt;0,100/(S430+100),ABS(S430)/(ABS(S430)+100)))</x:f>
      </x:c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 t="str">
        <x:f>IF(O431="Win",1,IF(O431="Loss",0,""))</x:f>
      </x:c>
      <x:c r="Q431" s="33" t="str">
        <x:f>IF(OR(O431="",J431=""),"",IF(O431="Win",IF(J431&gt;0,1+J431/100,1+100/ABS(J431)),IF(O431="Push",1,0)))</x:f>
      </x:c>
      <x:c r="R431" s="33" t="str">
        <x:f>IF(Q431="","",Q431-1)</x:f>
      </x:c>
      <x:c r="S431" s="31"/>
      <x:c r="T431" s="32" t="str">
        <x:f>IF(OR(J431="",S431=""),"",IF(J431&gt;0,100/(J431+100),ABS(J431)/(ABS(J431)+100))-IF(S431&gt;0,100/(S431+100),ABS(S431)/(ABS(S431)+100)))</x:f>
      </x:c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 t="str">
        <x:f>IF(O432="Win",1,IF(O432="Loss",0,""))</x:f>
      </x:c>
      <x:c r="Q432" s="33" t="str">
        <x:f>IF(OR(O432="",J432=""),"",IF(O432="Win",IF(J432&gt;0,1+J432/100,1+100/ABS(J432)),IF(O432="Push",1,0)))</x:f>
      </x:c>
      <x:c r="R432" s="33" t="str">
        <x:f>IF(Q432="","",Q432-1)</x:f>
      </x:c>
      <x:c r="S432" s="31"/>
      <x:c r="T432" s="32" t="str">
        <x:f>IF(OR(J432="",S432=""),"",IF(J432&gt;0,100/(J432+100),ABS(J432)/(ABS(J432)+100))-IF(S432&gt;0,100/(S432+100),ABS(S432)/(ABS(S432)+100)))</x:f>
      </x:c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 t="str">
        <x:f>IF(O433="Win",1,IF(O433="Loss",0,""))</x:f>
      </x:c>
      <x:c r="Q433" s="33" t="str">
        <x:f>IF(OR(O433="",J433=""),"",IF(O433="Win",IF(J433&gt;0,1+J433/100,1+100/ABS(J433)),IF(O433="Push",1,0)))</x:f>
      </x:c>
      <x:c r="R433" s="33" t="str">
        <x:f>IF(Q433="","",Q433-1)</x:f>
      </x:c>
      <x:c r="S433" s="31"/>
      <x:c r="T433" s="32" t="str">
        <x:f>IF(OR(J433="",S433=""),"",IF(J433&gt;0,100/(J433+100),ABS(J433)/(ABS(J433)+100))-IF(S433&gt;0,100/(S433+100),ABS(S433)/(ABS(S433)+100)))</x:f>
      </x:c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 t="str">
        <x:f>IF(O434="Win",1,IF(O434="Loss",0,""))</x:f>
      </x:c>
      <x:c r="Q434" s="33" t="str">
        <x:f>IF(OR(O434="",J434=""),"",IF(O434="Win",IF(J434&gt;0,1+J434/100,1+100/ABS(J434)),IF(O434="Push",1,0)))</x:f>
      </x:c>
      <x:c r="R434" s="33" t="str">
        <x:f>IF(Q434="","",Q434-1)</x:f>
      </x:c>
      <x:c r="S434" s="31"/>
      <x:c r="T434" s="32" t="str">
        <x:f>IF(OR(J434="",S434=""),"",IF(J434&gt;0,100/(J434+100),ABS(J434)/(ABS(J434)+100))-IF(S434&gt;0,100/(S434+100),ABS(S434)/(ABS(S434)+100)))</x:f>
      </x:c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 t="str">
        <x:f>IF(O435="Win",1,IF(O435="Loss",0,""))</x:f>
      </x:c>
      <x:c r="Q435" s="33" t="str">
        <x:f>IF(OR(O435="",J435=""),"",IF(O435="Win",IF(J435&gt;0,1+J435/100,1+100/ABS(J435)),IF(O435="Push",1,0)))</x:f>
      </x:c>
      <x:c r="R435" s="33" t="str">
        <x:f>IF(Q435="","",Q435-1)</x:f>
      </x:c>
      <x:c r="S435" s="31"/>
      <x:c r="T435" s="32" t="str">
        <x:f>IF(OR(J435="",S435=""),"",IF(J435&gt;0,100/(J435+100),ABS(J435)/(ABS(J435)+100))-IF(S435&gt;0,100/(S435+100),ABS(S435)/(ABS(S435)+100)))</x:f>
      </x:c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 t="str">
        <x:f>IF(O436="Win",1,IF(O436="Loss",0,""))</x:f>
      </x:c>
      <x:c r="Q436" s="33" t="str">
        <x:f>IF(OR(O436="",J436=""),"",IF(O436="Win",IF(J436&gt;0,1+J436/100,1+100/ABS(J436)),IF(O436="Push",1,0)))</x:f>
      </x:c>
      <x:c r="R436" s="33" t="str">
        <x:f>IF(Q436="","",Q436-1)</x:f>
      </x:c>
      <x:c r="S436" s="31"/>
      <x:c r="T436" s="32" t="str">
        <x:f>IF(OR(J436="",S436=""),"",IF(J436&gt;0,100/(J436+100),ABS(J436)/(ABS(J436)+100))-IF(S436&gt;0,100/(S436+100),ABS(S436)/(ABS(S436)+100)))</x:f>
      </x:c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 t="str">
        <x:f>IF(O437="Win",1,IF(O437="Loss",0,""))</x:f>
      </x:c>
      <x:c r="Q437" s="33" t="str">
        <x:f>IF(OR(O437="",J437=""),"",IF(O437="Win",IF(J437&gt;0,1+J437/100,1+100/ABS(J437)),IF(O437="Push",1,0)))</x:f>
      </x:c>
      <x:c r="R437" s="33" t="str">
        <x:f>IF(Q437="","",Q437-1)</x:f>
      </x:c>
      <x:c r="S437" s="31"/>
      <x:c r="T437" s="32" t="str">
        <x:f>IF(OR(J437="",S437=""),"",IF(J437&gt;0,100/(J437+100),ABS(J437)/(ABS(J437)+100))-IF(S437&gt;0,100/(S437+100),ABS(S437)/(ABS(S437)+100)))</x:f>
      </x:c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 t="str">
        <x:f>IF(O438="Win",1,IF(O438="Loss",0,""))</x:f>
      </x:c>
      <x:c r="Q438" s="33" t="str">
        <x:f>IF(OR(O438="",J438=""),"",IF(O438="Win",IF(J438&gt;0,1+J438/100,1+100/ABS(J438)),IF(O438="Push",1,0)))</x:f>
      </x:c>
      <x:c r="R438" s="33" t="str">
        <x:f>IF(Q438="","",Q438-1)</x:f>
      </x:c>
      <x:c r="S438" s="31"/>
      <x:c r="T438" s="32" t="str">
        <x:f>IF(OR(J438="",S438=""),"",IF(J438&gt;0,100/(J438+100),ABS(J438)/(ABS(J438)+100))-IF(S438&gt;0,100/(S438+100),ABS(S438)/(ABS(S438)+100)))</x:f>
      </x:c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 t="str">
        <x:f>IF(O439="Win",1,IF(O439="Loss",0,""))</x:f>
      </x:c>
      <x:c r="Q439" s="33" t="str">
        <x:f>IF(OR(O439="",J439=""),"",IF(O439="Win",IF(J439&gt;0,1+J439/100,1+100/ABS(J439)),IF(O439="Push",1,0)))</x:f>
      </x:c>
      <x:c r="R439" s="33" t="str">
        <x:f>IF(Q439="","",Q439-1)</x:f>
      </x:c>
      <x:c r="S439" s="31"/>
      <x:c r="T439" s="32" t="str">
        <x:f>IF(OR(J439="",S439=""),"",IF(J439&gt;0,100/(J439+100),ABS(J439)/(ABS(J439)+100))-IF(S439&gt;0,100/(S439+100),ABS(S439)/(ABS(S439)+100)))</x:f>
      </x:c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 t="str">
        <x:f>IF(O440="Win",1,IF(O440="Loss",0,""))</x:f>
      </x:c>
      <x:c r="Q440" s="33" t="str">
        <x:f>IF(OR(O440="",J440=""),"",IF(O440="Win",IF(J440&gt;0,1+J440/100,1+100/ABS(J440)),IF(O440="Push",1,0)))</x:f>
      </x:c>
      <x:c r="R440" s="33" t="str">
        <x:f>IF(Q440="","",Q440-1)</x:f>
      </x:c>
      <x:c r="S440" s="31"/>
      <x:c r="T440" s="32" t="str">
        <x:f>IF(OR(J440="",S440=""),"",IF(J440&gt;0,100/(J440+100),ABS(J440)/(ABS(J440)+100))-IF(S440&gt;0,100/(S440+100),ABS(S440)/(ABS(S440)+100)))</x:f>
      </x:c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 t="str">
        <x:f>IF(O441="Win",1,IF(O441="Loss",0,""))</x:f>
      </x:c>
      <x:c r="Q441" s="33" t="str">
        <x:f>IF(OR(O441="",J441=""),"",IF(O441="Win",IF(J441&gt;0,1+J441/100,1+100/ABS(J441)),IF(O441="Push",1,0)))</x:f>
      </x:c>
      <x:c r="R441" s="33" t="str">
        <x:f>IF(Q441="","",Q441-1)</x:f>
      </x:c>
      <x:c r="S441" s="31"/>
      <x:c r="T441" s="32" t="str">
        <x:f>IF(OR(J441="",S441=""),"",IF(J441&gt;0,100/(J441+100),ABS(J441)/(ABS(J441)+100))-IF(S441&gt;0,100/(S441+100),ABS(S441)/(ABS(S441)+100)))</x:f>
      </x:c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 t="str">
        <x:f>IF(O442="Win",1,IF(O442="Loss",0,""))</x:f>
      </x:c>
      <x:c r="Q442" s="33" t="str">
        <x:f>IF(OR(O442="",J442=""),"",IF(O442="Win",IF(J442&gt;0,1+J442/100,1+100/ABS(J442)),IF(O442="Push",1,0)))</x:f>
      </x:c>
      <x:c r="R442" s="33" t="str">
        <x:f>IF(Q442="","",Q442-1)</x:f>
      </x:c>
      <x:c r="S442" s="31"/>
      <x:c r="T442" s="32" t="str">
        <x:f>IF(OR(J442="",S442=""),"",IF(J442&gt;0,100/(J442+100),ABS(J442)/(ABS(J442)+100))-IF(S442&gt;0,100/(S442+100),ABS(S442)/(ABS(S442)+100)))</x:f>
      </x:c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 t="str">
        <x:f>IF(O443="Win",1,IF(O443="Loss",0,""))</x:f>
      </x:c>
      <x:c r="Q443" s="33" t="str">
        <x:f>IF(OR(O443="",J443=""),"",IF(O443="Win",IF(J443&gt;0,1+J443/100,1+100/ABS(J443)),IF(O443="Push",1,0)))</x:f>
      </x:c>
      <x:c r="R443" s="33" t="str">
        <x:f>IF(Q443="","",Q443-1)</x:f>
      </x:c>
      <x:c r="S443" s="31"/>
      <x:c r="T443" s="32" t="str">
        <x:f>IF(OR(J443="",S443=""),"",IF(J443&gt;0,100/(J443+100),ABS(J443)/(ABS(J443)+100))-IF(S443&gt;0,100/(S443+100),ABS(S443)/(ABS(S443)+100)))</x:f>
      </x:c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 t="str">
        <x:f>IF(O444="Win",1,IF(O444="Loss",0,""))</x:f>
      </x:c>
      <x:c r="Q444" s="33" t="str">
        <x:f>IF(OR(O444="",J444=""),"",IF(O444="Win",IF(J444&gt;0,1+J444/100,1+100/ABS(J444)),IF(O444="Push",1,0)))</x:f>
      </x:c>
      <x:c r="R444" s="33" t="str">
        <x:f>IF(Q444="","",Q444-1)</x:f>
      </x:c>
      <x:c r="S444" s="31"/>
      <x:c r="T444" s="32" t="str">
        <x:f>IF(OR(J444="",S444=""),"",IF(J444&gt;0,100/(J444+100),ABS(J444)/(ABS(J444)+100))-IF(S444&gt;0,100/(S444+100),ABS(S444)/(ABS(S444)+100)))</x:f>
      </x:c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 t="str">
        <x:f>IF(O445="Win",1,IF(O445="Loss",0,""))</x:f>
      </x:c>
      <x:c r="Q445" s="33" t="str">
        <x:f>IF(OR(O445="",J445=""),"",IF(O445="Win",IF(J445&gt;0,1+J445/100,1+100/ABS(J445)),IF(O445="Push",1,0)))</x:f>
      </x:c>
      <x:c r="R445" s="33" t="str">
        <x:f>IF(Q445="","",Q445-1)</x:f>
      </x:c>
      <x:c r="S445" s="31"/>
      <x:c r="T445" s="32" t="str">
        <x:f>IF(OR(J445="",S445=""),"",IF(J445&gt;0,100/(J445+100),ABS(J445)/(ABS(J445)+100))-IF(S445&gt;0,100/(S445+100),ABS(S445)/(ABS(S445)+100)))</x:f>
      </x:c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 t="str">
        <x:f>IF(O446="Win",1,IF(O446="Loss",0,""))</x:f>
      </x:c>
      <x:c r="Q446" s="33" t="str">
        <x:f>IF(OR(O446="",J446=""),"",IF(O446="Win",IF(J446&gt;0,1+J446/100,1+100/ABS(J446)),IF(O446="Push",1,0)))</x:f>
      </x:c>
      <x:c r="R446" s="33" t="str">
        <x:f>IF(Q446="","",Q446-1)</x:f>
      </x:c>
      <x:c r="S446" s="31"/>
      <x:c r="T446" s="32" t="str">
        <x:f>IF(OR(J446="",S446=""),"",IF(J446&gt;0,100/(J446+100),ABS(J446)/(ABS(J446)+100))-IF(S446&gt;0,100/(S446+100),ABS(S446)/(ABS(S446)+100)))</x:f>
      </x:c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 t="str">
        <x:f>IF(O447="Win",1,IF(O447="Loss",0,""))</x:f>
      </x:c>
      <x:c r="Q447" s="33" t="str">
        <x:f>IF(OR(O447="",J447=""),"",IF(O447="Win",IF(J447&gt;0,1+J447/100,1+100/ABS(J447)),IF(O447="Push",1,0)))</x:f>
      </x:c>
      <x:c r="R447" s="33" t="str">
        <x:f>IF(Q447="","",Q447-1)</x:f>
      </x:c>
      <x:c r="S447" s="31"/>
      <x:c r="T447" s="32" t="str">
        <x:f>IF(OR(J447="",S447=""),"",IF(J447&gt;0,100/(J447+100),ABS(J447)/(ABS(J447)+100))-IF(S447&gt;0,100/(S447+100),ABS(S447)/(ABS(S447)+100)))</x:f>
      </x:c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 t="str">
        <x:f>IF(O448="Win",1,IF(O448="Loss",0,""))</x:f>
      </x:c>
      <x:c r="Q448" s="33" t="str">
        <x:f>IF(OR(O448="",J448=""),"",IF(O448="Win",IF(J448&gt;0,1+J448/100,1+100/ABS(J448)),IF(O448="Push",1,0)))</x:f>
      </x:c>
      <x:c r="R448" s="33" t="str">
        <x:f>IF(Q448="","",Q448-1)</x:f>
      </x:c>
      <x:c r="S448" s="31"/>
      <x:c r="T448" s="32" t="str">
        <x:f>IF(OR(J448="",S448=""),"",IF(J448&gt;0,100/(J448+100),ABS(J448)/(ABS(J448)+100))-IF(S448&gt;0,100/(S448+100),ABS(S448)/(ABS(S448)+100)))</x:f>
      </x:c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 t="str">
        <x:f>IF(O449="Win",1,IF(O449="Loss",0,""))</x:f>
      </x:c>
      <x:c r="Q449" s="33" t="str">
        <x:f>IF(OR(O449="",J449=""),"",IF(O449="Win",IF(J449&gt;0,1+J449/100,1+100/ABS(J449)),IF(O449="Push",1,0)))</x:f>
      </x:c>
      <x:c r="R449" s="33" t="str">
        <x:f>IF(Q449="","",Q449-1)</x:f>
      </x:c>
      <x:c r="S449" s="31"/>
      <x:c r="T449" s="32" t="str">
        <x:f>IF(OR(J449="",S449=""),"",IF(J449&gt;0,100/(J449+100),ABS(J449)/(ABS(J449)+100))-IF(S449&gt;0,100/(S449+100),ABS(S449)/(ABS(S449)+100)))</x:f>
      </x:c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 t="str">
        <x:f>IF(O450="Win",1,IF(O450="Loss",0,""))</x:f>
      </x:c>
      <x:c r="Q450" s="33" t="str">
        <x:f>IF(OR(O450="",J450=""),"",IF(O450="Win",IF(J450&gt;0,1+J450/100,1+100/ABS(J450)),IF(O450="Push",1,0)))</x:f>
      </x:c>
      <x:c r="R450" s="33" t="str">
        <x:f>IF(Q450="","",Q450-1)</x:f>
      </x:c>
      <x:c r="S450" s="31"/>
      <x:c r="T450" s="32" t="str">
        <x:f>IF(OR(J450="",S450=""),"",IF(J450&gt;0,100/(J450+100),ABS(J450)/(ABS(J450)+100))-IF(S450&gt;0,100/(S450+100),ABS(S450)/(ABS(S450)+100)))</x:f>
      </x:c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 t="str">
        <x:f>IF(O451="Win",1,IF(O451="Loss",0,""))</x:f>
      </x:c>
      <x:c r="Q451" s="33" t="str">
        <x:f>IF(OR(O451="",J451=""),"",IF(O451="Win",IF(J451&gt;0,1+J451/100,1+100/ABS(J451)),IF(O451="Push",1,0)))</x:f>
      </x:c>
      <x:c r="R451" s="33" t="str">
        <x:f>IF(Q451="","",Q451-1)</x:f>
      </x:c>
      <x:c r="S451" s="31"/>
      <x:c r="T451" s="32" t="str">
        <x:f>IF(OR(J451="",S451=""),"",IF(J451&gt;0,100/(J451+100),ABS(J451)/(ABS(J451)+100))-IF(S451&gt;0,100/(S451+100),ABS(S451)/(ABS(S451)+100)))</x:f>
      </x:c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 t="str">
        <x:f>IF(O452="Win",1,IF(O452="Loss",0,""))</x:f>
      </x:c>
      <x:c r="Q452" s="33" t="str">
        <x:f>IF(OR(O452="",J452=""),"",IF(O452="Win",IF(J452&gt;0,1+J452/100,1+100/ABS(J452)),IF(O452="Push",1,0)))</x:f>
      </x:c>
      <x:c r="R452" s="33" t="str">
        <x:f>IF(Q452="","",Q452-1)</x:f>
      </x:c>
      <x:c r="S452" s="31"/>
      <x:c r="T452" s="32" t="str">
        <x:f>IF(OR(J452="",S452=""),"",IF(J452&gt;0,100/(J452+100),ABS(J452)/(ABS(J452)+100))-IF(S452&gt;0,100/(S452+100),ABS(S452)/(ABS(S452)+100)))</x:f>
      </x:c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 t="str">
        <x:f>IF(O453="Win",1,IF(O453="Loss",0,""))</x:f>
      </x:c>
      <x:c r="Q453" s="33" t="str">
        <x:f>IF(OR(O453="",J453=""),"",IF(O453="Win",IF(J453&gt;0,1+J453/100,1+100/ABS(J453)),IF(O453="Push",1,0)))</x:f>
      </x:c>
      <x:c r="R453" s="33" t="str">
        <x:f>IF(Q453="","",Q453-1)</x:f>
      </x:c>
      <x:c r="S453" s="31"/>
      <x:c r="T453" s="32" t="str">
        <x:f>IF(OR(J453="",S453=""),"",IF(J453&gt;0,100/(J453+100),ABS(J453)/(ABS(J453)+100))-IF(S453&gt;0,100/(S453+100),ABS(S453)/(ABS(S453)+100)))</x:f>
      </x:c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 t="str">
        <x:f>IF(O454="Win",1,IF(O454="Loss",0,""))</x:f>
      </x:c>
      <x:c r="Q454" s="33" t="str">
        <x:f>IF(OR(O454="",J454=""),"",IF(O454="Win",IF(J454&gt;0,1+J454/100,1+100/ABS(J454)),IF(O454="Push",1,0)))</x:f>
      </x:c>
      <x:c r="R454" s="33" t="str">
        <x:f>IF(Q454="","",Q454-1)</x:f>
      </x:c>
      <x:c r="S454" s="31"/>
      <x:c r="T454" s="32" t="str">
        <x:f>IF(OR(J454="",S454=""),"",IF(J454&gt;0,100/(J454+100),ABS(J454)/(ABS(J454)+100))-IF(S454&gt;0,100/(S454+100),ABS(S454)/(ABS(S454)+100)))</x:f>
      </x:c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 t="str">
        <x:f>IF(O455="Win",1,IF(O455="Loss",0,""))</x:f>
      </x:c>
      <x:c r="Q455" s="33" t="str">
        <x:f>IF(OR(O455="",J455=""),"",IF(O455="Win",IF(J455&gt;0,1+J455/100,1+100/ABS(J455)),IF(O455="Push",1,0)))</x:f>
      </x:c>
      <x:c r="R455" s="33" t="str">
        <x:f>IF(Q455="","",Q455-1)</x:f>
      </x:c>
      <x:c r="S455" s="31"/>
      <x:c r="T455" s="32" t="str">
        <x:f>IF(OR(J455="",S455=""),"",IF(J455&gt;0,100/(J455+100),ABS(J455)/(ABS(J455)+100))-IF(S455&gt;0,100/(S455+100),ABS(S455)/(ABS(S455)+100)))</x:f>
      </x:c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 t="str">
        <x:f>IF(O456="Win",1,IF(O456="Loss",0,""))</x:f>
      </x:c>
      <x:c r="Q456" s="33" t="str">
        <x:f>IF(OR(O456="",J456=""),"",IF(O456="Win",IF(J456&gt;0,1+J456/100,1+100/ABS(J456)),IF(O456="Push",1,0)))</x:f>
      </x:c>
      <x:c r="R456" s="33" t="str">
        <x:f>IF(Q456="","",Q456-1)</x:f>
      </x:c>
      <x:c r="S456" s="31"/>
      <x:c r="T456" s="32" t="str">
        <x:f>IF(OR(J456="",S456=""),"",IF(J456&gt;0,100/(J456+100),ABS(J456)/(ABS(J456)+100))-IF(S456&gt;0,100/(S456+100),ABS(S456)/(ABS(S456)+100)))</x:f>
      </x:c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 t="str">
        <x:f>IF(O457="Win",1,IF(O457="Loss",0,""))</x:f>
      </x:c>
      <x:c r="Q457" s="33" t="str">
        <x:f>IF(OR(O457="",J457=""),"",IF(O457="Win",IF(J457&gt;0,1+J457/100,1+100/ABS(J457)),IF(O457="Push",1,0)))</x:f>
      </x:c>
      <x:c r="R457" s="33" t="str">
        <x:f>IF(Q457="","",Q457-1)</x:f>
      </x:c>
      <x:c r="S457" s="31"/>
      <x:c r="T457" s="32" t="str">
        <x:f>IF(OR(J457="",S457=""),"",IF(J457&gt;0,100/(J457+100),ABS(J457)/(ABS(J457)+100))-IF(S457&gt;0,100/(S457+100),ABS(S457)/(ABS(S457)+100)))</x:f>
      </x:c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 t="str">
        <x:f>IF(O458="Win",1,IF(O458="Loss",0,""))</x:f>
      </x:c>
      <x:c r="Q458" s="33" t="str">
        <x:f>IF(OR(O458="",J458=""),"",IF(O458="Win",IF(J458&gt;0,1+J458/100,1+100/ABS(J458)),IF(O458="Push",1,0)))</x:f>
      </x:c>
      <x:c r="R458" s="33" t="str">
        <x:f>IF(Q458="","",Q458-1)</x:f>
      </x:c>
      <x:c r="S458" s="31"/>
      <x:c r="T458" s="32" t="str">
        <x:f>IF(OR(J458="",S458=""),"",IF(J458&gt;0,100/(J458+100),ABS(J458)/(ABS(J458)+100))-IF(S458&gt;0,100/(S458+100),ABS(S458)/(ABS(S458)+100)))</x:f>
      </x:c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 t="str">
        <x:f>IF(O459="Win",1,IF(O459="Loss",0,""))</x:f>
      </x:c>
      <x:c r="Q459" s="33" t="str">
        <x:f>IF(OR(O459="",J459=""),"",IF(O459="Win",IF(J459&gt;0,1+J459/100,1+100/ABS(J459)),IF(O459="Push",1,0)))</x:f>
      </x:c>
      <x:c r="R459" s="33" t="str">
        <x:f>IF(Q459="","",Q459-1)</x:f>
      </x:c>
      <x:c r="S459" s="31"/>
      <x:c r="T459" s="32" t="str">
        <x:f>IF(OR(J459="",S459=""),"",IF(J459&gt;0,100/(J459+100),ABS(J459)/(ABS(J459)+100))-IF(S459&gt;0,100/(S459+100),ABS(S459)/(ABS(S459)+100)))</x:f>
      </x:c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 t="str">
        <x:f>IF(O460="Win",1,IF(O460="Loss",0,""))</x:f>
      </x:c>
      <x:c r="Q460" s="33" t="str">
        <x:f>IF(OR(O460="",J460=""),"",IF(O460="Win",IF(J460&gt;0,1+J460/100,1+100/ABS(J460)),IF(O460="Push",1,0)))</x:f>
      </x:c>
      <x:c r="R460" s="33" t="str">
        <x:f>IF(Q460="","",Q460-1)</x:f>
      </x:c>
      <x:c r="S460" s="31"/>
      <x:c r="T460" s="32" t="str">
        <x:f>IF(OR(J460="",S460=""),"",IF(J460&gt;0,100/(J460+100),ABS(J460)/(ABS(J460)+100))-IF(S460&gt;0,100/(S460+100),ABS(S460)/(ABS(S460)+100)))</x:f>
      </x:c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 t="str">
        <x:f>IF(O461="Win",1,IF(O461="Loss",0,""))</x:f>
      </x:c>
      <x:c r="Q461" s="33" t="str">
        <x:f>IF(OR(O461="",J461=""),"",IF(O461="Win",IF(J461&gt;0,1+J461/100,1+100/ABS(J461)),IF(O461="Push",1,0)))</x:f>
      </x:c>
      <x:c r="R461" s="33" t="str">
        <x:f>IF(Q461="","",Q461-1)</x:f>
      </x:c>
      <x:c r="S461" s="31"/>
      <x:c r="T461" s="32" t="str">
        <x:f>IF(OR(J461="",S461=""),"",IF(J461&gt;0,100/(J461+100),ABS(J461)/(ABS(J461)+100))-IF(S461&gt;0,100/(S461+100),ABS(S461)/(ABS(S461)+100)))</x:f>
      </x:c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 t="str">
        <x:f>IF(O462="Win",1,IF(O462="Loss",0,""))</x:f>
      </x:c>
      <x:c r="Q462" s="33" t="str">
        <x:f>IF(OR(O462="",J462=""),"",IF(O462="Win",IF(J462&gt;0,1+J462/100,1+100/ABS(J462)),IF(O462="Push",1,0)))</x:f>
      </x:c>
      <x:c r="R462" s="33" t="str">
        <x:f>IF(Q462="","",Q462-1)</x:f>
      </x:c>
      <x:c r="S462" s="31"/>
      <x:c r="T462" s="32" t="str">
        <x:f>IF(OR(J462="",S462=""),"",IF(J462&gt;0,100/(J462+100),ABS(J462)/(ABS(J462)+100))-IF(S462&gt;0,100/(S462+100),ABS(S462)/(ABS(S462)+100)))</x:f>
      </x:c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 t="str">
        <x:f>IF(O463="Win",1,IF(O463="Loss",0,""))</x:f>
      </x:c>
      <x:c r="Q463" s="33" t="str">
        <x:f>IF(OR(O463="",J463=""),"",IF(O463="Win",IF(J463&gt;0,1+J463/100,1+100/ABS(J463)),IF(O463="Push",1,0)))</x:f>
      </x:c>
      <x:c r="R463" s="33" t="str">
        <x:f>IF(Q463="","",Q463-1)</x:f>
      </x:c>
      <x:c r="S463" s="31"/>
      <x:c r="T463" s="32" t="str">
        <x:f>IF(OR(J463="",S463=""),"",IF(J463&gt;0,100/(J463+100),ABS(J463)/(ABS(J463)+100))-IF(S463&gt;0,100/(S463+100),ABS(S463)/(ABS(S463)+100)))</x:f>
      </x:c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 t="str">
        <x:f>IF(O464="Win",1,IF(O464="Loss",0,""))</x:f>
      </x:c>
      <x:c r="Q464" s="33" t="str">
        <x:f>IF(OR(O464="",J464=""),"",IF(O464="Win",IF(J464&gt;0,1+J464/100,1+100/ABS(J464)),IF(O464="Push",1,0)))</x:f>
      </x:c>
      <x:c r="R464" s="33" t="str">
        <x:f>IF(Q464="","",Q464-1)</x:f>
      </x:c>
      <x:c r="S464" s="31"/>
      <x:c r="T464" s="32" t="str">
        <x:f>IF(OR(J464="",S464=""),"",IF(J464&gt;0,100/(J464+100),ABS(J464)/(ABS(J464)+100))-IF(S464&gt;0,100/(S464+100),ABS(S464)/(ABS(S464)+100)))</x:f>
      </x:c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 t="str">
        <x:f>IF(O465="Win",1,IF(O465="Loss",0,""))</x:f>
      </x:c>
      <x:c r="Q465" s="33" t="str">
        <x:f>IF(OR(O465="",J465=""),"",IF(O465="Win",IF(J465&gt;0,1+J465/100,1+100/ABS(J465)),IF(O465="Push",1,0)))</x:f>
      </x:c>
      <x:c r="R465" s="33" t="str">
        <x:f>IF(Q465="","",Q465-1)</x:f>
      </x:c>
      <x:c r="S465" s="31"/>
      <x:c r="T465" s="32" t="str">
        <x:f>IF(OR(J465="",S465=""),"",IF(J465&gt;0,100/(J465+100),ABS(J465)/(ABS(J465)+100))-IF(S465&gt;0,100/(S465+100),ABS(S465)/(ABS(S465)+100)))</x:f>
      </x:c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 t="str">
        <x:f>IF(O466="Win",1,IF(O466="Loss",0,""))</x:f>
      </x:c>
      <x:c r="Q466" s="33" t="str">
        <x:f>IF(OR(O466="",J466=""),"",IF(O466="Win",IF(J466&gt;0,1+J466/100,1+100/ABS(J466)),IF(O466="Push",1,0)))</x:f>
      </x:c>
      <x:c r="R466" s="33" t="str">
        <x:f>IF(Q466="","",Q466-1)</x:f>
      </x:c>
      <x:c r="S466" s="31"/>
      <x:c r="T466" s="32" t="str">
        <x:f>IF(OR(J466="",S466=""),"",IF(J466&gt;0,100/(J466+100),ABS(J466)/(ABS(J466)+100))-IF(S466&gt;0,100/(S466+100),ABS(S466)/(ABS(S466)+100)))</x:f>
      </x:c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 t="str">
        <x:f>IF(O467="Win",1,IF(O467="Loss",0,""))</x:f>
      </x:c>
      <x:c r="Q467" s="33" t="str">
        <x:f>IF(OR(O467="",J467=""),"",IF(O467="Win",IF(J467&gt;0,1+J467/100,1+100/ABS(J467)),IF(O467="Push",1,0)))</x:f>
      </x:c>
      <x:c r="R467" s="33" t="str">
        <x:f>IF(Q467="","",Q467-1)</x:f>
      </x:c>
      <x:c r="S467" s="31"/>
      <x:c r="T467" s="32" t="str">
        <x:f>IF(OR(J467="",S467=""),"",IF(J467&gt;0,100/(J467+100),ABS(J467)/(ABS(J467)+100))-IF(S467&gt;0,100/(S467+100),ABS(S467)/(ABS(S467)+100)))</x:f>
      </x:c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 t="str">
        <x:f>IF(O468="Win",1,IF(O468="Loss",0,""))</x:f>
      </x:c>
      <x:c r="Q468" s="33" t="str">
        <x:f>IF(OR(O468="",J468=""),"",IF(O468="Win",IF(J468&gt;0,1+J468/100,1+100/ABS(J468)),IF(O468="Push",1,0)))</x:f>
      </x:c>
      <x:c r="R468" s="33" t="str">
        <x:f>IF(Q468="","",Q468-1)</x:f>
      </x:c>
      <x:c r="S468" s="31"/>
      <x:c r="T468" s="32" t="str">
        <x:f>IF(OR(J468="",S468=""),"",IF(J468&gt;0,100/(J468+100),ABS(J468)/(ABS(J468)+100))-IF(S468&gt;0,100/(S468+100),ABS(S468)/(ABS(S468)+100)))</x:f>
      </x:c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 t="str">
        <x:f>IF(O469="Win",1,IF(O469="Loss",0,""))</x:f>
      </x:c>
      <x:c r="Q469" s="33" t="str">
        <x:f>IF(OR(O469="",J469=""),"",IF(O469="Win",IF(J469&gt;0,1+J469/100,1+100/ABS(J469)),IF(O469="Push",1,0)))</x:f>
      </x:c>
      <x:c r="R469" s="33" t="str">
        <x:f>IF(Q469="","",Q469-1)</x:f>
      </x:c>
      <x:c r="S469" s="31"/>
      <x:c r="T469" s="32" t="str">
        <x:f>IF(OR(J469="",S469=""),"",IF(J469&gt;0,100/(J469+100),ABS(J469)/(ABS(J469)+100))-IF(S469&gt;0,100/(S469+100),ABS(S469)/(ABS(S469)+100)))</x:f>
      </x:c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 t="str">
        <x:f>IF(O470="Win",1,IF(O470="Loss",0,""))</x:f>
      </x:c>
      <x:c r="Q470" s="33" t="str">
        <x:f>IF(OR(O470="",J470=""),"",IF(O470="Win",IF(J470&gt;0,1+J470/100,1+100/ABS(J470)),IF(O470="Push",1,0)))</x:f>
      </x:c>
      <x:c r="R470" s="33" t="str">
        <x:f>IF(Q470="","",Q470-1)</x:f>
      </x:c>
      <x:c r="S470" s="31"/>
      <x:c r="T470" s="32" t="str">
        <x:f>IF(OR(J470="",S470=""),"",IF(J470&gt;0,100/(J470+100),ABS(J470)/(ABS(J470)+100))-IF(S470&gt;0,100/(S470+100),ABS(S470)/(ABS(S470)+100)))</x:f>
      </x:c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 t="str">
        <x:f>IF(O471="Win",1,IF(O471="Loss",0,""))</x:f>
      </x:c>
      <x:c r="Q471" s="33" t="str">
        <x:f>IF(OR(O471="",J471=""),"",IF(O471="Win",IF(J471&gt;0,1+J471/100,1+100/ABS(J471)),IF(O471="Push",1,0)))</x:f>
      </x:c>
      <x:c r="R471" s="33" t="str">
        <x:f>IF(Q471="","",Q471-1)</x:f>
      </x:c>
      <x:c r="S471" s="31"/>
      <x:c r="T471" s="32" t="str">
        <x:f>IF(OR(J471="",S471=""),"",IF(J471&gt;0,100/(J471+100),ABS(J471)/(ABS(J471)+100))-IF(S471&gt;0,100/(S471+100),ABS(S471)/(ABS(S471)+100)))</x:f>
      </x:c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 t="str">
        <x:f>IF(O472="Win",1,IF(O472="Loss",0,""))</x:f>
      </x:c>
      <x:c r="Q472" s="33" t="str">
        <x:f>IF(OR(O472="",J472=""),"",IF(O472="Win",IF(J472&gt;0,1+J472/100,1+100/ABS(J472)),IF(O472="Push",1,0)))</x:f>
      </x:c>
      <x:c r="R472" s="33" t="str">
        <x:f>IF(Q472="","",Q472-1)</x:f>
      </x:c>
      <x:c r="S472" s="31"/>
      <x:c r="T472" s="32" t="str">
        <x:f>IF(OR(J472="",S472=""),"",IF(J472&gt;0,100/(J472+100),ABS(J472)/(ABS(J472)+100))-IF(S472&gt;0,100/(S472+100),ABS(S472)/(ABS(S472)+100)))</x:f>
      </x:c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 t="str">
        <x:f>IF(O473="Win",1,IF(O473="Loss",0,""))</x:f>
      </x:c>
      <x:c r="Q473" s="33" t="str">
        <x:f>IF(OR(O473="",J473=""),"",IF(O473="Win",IF(J473&gt;0,1+J473/100,1+100/ABS(J473)),IF(O473="Push",1,0)))</x:f>
      </x:c>
      <x:c r="R473" s="33" t="str">
        <x:f>IF(Q473="","",Q473-1)</x:f>
      </x:c>
      <x:c r="S473" s="31"/>
      <x:c r="T473" s="32" t="str">
        <x:f>IF(OR(J473="",S473=""),"",IF(J473&gt;0,100/(J473+100),ABS(J473)/(ABS(J473)+100))-IF(S473&gt;0,100/(S473+100),ABS(S473)/(ABS(S473)+100)))</x:f>
      </x:c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 t="str">
        <x:f>IF(O474="Win",1,IF(O474="Loss",0,""))</x:f>
      </x:c>
      <x:c r="Q474" s="33" t="str">
        <x:f>IF(OR(O474="",J474=""),"",IF(O474="Win",IF(J474&gt;0,1+J474/100,1+100/ABS(J474)),IF(O474="Push",1,0)))</x:f>
      </x:c>
      <x:c r="R474" s="33" t="str">
        <x:f>IF(Q474="","",Q474-1)</x:f>
      </x:c>
      <x:c r="S474" s="31"/>
      <x:c r="T474" s="32" t="str">
        <x:f>IF(OR(J474="",S474=""),"",IF(J474&gt;0,100/(J474+100),ABS(J474)/(ABS(J474)+100))-IF(S474&gt;0,100/(S474+100),ABS(S474)/(ABS(S474)+100)))</x:f>
      </x:c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 t="str">
        <x:f>IF(O475="Win",1,IF(O475="Loss",0,""))</x:f>
      </x:c>
      <x:c r="Q475" s="33" t="str">
        <x:f>IF(OR(O475="",J475=""),"",IF(O475="Win",IF(J475&gt;0,1+J475/100,1+100/ABS(J475)),IF(O475="Push",1,0)))</x:f>
      </x:c>
      <x:c r="R475" s="33" t="str">
        <x:f>IF(Q475="","",Q475-1)</x:f>
      </x:c>
      <x:c r="S475" s="31"/>
      <x:c r="T475" s="32" t="str">
        <x:f>IF(OR(J475="",S475=""),"",IF(J475&gt;0,100/(J475+100),ABS(J475)/(ABS(J475)+100))-IF(S475&gt;0,100/(S475+100),ABS(S475)/(ABS(S475)+100)))</x:f>
      </x:c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 t="str">
        <x:f>IF(O476="Win",1,IF(O476="Loss",0,""))</x:f>
      </x:c>
      <x:c r="Q476" s="33" t="str">
        <x:f>IF(OR(O476="",J476=""),"",IF(O476="Win",IF(J476&gt;0,1+J476/100,1+100/ABS(J476)),IF(O476="Push",1,0)))</x:f>
      </x:c>
      <x:c r="R476" s="33" t="str">
        <x:f>IF(Q476="","",Q476-1)</x:f>
      </x:c>
      <x:c r="S476" s="31"/>
      <x:c r="T476" s="32" t="str">
        <x:f>IF(OR(J476="",S476=""),"",IF(J476&gt;0,100/(J476+100),ABS(J476)/(ABS(J476)+100))-IF(S476&gt;0,100/(S476+100),ABS(S476)/(ABS(S476)+100)))</x:f>
      </x:c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 t="str">
        <x:f>IF(O477="Win",1,IF(O477="Loss",0,""))</x:f>
      </x:c>
      <x:c r="Q477" s="33" t="str">
        <x:f>IF(OR(O477="",J477=""),"",IF(O477="Win",IF(J477&gt;0,1+J477/100,1+100/ABS(J477)),IF(O477="Push",1,0)))</x:f>
      </x:c>
      <x:c r="R477" s="33" t="str">
        <x:f>IF(Q477="","",Q477-1)</x:f>
      </x:c>
      <x:c r="S477" s="31"/>
      <x:c r="T477" s="32" t="str">
        <x:f>IF(OR(J477="",S477=""),"",IF(J477&gt;0,100/(J477+100),ABS(J477)/(ABS(J477)+100))-IF(S477&gt;0,100/(S477+100),ABS(S477)/(ABS(S477)+100)))</x:f>
      </x:c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 t="str">
        <x:f>IF(O478="Win",1,IF(O478="Loss",0,""))</x:f>
      </x:c>
      <x:c r="Q478" s="33" t="str">
        <x:f>IF(OR(O478="",J478=""),"",IF(O478="Win",IF(J478&gt;0,1+J478/100,1+100/ABS(J478)),IF(O478="Push",1,0)))</x:f>
      </x:c>
      <x:c r="R478" s="33" t="str">
        <x:f>IF(Q478="","",Q478-1)</x:f>
      </x:c>
      <x:c r="S478" s="31"/>
      <x:c r="T478" s="32" t="str">
        <x:f>IF(OR(J478="",S478=""),"",IF(J478&gt;0,100/(J478+100),ABS(J478)/(ABS(J478)+100))-IF(S478&gt;0,100/(S478+100),ABS(S478)/(ABS(S478)+100)))</x:f>
      </x:c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 t="str">
        <x:f>IF(O479="Win",1,IF(O479="Loss",0,""))</x:f>
      </x:c>
      <x:c r="Q479" s="33" t="str">
        <x:f>IF(OR(O479="",J479=""),"",IF(O479="Win",IF(J479&gt;0,1+J479/100,1+100/ABS(J479)),IF(O479="Push",1,0)))</x:f>
      </x:c>
      <x:c r="R479" s="33" t="str">
        <x:f>IF(Q479="","",Q479-1)</x:f>
      </x:c>
      <x:c r="S479" s="31"/>
      <x:c r="T479" s="32" t="str">
        <x:f>IF(OR(J479="",S479=""),"",IF(J479&gt;0,100/(J479+100),ABS(J479)/(ABS(J479)+100))-IF(S479&gt;0,100/(S479+100),ABS(S479)/(ABS(S479)+100)))</x:f>
      </x:c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 t="str">
        <x:f>IF(O480="Win",1,IF(O480="Loss",0,""))</x:f>
      </x:c>
      <x:c r="Q480" s="33" t="str">
        <x:f>IF(OR(O480="",J480=""),"",IF(O480="Win",IF(J480&gt;0,1+J480/100,1+100/ABS(J480)),IF(O480="Push",1,0)))</x:f>
      </x:c>
      <x:c r="R480" s="33" t="str">
        <x:f>IF(Q480="","",Q480-1)</x:f>
      </x:c>
      <x:c r="S480" s="31"/>
      <x:c r="T480" s="32" t="str">
        <x:f>IF(OR(J480="",S480=""),"",IF(J480&gt;0,100/(J480+100),ABS(J480)/(ABS(J480)+100))-IF(S480&gt;0,100/(S480+100),ABS(S480)/(ABS(S480)+100)))</x:f>
      </x:c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 t="str">
        <x:f>IF(O481="Win",1,IF(O481="Loss",0,""))</x:f>
      </x:c>
      <x:c r="Q481" s="33" t="str">
        <x:f>IF(OR(O481="",J481=""),"",IF(O481="Win",IF(J481&gt;0,1+J481/100,1+100/ABS(J481)),IF(O481="Push",1,0)))</x:f>
      </x:c>
      <x:c r="R481" s="33" t="str">
        <x:f>IF(Q481="","",Q481-1)</x:f>
      </x:c>
      <x:c r="S481" s="31"/>
      <x:c r="T481" s="32" t="str">
        <x:f>IF(OR(J481="",S481=""),"",IF(J481&gt;0,100/(J481+100),ABS(J481)/(ABS(J481)+100))-IF(S481&gt;0,100/(S481+100),ABS(S481)/(ABS(S481)+100)))</x:f>
      </x:c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 t="str">
        <x:f>IF(O482="Win",1,IF(O482="Loss",0,""))</x:f>
      </x:c>
      <x:c r="Q482" s="33" t="str">
        <x:f>IF(OR(O482="",J482=""),"",IF(O482="Win",IF(J482&gt;0,1+J482/100,1+100/ABS(J482)),IF(O482="Push",1,0)))</x:f>
      </x:c>
      <x:c r="R482" s="33" t="str">
        <x:f>IF(Q482="","",Q482-1)</x:f>
      </x:c>
      <x:c r="S482" s="31"/>
      <x:c r="T482" s="32" t="str">
        <x:f>IF(OR(J482="",S482=""),"",IF(J482&gt;0,100/(J482+100),ABS(J482)/(ABS(J482)+100))-IF(S482&gt;0,100/(S482+100),ABS(S482)/(ABS(S482)+100)))</x:f>
      </x:c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 t="str">
        <x:f>IF(O483="Win",1,IF(O483="Loss",0,""))</x:f>
      </x:c>
      <x:c r="Q483" s="33" t="str">
        <x:f>IF(OR(O483="",J483=""),"",IF(O483="Win",IF(J483&gt;0,1+J483/100,1+100/ABS(J483)),IF(O483="Push",1,0)))</x:f>
      </x:c>
      <x:c r="R483" s="33" t="str">
        <x:f>IF(Q483="","",Q483-1)</x:f>
      </x:c>
      <x:c r="S483" s="31"/>
      <x:c r="T483" s="32" t="str">
        <x:f>IF(OR(J483="",S483=""),"",IF(J483&gt;0,100/(J483+100),ABS(J483)/(ABS(J483)+100))-IF(S483&gt;0,100/(S483+100),ABS(S483)/(ABS(S483)+100)))</x:f>
      </x:c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 t="str">
        <x:f>IF(O484="Win",1,IF(O484="Loss",0,""))</x:f>
      </x:c>
      <x:c r="Q484" s="33" t="str">
        <x:f>IF(OR(O484="",J484=""),"",IF(O484="Win",IF(J484&gt;0,1+J484/100,1+100/ABS(J484)),IF(O484="Push",1,0)))</x:f>
      </x:c>
      <x:c r="R484" s="33" t="str">
        <x:f>IF(Q484="","",Q484-1)</x:f>
      </x:c>
      <x:c r="S484" s="31"/>
      <x:c r="T484" s="32" t="str">
        <x:f>IF(OR(J484="",S484=""),"",IF(J484&gt;0,100/(J484+100),ABS(J484)/(ABS(J484)+100))-IF(S484&gt;0,100/(S484+100),ABS(S484)/(ABS(S484)+100)))</x:f>
      </x:c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 t="str">
        <x:f>IF(O485="Win",1,IF(O485="Loss",0,""))</x:f>
      </x:c>
      <x:c r="Q485" s="33" t="str">
        <x:f>IF(OR(O485="",J485=""),"",IF(O485="Win",IF(J485&gt;0,1+J485/100,1+100/ABS(J485)),IF(O485="Push",1,0)))</x:f>
      </x:c>
      <x:c r="R485" s="33" t="str">
        <x:f>IF(Q485="","",Q485-1)</x:f>
      </x:c>
      <x:c r="S485" s="31"/>
      <x:c r="T485" s="32" t="str">
        <x:f>IF(OR(J485="",S485=""),"",IF(J485&gt;0,100/(J485+100),ABS(J485)/(ABS(J485)+100))-IF(S485&gt;0,100/(S485+100),ABS(S485)/(ABS(S485)+100)))</x:f>
      </x:c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 t="str">
        <x:f>IF(O486="Win",1,IF(O486="Loss",0,""))</x:f>
      </x:c>
      <x:c r="Q486" s="33" t="str">
        <x:f>IF(OR(O486="",J486=""),"",IF(O486="Win",IF(J486&gt;0,1+J486/100,1+100/ABS(J486)),IF(O486="Push",1,0)))</x:f>
      </x:c>
      <x:c r="R486" s="33" t="str">
        <x:f>IF(Q486="","",Q486-1)</x:f>
      </x:c>
      <x:c r="S486" s="31"/>
      <x:c r="T486" s="32" t="str">
        <x:f>IF(OR(J486="",S486=""),"",IF(J486&gt;0,100/(J486+100),ABS(J486)/(ABS(J486)+100))-IF(S486&gt;0,100/(S486+100),ABS(S486)/(ABS(S486)+100)))</x:f>
      </x:c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 t="str">
        <x:f>IF(O487="Win",1,IF(O487="Loss",0,""))</x:f>
      </x:c>
      <x:c r="Q487" s="33" t="str">
        <x:f>IF(OR(O487="",J487=""),"",IF(O487="Win",IF(J487&gt;0,1+J487/100,1+100/ABS(J487)),IF(O487="Push",1,0)))</x:f>
      </x:c>
      <x:c r="R487" s="33" t="str">
        <x:f>IF(Q487="","",Q487-1)</x:f>
      </x:c>
      <x:c r="S487" s="31"/>
      <x:c r="T487" s="32" t="str">
        <x:f>IF(OR(J487="",S487=""),"",IF(J487&gt;0,100/(J487+100),ABS(J487)/(ABS(J487)+100))-IF(S487&gt;0,100/(S487+100),ABS(S487)/(ABS(S487)+100)))</x:f>
      </x:c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 t="str">
        <x:f>IF(O488="Win",1,IF(O488="Loss",0,""))</x:f>
      </x:c>
      <x:c r="Q488" s="33" t="str">
        <x:f>IF(OR(O488="",J488=""),"",IF(O488="Win",IF(J488&gt;0,1+J488/100,1+100/ABS(J488)),IF(O488="Push",1,0)))</x:f>
      </x:c>
      <x:c r="R488" s="33" t="str">
        <x:f>IF(Q488="","",Q488-1)</x:f>
      </x:c>
      <x:c r="S488" s="31"/>
      <x:c r="T488" s="32" t="str">
        <x:f>IF(OR(J488="",S488=""),"",IF(J488&gt;0,100/(J488+100),ABS(J488)/(ABS(J488)+100))-IF(S488&gt;0,100/(S488+100),ABS(S488)/(ABS(S488)+100)))</x:f>
      </x:c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 t="str">
        <x:f>IF(O489="Win",1,IF(O489="Loss",0,""))</x:f>
      </x:c>
      <x:c r="Q489" s="33" t="str">
        <x:f>IF(OR(O489="",J489=""),"",IF(O489="Win",IF(J489&gt;0,1+J489/100,1+100/ABS(J489)),IF(O489="Push",1,0)))</x:f>
      </x:c>
      <x:c r="R489" s="33" t="str">
        <x:f>IF(Q489="","",Q489-1)</x:f>
      </x:c>
      <x:c r="S489" s="31"/>
      <x:c r="T489" s="32" t="str">
        <x:f>IF(OR(J489="",S489=""),"",IF(J489&gt;0,100/(J489+100),ABS(J489)/(ABS(J489)+100))-IF(S489&gt;0,100/(S489+100),ABS(S489)/(ABS(S489)+100)))</x:f>
      </x:c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 t="str">
        <x:f>IF(O490="Win",1,IF(O490="Loss",0,""))</x:f>
      </x:c>
      <x:c r="Q490" s="33" t="str">
        <x:f>IF(OR(O490="",J490=""),"",IF(O490="Win",IF(J490&gt;0,1+J490/100,1+100/ABS(J490)),IF(O490="Push",1,0)))</x:f>
      </x:c>
      <x:c r="R490" s="33" t="str">
        <x:f>IF(Q490="","",Q490-1)</x:f>
      </x:c>
      <x:c r="S490" s="31"/>
      <x:c r="T490" s="32" t="str">
        <x:f>IF(OR(J490="",S490=""),"",IF(J490&gt;0,100/(J490+100),ABS(J490)/(ABS(J490)+100))-IF(S490&gt;0,100/(S490+100),ABS(S490)/(ABS(S490)+100)))</x:f>
      </x:c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 t="str">
        <x:f>IF(O491="Win",1,IF(O491="Loss",0,""))</x:f>
      </x:c>
      <x:c r="Q491" s="33" t="str">
        <x:f>IF(OR(O491="",J491=""),"",IF(O491="Win",IF(J491&gt;0,1+J491/100,1+100/ABS(J491)),IF(O491="Push",1,0)))</x:f>
      </x:c>
      <x:c r="R491" s="33" t="str">
        <x:f>IF(Q491="","",Q491-1)</x:f>
      </x:c>
      <x:c r="S491" s="31"/>
      <x:c r="T491" s="32" t="str">
        <x:f>IF(OR(J491="",S491=""),"",IF(J491&gt;0,100/(J491+100),ABS(J491)/(ABS(J491)+100))-IF(S491&gt;0,100/(S491+100),ABS(S491)/(ABS(S491)+100)))</x:f>
      </x:c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 t="str">
        <x:f>IF(O492="Win",1,IF(O492="Loss",0,""))</x:f>
      </x:c>
      <x:c r="Q492" s="33" t="str">
        <x:f>IF(OR(O492="",J492=""),"",IF(O492="Win",IF(J492&gt;0,1+J492/100,1+100/ABS(J492)),IF(O492="Push",1,0)))</x:f>
      </x:c>
      <x:c r="R492" s="33" t="str">
        <x:f>IF(Q492="","",Q492-1)</x:f>
      </x:c>
      <x:c r="S492" s="31"/>
      <x:c r="T492" s="32" t="str">
        <x:f>IF(OR(J492="",S492=""),"",IF(J492&gt;0,100/(J492+100),ABS(J492)/(ABS(J492)+100))-IF(S492&gt;0,100/(S492+100),ABS(S492)/(ABS(S492)+100)))</x:f>
      </x:c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 t="str">
        <x:f>IF(O493="Win",1,IF(O493="Loss",0,""))</x:f>
      </x:c>
      <x:c r="Q493" s="33" t="str">
        <x:f>IF(OR(O493="",J493=""),"",IF(O493="Win",IF(J493&gt;0,1+J493/100,1+100/ABS(J493)),IF(O493="Push",1,0)))</x:f>
      </x:c>
      <x:c r="R493" s="33" t="str">
        <x:f>IF(Q493="","",Q493-1)</x:f>
      </x:c>
      <x:c r="S493" s="31"/>
      <x:c r="T493" s="32" t="str">
        <x:f>IF(OR(J493="",S493=""),"",IF(J493&gt;0,100/(J493+100),ABS(J493)/(ABS(J493)+100))-IF(S493&gt;0,100/(S493+100),ABS(S493)/(ABS(S493)+100)))</x:f>
      </x:c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 t="str">
        <x:f>IF(O494="Win",1,IF(O494="Loss",0,""))</x:f>
      </x:c>
      <x:c r="Q494" s="33" t="str">
        <x:f>IF(OR(O494="",J494=""),"",IF(O494="Win",IF(J494&gt;0,1+J494/100,1+100/ABS(J494)),IF(O494="Push",1,0)))</x:f>
      </x:c>
      <x:c r="R494" s="33" t="str">
        <x:f>IF(Q494="","",Q494-1)</x:f>
      </x:c>
      <x:c r="S494" s="31"/>
      <x:c r="T494" s="32" t="str">
        <x:f>IF(OR(J494="",S494=""),"",IF(J494&gt;0,100/(J494+100),ABS(J494)/(ABS(J494)+100))-IF(S494&gt;0,100/(S494+100),ABS(S494)/(ABS(S494)+100)))</x:f>
      </x:c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 t="str">
        <x:f>IF(O495="Win",1,IF(O495="Loss",0,""))</x:f>
      </x:c>
      <x:c r="Q495" s="33" t="str">
        <x:f>IF(OR(O495="",J495=""),"",IF(O495="Win",IF(J495&gt;0,1+J495/100,1+100/ABS(J495)),IF(O495="Push",1,0)))</x:f>
      </x:c>
      <x:c r="R495" s="33" t="str">
        <x:f>IF(Q495="","",Q495-1)</x:f>
      </x:c>
      <x:c r="S495" s="31"/>
      <x:c r="T495" s="32" t="str">
        <x:f>IF(OR(J495="",S495=""),"",IF(J495&gt;0,100/(J495+100),ABS(J495)/(ABS(J495)+100))-IF(S495&gt;0,100/(S495+100),ABS(S495)/(ABS(S495)+100)))</x:f>
      </x:c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 t="str">
        <x:f>IF(O496="Win",1,IF(O496="Loss",0,""))</x:f>
      </x:c>
      <x:c r="Q496" s="33" t="str">
        <x:f>IF(OR(O496="",J496=""),"",IF(O496="Win",IF(J496&gt;0,1+J496/100,1+100/ABS(J496)),IF(O496="Push",1,0)))</x:f>
      </x:c>
      <x:c r="R496" s="33" t="str">
        <x:f>IF(Q496="","",Q496-1)</x:f>
      </x:c>
      <x:c r="S496" s="31"/>
      <x:c r="T496" s="32" t="str">
        <x:f>IF(OR(J496="",S496=""),"",IF(J496&gt;0,100/(J496+100),ABS(J496)/(ABS(J496)+100))-IF(S496&gt;0,100/(S496+100),ABS(S496)/(ABS(S496)+100)))</x:f>
      </x:c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 t="str">
        <x:f>IF(O497="Win",1,IF(O497="Loss",0,""))</x:f>
      </x:c>
      <x:c r="Q497" s="33" t="str">
        <x:f>IF(OR(O497="",J497=""),"",IF(O497="Win",IF(J497&gt;0,1+J497/100,1+100/ABS(J497)),IF(O497="Push",1,0)))</x:f>
      </x:c>
      <x:c r="R497" s="33" t="str">
        <x:f>IF(Q497="","",Q497-1)</x:f>
      </x:c>
      <x:c r="S497" s="31"/>
      <x:c r="T497" s="32" t="str">
        <x:f>IF(OR(J497="",S497=""),"",IF(J497&gt;0,100/(J497+100),ABS(J497)/(ABS(J497)+100))-IF(S497&gt;0,100/(S497+100),ABS(S497)/(ABS(S497)+100)))</x:f>
      </x:c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 t="str">
        <x:f>IF(O498="Win",1,IF(O498="Loss",0,""))</x:f>
      </x:c>
      <x:c r="Q498" s="33" t="str">
        <x:f>IF(OR(O498="",J498=""),"",IF(O498="Win",IF(J498&gt;0,1+J498/100,1+100/ABS(J498)),IF(O498="Push",1,0)))</x:f>
      </x:c>
      <x:c r="R498" s="33" t="str">
        <x:f>IF(Q498="","",Q498-1)</x:f>
      </x:c>
      <x:c r="S498" s="31"/>
      <x:c r="T498" s="32" t="str">
        <x:f>IF(OR(J498="",S498=""),"",IF(J498&gt;0,100/(J498+100),ABS(J498)/(ABS(J498)+100))-IF(S498&gt;0,100/(S498+100),ABS(S498)/(ABS(S498)+100)))</x:f>
      </x:c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 t="str">
        <x:f>IF(O499="Win",1,IF(O499="Loss",0,""))</x:f>
      </x:c>
      <x:c r="Q499" s="33" t="str">
        <x:f>IF(OR(O499="",J499=""),"",IF(O499="Win",IF(J499&gt;0,1+J499/100,1+100/ABS(J499)),IF(O499="Push",1,0)))</x:f>
      </x:c>
      <x:c r="R499" s="33" t="str">
        <x:f>IF(Q499="","",Q499-1)</x:f>
      </x:c>
      <x:c r="S499" s="31"/>
      <x:c r="T499" s="32" t="str">
        <x:f>IF(OR(J499="",S499=""),"",IF(J499&gt;0,100/(J499+100),ABS(J499)/(ABS(J499)+100))-IF(S499&gt;0,100/(S499+100),ABS(S499)/(ABS(S499)+100)))</x:f>
      </x:c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 t="str">
        <x:f>IF(O500="Win",1,IF(O500="Loss",0,""))</x:f>
      </x:c>
      <x:c r="Q500" s="33" t="str">
        <x:f>IF(OR(O500="",J500=""),"",IF(O500="Win",IF(J500&gt;0,1+J500/100,1+100/ABS(J500)),IF(O500="Push",1,0)))</x:f>
      </x:c>
      <x:c r="R500" s="33" t="str">
        <x:f>IF(Q500="","",Q500-1)</x:f>
      </x:c>
      <x:c r="S500" s="31"/>
      <x:c r="T500" s="32" t="str">
        <x:f>IF(OR(J500="",S500=""),"",IF(J500&gt;0,100/(J500+100),ABS(J500)/(ABS(J500)+100))-IF(S500&gt;0,100/(S500+100),ABS(S500)/(ABS(S500)+100)))</x:f>
      </x:c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90</x:v>
      </x:c>
      <x:c r="C18" t="n">
        <x:f>COUNTIFS('Paper Portfolio'!$K:$K,A18,'Paper Portfolio'!$O:$O,"Win")</x:f>
        <x:v>31</x:v>
      </x:c>
      <x:c r="D18" s="24" t="n">
        <x:f>IFERROR(C18/B18,0)</x:f>
        <x:v>0.34444444444444444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18</x:v>
      </x:c>
      <x:c r="C19" t="n">
        <x:f>COUNTIFS('Paper Portfolio'!$K:$K,A19,'Paper Portfolio'!$O:$O,"Win")</x:f>
        <x:v>6</x:v>
      </x:c>
      <x:c r="D19" s="24" t="n">
        <x:f>IFERROR(C19/B19,0)</x:f>
        <x:v>0.3333333333333333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5</x:v>
      </x:c>
      <x:c r="C24" t="n">
        <x:f>COUNTIFS('Paper Portfolio'!$W:$W,A24,'Paper Portfolio'!$O:$O,"Win")</x:f>
        <x:v>0</x:v>
      </x:c>
      <x:c r="D24" s="24" t="n">
        <x:f>IFERROR(C24/B24,0)</x:f>
        <x:v>0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9</x:v>
      </x:c>
      <x:c r="C27" t="n">
        <x:f>COUNTIFS('Paper Portfolio'!$W:$W,A27,'Paper Portfolio'!$O:$O,"Win")</x:f>
        <x:v>1</x:v>
      </x:c>
      <x:c r="D27" s="24" t="n">
        <x:f>IFERROR(C27/B27,0)</x:f>
        <x:v>0.1111111111111111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22</x:v>
      </x:c>
      <x:c r="C18" s="31" t="n">
        <x:f>COUNTIFS('Paper Portfolio'!$W$2:$W$220,$A18,'Paper Portfolio'!$O$2:$O$220,"Win")</x:f>
        <x:v>9</x:v>
      </x:c>
      <x:c r="D18" s="31" t="n">
        <x:f>COUNTIFS('Paper Portfolio'!$W$2:$W$220,$A18,'Paper Portfolio'!$O$2:$O$220,"Loss")</x:f>
        <x:v>13</x:v>
      </x:c>
      <x:c r="E18" s="32" t="n">
        <x:f>IF(B18=0,"",C18/B18)</x:f>
        <x:v>0.4090909090909091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27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21</x:v>
      </x:c>
      <x:c r="E19" s="32" t="n">
        <x:f>IF(B19=0,"",C19/B19)</x:f>
        <x:v>0.2222222222222222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13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6</x:v>
      </x:c>
      <x:c r="E22" s="32" t="n">
        <x:f>IF(B22=0,"",C22/B22)</x:f>
        <x:v>0.5384615384615384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7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6</x:v>
      </x:c>
      <x:c r="E24" s="32" t="n">
        <x:f>IF(B24=0,"",C24/B24)</x:f>
        <x:v>0.14285714285714285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2026-09-09</x:v>
      </x:c>
      <x:c r="C2" s="394" t="str">
        <x:v>Last verified</x:v>
      </x:c>
      <x:c r="D2" s="395" t="str">
        <x:v>2026-09-09 22:33Z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15</x:v>
      </x:c>
      <x:c r="E5" s="398" t="n">
        <x:v>4</x:v>
      </x:c>
      <x:c r="F5" s="398" t="n">
        <x:v>5</x:v>
      </x:c>
      <x:c r="G5" s="398" t="n">
        <x:v>6</x:v>
      </x:c>
      <x:c r="H5" s="397" t="str">
        <x:v>1:10 PM EDT</x:v>
      </x:c>
      <x:c r="I5" s="397" t="str">
        <x:v>MLB Stats API</x:v>
      </x:c>
      <x:c r="J5" s="397" t="str">
        <x:v>https://www.mlb.com/schedule/2026-09-09</x:v>
      </x:c>
      <x:c r="K5" s="397" t="str">
        <x:v>https://statsapi.mlb.com/api/v1/schedule?sportId=1&amp;date=2026-09-09&amp;hydrate=probablePitcher,team,venue</x:v>
      </x:c>
      <x:c r="L5" s="397" t="str">
        <x:v>UTC 2026-09-09T22:33:24.735Z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no_slate</x:v>
      </x:c>
      <x:c r="D6" s="400" t="n">
        <x:v>0</x:v>
      </x:c>
      <x:c r="E6" s="400" t="n">
        <x:v>0</x:v>
      </x:c>
      <x:c r="F6" s="400" t="n">
        <x:v>0</x:v>
      </x:c>
      <x:c r="G6" s="400" t="n">
        <x:v>0</x:v>
      </x:c>
      <x:c r="H6" s="399" t="str"/>
      <x:c r="I6" s="399" t="str">
        <x:v>ESPN Scoreboard API</x:v>
      </x:c>
      <x:c r="J6" s="399" t="str">
        <x:v>https://www.espn.com/college-football/scoreboard/_/date/20260909</x:v>
      </x:c>
      <x:c r="K6" s="399" t="str">
        <x:v>https://site.api.espn.com/apis/site/v2/sports/football/college-football/scoreboard?dates=20260909&amp;limit=200</x:v>
      </x:c>
      <x:c r="L6" s="399" t="str">
        <x:v>UTC 2026-09-09T22:33:24.735Z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active</x:v>
      </x:c>
      <x:c r="D7" s="398" t="n">
        <x:v>1</x:v>
      </x:c>
      <x:c r="E7" s="398" t="n">
        <x:v>0</x:v>
      </x:c>
      <x:c r="F7" s="398" t="n">
        <x:v>0</x:v>
      </x:c>
      <x:c r="G7" s="398" t="n">
        <x:v>1</x:v>
      </x:c>
      <x:c r="H7" s="397" t="str">
        <x:v>8:20 PM EDT</x:v>
      </x:c>
      <x:c r="I7" s="397" t="str">
        <x:v>ESPN Scoreboard API</x:v>
      </x:c>
      <x:c r="J7" s="397" t="str">
        <x:v>https://www.espn.com/nfl/scoreboard/_/date/20260909</x:v>
      </x:c>
      <x:c r="K7" s="397" t="str">
        <x:v>https://site.api.espn.com/apis/site/v2/sports/football/nfl/scoreboard?dates=20260909&amp;limit=200</x:v>
      </x:c>
      <x:c r="L7" s="397" t="str">
        <x:v>UTC 2026-09-09T22:33:24.735Z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no_slate</x:v>
      </x:c>
      <x:c r="D8" s="400" t="n">
        <x:v>0</x:v>
      </x:c>
      <x:c r="E8" s="400" t="n">
        <x:v>0</x:v>
      </x:c>
      <x:c r="F8" s="400" t="n">
        <x:v>0</x:v>
      </x:c>
      <x:c r="G8" s="400" t="n">
        <x:v>0</x:v>
      </x:c>
      <x:c r="H8" s="399" t="str"/>
      <x:c r="I8" s="399" t="str">
        <x:v>ESPN Scoreboard API</x:v>
      </x:c>
      <x:c r="J8" s="399" t="str">
        <x:v>https://www.espn.com/wnba/scoreboard/_/date/20260909</x:v>
      </x:c>
      <x:c r="K8" s="399" t="str">
        <x:v>https://site.api.espn.com/apis/site/v2/sports/basketball/wnba/scoreboard?dates=20260909&amp;limit=200</x:v>
      </x:c>
      <x:c r="L8" s="399" t="str">
        <x:v>UTC 2026-09-09T22:33:24.735Z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no_slate</x:v>
      </x:c>
      <x:c r="D9" s="398" t="n">
        <x:v>0</x:v>
      </x:c>
      <x:c r="E9" s="398" t="n">
        <x:v>0</x:v>
      </x:c>
      <x:c r="F9" s="398" t="n">
        <x:v>0</x:v>
      </x:c>
      <x:c r="G9" s="398" t="n">
        <x:v>0</x:v>
      </x:c>
      <x:c r="H9" s="397" t="str"/>
      <x:c r="I9" s="397" t="str">
        <x:v>ESPN Scoreboard API</x:v>
      </x:c>
      <x:c r="J9" s="397" t="str">
        <x:v>https://www.espn.com/nba/scoreboard/_/date/20260909</x:v>
      </x:c>
      <x:c r="K9" s="397" t="str">
        <x:v>https://site.api.espn.com/apis/site/v2/sports/basketball/nba/scoreboard?dates=20260909&amp;limit=200</x:v>
      </x:c>
      <x:c r="L9" s="397" t="str">
        <x:v>UTC 2026-09-09T22:33:24.735Z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no_slate</x:v>
      </x:c>
      <x:c r="D10" s="400" t="n">
        <x:v>0</x:v>
      </x:c>
      <x:c r="E10" s="400" t="n">
        <x:v>0</x:v>
      </x:c>
      <x:c r="F10" s="400" t="n">
        <x:v>0</x:v>
      </x:c>
      <x:c r="G10" s="400" t="n">
        <x:v>0</x:v>
      </x:c>
      <x:c r="H10" s="399" t="str"/>
      <x:c r="I10" s="399" t="str">
        <x:v>ESPN Scoreboard API</x:v>
      </x:c>
      <x:c r="J10" s="399" t="str">
        <x:v>https://www.espn.com/nhl/scoreboard/_/date/20260909</x:v>
      </x:c>
      <x:c r="K10" s="399" t="str">
        <x:v>https://site.api.espn.com/apis/site/v2/sports/hockey/nhl/scoreboard?dates=20260909&amp;limit=200</x:v>
      </x:c>
      <x:c r="L10" s="399" t="str">
        <x:v>UTC 2026-09-09T22:33:24.735Z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no_slate</x:v>
      </x:c>
      <x:c r="D11" s="398" t="n">
        <x:v>0</x:v>
      </x:c>
      <x:c r="E11" s="398" t="n">
        <x:v>0</x:v>
      </x:c>
      <x:c r="F11" s="398" t="n">
        <x:v>0</x:v>
      </x:c>
      <x:c r="G11" s="398" t="n">
        <x:v>0</x:v>
      </x:c>
      <x:c r="H11" s="397" t="str"/>
      <x:c r="I11" s="397" t="str">
        <x:v>ESPN Scoreboard API</x:v>
      </x:c>
      <x:c r="J11" s="397" t="str">
        <x:v>https://www.espn.com/soccer/scoreboard/_/league/eng.1/date/20260909</x:v>
      </x:c>
      <x:c r="K11" s="397" t="str">
        <x:v>https://site.api.espn.com/apis/site/v2/sports/soccer/eng.1/scoreboard?dates=20260909&amp;limit=200</x:v>
      </x:c>
      <x:c r="L11" s="397" t="str">
        <x:v>UTC 2026-09-09T22:33:24.735Z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no_slate</x:v>
      </x:c>
      <x:c r="D12" s="400" t="n">
        <x:v>0</x:v>
      </x:c>
      <x:c r="E12" s="400" t="n">
        <x:v>0</x:v>
      </x:c>
      <x:c r="F12" s="400" t="n">
        <x:v>0</x:v>
      </x:c>
      <x:c r="G12" s="400" t="n">
        <x:v>0</x:v>
      </x:c>
      <x:c r="H12" s="399" t="str"/>
      <x:c r="I12" s="399" t="str">
        <x:v>ESPN Scoreboard API</x:v>
      </x:c>
      <x:c r="J12" s="399" t="str">
        <x:v>https://www.espn.com/soccer/scoreboard/_/league/esp.1/date/20260909</x:v>
      </x:c>
      <x:c r="K12" s="399" t="str">
        <x:v>https://site.api.espn.com/apis/site/v2/sports/soccer/esp.1/scoreboard?dates=20260909&amp;limit=200</x:v>
      </x:c>
      <x:c r="L12" s="399" t="str">
        <x:v>UTC 2026-09-09T22:33:24.735Z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no_slate</x:v>
      </x:c>
      <x:c r="D13" s="398" t="n">
        <x:v>0</x:v>
      </x:c>
      <x:c r="E13" s="398" t="n">
        <x:v>0</x:v>
      </x:c>
      <x:c r="F13" s="398" t="n">
        <x:v>0</x:v>
      </x:c>
      <x:c r="G13" s="398" t="n">
        <x:v>0</x:v>
      </x:c>
      <x:c r="H13" s="397" t="str"/>
      <x:c r="I13" s="397" t="str">
        <x:v>ESPN Scoreboard API</x:v>
      </x:c>
      <x:c r="J13" s="397" t="str">
        <x:v>https://www.espn.com/soccer/scoreboard/_/league/ger.1/date/20260909</x:v>
      </x:c>
      <x:c r="K13" s="397" t="str">
        <x:v>https://site.api.espn.com/apis/site/v2/sports/soccer/ger.1/scoreboard?dates=20260909&amp;limit=200</x:v>
      </x:c>
      <x:c r="L13" s="397" t="str">
        <x:v>UTC 2026-09-09T22:33:24.735Z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no_slate</x:v>
      </x:c>
      <x:c r="D14" s="400" t="n">
        <x:v>0</x:v>
      </x:c>
      <x:c r="E14" s="400" t="n">
        <x:v>0</x:v>
      </x:c>
      <x:c r="F14" s="400" t="n">
        <x:v>0</x:v>
      </x:c>
      <x:c r="G14" s="400" t="n">
        <x:v>0</x:v>
      </x:c>
      <x:c r="H14" s="399" t="str"/>
      <x:c r="I14" s="399" t="str">
        <x:v>ESPN Scoreboard API</x:v>
      </x:c>
      <x:c r="J14" s="399" t="str">
        <x:v>https://www.espn.com/soccer/scoreboard/_/league/ita.1/date/20260909</x:v>
      </x:c>
      <x:c r="K14" s="399" t="str">
        <x:v>https://site.api.espn.com/apis/site/v2/sports/soccer/ita.1/scoreboard?dates=20260909&amp;limit=200</x:v>
      </x:c>
      <x:c r="L14" s="399" t="str">
        <x:v>UTC 2026-09-09T22:33:24.735Z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no_slate</x:v>
      </x:c>
      <x:c r="D15" s="398" t="n">
        <x:v>0</x:v>
      </x:c>
      <x:c r="E15" s="398" t="n">
        <x:v>0</x:v>
      </x:c>
      <x:c r="F15" s="398" t="n">
        <x:v>0</x:v>
      </x:c>
      <x:c r="G15" s="398" t="n">
        <x:v>0</x:v>
      </x:c>
      <x:c r="H15" s="397" t="str"/>
      <x:c r="I15" s="397" t="str">
        <x:v>ESPN Scoreboard API</x:v>
      </x:c>
      <x:c r="J15" s="397" t="str">
        <x:v>https://www.espn.com/soccer/scoreboard/_/league/fra.1/date/20260909</x:v>
      </x:c>
      <x:c r="K15" s="397" t="str">
        <x:v>https://site.api.espn.com/apis/site/v2/sports/soccer/fra.1/scoreboard?dates=20260909&amp;limit=200</x:v>
      </x:c>
      <x:c r="L15" s="397" t="str">
        <x:v>UTC 2026-09-09T22:33:24.735Z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active</x:v>
      </x:c>
      <x:c r="D16" s="400" t="n">
        <x:v>6</x:v>
      </x:c>
      <x:c r="E16" s="400" t="n">
        <x:v>6</x:v>
      </x:c>
      <x:c r="F16" s="400" t="n">
        <x:v>0</x:v>
      </x:c>
      <x:c r="G16" s="400" t="n">
        <x:v>0</x:v>
      </x:c>
      <x:c r="H16" s="399" t="str">
        <x:v>12:45 PM EDT</x:v>
      </x:c>
      <x:c r="I16" s="399" t="str">
        <x:v>ESPN Scoreboard API</x:v>
      </x:c>
      <x:c r="J16" s="399" t="str">
        <x:v>https://www.espn.com/soccer/scoreboard/_/league/uefa.champions/date/20260909</x:v>
      </x:c>
      <x:c r="K16" s="399" t="str">
        <x:v>https://site.api.espn.com/apis/site/v2/sports/soccer/uefa.champions/scoreboard?dates=20260909&amp;limit=200</x:v>
      </x:c>
      <x:c r="L16" s="399" t="str">
        <x:v>UTC 2026-09-09T22:33:24.735Z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https://www.espn.com/soccer/scoreboard/_/league/uefa.europa/date/20260909</x:v>
      </x:c>
      <x:c r="K17" s="397" t="str">
        <x:v>https://site.api.espn.com/apis/site/v2/sports/soccer/uefa.europa/scoreboard?dates=20260909&amp;limit=200</x:v>
      </x:c>
      <x:c r="L17" s="397" t="str">
        <x:v>UTC 2026-09-09T22:33:24.735Z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415" t="str">
        <x:v>2026-09-09</x:v>
      </x:c>
      <x:c r="B5" s="415" t="str">
        <x:v>Football</x:v>
      </x:c>
      <x:c r="C5" s="415" t="str">
        <x:v>NFL</x:v>
      </x:c>
      <x:c r="D5" s="415" t="str">
        <x:v>A.J. Brown and Jaxon Smith-Njigba receiving-yards flash parlay</x:v>
      </x:c>
      <x:c r="E5" s="415" t="str">
        <x:v>PLACED_USER_CONFIRMED</x:v>
      </x:c>
      <x:c r="F5" s="415" t="str">
        <x:v>A.J. Brown</x:v>
      </x:c>
      <x:c r="G5" s="415" t="str">
        <x:v>New England Patriots at Seattle Seahawks</x:v>
      </x:c>
      <x:c r="H5" s="415" t="str">
        <x:v>Receiving yards</x:v>
      </x:c>
      <x:c r="I5" s="415" t="str">
        <x:v>50+</x:v>
      </x:c>
      <x:c r="J5" s="415" t="str">
        <x:v>Over</x:v>
      </x:c>
      <x:c r="K5" s="415" t="str"/>
      <x:c r="L5" s="415" t="str">
        <x:v>DraftKings</x:v>
      </x:c>
      <x:c r="M5" s="415" t="str">
        <x:v>BOTH</x:v>
      </x:c>
      <x:c r="N5" s="415" t="str">
        <x:v>PARTIALLY_VERIFIED</x:v>
      </x:c>
      <x:c r="O5" s="415" t="str">
        <x:v>Soccer Parlays Strategy</x:v>
      </x:c>
      <x:c r="P5" s="415" t="str">
        <x:v>The supplied DraftKings flash market was independently reviewed before placement. The review weighed both receiving thresholds against expected volume and matchup risk, and recommended the ticket only at the boosted +150 price.</x:v>
      </x:c>
      <x:c r="Q5" s="415" t="str">
        <x:v>The user said “Ok placed” immediately after the direct instruction to place this exact two-player ticket for $1 at boosted +150.</x:v>
      </x:c>
    </x:row>
    <x:row r="6" ht="42" customHeight="1">
      <x:c r="A6" s="415" t="str">
        <x:v>2026-09-09</x:v>
      </x:c>
      <x:c r="B6" s="415" t="str">
        <x:v>Football</x:v>
      </x:c>
      <x:c r="C6" s="415" t="str">
        <x:v>NFL</x:v>
      </x:c>
      <x:c r="D6" s="415" t="str">
        <x:v>A.J. Brown and Jaxon Smith-Njigba receiving-yards flash parlay</x:v>
      </x:c>
      <x:c r="E6" s="415" t="str">
        <x:v>PLACED_USER_CONFIRMED</x:v>
      </x:c>
      <x:c r="F6" s="415" t="str">
        <x:v>Jaxon Smith-Njigba</x:v>
      </x:c>
      <x:c r="G6" s="415" t="str">
        <x:v>New England Patriots at Seattle Seahawks</x:v>
      </x:c>
      <x:c r="H6" s="415" t="str">
        <x:v>Receiving yards</x:v>
      </x:c>
      <x:c r="I6" s="415" t="str">
        <x:v>50+</x:v>
      </x:c>
      <x:c r="J6" s="415" t="str">
        <x:v>Over</x:v>
      </x:c>
      <x:c r="K6" s="415" t="str"/>
      <x:c r="L6" s="415" t="str">
        <x:v>DraftKings</x:v>
      </x:c>
      <x:c r="M6" s="415" t="str">
        <x:v>BOTH</x:v>
      </x:c>
      <x:c r="N6" s="415" t="str">
        <x:v>PARTIALLY_VERIFIED</x:v>
      </x:c>
      <x:c r="O6" s="415" t="str">
        <x:v>Soccer Parlays Strategy</x:v>
      </x:c>
      <x:c r="P6" s="415" t="str">
        <x:v>The supplied DraftKings flash market was independently reviewed before placement. The review weighed both receiving thresholds against expected volume and matchup risk, and recommended the ticket only at the boosted +150 price.</x:v>
      </x:c>
      <x:c r="Q6" s="415" t="str">
        <x:v>The user said “Ok placed” immediately after the direct instruction to place this exact two-player ticket for $1 at boosted +150.</x:v>
      </x:c>
    </x:row>
    <x:row r="7" ht="42" customHeight="1">
      <x:c r="A7" s="415" t="str">
        <x:v>2026-09-09</x:v>
      </x:c>
      <x:c r="B7" s="415" t="str">
        <x:v>Football</x:v>
      </x:c>
      <x:c r="C7" s="415" t="str">
        <x:v>NFL</x:v>
      </x:c>
      <x:c r="D7" s="415" t="str">
        <x:v>A.J. Brown first-quarter receiving-yards super boost</x:v>
      </x:c>
      <x:c r="E7" s="415" t="str">
        <x:v>PLACED_USER_CONFIRMED</x:v>
      </x:c>
      <x:c r="F7" s="415" t="str">
        <x:v>A.J. Brown</x:v>
      </x:c>
      <x:c r="G7" s="415" t="str">
        <x:v>New England Patriots at Seattle Seahawks</x:v>
      </x:c>
      <x:c r="H7" s="415" t="str">
        <x:v>First-quarter receiving yards</x:v>
      </x:c>
      <x:c r="I7" s="415" t="str">
        <x:v>5+</x:v>
      </x:c>
      <x:c r="J7" s="415" t="str">
        <x:v>Over</x:v>
      </x:c>
      <x:c r="K7" s="415" t="str">
        <x:v>+100 boosted</x:v>
      </x:c>
      <x:c r="L7" s="415" t="str">
        <x:v>DraftKings</x:v>
      </x:c>
      <x:c r="M7" s="415" t="str">
        <x:v>BOTH</x:v>
      </x:c>
      <x:c r="N7" s="415" t="str">
        <x:v>VERIFIED</x:v>
      </x:c>
      <x:c r="O7" s="415" t="str">
        <x:v>MLB Final Gate</x:v>
      </x:c>
      <x:c r="P7" s="415" t="str">
        <x:v>The supplied DraftKings super boost was reviewed separately from the MLB card. The screenshot shows the exact 5+ first-quarter threshold, boosted +100 price, $1 stake and Wednesday matchup.</x:v>
      </x:c>
      <x:c r="Q7" s="415" t="str">
        <x:v>The user said “Before that I’m placing this” and supplied the exact $1 DraftKings bet-slip screen.</x:v>
      </x:c>
    </x:row>
    <x:row r="8" ht="42" customHeight="1">
      <x:c r="A8" s="415" t="str">
        <x:v>2026-09-09</x:v>
      </x:c>
      <x:c r="B8" s="415" t="str">
        <x:v>Soccer</x:v>
      </x:c>
      <x:c r="C8" s="415" t="str">
        <x:v>UEFA Champions League</x:v>
      </x:c>
      <x:c r="D8" s="415" t="str">
        <x:v>Alexander Isak 2+ shots on target</x:v>
      </x:c>
      <x:c r="E8" s="415" t="str">
        <x:v>PLACED_USER_CONFIRMED</x:v>
      </x:c>
      <x:c r="F8" s="415" t="str">
        <x:v>Alexander Isak</x:v>
      </x:c>
      <x:c r="G8" s="415" t="str">
        <x:v>Atlético Madrid at Liverpool</x:v>
      </x:c>
      <x:c r="H8" s="415" t="str">
        <x:v>Shots on target</x:v>
      </x:c>
      <x:c r="I8" s="415" t="str">
        <x:v>2+</x:v>
      </x:c>
      <x:c r="J8" s="415" t="str">
        <x:v>Over</x:v>
      </x:c>
      <x:c r="K8" s="415" t="str">
        <x:v>+135</x:v>
      </x:c>
      <x:c r="L8" s="415" t="str">
        <x:v>DraftKings</x:v>
      </x:c>
      <x:c r="M8" s="415" t="str">
        <x:v>BOTH</x:v>
      </x:c>
      <x:c r="N8" s="415" t="str">
        <x:v>VERIFIED</x:v>
      </x:c>
      <x:c r="O8" s="415" t="str">
        <x:v>Slate Placement Gate</x:v>
      </x:c>
      <x:c r="P8" s="415" t="str">
        <x:v>Isak was independently reviewed after the confirmed-XI gate and selected as the preferred shots-on-target expression at the displayed +135 price.</x:v>
      </x:c>
      <x:c r="Q8" s="415" t="str">
        <x:v>The user said all three newly discussed bets were placed and explicitly named Isak 2+ shots on target.</x:v>
      </x:c>
    </x:row>
    <x:row r="9" ht="42" customHeight="1">
      <x:c r="A9" s="415" t="str">
        <x:v>2026-09-09</x:v>
      </x:c>
      <x:c r="B9" s="415" t="str">
        <x:v>Soccer</x:v>
      </x:c>
      <x:c r="C9" s="415" t="str">
        <x:v>UEFA Champions League</x:v>
      </x:c>
      <x:c r="D9" s="415" t="str">
        <x:v>Liverpool moneyline with DrawBreaker</x:v>
      </x:c>
      <x:c r="E9" s="415" t="str">
        <x:v>PLACED_USER_CONFIRMED</x:v>
      </x:c>
      <x:c r="F9" s="415" t="str">
        <x:v>Liverpool</x:v>
      </x:c>
      <x:c r="G9" s="415" t="str">
        <x:v>Atlético Madrid at Liverpool</x:v>
      </x:c>
      <x:c r="H9" s="415" t="str">
        <x:v>Moneyline</x:v>
      </x:c>
      <x:c r="I9" s="415" t="str"/>
      <x:c r="J9" s="415" t="str">
        <x:v>Liverpool</x:v>
      </x:c>
      <x:c r="K9" s="415" t="str">
        <x:v>-130</x:v>
      </x:c>
      <x:c r="L9" s="415" t="str">
        <x:v>DraftKings</x:v>
      </x:c>
      <x:c r="M9" s="415" t="str">
        <x:v>BOTH</x:v>
      </x:c>
      <x:c r="N9" s="415" t="str">
        <x:v>VERIFIED</x:v>
      </x:c>
      <x:c r="O9" s="415" t="str">
        <x:v>Slate Placement Gate</x:v>
      </x:c>
      <x:c r="P9" s="415" t="str">
        <x:v>Liverpool was independently preferred to Sporting for the DrawBreaker token after exact DraftKings prices were compared.</x:v>
      </x:c>
      <x:c r="Q9" s="415" t="str">
        <x:v>The user said all three newly discussed bets were placed and explicitly named Liverpool moneyline.</x:v>
      </x:c>
    </x:row>
    <x:row r="10" ht="42" customHeight="1">
      <x:c r="A10" s="415" t="str">
        <x:v>2026-09-09</x:v>
      </x:c>
      <x:c r="B10" s="415" t="str">
        <x:v>Football</x:v>
      </x:c>
      <x:c r="C10" s="415" t="str">
        <x:v>NFL</x:v>
      </x:c>
      <x:c r="D10" s="415" t="str">
        <x:v>Either A.J. Brown or Jaxon Smith-Njigba to score a touchdown</x:v>
      </x:c>
      <x:c r="E10" s="415" t="str">
        <x:v>PLACED_USER_CONFIRMED</x:v>
      </x:c>
      <x:c r="F10" s="415" t="str">
        <x:v>A.J. Brown or Jaxon Smith-Njigba</x:v>
      </x:c>
      <x:c r="G10" s="415" t="str">
        <x:v>New England Patriots at Seattle Seahawks</x:v>
      </x:c>
      <x:c r="H10" s="415" t="str">
        <x:v>Either player to score a touchdown</x:v>
      </x:c>
      <x:c r="I10" s="415" t="str">
        <x:v>1+ touchdown by either player</x:v>
      </x:c>
      <x:c r="J10" s="415" t="str">
        <x:v>Yes</x:v>
      </x:c>
      <x:c r="K10" s="415" t="str">
        <x:v>+100</x:v>
      </x:c>
      <x:c r="L10" s="415" t="str">
        <x:v>DraftKings</x:v>
      </x:c>
      <x:c r="M10" s="415" t="str">
        <x:v>BOTH</x:v>
      </x:c>
      <x:c r="N10" s="415" t="str">
        <x:v>VERIFIED</x:v>
      </x:c>
      <x:c r="O10" s="415" t="str">
        <x:v>Slate Placement Gate</x:v>
      </x:c>
      <x:c r="P10" s="415" t="str">
        <x:v>The either-player touchdown market was independently reviewed as a two-path promo proposition rather than two separate anytime-touchdown bets.</x:v>
      </x:c>
      <x:c r="Q10" s="415" t="str">
        <x:v>The user said all three newly discussed bets were placed and named the promo; the later DraftKings balance check corrected the stake to $1.</x:v>
      </x:c>
    </x:row>
    <x:row r="11" ht="42" customHeight="1">
      <x:c r="A11" s="415" t="str">
        <x:v>2026-09-09</x:v>
      </x:c>
      <x:c r="B11" s="415" t="str">
        <x:v>Football</x:v>
      </x:c>
      <x:c r="C11" s="415" t="str">
        <x:v>NFL</x:v>
      </x:c>
      <x:c r="D11" s="415" t="str">
        <x:v>Rhamondre Stevenson 4+ receptions</x:v>
      </x:c>
      <x:c r="E11" s="415" t="str">
        <x:v>PLACED_USER_CONFIRMED</x:v>
      </x:c>
      <x:c r="F11" s="415" t="str">
        <x:v>Rhamondre Stevenson</x:v>
      </x:c>
      <x:c r="G11" s="415" t="str">
        <x:v>New England Patriots at Seattle Seahawks</x:v>
      </x:c>
      <x:c r="H11" s="415" t="str">
        <x:v>Receptions</x:v>
      </x:c>
      <x:c r="I11" s="415" t="str">
        <x:v>4+</x:v>
      </x:c>
      <x:c r="J11" s="415" t="str">
        <x:v>Over</x:v>
      </x:c>
      <x:c r="K11" s="415" t="str">
        <x:v>+116 raw</x:v>
      </x:c>
      <x:c r="L11" s="415" t="str">
        <x:v>DraftKings</x:v>
      </x:c>
      <x:c r="M11" s="415" t="str">
        <x:v>BOTH</x:v>
      </x:c>
      <x:c r="N11" s="415" t="str">
        <x:v>VERIFIED</x:v>
      </x:c>
      <x:c r="O11" s="415" t="str">
        <x:v>Slate Placement Gate</x:v>
      </x:c>
      <x:c r="P11" s="415" t="str">
        <x:v>Stevenson receptions was independently preferred to his rushing thresholds because the receiving path remained viable across more expected game scripts.</x:v>
      </x:c>
      <x:c r="Q11" s="415" t="str">
        <x:v>The user replied “Placed” immediately after the exact $1 Stevenson 4+ receptions instruction at displayed +116 with the 50% boost.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2026-09-09</x:v>
      </x:c>
      <x:c r="B5" s="425" t="str">
        <x:v>Baseball</x:v>
      </x:c>
      <x:c r="C5" s="425" t="str">
        <x:v>MLB</x:v>
      </x:c>
      <x:c r="D5" s="425" t="str">
        <x:v>Cleveland Guardians at Baltimore Orioles</x:v>
      </x:c>
      <x:c r="E5" s="425" t="str">
        <x:v>2026-09-09T22:35:00Z</x:v>
      </x:c>
      <x:c r="F5" s="425" t="str">
        <x:v>PROSPECTIVE</x:v>
      </x:c>
      <x:c r="G5" s="425" t="str">
        <x:v>Foster Griffin</x:v>
      </x:c>
      <x:c r="H5" s="425" t="str">
        <x:v>Probable away starting pitcher</x:v>
      </x:c>
      <x:c r="I5" s="425" t="str">
        <x:v>Official MLB 2026 season: 28 GS, 160.1 IP, 3.26 ERA, 1.14 WHIP, 142 K, 7.97 K/9.</x:v>
      </x:c>
      <x:c r="J5" s="425" t="str"/>
      <x:c r="K5" s="425" t="str"/>
      <x:c r="L5" s="425" t="str">
        <x:v>https://www.mlb.com/gameday/824791</x:v>
      </x:c>
    </x:row>
    <x:row r="6" ht="38" customHeight="1">
      <x:c r="A6" s="425" t="str">
        <x:v>2026-09-09</x:v>
      </x:c>
      <x:c r="B6" s="425" t="str">
        <x:v>Baseball</x:v>
      </x:c>
      <x:c r="C6" s="425" t="str">
        <x:v>MLB</x:v>
      </x:c>
      <x:c r="D6" s="425" t="str">
        <x:v>Cleveland Guardians at Baltimore Orioles</x:v>
      </x:c>
      <x:c r="E6" s="425" t="str">
        <x:v>2026-09-09T22:35:00Z</x:v>
      </x:c>
      <x:c r="F6" s="425" t="str">
        <x:v>PROSPECTIVE</x:v>
      </x:c>
      <x:c r="G6" s="425" t="str">
        <x:v>Shane Baz</x:v>
      </x:c>
      <x:c r="H6" s="425" t="str">
        <x:v>Probable home starting pitcher</x:v>
      </x:c>
      <x:c r="I6" s="425" t="str">
        <x:v>Official MLB 2026 season: 28 GS, 163.1 IP, 3.91 ERA, 1.33 WHIP, 145 K, 7.99 K/9.</x:v>
      </x:c>
      <x:c r="J6" s="425" t="str"/>
      <x:c r="K6" s="425" t="str"/>
      <x:c r="L6" s="425" t="str">
        <x:v>https://www.mlb.com/gameday/824791</x:v>
      </x:c>
    </x:row>
    <x:row r="7" ht="38" customHeight="1">
      <x:c r="A7" s="425" t="str">
        <x:v>2026-09-09</x:v>
      </x:c>
      <x:c r="B7" s="425" t="str">
        <x:v>Baseball</x:v>
      </x:c>
      <x:c r="C7" s="425" t="str">
        <x:v>MLB</x:v>
      </x:c>
      <x:c r="D7" s="425" t="str">
        <x:v>Houston Astros at Philadelphia Phillies</x:v>
      </x:c>
      <x:c r="E7" s="425" t="str">
        <x:v>2026-09-09T22:40:00Z</x:v>
      </x:c>
      <x:c r="F7" s="425" t="str">
        <x:v>PROSPECTIVE</x:v>
      </x:c>
      <x:c r="G7" s="425" t="str">
        <x:v>Hunter Brown</x:v>
      </x:c>
      <x:c r="H7" s="425" t="str">
        <x:v>Probable away starting pitcher</x:v>
      </x:c>
      <x:c r="I7" s="425" t="str">
        <x:v>Official MLB 2026 season: 16 GS, 87.0 IP, 3.31 ERA, 1.30 WHIP, 93 K, 9.62 K/9 and 4.76 BB/9.</x:v>
      </x:c>
      <x:c r="J7" s="425" t="str"/>
      <x:c r="K7" s="425" t="str"/>
      <x:c r="L7" s="425" t="str">
        <x:v>https://www.mlb.com/gameday/823416</x:v>
      </x:c>
    </x:row>
    <x:row r="8" ht="38" customHeight="1">
      <x:c r="A8" s="425" t="str">
        <x:v>2026-09-09</x:v>
      </x:c>
      <x:c r="B8" s="425" t="str">
        <x:v>Baseball</x:v>
      </x:c>
      <x:c r="C8" s="425" t="str">
        <x:v>MLB</x:v>
      </x:c>
      <x:c r="D8" s="425" t="str">
        <x:v>Houston Astros at Philadelphia Phillies</x:v>
      </x:c>
      <x:c r="E8" s="425" t="str">
        <x:v>2026-09-09T22:40:00Z</x:v>
      </x:c>
      <x:c r="F8" s="425" t="str">
        <x:v>PROSPECTIVE</x:v>
      </x:c>
      <x:c r="G8" s="425" t="str">
        <x:v>Cristopher Sánchez</x:v>
      </x:c>
      <x:c r="H8" s="425" t="str">
        <x:v>Probable home starting pitcher</x:v>
      </x:c>
      <x:c r="I8" s="425" t="str">
        <x:v>Official MLB 2026 season: 29 GS, 181.1 IP, 2.58 ERA, 1.20 WHIP, 207 K, 10.27 K/9.</x:v>
      </x:c>
      <x:c r="J8" s="425" t="str"/>
      <x:c r="K8" s="425" t="str"/>
      <x:c r="L8" s="425" t="str">
        <x:v>https://www.mlb.com/gameday/823416</x:v>
      </x:c>
    </x:row>
    <x:row r="9" ht="38" customHeight="1">
      <x:c r="A9" s="425" t="str">
        <x:v>2026-09-09</x:v>
      </x:c>
      <x:c r="B9" s="425" t="str">
        <x:v>Baseball</x:v>
      </x:c>
      <x:c r="C9" s="425" t="str">
        <x:v>MLB</x:v>
      </x:c>
      <x:c r="D9" s="425" t="str">
        <x:v>New York Mets at Miami Marlins</x:v>
      </x:c>
      <x:c r="E9" s="425" t="str">
        <x:v>2026-09-09T22:40:00Z</x:v>
      </x:c>
      <x:c r="F9" s="425" t="str">
        <x:v>PROSPECTIVE</x:v>
      </x:c>
      <x:c r="G9" s="425" t="str">
        <x:v>Robert Stock</x:v>
      </x:c>
      <x:c r="H9" s="425" t="str">
        <x:v>Probable away starting pitcher</x:v>
      </x:c>
      <x:c r="I9" s="425" t="str">
        <x:v>Official MLB 2026 season: 6 GS, 26.1 IP, 5.81 ERA, 1.75 WHIP, 11.28 H/9 and 4.44 BB/9.</x:v>
      </x:c>
      <x:c r="J9" s="425" t="str"/>
      <x:c r="K9" s="425" t="str"/>
      <x:c r="L9" s="425" t="str">
        <x:v>https://www.mlb.com/gameday/823818</x:v>
      </x:c>
    </x:row>
    <x:row r="10" ht="38" customHeight="1">
      <x:c r="A10" s="425" t="str">
        <x:v>2026-09-09</x:v>
      </x:c>
      <x:c r="B10" s="425" t="str">
        <x:v>Baseball</x:v>
      </x:c>
      <x:c r="C10" s="425" t="str">
        <x:v>MLB</x:v>
      </x:c>
      <x:c r="D10" s="425" t="str">
        <x:v>New York Mets at Miami Marlins</x:v>
      </x:c>
      <x:c r="E10" s="425" t="str">
        <x:v>2026-09-09T22:40:00Z</x:v>
      </x:c>
      <x:c r="F10" s="425" t="str">
        <x:v>PROSPECTIVE</x:v>
      </x:c>
      <x:c r="G10" s="425" t="str">
        <x:v>Janson Junk</x:v>
      </x:c>
      <x:c r="H10" s="425" t="str">
        <x:v>Probable home starting pitcher</x:v>
      </x:c>
      <x:c r="I10" s="425" t="str">
        <x:v>Official MLB 2026 season: 21 GS, 108.0 IP, 4.00 ERA, 1.28 WHIP and 6.17 K/9.</x:v>
      </x:c>
      <x:c r="J10" s="425" t="str"/>
      <x:c r="K10" s="425" t="str"/>
      <x:c r="L10" s="425" t="str">
        <x:v>https://www.mlb.com/gameday/823818</x:v>
      </x:c>
    </x:row>
    <x:row r="11" ht="38" customHeight="1">
      <x:c r="A11" s="425" t="str">
        <x:v>2026-09-09</x:v>
      </x:c>
      <x:c r="B11" s="425" t="str">
        <x:v>Baseball</x:v>
      </x:c>
      <x:c r="C11" s="425" t="str">
        <x:v>MLB</x:v>
      </x:c>
      <x:c r="D11" s="425" t="str">
        <x:v>Los Angeles Angels at Boston Red Sox</x:v>
      </x:c>
      <x:c r="E11" s="425" t="str">
        <x:v>2026-09-09T22:45:00Z</x:v>
      </x:c>
      <x:c r="F11" s="425" t="str">
        <x:v>PROSPECTIVE</x:v>
      </x:c>
      <x:c r="G11" s="425" t="str">
        <x:v>Ryan Johnson</x:v>
      </x:c>
      <x:c r="H11" s="425" t="str">
        <x:v>Probable away starting pitcher</x:v>
      </x:c>
      <x:c r="I11" s="425" t="str">
        <x:v>Official MLB 2026 season: 15 GS, 78.1 IP, 5.17 ERA, 1.39 WHIP, 4.37 BB/9 and 1.84 HR/9.</x:v>
      </x:c>
      <x:c r="J11" s="425" t="str"/>
      <x:c r="K11" s="425" t="str"/>
      <x:c r="L11" s="425" t="str">
        <x:v>https://www.mlb.com/gameday/824713</x:v>
      </x:c>
    </x:row>
    <x:row r="12" ht="38" customHeight="1">
      <x:c r="A12" s="425" t="str">
        <x:v>2026-09-09</x:v>
      </x:c>
      <x:c r="B12" s="425" t="str">
        <x:v>Baseball</x:v>
      </x:c>
      <x:c r="C12" s="425" t="str">
        <x:v>MLB</x:v>
      </x:c>
      <x:c r="D12" s="425" t="str">
        <x:v>Los Angeles Angels at Boston Red Sox</x:v>
      </x:c>
      <x:c r="E12" s="425" t="str">
        <x:v>2026-09-09T22:45:00Z</x:v>
      </x:c>
      <x:c r="F12" s="425" t="str">
        <x:v>PROSPECTIVE</x:v>
      </x:c>
      <x:c r="G12" s="425" t="str">
        <x:v>Jake Bennett</x:v>
      </x:c>
      <x:c r="H12" s="425" t="str">
        <x:v>Probable home starting pitcher</x:v>
      </x:c>
      <x:c r="I12" s="425" t="str">
        <x:v>Official MLB 2026 season: 17 GS, 99.2 IP, 3.34 ERA, 1.02 WHIP and 1.63 BB/9.</x:v>
      </x:c>
      <x:c r="J12" s="425" t="str"/>
      <x:c r="K12" s="425" t="str"/>
      <x:c r="L12" s="425" t="str">
        <x:v>https://www.mlb.com/gameday/824713</x:v>
      </x:c>
    </x:row>
    <x:row r="13" ht="38" customHeight="1">
      <x:c r="A13" s="425" t="str">
        <x:v>2026-09-09</x:v>
      </x:c>
      <x:c r="B13" s="425" t="str">
        <x:v>Baseball</x:v>
      </x:c>
      <x:c r="C13" s="425" t="str">
        <x:v>MLB</x:v>
      </x:c>
      <x:c r="D13" s="425" t="str">
        <x:v>Colorado Rockies at New York Yankees</x:v>
      </x:c>
      <x:c r="E13" s="425" t="str">
        <x:v>2026-09-09T23:05:00Z</x:v>
      </x:c>
      <x:c r="F13" s="425" t="str">
        <x:v>PROSPECTIVE</x:v>
      </x:c>
      <x:c r="G13" s="425" t="str">
        <x:v>Tomoyuki Sugano</x:v>
      </x:c>
      <x:c r="H13" s="425" t="str">
        <x:v>Probable away starting pitcher</x:v>
      </x:c>
      <x:c r="I13" s="425" t="str">
        <x:v>Official MLB 2026 season: 25 GS, 131.2 IP, 5.19 ERA, 1.35 WHIP, 10.12 H/9 and 1.85 HR/9.</x:v>
      </x:c>
      <x:c r="J13" s="425" t="str"/>
      <x:c r="K13" s="425" t="str"/>
      <x:c r="L13" s="425" t="str">
        <x:v>https://www.mlb.com/gameday/823497</x:v>
      </x:c>
    </x:row>
    <x:row r="14" ht="38" customHeight="1">
      <x:c r="A14" s="425" t="str">
        <x:v>2026-09-09</x:v>
      </x:c>
      <x:c r="B14" s="425" t="str">
        <x:v>Baseball</x:v>
      </x:c>
      <x:c r="C14" s="425" t="str">
        <x:v>MLB</x:v>
      </x:c>
      <x:c r="D14" s="425" t="str">
        <x:v>Colorado Rockies at New York Yankees</x:v>
      </x:c>
      <x:c r="E14" s="425" t="str">
        <x:v>2026-09-09T23:05:00Z</x:v>
      </x:c>
      <x:c r="F14" s="425" t="str">
        <x:v>PROSPECTIVE</x:v>
      </x:c>
      <x:c r="G14" s="425" t="str">
        <x:v>Will Warren</x:v>
      </x:c>
      <x:c r="H14" s="425" t="str">
        <x:v>Probable home starting pitcher</x:v>
      </x:c>
      <x:c r="I14" s="425" t="str">
        <x:v>Official MLB 2026 season: 26 GS, 136.1 IP, 4.16 ERA, 1.38 WHIP and 8.78 K/9.</x:v>
      </x:c>
      <x:c r="J14" s="425" t="str"/>
      <x:c r="K14" s="425" t="str"/>
      <x:c r="L14" s="425" t="str">
        <x:v>https://www.mlb.com/gameday/823497</x:v>
      </x:c>
    </x:row>
    <x:row r="15" ht="38" customHeight="1">
      <x:c r="A15" s="425" t="str">
        <x:v>2026-09-09</x:v>
      </x:c>
      <x:c r="B15" s="425" t="str">
        <x:v>Baseball</x:v>
      </x:c>
      <x:c r="C15" s="425" t="str">
        <x:v>MLB</x:v>
      </x:c>
      <x:c r="D15" s="425" t="str">
        <x:v>Tampa Bay Rays at Atlanta Braves</x:v>
      </x:c>
      <x:c r="E15" s="425" t="str">
        <x:v>2026-09-09T23:15:00Z</x:v>
      </x:c>
      <x:c r="F15" s="425" t="str">
        <x:v>PROSPECTIVE</x:v>
      </x:c>
      <x:c r="G15" s="425" t="str">
        <x:v>Griffin Jax</x:v>
      </x:c>
      <x:c r="H15" s="425" t="str">
        <x:v>Probable away starting pitcher</x:v>
      </x:c>
      <x:c r="I15" s="425" t="str">
        <x:v>Official MLB 2026 season: 19 GS, 94.1 IP, 3.82 ERA, 1.27 WHIP, 101 K and 9.64 K/9.</x:v>
      </x:c>
      <x:c r="J15" s="425" t="str"/>
      <x:c r="K15" s="425" t="str"/>
      <x:c r="L15" s="425" t="str">
        <x:v>https://www.mlb.com/gameday/824871</x:v>
      </x:c>
    </x:row>
    <x:row r="16" ht="38" customHeight="1">
      <x:c r="A16" s="425" t="str">
        <x:v>2026-09-09</x:v>
      </x:c>
      <x:c r="B16" s="425" t="str">
        <x:v>Baseball</x:v>
      </x:c>
      <x:c r="C16" s="425" t="str">
        <x:v>MLB</x:v>
      </x:c>
      <x:c r="D16" s="425" t="str">
        <x:v>Tampa Bay Rays at Atlanta Braves</x:v>
      </x:c>
      <x:c r="E16" s="425" t="str">
        <x:v>2026-09-09T23:15:00Z</x:v>
      </x:c>
      <x:c r="F16" s="425" t="str">
        <x:v>PROSPECTIVE</x:v>
      </x:c>
      <x:c r="G16" s="425" t="str">
        <x:v>Reynaldo López</x:v>
      </x:c>
      <x:c r="H16" s="425" t="str">
        <x:v>Probable home starting pitcher</x:v>
      </x:c>
      <x:c r="I16" s="425" t="str">
        <x:v>Official MLB 2026 season: 11 GS, 71.2 IP, 3.64 ERA, 1.34 WHIP and 8.29 K/9.</x:v>
      </x:c>
      <x:c r="J16" s="425" t="str"/>
      <x:c r="K16" s="425" t="str"/>
      <x:c r="L16" s="425" t="str">
        <x:v>https://www.mlb.com/gameday/824871</x:v>
      </x:c>
    </x:row>
    <x:row r="17" ht="38" customHeight="1">
      <x:c r="A17" s="425" t="str">
        <x:v>2026-09-09</x:v>
      </x:c>
      <x:c r="B17" s="425" t="str">
        <x:v>Baseball</x:v>
      </x:c>
      <x:c r="C17" s="425" t="str">
        <x:v>MLB</x:v>
      </x:c>
      <x:c r="D17" s="425" t="str">
        <x:v>Arizona Diamondbacks at Kansas City Royals</x:v>
      </x:c>
      <x:c r="E17" s="425" t="str">
        <x:v>2026-09-09T23:40:00Z</x:v>
      </x:c>
      <x:c r="F17" s="425" t="str">
        <x:v>PROSPECTIVE</x:v>
      </x:c>
      <x:c r="G17" s="425" t="str">
        <x:v>Zac Gallen</x:v>
      </x:c>
      <x:c r="H17" s="425" t="str">
        <x:v>Probable away starting pitcher</x:v>
      </x:c>
      <x:c r="I17" s="425" t="str">
        <x:v>Official MLB 2026 season: 19 GS, 98.0 IP, 6.34 ERA, 1.56 WHIP, 11.20 H/9 and 1.65 HR/9.</x:v>
      </x:c>
      <x:c r="J17" s="425" t="str"/>
      <x:c r="K17" s="425" t="str"/>
      <x:c r="L17" s="425" t="str">
        <x:v>https://www.mlb.com/gameday/824064</x:v>
      </x:c>
    </x:row>
    <x:row r="18" ht="38" customHeight="1">
      <x:c r="A18" s="425" t="str">
        <x:v>2026-09-09</x:v>
      </x:c>
      <x:c r="B18" s="425" t="str">
        <x:v>Baseball</x:v>
      </x:c>
      <x:c r="C18" s="425" t="str">
        <x:v>MLB</x:v>
      </x:c>
      <x:c r="D18" s="425" t="str">
        <x:v>Arizona Diamondbacks at Kansas City Royals</x:v>
      </x:c>
      <x:c r="E18" s="425" t="str">
        <x:v>2026-09-09T23:40:00Z</x:v>
      </x:c>
      <x:c r="F18" s="425" t="str">
        <x:v>PROSPECTIVE</x:v>
      </x:c>
      <x:c r="G18" s="425" t="str">
        <x:v>Daniel Lynch IV</x:v>
      </x:c>
      <x:c r="H18" s="425" t="str">
        <x:v>Probable home starting pitcher</x:v>
      </x:c>
      <x:c r="I18" s="425" t="str">
        <x:v>Official MLB 2026 season: 6 GS, 66.2 IP, 3.51 ERA, 1.10 WHIP and 7.16 H/9.</x:v>
      </x:c>
      <x:c r="J18" s="425" t="str"/>
      <x:c r="K18" s="425" t="str"/>
      <x:c r="L18" s="425" t="str">
        <x:v>https://www.mlb.com/gameday/824064</x:v>
      </x:c>
    </x:row>
    <x:row r="19" ht="38" customHeight="1">
      <x:c r="A19" s="425" t="str">
        <x:v>2026-09-09</x:v>
      </x:c>
      <x:c r="B19" s="425" t="str">
        <x:v>Baseball</x:v>
      </x:c>
      <x:c r="C19" s="425" t="str">
        <x:v>MLB</x:v>
      </x:c>
      <x:c r="D19" s="425" t="str">
        <x:v>Pittsburgh Pirates at Chicago White Sox</x:v>
      </x:c>
      <x:c r="E19" s="425" t="str">
        <x:v>2026-09-09T23:40:00Z</x:v>
      </x:c>
      <x:c r="F19" s="425" t="str">
        <x:v>PROSPECTIVE</x:v>
      </x:c>
      <x:c r="G19" s="425" t="str">
        <x:v>Lake Bachar</x:v>
      </x:c>
      <x:c r="H19" s="425" t="str">
        <x:v>Probable away starting pitcher</x:v>
      </x:c>
      <x:c r="I19" s="425" t="str">
        <x:v>Official MLB 2026 season: 8 GS, 77.2 IP, 3.59 ERA, 1.08 WHIP, 80 K and 9.27 K/9.</x:v>
      </x:c>
      <x:c r="J19" s="425" t="str"/>
      <x:c r="K19" s="425" t="str"/>
      <x:c r="L19" s="425" t="str">
        <x:v>https://www.mlb.com/gameday/824549</x:v>
      </x:c>
    </x:row>
    <x:row r="20" ht="38" customHeight="1">
      <x:c r="A20" s="425" t="str">
        <x:v>2026-09-09</x:v>
      </x:c>
      <x:c r="B20" s="425" t="str">
        <x:v>Baseball</x:v>
      </x:c>
      <x:c r="C20" s="425" t="str">
        <x:v>MLB</x:v>
      </x:c>
      <x:c r="D20" s="425" t="str">
        <x:v>Pittsburgh Pirates at Chicago White Sox</x:v>
      </x:c>
      <x:c r="E20" s="425" t="str">
        <x:v>2026-09-09T23:40:00Z</x:v>
      </x:c>
      <x:c r="F20" s="425" t="str">
        <x:v>PROSPECTIVE</x:v>
      </x:c>
      <x:c r="G20" s="425" t="str">
        <x:v>Davis Martin</x:v>
      </x:c>
      <x:c r="H20" s="425" t="str">
        <x:v>Probable home starting pitcher</x:v>
      </x:c>
      <x:c r="I20" s="425" t="str">
        <x:v>Official MLB 2026 season: 25 GS, 130.2 IP, 4.13 ERA, 1.32 WHIP and 7.85 K/9.</x:v>
      </x:c>
      <x:c r="J20" s="425" t="str"/>
      <x:c r="K20" s="425" t="str"/>
      <x:c r="L20" s="425" t="str">
        <x:v>https://www.mlb.com/gameday/824549</x:v>
      </x:c>
    </x:row>
    <x:row r="21" ht="38" customHeight="1">
      <x:c r="A21" s="425" t="str">
        <x:v>2026-09-09</x:v>
      </x:c>
      <x:c r="B21" s="425" t="str">
        <x:v>Baseball</x:v>
      </x:c>
      <x:c r="C21" s="425" t="str">
        <x:v>MLB</x:v>
      </x:c>
      <x:c r="D21" s="425" t="str">
        <x:v>Chicago Cubs at Milwaukee Brewers</x:v>
      </x:c>
      <x:c r="E21" s="425" t="str">
        <x:v>2026-09-09T23:40:00Z</x:v>
      </x:c>
      <x:c r="F21" s="425" t="str">
        <x:v>PROSPECTIVE</x:v>
      </x:c>
      <x:c r="G21" s="425" t="str">
        <x:v>Kevin Gausman</x:v>
      </x:c>
      <x:c r="H21" s="425" t="str">
        <x:v>Probable away starting pitcher</x:v>
      </x:c>
      <x:c r="I21" s="425" t="str">
        <x:v>Official MLB 2026 season: 29 GS, 162.1 IP, 4.38 ERA, 1.26 WHIP, 165 K and 9.15 K/9.</x:v>
      </x:c>
      <x:c r="J21" s="425" t="str"/>
      <x:c r="K21" s="425" t="str"/>
      <x:c r="L21" s="425" t="str">
        <x:v>https://www.mlb.com/gameday/823739</x:v>
      </x:c>
    </x:row>
    <x:row r="22" ht="38" customHeight="1">
      <x:c r="A22" s="425" t="str">
        <x:v>2026-09-09</x:v>
      </x:c>
      <x:c r="B22" s="425" t="str">
        <x:v>Baseball</x:v>
      </x:c>
      <x:c r="C22" s="425" t="str">
        <x:v>MLB</x:v>
      </x:c>
      <x:c r="D22" s="425" t="str">
        <x:v>Chicago Cubs at Milwaukee Brewers</x:v>
      </x:c>
      <x:c r="E22" s="425" t="str">
        <x:v>2026-09-09T23:40:00Z</x:v>
      </x:c>
      <x:c r="F22" s="425" t="str">
        <x:v>PROSPECTIVE</x:v>
      </x:c>
      <x:c r="G22" s="425" t="str">
        <x:v>Logan Henderson</x:v>
      </x:c>
      <x:c r="H22" s="425" t="str">
        <x:v>Probable home starting pitcher</x:v>
      </x:c>
      <x:c r="I22" s="425" t="str">
        <x:v>Official MLB 2026 season: 15 GS, 83.1 IP, 2.48 ERA, 0.79 WHIP, 93 K and 10.04 K/9.</x:v>
      </x:c>
      <x:c r="J22" s="425" t="str"/>
      <x:c r="K22" s="425" t="str"/>
      <x:c r="L22" s="425" t="str">
        <x:v>https://www.mlb.com/gameday/823739</x:v>
      </x:c>
    </x:row>
    <x:row r="23" ht="38" customHeight="1">
      <x:c r="A23" s="425" t="str">
        <x:v>2026-09-09</x:v>
      </x:c>
      <x:c r="B23" s="425" t="str">
        <x:v>Baseball</x:v>
      </x:c>
      <x:c r="C23" s="425" t="str">
        <x:v>MLB</x:v>
      </x:c>
      <x:c r="D23" s="425" t="str">
        <x:v>Cincinnati Reds at Los Angeles Dodgers</x:v>
      </x:c>
      <x:c r="E23" s="425" t="str">
        <x:v>2026-09-10T02:10:00Z</x:v>
      </x:c>
      <x:c r="F23" s="425" t="str">
        <x:v>PROSPECTIVE</x:v>
      </x:c>
      <x:c r="G23" s="425" t="str">
        <x:v>Rhett Lowder</x:v>
      </x:c>
      <x:c r="H23" s="425" t="str">
        <x:v>Probable away starting pitcher</x:v>
      </x:c>
      <x:c r="I23" s="425" t="str">
        <x:v>Official MLB 2026 season: 22 GS, 116.0 IP, 5.43 ERA, 1.49 WHIP, 9.78 H/9 and 3.65 BB/9.</x:v>
      </x:c>
      <x:c r="J23" s="425" t="str"/>
      <x:c r="K23" s="425" t="str"/>
      <x:c r="L23" s="425" t="str">
        <x:v>https://www.mlb.com/gameday/823900</x:v>
      </x:c>
    </x:row>
    <x:row r="24" ht="38" customHeight="1">
      <x:c r="A24" s="425" t="str">
        <x:v>2026-09-09</x:v>
      </x:c>
      <x:c r="B24" s="425" t="str">
        <x:v>Baseball</x:v>
      </x:c>
      <x:c r="C24" s="425" t="str">
        <x:v>MLB</x:v>
      </x:c>
      <x:c r="D24" s="425" t="str">
        <x:v>Cincinnati Reds at Los Angeles Dodgers</x:v>
      </x:c>
      <x:c r="E24" s="425" t="str">
        <x:v>2026-09-10T02:10:00Z</x:v>
      </x:c>
      <x:c r="F24" s="425" t="str">
        <x:v>PROSPECTIVE</x:v>
      </x:c>
      <x:c r="G24" s="425" t="str">
        <x:v>Yoshinobu Yamamoto</x:v>
      </x:c>
      <x:c r="H24" s="425" t="str">
        <x:v>Probable home starting pitcher</x:v>
      </x:c>
      <x:c r="I24" s="425" t="str">
        <x:v>Official MLB 2026 season: 25 GS, 165.0 IP, 2.67 ERA, 0.90 WHIP, 161 K and 8.78 K/9.</x:v>
      </x:c>
      <x:c r="J24" s="425" t="str"/>
      <x:c r="K24" s="425" t="str"/>
      <x:c r="L24" s="425" t="str">
        <x:v>https://www.mlb.com/gameday/823900</x:v>
      </x:c>
    </x:row>
    <x:row r="25" ht="38" customHeight="1">
      <x:c r="A25" s="425" t="str">
        <x:v>2026-09-09</x:v>
      </x:c>
      <x:c r="B25" s="425" t="str">
        <x:v>Football</x:v>
      </x:c>
      <x:c r="C25" s="425" t="str">
        <x:v>NFL</x:v>
      </x:c>
      <x:c r="D25" s="425" t="str">
        <x:v>New England Patriots at Seattle Seahawks</x:v>
      </x:c>
      <x:c r="E25" s="425" t="str">
        <x:v>2026-09-10T00:20:00Z</x:v>
      </x:c>
      <x:c r="F25" s="425" t="str">
        <x:v>PROSPECTIVE</x:v>
      </x:c>
      <x:c r="G25" s="425" t="str">
        <x:v>New England Patriots offense</x:v>
      </x:c>
      <x:c r="H25" s="425" t="str">
        <x:v>Team unit; individual player roles not projected</x:v>
      </x:c>
      <x:c r="I25" s="425" t="str">
        <x:v>Official ESPN schedule confirms the matchup. Current depth-chart, injury and usage evidence was unavailable to the independent scan.</x:v>
      </x:c>
      <x:c r="J25" s="425" t="str"/>
      <x:c r="K25" s="425" t="str"/>
      <x:c r="L25" s="425" t="str">
        <x:v>https://www.espn.com/nfl/scoreboard/_/date/20260909</x:v>
      </x:c>
    </x:row>
    <x:row r="26" ht="38" customHeight="1">
      <x:c r="A26" s="425" t="str">
        <x:v>2026-09-09</x:v>
      </x:c>
      <x:c r="B26" s="425" t="str">
        <x:v>Football</x:v>
      </x:c>
      <x:c r="C26" s="425" t="str">
        <x:v>NFL</x:v>
      </x:c>
      <x:c r="D26" s="425" t="str">
        <x:v>New England Patriots at Seattle Seahawks</x:v>
      </x:c>
      <x:c r="E26" s="425" t="str">
        <x:v>2026-09-10T00:20:00Z</x:v>
      </x:c>
      <x:c r="F26" s="425" t="str">
        <x:v>PROSPECTIVE</x:v>
      </x:c>
      <x:c r="G26" s="425" t="str">
        <x:v>Seattle Seahawks offense</x:v>
      </x:c>
      <x:c r="H26" s="425" t="str">
        <x:v>Team unit; individual player roles not projected</x:v>
      </x:c>
      <x:c r="I26" s="425" t="str">
        <x:v>Official ESPN schedule confirms the matchup. Current depth-chart, injury and usage evidence was unavailable to the independent scan.</x:v>
      </x:c>
      <x:c r="J26" s="425" t="str"/>
      <x:c r="K26" s="425" t="str"/>
      <x:c r="L26" s="425" t="str">
        <x:v>https://www.espn.com/nfl/scoreboard/_/date/20260909</x:v>
      </x:c>
    </x:row>
    <x:row r="27" ht="38" customHeight="1">
      <x:c r="A27" s="425" t="str">
        <x:v>2026-09-09</x:v>
      </x:c>
      <x:c r="B27" s="425" t="str"/>
      <x:c r="C27" s="425" t="str"/>
      <x:c r="D27" s="425" t="str">
        <x:v>Houston Astros at Philadelphia Phillies</x:v>
      </x:c>
      <x:c r="E27" s="425" t="str"/>
      <x:c r="F27" s="425" t="str">
        <x:v>CANDIDATE</x:v>
      </x:c>
      <x:c r="G27" s="425" t="str">
        <x:v>Cristopher Sánchez</x:v>
      </x:c>
      <x:c r="H27" s="425" t="str"/>
      <x:c r="I27" s="425" t="str">
        <x:v>The remaining slate's strongest verified combination of workload and strikeout production: 29 GS, 181.1 IP, 207 K, 10.27 K/9 and 2.58 ERA. Exact line, price, opponent lineup and workload context are still required.</x:v>
      </x:c>
      <x:c r="J27" s="425" t="str">
        <x:v>Pitcher strikeouts / outs</x:v>
      </x:c>
      <x:c r="K27" s="425" t="str">
        <x:v>INDEPENDENT</x:v>
      </x:c>
      <x:c r="L27" s="425" t="str"/>
    </x:row>
    <x:row r="28" ht="38" customHeight="1">
      <x:c r="A28" s="425" t="str">
        <x:v>2026-09-09</x:v>
      </x:c>
      <x:c r="B28" s="425" t="str"/>
      <x:c r="C28" s="425" t="str"/>
      <x:c r="D28" s="425" t="str">
        <x:v>Chicago Cubs at Milwaukee Brewers</x:v>
      </x:c>
      <x:c r="E28" s="425" t="str"/>
      <x:c r="F28" s="425" t="str">
        <x:v>CANDIDATE</x:v>
      </x:c>
      <x:c r="G28" s="425" t="str">
        <x:v>Logan Henderson</x:v>
      </x:c>
      <x:c r="H28" s="425" t="str"/>
      <x:c r="I28" s="425" t="str">
        <x:v>Verified 10.04 K/9, 0.79 WHIP and 2.48 ERA warrant a market check; only 83.1 IP across 15 starts makes the exact outs or strikeout threshold essential.</x:v>
      </x:c>
      <x:c r="J28" s="425" t="str">
        <x:v>Pitcher strikeouts / outs</x:v>
      </x:c>
      <x:c r="K28" s="425" t="str">
        <x:v>INDEPENDENT</x:v>
      </x:c>
      <x:c r="L28" s="425" t="str"/>
    </x:row>
    <x:row r="29" ht="38" customHeight="1">
      <x:c r="A29" s="425" t="str">
        <x:v>2026-09-09</x:v>
      </x:c>
      <x:c r="B29" s="425" t="str"/>
      <x:c r="C29" s="425" t="str"/>
      <x:c r="D29" s="425" t="str">
        <x:v>Cincinnati Reds at Los Angeles Dodgers</x:v>
      </x:c>
      <x:c r="E29" s="425" t="str"/>
      <x:c r="F29" s="425" t="str">
        <x:v>CANDIDATE</x:v>
      </x:c>
      <x:c r="G29" s="425" t="str">
        <x:v>Yoshinobu Yamamoto</x:v>
      </x:c>
      <x:c r="H29" s="425" t="str"/>
      <x:c r="I29" s="425" t="str">
        <x:v>Verified 165.0 IP in 25 starts, 0.90 WHIP and 8.78 K/9 support a workload-market comparison. Exact DraftKings thresholds and confirmed opponent lineup remain unavailable.</x:v>
      </x:c>
      <x:c r="J29" s="425" t="str">
        <x:v>Pitcher outs / strikeouts</x:v>
      </x:c>
      <x:c r="K29" s="425" t="str">
        <x:v>INDEPENDENT</x:v>
      </x:c>
      <x:c r="L29" s="425" t="str"/>
    </x:row>
    <x:row r="30" ht="38" customHeight="1">
      <x:c r="A30" s="425" t="str">
        <x:v>2026-09-09</x:v>
      </x:c>
      <x:c r="B30" s="425" t="str"/>
      <x:c r="C30" s="425" t="str"/>
      <x:c r="D30" s="425" t="str">
        <x:v>Arizona Diamondbacks at Kansas City Royals</x:v>
      </x:c>
      <x:c r="E30" s="425" t="str"/>
      <x:c r="F30" s="425" t="str">
        <x:v>CANDIDATE</x:v>
      </x:c>
      <x:c r="G30" s="425" t="str">
        <x:v>Zac Gallen</x:v>
      </x:c>
      <x:c r="H30" s="425" t="str"/>
      <x:c r="I30" s="425" t="str">
        <x:v>Verified 6.34 ERA, 1.56 WHIP, 11.20 H/9 and 1.65 HR/9 identify a broad Kansas City offense check before any player-specific prop.</x:v>
      </x:c>
      <x:c r="J30" s="425" t="str">
        <x:v>Opponent team offense / pitcher fade</x:v>
      </x:c>
      <x:c r="K30" s="425" t="str">
        <x:v>INDEPENDENT</x:v>
      </x:c>
      <x:c r="L30" s="425" t="str"/>
    </x:row>
    <x:row r="31" ht="38" customHeight="1">
      <x:c r="A31" s="425" t="str">
        <x:v>2026-09-09</x:v>
      </x:c>
      <x:c r="B31" s="425" t="str"/>
      <x:c r="C31" s="425" t="str"/>
      <x:c r="D31" s="425" t="str">
        <x:v>Colorado Rockies at New York Yankees</x:v>
      </x:c>
      <x:c r="E31" s="425" t="str"/>
      <x:c r="F31" s="425" t="str">
        <x:v>CANDIDATE</x:v>
      </x:c>
      <x:c r="G31" s="425" t="str">
        <x:v>Tomoyuki Sugano</x:v>
      </x:c>
      <x:c r="H31" s="425" t="str"/>
      <x:c r="I31" s="425" t="str">
        <x:v>Verified 5.19 ERA, 10.12 H/9, 1.85 HR/9 and 5.40 K/9 identify a broad Yankees offense check. No hitter or threshold is endorsed without lineup and price verification.</x:v>
      </x:c>
      <x:c r="J31" s="425" t="str">
        <x:v>Opponent team offense / pitcher fade</x:v>
      </x:c>
      <x:c r="K31" s="425" t="str">
        <x:v>INDEPENDENT</x:v>
      </x:c>
      <x:c r="L31" s="425" t="str"/>
    </x:row>
    <x:row r="32" ht="38" customHeight="1">
      <x:c r="A32" s="425" t="str">
        <x:v>2026-09-09</x:v>
      </x:c>
      <x:c r="B32" s="425" t="str"/>
      <x:c r="C32" s="425" t="str"/>
      <x:c r="D32" s="425" t="str">
        <x:v>Cincinnati Reds at Los Angeles Dodgers</x:v>
      </x:c>
      <x:c r="E32" s="425" t="str"/>
      <x:c r="F32" s="425" t="str">
        <x:v>CANDIDATE</x:v>
      </x:c>
      <x:c r="G32" s="425" t="str">
        <x:v>Rhett Lowder</x:v>
      </x:c>
      <x:c r="H32" s="425" t="str"/>
      <x:c r="I32" s="425" t="str">
        <x:v>Verified 5.43 ERA, 1.49 WHIP, 9.78 H/9 and 3.65 BB/9 identify a broad Dodgers offense check before any player-specific market is selected.</x:v>
      </x:c>
      <x:c r="J32" s="425" t="str">
        <x:v>Opponent team offense / pitcher fade</x:v>
      </x:c>
      <x:c r="K32" s="425" t="str">
        <x:v>INDEPENDENT</x:v>
      </x:c>
      <x:c r="L32" s="425" t="str"/>
    </x:row>
    <x:row r="33" ht="38" customHeight="1">
      <x:c r="A33" s="425" t="str">
        <x:v>2026-09-09</x:v>
      </x:c>
      <x:c r="B33" s="425" t="str"/>
      <x:c r="C33" s="425" t="str"/>
      <x:c r="D33" s="425" t="str">
        <x:v>Los Angeles Angels at Boston Red Sox</x:v>
      </x:c>
      <x:c r="E33" s="425" t="str"/>
      <x:c r="F33" s="425" t="str">
        <x:v>CANDIDATE</x:v>
      </x:c>
      <x:c r="G33" s="425" t="str">
        <x:v>Ryan Johnson</x:v>
      </x:c>
      <x:c r="H33" s="425" t="str"/>
      <x:c r="I33" s="425" t="str">
        <x:v>Verified 5.17 ERA, 4.37 BB/9 and 1.84 HR/9 identify a broad Boston offense check; exact market, lineup and price remain unavailable.</x:v>
      </x:c>
      <x:c r="J33" s="425" t="str">
        <x:v>Opponent team offense / pitcher fade</x:v>
      </x:c>
      <x:c r="K33" s="425" t="str">
        <x:v>INDEPENDENT</x:v>
      </x:c>
      <x:c r="L33" s="425" t="str"/>
    </x:row>
    <x:row r="34" ht="38" customHeight="1">
      <x:c r="A34" s="425" t="str">
        <x:v>2026-09-09</x:v>
      </x:c>
      <x:c r="B34" s="425" t="str"/>
      <x:c r="C34" s="425" t="str"/>
      <x:c r="D34" s="425" t="str">
        <x:v>New York Mets at Miami Marlins</x:v>
      </x:c>
      <x:c r="E34" s="425" t="str"/>
      <x:c r="F34" s="425" t="str">
        <x:v>CANDIDATE</x:v>
      </x:c>
      <x:c r="G34" s="425" t="str">
        <x:v>Robert Stock</x:v>
      </x:c>
      <x:c r="H34" s="425" t="str"/>
      <x:c r="I34" s="425" t="str">
        <x:v>Verified 5.81 ERA, 1.75 WHIP, 11.28 H/9 and 4.44 BB/9 identify a broad Miami offense check, with small-start-sample and lineup warnings.</x:v>
      </x:c>
      <x:c r="J34" s="425" t="str">
        <x:v>Opponent team offense / pitcher fade</x:v>
      </x:c>
      <x:c r="K34" s="425" t="str">
        <x:v>INDEPENDENT</x:v>
      </x:c>
      <x:c r="L34" s="425" t="str"/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2026-09-09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518" t="str">
        <x:v>REAL</x:v>
      </x:c>
      <x:c r="B5" s="517" t="str">
        <x:v>S09-T01</x:v>
      </x:c>
      <x:c r="C5" s="517" t="str">
        <x:v>NFL</x:v>
      </x:c>
      <x:c r="D5" s="517" t="str">
        <x:v>Brown and Smith-Njigba receiving-yards flash parlay</x:v>
      </x:c>
      <x:c r="E5" s="517" t="str">
        <x:v>Superstar Receivers flash odds boost</x:v>
      </x:c>
      <x:c r="F5" s="517" t="str">
        <x:v>A.J. Brown 50+ receiving yards | Jaxon Smith-Njigba 50+ receiving yards</x:v>
      </x:c>
      <x:c r="G5" s="523" t="str">
        <x:v>-120 raw · +150 boosted</x:v>
      </x:c>
      <x:c r="H5" s="523" t="str"/>
      <x:c r="I5" s="523" t="str"/>
      <x:c r="J5" s="523" t="str"/>
      <x:c r="K5" s="517" t="str">
        <x:v>PLACED_USER_CONFIRMED — The two receiving thresholds were independently reviewed before the user confirmed placement at the captured boosted price.</x:v>
      </x:c>
    </x:row>
    <x:row r="6" ht="42" customHeight="1">
      <x:c r="A6" s="518" t="str">
        <x:v>REAL</x:v>
      </x:c>
      <x:c r="B6" s="517" t="str">
        <x:v>S09-T02</x:v>
      </x:c>
      <x:c r="C6" s="517" t="str">
        <x:v>NFL</x:v>
      </x:c>
      <x:c r="D6" s="517" t="str">
        <x:v>A.J. Brown first-quarter receiving-yards super boost</x:v>
      </x:c>
      <x:c r="E6" s="517" t="str">
        <x:v>A.J. Brown Super Boost</x:v>
      </x:c>
      <x:c r="F6" s="517" t="str">
        <x:v>A.J. Brown 5+ first-quarter receiving yards</x:v>
      </x:c>
      <x:c r="G6" s="523" t="str">
        <x:v>-175 raw · +100 boosted</x:v>
      </x:c>
      <x:c r="H6" s="523" t="str"/>
      <x:c r="I6" s="523" t="str"/>
      <x:c r="J6" s="523" t="str"/>
      <x:c r="K6" s="517" t="str">
        <x:v>PLACED_USER_CONFIRMED — The exact 5+ first-quarter threshold, boosted price and $1 stake were captured before the user confirmed placement.</x:v>
      </x:c>
    </x:row>
    <x:row r="7" ht="42" customHeight="1">
      <x:c r="A7" s="518" t="str">
        <x:v>REAL</x:v>
      </x:c>
      <x:c r="B7" s="517" t="str">
        <x:v>S09-T03</x:v>
      </x:c>
      <x:c r="C7" s="517" t="str">
        <x:v>UCL</x:v>
      </x:c>
      <x:c r="D7" s="517" t="str">
        <x:v>Alexander Isak shots-on-target single</x:v>
      </x:c>
      <x:c r="E7" s="517" t="str">
        <x:v>No promo recorded</x:v>
      </x:c>
      <x:c r="F7" s="517" t="str">
        <x:v>Alexander Isak 2+ shots on target (+135)</x:v>
      </x:c>
      <x:c r="G7" s="523" t="str">
        <x:v>+135</x:v>
      </x:c>
      <x:c r="H7" s="523" t="str"/>
      <x:c r="I7" s="523" t="str"/>
      <x:c r="J7" s="523" t="str"/>
      <x:c r="K7" s="517" t="str">
        <x:v>PLACED_USER_CONFIRMED — Isak was independently preferred after the confirmed-XI gate, then explicitly included in the user's three-bet placement confirmation.</x:v>
      </x:c>
    </x:row>
    <x:row r="8" ht="42" customHeight="1">
      <x:c r="A8" s="518" t="str">
        <x:v>REAL</x:v>
      </x:c>
      <x:c r="B8" s="517" t="str">
        <x:v>S09-T04</x:v>
      </x:c>
      <x:c r="C8" s="517" t="str">
        <x:v>UCL</x:v>
      </x:c>
      <x:c r="D8" s="517" t="str">
        <x:v>Liverpool moneyline with DrawBreaker</x:v>
      </x:c>
      <x:c r="E8" s="517" t="str">
        <x:v>DrawBreaker</x:v>
      </x:c>
      <x:c r="F8" s="517" t="str">
        <x:v>Liverpool moneyline (-130)</x:v>
      </x:c>
      <x:c r="G8" s="523" t="str">
        <x:v>-130</x:v>
      </x:c>
      <x:c r="H8" s="523" t="str"/>
      <x:c r="I8" s="523" t="str"/>
      <x:c r="J8" s="523" t="str"/>
      <x:c r="K8" s="517" t="str">
        <x:v>PLACED_USER_CONFIRMED — Liverpool was independently preferred to Sporting after exact DraftKings prices were compared, then explicitly included in the user's placement confirmation.</x:v>
      </x:c>
    </x:row>
    <x:row r="9" ht="42" customHeight="1">
      <x:c r="A9" s="518" t="str">
        <x:v>REAL</x:v>
      </x:c>
      <x:c r="B9" s="517" t="str">
        <x:v>S09-T05</x:v>
      </x:c>
      <x:c r="C9" s="517" t="str">
        <x:v>NFL</x:v>
      </x:c>
      <x:c r="D9" s="517" t="str">
        <x:v>Brown or Smith-Njigba to score a touchdown</x:v>
      </x:c>
      <x:c r="E9" s="517" t="str">
        <x:v>McAfee Super Boost</x:v>
      </x:c>
      <x:c r="F9" s="517" t="str">
        <x:v>Either A.J. Brown or Jaxon Smith-Njigba to score a touchdown (+100)</x:v>
      </x:c>
      <x:c r="G9" s="523" t="str">
        <x:v>+100</x:v>
      </x:c>
      <x:c r="H9" s="523" t="str"/>
      <x:c r="I9" s="523" t="str"/>
      <x:c r="J9" s="523" t="str"/>
      <x:c r="K9" s="517" t="str">
        <x:v>PLACED_USER_CONFIRMED — The either-player market was reviewed as a two-path touchdown proposition. A later balance check corrected the confirmed stake to $1.</x:v>
      </x:c>
    </x:row>
    <x:row r="10" ht="42" customHeight="1">
      <x:c r="A10" s="518" t="str">
        <x:v>REAL</x:v>
      </x:c>
      <x:c r="B10" s="517" t="str">
        <x:v>S09-T06</x:v>
      </x:c>
      <x:c r="C10" s="517" t="str">
        <x:v>NFL</x:v>
      </x:c>
      <x:c r="D10" s="517" t="str">
        <x:v>Rhamondre Stevenson receptions boost</x:v>
      </x:c>
      <x:c r="E10" s="517" t="str">
        <x:v>50% NFL single boost</x:v>
      </x:c>
      <x:c r="F10" s="517" t="str">
        <x:v>Rhamondre Stevenson 4+ receptions (+116 raw)</x:v>
      </x:c>
      <x:c r="G10" s="523" t="str">
        <x:v>+116 raw · 50% boost applied</x:v>
      </x:c>
      <x:c r="H10" s="523" t="str"/>
      <x:c r="I10" s="523" t="str"/>
      <x:c r="J10" s="523" t="str"/>
      <x:c r="K10" s="517" t="str">
        <x:v>PLACED_USER_CONFIRMED — Stevenson receptions was independently preferred to his rushing thresholds because it survived more expected game scripts; the user immediately confirmed placement.</x:v>
      </x:c>
    </x:row>
    <x:row r="11" ht="42" customHeight="1">
      <x:c r="A11" s="518" t="str">
        <x:v>FINAL CHECK</x:v>
      </x:c>
      <x:c r="B11" s="517" t="str">
        <x:v>S09-A01</x:v>
      </x:c>
      <x:c r="C11" s="517" t="str">
        <x:v>MLB</x:v>
      </x:c>
      <x:c r="D11" s="517" t="str">
        <x:v>Cristopher Sánchez</x:v>
      </x:c>
      <x:c r="E11" s="517" t="str">
        <x:v>Houston Astros at Philadelphia Phillies</x:v>
      </x:c>
      <x:c r="F11" s="517" t="str">
        <x:v>Pitcher strikeouts / outs · exact line pending</x:v>
      </x:c>
      <x:c r="G11" s="523" t="str">
        <x:v>DraftKings price unavailable</x:v>
      </x:c>
      <x:c r="H11" s="523" t="str"/>
      <x:c r="I11" s="523" t="str"/>
      <x:c r="J11" s="523" t="str"/>
      <x:c r="K11" s="517" t="str">
        <x:v>PROSPECTIVE_PRICE_CHECK — Official 2026 line: 29 GS, 181.1 IP, 207 K, 10.27 K/9 and 2.58 ERA. Exact threshold, price, lineup and workload context remain required.</x:v>
      </x:c>
    </x:row>
    <x:row r="12" ht="42" customHeight="1">
      <x:c r="A12" s="518" t="str">
        <x:v>FINAL CHECK</x:v>
      </x:c>
      <x:c r="B12" s="517" t="str">
        <x:v>S09-A02</x:v>
      </x:c>
      <x:c r="C12" s="517" t="str">
        <x:v>MLB</x:v>
      </x:c>
      <x:c r="D12" s="517" t="str">
        <x:v>Logan Henderson</x:v>
      </x:c>
      <x:c r="E12" s="517" t="str">
        <x:v>Chicago Cubs at Milwaukee Brewers</x:v>
      </x:c>
      <x:c r="F12" s="517" t="str">
        <x:v>Pitcher strikeouts / outs · exact line pending</x:v>
      </x:c>
      <x:c r="G12" s="523" t="str">
        <x:v>DraftKings price unavailable</x:v>
      </x:c>
      <x:c r="H12" s="523" t="str"/>
      <x:c r="I12" s="523" t="str"/>
      <x:c r="J12" s="523" t="str"/>
      <x:c r="K12" s="517" t="str">
        <x:v>PROSPECTIVE_PRICE_CHECK — Official 2026 line: 10.04 K/9, 0.79 WHIP and 2.48 ERA; 83.1 IP over 15 starts keeps the exact threshold important.</x:v>
      </x:c>
    </x:row>
    <x:row r="13" ht="42" customHeight="1">
      <x:c r="A13" s="518" t="str">
        <x:v>FINAL CHECK</x:v>
      </x:c>
      <x:c r="B13" s="517" t="str">
        <x:v>S09-A03</x:v>
      </x:c>
      <x:c r="C13" s="517" t="str">
        <x:v>MLB</x:v>
      </x:c>
      <x:c r="D13" s="517" t="str">
        <x:v>Yoshinobu Yamamoto</x:v>
      </x:c>
      <x:c r="E13" s="517" t="str">
        <x:v>Cincinnati Reds at Los Angeles Dodgers</x:v>
      </x:c>
      <x:c r="F13" s="517" t="str">
        <x:v>Pitcher outs / strikeouts · exact line pending</x:v>
      </x:c>
      <x:c r="G13" s="523" t="str">
        <x:v>DraftKings price unavailable</x:v>
      </x:c>
      <x:c r="H13" s="523" t="str"/>
      <x:c r="I13" s="523" t="str"/>
      <x:c r="J13" s="523" t="str"/>
      <x:c r="K13" s="517" t="str">
        <x:v>PROSPECTIVE_PRICE_CHECK — Official 2026 line: 165.0 IP in 25 starts, 0.90 WHIP and 8.78 K/9. Exact thresholds and confirmed opponent lineup remain unavailable.</x:v>
      </x:c>
    </x:row>
    <x:row r="14" ht="42" customHeight="1">
      <x:c r="A14" s="518" t="str">
        <x:v>FINAL CHECK</x:v>
      </x:c>
      <x:c r="B14" s="517" t="str">
        <x:v>S09-A04</x:v>
      </x:c>
      <x:c r="C14" s="517" t="str">
        <x:v>MLB</x:v>
      </x:c>
      <x:c r="D14" s="517" t="str">
        <x:v>Zac Gallen</x:v>
      </x:c>
      <x:c r="E14" s="517" t="str">
        <x:v>Arizona Diamondbacks at Kansas City Royals</x:v>
      </x:c>
      <x:c r="F14" s="517" t="str">
        <x:v>Opponent team offense / pitcher fade · exact line pending</x:v>
      </x:c>
      <x:c r="G14" s="523" t="str">
        <x:v>DraftKings price unavailable</x:v>
      </x:c>
      <x:c r="H14" s="523" t="str"/>
      <x:c r="I14" s="523" t="str"/>
      <x:c r="J14" s="523" t="str"/>
      <x:c r="K14" s="517" t="str">
        <x:v>PROSPECTIVE_PRICE_CHECK — Official 2026 line: 6.34 ERA, 1.56 WHIP, 11.20 H/9 and 1.65 HR/9; compare broad Kansas City markets before naming a hitter.</x:v>
      </x:c>
    </x:row>
    <x:row r="15" ht="42" customHeight="1">
      <x:c r="A15" s="518" t="str">
        <x:v>FINAL CHECK</x:v>
      </x:c>
      <x:c r="B15" s="517" t="str">
        <x:v>S09-A05</x:v>
      </x:c>
      <x:c r="C15" s="517" t="str">
        <x:v>MLB</x:v>
      </x:c>
      <x:c r="D15" s="517" t="str">
        <x:v>Tomoyuki Sugano</x:v>
      </x:c>
      <x:c r="E15" s="517" t="str">
        <x:v>Colorado Rockies at New York Yankees</x:v>
      </x:c>
      <x:c r="F15" s="517" t="str">
        <x:v>Opponent team offense / pitcher fade · exact line pending</x:v>
      </x:c>
      <x:c r="G15" s="523" t="str">
        <x:v>DraftKings price unavailable</x:v>
      </x:c>
      <x:c r="H15" s="523" t="str"/>
      <x:c r="I15" s="523" t="str"/>
      <x:c r="J15" s="523" t="str"/>
      <x:c r="K15" s="517" t="str">
        <x:v>PROSPECTIVE_PRICE_CHECK — Official 2026 line: 5.19 ERA, 10.12 H/9, 1.85 HR/9 and 5.40 K/9; compare broad Yankees markets before choosing an expression.</x:v>
      </x:c>
    </x:row>
    <x:row r="16" ht="42" customHeight="1">
      <x:c r="A16" s="518" t="str">
        <x:v>FINAL CHECK</x:v>
      </x:c>
      <x:c r="B16" s="517" t="str">
        <x:v>S09-A06</x:v>
      </x:c>
      <x:c r="C16" s="517" t="str">
        <x:v>MLB</x:v>
      </x:c>
      <x:c r="D16" s="517" t="str">
        <x:v>Rhett Lowder</x:v>
      </x:c>
      <x:c r="E16" s="517" t="str">
        <x:v>Cincinnati Reds at Los Angeles Dodgers</x:v>
      </x:c>
      <x:c r="F16" s="517" t="str">
        <x:v>Opponent team offense / pitcher fade · exact line pending</x:v>
      </x:c>
      <x:c r="G16" s="523" t="str">
        <x:v>DraftKings price unavailable</x:v>
      </x:c>
      <x:c r="H16" s="523" t="str"/>
      <x:c r="I16" s="523" t="str"/>
      <x:c r="J16" s="523" t="str"/>
      <x:c r="K16" s="517" t="str">
        <x:v>PROSPECTIVE_PRICE_CHECK — Official 2026 line: 5.43 ERA, 1.49 WHIP, 9.78 H/9 and 3.65 BB/9; compare broad Dodgers markets before naming a hitter.</x:v>
      </x:c>
    </x:row>
    <x:row r="17" ht="42" customHeight="1">
      <x:c r="A17" s="518" t="str">
        <x:v>FINAL CHECK</x:v>
      </x:c>
      <x:c r="B17" s="517" t="str">
        <x:v>S09-A07</x:v>
      </x:c>
      <x:c r="C17" s="517" t="str">
        <x:v>MLB</x:v>
      </x:c>
      <x:c r="D17" s="517" t="str">
        <x:v>Ryan Johnson</x:v>
      </x:c>
      <x:c r="E17" s="517" t="str">
        <x:v>Los Angeles Angels at Boston Red Sox</x:v>
      </x:c>
      <x:c r="F17" s="517" t="str">
        <x:v>Opponent team offense / pitcher fade · exact line pending</x:v>
      </x:c>
      <x:c r="G17" s="523" t="str">
        <x:v>DraftKings price unavailable</x:v>
      </x:c>
      <x:c r="H17" s="523" t="str"/>
      <x:c r="I17" s="523" t="str"/>
      <x:c r="J17" s="523" t="str"/>
      <x:c r="K17" s="517" t="str">
        <x:v>PROSPECTIVE_PRICE_CHECK — Official 2026 line: 5.17 ERA, 4.37 BB/9 and 1.84 HR/9; broad Boston markets require exact price and lineup verification.</x:v>
      </x:c>
    </x:row>
    <x:row r="18" ht="42" customHeight="1">
      <x:c r="A18" s="518" t="str">
        <x:v>FINAL CHECK</x:v>
      </x:c>
      <x:c r="B18" s="517" t="str">
        <x:v>S09-A08</x:v>
      </x:c>
      <x:c r="C18" s="517" t="str">
        <x:v>MLB</x:v>
      </x:c>
      <x:c r="D18" s="517" t="str">
        <x:v>Robert Stock</x:v>
      </x:c>
      <x:c r="E18" s="517" t="str">
        <x:v>New York Mets at Miami Marlins</x:v>
      </x:c>
      <x:c r="F18" s="517" t="str">
        <x:v>Opponent team offense / pitcher fade · exact line pending</x:v>
      </x:c>
      <x:c r="G18" s="523" t="str">
        <x:v>DraftKings price unavailable</x:v>
      </x:c>
      <x:c r="H18" s="523" t="str"/>
      <x:c r="I18" s="523" t="str"/>
      <x:c r="J18" s="523" t="str"/>
      <x:c r="K18" s="517" t="str">
        <x:v>PROSPECTIVE_PRICE_CHECK — Official 2026 line: 5.81 ERA, 1.75 WHIP, 11.28 H/9 and 4.44 BB/9; the small start sample and missing lineup remain material warnings.</x:v>
      </x:c>
    </x:row>
    <x:row r="19" ht="42" customHeight="1">
      <x:c r="A19" s="518" t="str">
        <x:v>PAPER</x:v>
      </x:c>
      <x:c r="B19" s="517" t="str">
        <x:v>S09-P01</x:v>
      </x:c>
      <x:c r="C19" s="517" t="str">
        <x:v>NFL</x:v>
      </x:c>
      <x:c r="D19" s="517" t="str">
        <x:v>Drake Maye</x:v>
      </x:c>
      <x:c r="E19" s="517" t="str">
        <x:v>New England Patriots at Seattle Seahawks</x:v>
      </x:c>
      <x:c r="F19" s="517" t="str">
        <x:v>Over 228.5 passing yards</x:v>
      </x:c>
      <x:c r="G19" s="523" t="str">
        <x:v>Price unavailable</x:v>
      </x:c>
      <x:c r="H19" s="523" t="str"/>
      <x:c r="I19" s="523" t="str"/>
      <x:c r="J19" s="523" t="str"/>
      <x:c r="K19" s="517" t="str">
        <x:v>NFL quarterback market expression — External projection and Seattle matchup created a pass-yards versus rush-yards comparison, but exact DraftKings price and final role inputs were not captured.</x:v>
      </x:c>
    </x:row>
    <x:row r="20" ht="42" customHeight="1">
      <x:c r="A20" s="518" t="str">
        <x:v>PAPER</x:v>
      </x:c>
      <x:c r="B20" s="517" t="str">
        <x:v>S09-P02</x:v>
      </x:c>
      <x:c r="C20" s="517" t="str">
        <x:v>NFL</x:v>
      </x:c>
      <x:c r="D20" s="517" t="str">
        <x:v>Four-leg low-threshold SGP</x:v>
      </x:c>
      <x:c r="E20" s="517" t="str">
        <x:v>New England Patriots at Seattle Seahawks</x:v>
      </x:c>
      <x:c r="F20" s="517" t="str">
        <x:v>Kupp 25+ receiving + Henry 25+ receiving + Maye 20+ rushing + Hollins 5+ receiving</x:v>
      </x:c>
      <x:c r="G20" s="523" t="str">
        <x:v>Price unavailable</x:v>
      </x:c>
      <x:c r="H20" s="523" t="str"/>
      <x:c r="I20" s="523" t="str"/>
      <x:c r="J20" s="523" t="str"/>
      <x:c r="K20" s="517" t="str">
        <x:v>NFL correlated construction — All four legs depend on one game environment and were retained only as a construction test because real-card exposure was already concentrated.</x:v>
      </x:c>
    </x:row>
    <x:row r="21" ht="42" customHeight="1">
      <x:c r="A21" s="518" t="str">
        <x:v>PAPER</x:v>
      </x:c>
      <x:c r="B21" s="517" t="str">
        <x:v>S09-P03</x:v>
      </x:c>
      <x:c r="C21" s="517" t="str">
        <x:v>MLB</x:v>
      </x:c>
      <x:c r="D21" s="517" t="str">
        <x:v>Hunter Brown</x:v>
      </x:c>
      <x:c r="E21" s="517" t="str">
        <x:v>Houston Astros at Philadelphia Phillies</x:v>
      </x:c>
      <x:c r="F21" s="517" t="str">
        <x:v>4+ strikeouts</x:v>
      </x:c>
      <x:c r="G21" s="523" t="str">
        <x:v>Price unavailable</x:v>
      </x:c>
      <x:c r="H21" s="523" t="str"/>
      <x:c r="I21" s="523" t="str"/>
      <x:c r="J21" s="523" t="str"/>
      <x:c r="K21" s="517" t="str">
        <x:v>Pitcher strikeout alternate — The sourced alternate threshold overlaps the independent strikeout profile, but the exact DraftKings price was unavailable.</x:v>
      </x:c>
    </x:row>
    <x:row r="22" ht="42" customHeight="1">
      <x:c r="A22" s="518" t="str">
        <x:v>PAPER</x:v>
      </x:c>
      <x:c r="B22" s="517" t="str">
        <x:v>S09-P04</x:v>
      </x:c>
      <x:c r="C22" s="517" t="str">
        <x:v>MLB</x:v>
      </x:c>
      <x:c r="D22" s="517" t="str">
        <x:v>Cristopher Sánchez</x:v>
      </x:c>
      <x:c r="E22" s="517" t="str">
        <x:v>Houston Astros at Philadelphia Phillies</x:v>
      </x:c>
      <x:c r="F22" s="517" t="str">
        <x:v>6+ strikeouts</x:v>
      </x:c>
      <x:c r="G22" s="523" t="str">
        <x:v>Price unavailable</x:v>
      </x:c>
      <x:c r="H22" s="523" t="str"/>
      <x:c r="I22" s="523" t="str"/>
      <x:c r="J22" s="523" t="str"/>
      <x:c r="K22" s="517" t="str">
        <x:v>Pitcher strikeout alternate — The sourced threshold aligns with the independent 10.27 K/9 signal, but Houston contact risk and exact DraftKings price remain unresolved.</x:v>
      </x:c>
    </x:row>
    <x:row r="23" ht="42" customHeight="1">
      <x:c r="A23" s="518" t="str">
        <x:v>PAPER</x:v>
      </x:c>
      <x:c r="B23" s="517" t="str">
        <x:v>S09-P05</x:v>
      </x:c>
      <x:c r="C23" s="517" t="str">
        <x:v>MLB</x:v>
      </x:c>
      <x:c r="D23" s="517" t="str">
        <x:v>Jac Caglianone</x:v>
      </x:c>
      <x:c r="E23" s="517" t="str">
        <x:v>Arizona Diamondbacks at Kansas City Royals</x:v>
      </x:c>
      <x:c r="F23" s="517" t="str">
        <x:v>Hitter market-expression comparison</x:v>
      </x:c>
      <x:c r="G23" s="523" t="str">
        <x:v>Price unavailable</x:v>
      </x:c>
      <x:c r="H23" s="523" t="str"/>
      <x:c r="I23" s="523" t="str"/>
      <x:c r="J23" s="523" t="str"/>
      <x:c r="K23" s="517" t="str">
        <x:v>Hitter market expression — The Gallen fade overlapped independent discovery, but the user reported Caglianone was not playing. The paper arm is DNP, not a loss.</x:v>
      </x:c>
    </x:row>
    <x:row r="24" ht="42" customHeight="1">
      <x:c r="A24" s="518" t="str">
        <x:v>PAPER</x:v>
      </x:c>
      <x:c r="B24" s="517" t="str">
        <x:v>S09-P06</x:v>
      </x:c>
      <x:c r="C24" s="517" t="str">
        <x:v>MLB</x:v>
      </x:c>
      <x:c r="D24" s="517" t="str">
        <x:v>Logan Henderson</x:v>
      </x:c>
      <x:c r="E24" s="517" t="str">
        <x:v>Chicago Cubs at Milwaukee Brewers</x:v>
      </x:c>
      <x:c r="F24" s="517" t="str">
        <x:v>Over 17.5 outs</x:v>
      </x:c>
      <x:c r="G24" s="523" t="str">
        <x:v>-150 supplied</x:v>
      </x:c>
      <x:c r="H24" s="523" t="str"/>
      <x:c r="I24" s="523" t="str"/>
      <x:c r="J24" s="523" t="str"/>
      <x:c r="K24" s="517" t="str">
        <x:v>Price sensitivity — The workload signal aligned with independent discovery, but the move to -150 removed enough margin that the market was not placed.</x:v>
      </x:c>
    </x:row>
  </x:sheetData>
  <x:mergeCells count="2">
    <x:mergeCell ref="A1:K1"/>
    <x:mergeCell ref="A2:K2"/>
  </x:mergeCells>
  <x:pageMargins left="0.7" right="0.7" top="0.75" bottom="0.75" header="0.3" footer="0.3"/>
</x:worksheet>
</file>