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684257577f40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b8f312f89008420b"/>
    <x:sheet xmlns:r="http://schemas.openxmlformats.org/officeDocument/2006/relationships" name="Candidate Log" sheetId="2" r:id="R2bae40f4b7de4709"/>
    <x:sheet xmlns:r="http://schemas.openxmlformats.org/officeDocument/2006/relationships" name="Ticket Log" sheetId="3" r:id="Rc716837e4b254faf"/>
    <x:sheet xmlns:r="http://schemas.openxmlformats.org/officeDocument/2006/relationships" name="Market Summary" sheetId="4" r:id="R4aab644d8a80497a"/>
    <x:sheet xmlns:r="http://schemas.openxmlformats.org/officeDocument/2006/relationships" name="Source Evaluation" sheetId="5" r:id="R0e21dee446354927"/>
    <x:sheet xmlns:r="http://schemas.openxmlformats.org/officeDocument/2006/relationships" name="Feature Weights" sheetId="6" r:id="R4ac394a7c969468b"/>
    <x:sheet xmlns:r="http://schemas.openxmlformats.org/officeDocument/2006/relationships" name="Backtest Plan" sheetId="7" r:id="R222a7e3952b24296"/>
    <x:sheet xmlns:r="http://schemas.openxmlformats.org/officeDocument/2006/relationships" name="Daily Summary" sheetId="8" r:id="R92fec620c26c4bed"/>
    <x:sheet xmlns:r="http://schemas.openxmlformats.org/officeDocument/2006/relationships" name="Missed Opportunities" sheetId="9" r:id="Rd2ba0ccb35554454"/>
    <x:sheet xmlns:r="http://schemas.openxmlformats.org/officeDocument/2006/relationships" name="Backfill Status" sheetId="10" r:id="Rc25ae45da6484ad9"/>
    <x:sheet xmlns:r="http://schemas.openxmlformats.org/officeDocument/2006/relationships" name="Paper Portfolio" sheetId="11" r:id="R31135b9ef85e41cc"/>
    <x:sheet xmlns:r="http://schemas.openxmlformats.org/officeDocument/2006/relationships" name="MLB Pitcher Features" sheetId="12" r:id="R69afa6b986b84f29"/>
    <x:sheet xmlns:r="http://schemas.openxmlformats.org/officeDocument/2006/relationships" name="MLB Hitter Features" sheetId="13" r:id="Reb7034b957f14031"/>
    <x:sheet xmlns:r="http://schemas.openxmlformats.org/officeDocument/2006/relationships" name="NRFI Features" sheetId="14" r:id="R2e559f97deed417b"/>
    <x:sheet xmlns:r="http://schemas.openxmlformats.org/officeDocument/2006/relationships" name="WNBA Features" sheetId="15" r:id="Ra77fb309b4bb4aa4"/>
    <x:sheet xmlns:r="http://schemas.openxmlformats.org/officeDocument/2006/relationships" name="Experiment Registry" sheetId="16" r:id="R6ce4c8321416476c"/>
    <x:sheet xmlns:r="http://schemas.openxmlformats.org/officeDocument/2006/relationships" name="Postgame Universe" sheetId="17" r:id="Ra6a5f2c6d98f416e"/>
    <x:sheet xmlns:r="http://schemas.openxmlformats.org/officeDocument/2006/relationships" name="EOD Insights" sheetId="18" r:id="Re653e6037e8d4331"/>
    <x:sheet xmlns:r="http://schemas.openxmlformats.org/officeDocument/2006/relationships" name="Paper Audit Aug26" sheetId="19" r:id="R1a76f3203d934e46"/>
    <x:sheet xmlns:r="http://schemas.openxmlformats.org/officeDocument/2006/relationships" name="Promo Log" sheetId="20" r:id="R7a22f7125adf4163"/>
    <x:sheet xmlns:r="http://schemas.openxmlformats.org/officeDocument/2006/relationships" name="Paper Audit Aug27" sheetId="21" r:id="Rb5a3cb367c9a4628"/>
    <x:sheet xmlns:r="http://schemas.openxmlformats.org/officeDocument/2006/relationships" name="Paper Audit Aug28" sheetId="22" r:id="R4af1175003084ae3"/>
    <x:sheet xmlns:r="http://schemas.openxmlformats.org/officeDocument/2006/relationships" name="CFB Features" sheetId="23" r:id="R6c23ca74dae6435d"/>
    <x:sheet xmlns:r="http://schemas.openxmlformats.org/officeDocument/2006/relationships" name="CFB Game Features" sheetId="24" r:id="Rca5e93f78d054265"/>
    <x:sheet xmlns:r="http://schemas.openxmlformats.org/officeDocument/2006/relationships" name="Hypothesis Stress Tests" sheetId="25" r:id="Rf00f8789776f466b"/>
    <x:sheet xmlns:r="http://schemas.openxmlformats.org/officeDocument/2006/relationships" name="Hypothesis Scorecard" sheetId="26" r:id="R071c038d6d684bff"/>
    <x:sheet xmlns:r="http://schemas.openxmlformats.org/officeDocument/2006/relationships" name="Paper Audit Aug31" sheetId="27" r:id="Red5fb8e704d34461"/>
    <x:sheet xmlns:r="http://schemas.openxmlformats.org/officeDocument/2006/relationships" name="Sep02 Build" sheetId="28" r:id="Rc9ebe4b8811443f6"/>
    <x:sheet xmlns:r="http://schemas.openxmlformats.org/officeDocument/2006/relationships" name="Daily Slate" sheetId="29" r:id="Red7cc586c9af40ae"/>
    <x:sheet xmlns:r="http://schemas.openxmlformats.org/officeDocument/2006/relationships" name="Chat Intake" sheetId="30" r:id="Rcc875484eac043ba"/>
    <x:sheet xmlns:r="http://schemas.openxmlformats.org/officeDocument/2006/relationships" name="Morning Scan" sheetId="31" r:id="R7a858c06718242f5"/>
    <x:sheet xmlns:r="http://schemas.openxmlformats.org/officeDocument/2006/relationships" name="Today Board" sheetId="32" r:id="R48b5f120d6fd426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  <x:numFmt numFmtId="207" formatCode="0.00;-0.00;0.00"/>
    <x:numFmt numFmtId="208" formatCode="0.00"/>
  </x:numFmts>
  <x:fonts count="31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  <x:font>
      <x:b/>
      <x:sz val="10"/>
      <x:color rgb="FFFFFFFF"/>
      <x:name val="Arial"/>
    </x:font>
  </x:fonts>
  <x:fills count="13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  <x:fill>
      <x:patternFill patternType="solid">
        <x:fgColor rgb="FF12344D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  <x:xf numFmtId="207" fontId="0" fillId="0" borderId="0" xfId="0" applyNumberFormat="1" applyFont="1" applyFill="1" applyBorder="1" applyAlignment="1">
      <x:alignment wrapText="1"/>
    </x:xf>
    <x:xf numFmtId="207" fontId="0" fillId="0" borderId="0" xfId="0" applyNumberFormat="1" applyFont="1" applyFill="1" applyBorder="1"/>
    <x:xf numFmtId="0" fontId="30" fillId="2" borderId="0" xfId="0" applyNumberFormat="1" applyFont="1" applyFill="1" applyBorder="1" applyAlignment="1">
      <x:alignment horizontal="center" vertical="center" wrapText="1"/>
    </x:xf>
    <x:xf numFmtId="0" fontId="30" fillId="129" borderId="0" xfId="0" applyNumberFormat="1" applyFont="1" applyFill="1" applyBorder="1" applyAlignment="1">
      <x:alignment horizontal="center" vertical="center" wrapText="1"/>
    </x:xf>
    <x:xf numFmtId="208" fontId="0" fillId="0" borderId="0" xfId="0" applyNumberFormat="1" applyFont="1" applyFill="1" applyBorder="1" applyAlignment="1">
      <x:alignment wrapText="1"/>
    </x:xf>
    <x:xf numFmtId="208" fontId="0" fillId="0" borderId="0" xfId="0" applyNumberFormat="1" applyFont="1" applyFill="1" applyBorder="1"/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08cc61adc941a1" /><Relationship Type="http://schemas.openxmlformats.org/officeDocument/2006/relationships/theme" Target="/xl/theme/theme1.xml" Id="Rdba2c0d010ed42fc" /><Relationship Type="http://schemas.openxmlformats.org/officeDocument/2006/relationships/sharedStrings" Target="/xl/sharedStrings.xml" Id="R1d356e68b55a4ae2" /><Relationship Type="http://schemas.openxmlformats.org/officeDocument/2006/relationships/worksheet" Target="/xl/worksheets/sheet1.xml" Id="Rb8f312f89008420b" /><Relationship Type="http://schemas.openxmlformats.org/officeDocument/2006/relationships/worksheet" Target="/xl/worksheets/sheet2.xml" Id="R2bae40f4b7de4709" /><Relationship Type="http://schemas.openxmlformats.org/officeDocument/2006/relationships/worksheet" Target="/xl/worksheets/sheet3.xml" Id="Rc716837e4b254faf" /><Relationship Type="http://schemas.openxmlformats.org/officeDocument/2006/relationships/worksheet" Target="/xl/worksheets/sheet4.xml" Id="R4aab644d8a80497a" /><Relationship Type="http://schemas.openxmlformats.org/officeDocument/2006/relationships/worksheet" Target="/xl/worksheets/sheet5.xml" Id="R0e21dee446354927" /><Relationship Type="http://schemas.openxmlformats.org/officeDocument/2006/relationships/worksheet" Target="/xl/worksheets/sheet6.xml" Id="R4ac394a7c969468b" /><Relationship Type="http://schemas.openxmlformats.org/officeDocument/2006/relationships/worksheet" Target="/xl/worksheets/sheet7.xml" Id="R222a7e3952b24296" /><Relationship Type="http://schemas.openxmlformats.org/officeDocument/2006/relationships/worksheet" Target="/xl/worksheets/sheet8.xml" Id="R92fec620c26c4bed" /><Relationship Type="http://schemas.openxmlformats.org/officeDocument/2006/relationships/worksheet" Target="/xl/worksheets/sheet9.xml" Id="Rd2ba0ccb35554454" /><Relationship Type="http://schemas.openxmlformats.org/officeDocument/2006/relationships/worksheet" Target="/xl/worksheets/sheet10.xml" Id="Rc25ae45da6484ad9" /><Relationship Type="http://schemas.openxmlformats.org/officeDocument/2006/relationships/worksheet" Target="/xl/worksheets/sheet11.xml" Id="R31135b9ef85e41cc" /><Relationship Type="http://schemas.openxmlformats.org/officeDocument/2006/relationships/worksheet" Target="/xl/worksheets/sheet12.xml" Id="R69afa6b986b84f29" /><Relationship Type="http://schemas.openxmlformats.org/officeDocument/2006/relationships/worksheet" Target="/xl/worksheets/sheet13.xml" Id="Reb7034b957f14031" /><Relationship Type="http://schemas.openxmlformats.org/officeDocument/2006/relationships/worksheet" Target="/xl/worksheets/sheet14.xml" Id="R2e559f97deed417b" /><Relationship Type="http://schemas.openxmlformats.org/officeDocument/2006/relationships/worksheet" Target="/xl/worksheets/sheet15.xml" Id="Ra77fb309b4bb4aa4" /><Relationship Type="http://schemas.openxmlformats.org/officeDocument/2006/relationships/worksheet" Target="/xl/worksheets/sheet16.xml" Id="R6ce4c8321416476c" /><Relationship Type="http://schemas.openxmlformats.org/officeDocument/2006/relationships/worksheet" Target="/xl/worksheets/sheet17.xml" Id="Ra6a5f2c6d98f416e" /><Relationship Type="http://schemas.openxmlformats.org/officeDocument/2006/relationships/worksheet" Target="/xl/worksheets/sheet18.xml" Id="Re653e6037e8d4331" /><Relationship Type="http://schemas.openxmlformats.org/officeDocument/2006/relationships/worksheet" Target="/xl/worksheets/sheet19.xml" Id="R1a76f3203d934e46" /><Relationship Type="http://schemas.openxmlformats.org/officeDocument/2006/relationships/worksheet" Target="/xl/worksheets/sheet20.xml" Id="R7a22f7125adf4163" /><Relationship Type="http://schemas.openxmlformats.org/officeDocument/2006/relationships/worksheet" Target="/xl/worksheets/sheet21.xml" Id="Rb5a3cb367c9a4628" /><Relationship Type="http://schemas.openxmlformats.org/officeDocument/2006/relationships/worksheet" Target="/xl/worksheets/sheet22.xml" Id="R4af1175003084ae3" /><Relationship Type="http://schemas.openxmlformats.org/officeDocument/2006/relationships/worksheet" Target="/xl/worksheets/sheet23.xml" Id="R6c23ca74dae6435d" /><Relationship Type="http://schemas.openxmlformats.org/officeDocument/2006/relationships/worksheet" Target="/xl/worksheets/sheet24.xml" Id="Rca5e93f78d054265" /><Relationship Type="http://schemas.openxmlformats.org/officeDocument/2006/relationships/worksheet" Target="/xl/worksheets/sheet25.xml" Id="Rf00f8789776f466b" /><Relationship Type="http://schemas.openxmlformats.org/officeDocument/2006/relationships/worksheet" Target="/xl/worksheets/sheet26.xml" Id="R071c038d6d684bff" /><Relationship Type="http://schemas.openxmlformats.org/officeDocument/2006/relationships/worksheet" Target="/xl/worksheets/sheet27.xml" Id="Red5fb8e704d34461" /><Relationship Type="http://schemas.openxmlformats.org/officeDocument/2006/relationships/worksheet" Target="/xl/worksheets/sheet28.xml" Id="Rc9ebe4b8811443f6" /><Relationship Type="http://schemas.openxmlformats.org/officeDocument/2006/relationships/worksheet" Target="/xl/worksheets/sheet29.xml" Id="Red7cc586c9af40ae" /><Relationship Type="http://schemas.openxmlformats.org/officeDocument/2006/relationships/worksheet" Target="/xl/worksheets/sheet30.xml" Id="Rcc875484eac043ba" /><Relationship Type="http://schemas.openxmlformats.org/officeDocument/2006/relationships/worksheet" Target="/xl/worksheets/sheet31.xml" Id="R7a858c06718242f5" /><Relationship Type="http://schemas.openxmlformats.org/officeDocument/2006/relationships/worksheet" Target="/xl/worksheets/sheet32.xml" Id="R48b5f120d6fd426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a606ee44ada4ed0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a606ee44ada4ed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TicketLogTable" displayName="TicketLogTable" ref="A1:M105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2" name="DailySummaryTable" displayName="DailySummaryTable" ref="A1:J15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ab280de2b344bc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98d686f08c465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be01ab5696b457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069708e005045d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4cff5a46bf140f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d42d481559a48d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485d54f9411d429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1cf36343d0894b3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241998477db461e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173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64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0.3699421965317919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23.773960738509146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1ab280de2b344bc9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98d686f08c4655"/>
  </x:tableParts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537" t="str">
        <x:v>TICKET LOG</x:v>
      </x:c>
    </x:row>
    <x:row r="2" ht="24" customHeight="1">
      <x:c r="A2" s="31" t="str">
        <x:v>Placed tickets only. Pending results stay blank until separately verified.</x:v>
      </x:c>
    </x:row>
    <x:row r="4" ht="30" customHeight="1">
      <x:c r="A4" s="31" t="str">
        <x:v>Date</x:v>
      </x:c>
      <x:c r="B4" s="31" t="str">
        <x:v>Ticket ID</x:v>
      </x:c>
      <x:c r="C4" s="31" t="str">
        <x:v>Origin</x:v>
      </x:c>
      <x:c r="D4" s="31" t="str">
        <x:v>Description</x:v>
      </x:c>
      <x:c r="E4" s="538" t="str">
        <x:v>Stake</x:v>
      </x:c>
      <x:c r="F4" s="80" t="str">
        <x:v>Odds (American)</x:v>
      </x:c>
      <x:c r="G4" s="534" t="str">
        <x:v>Boosted?</x:v>
      </x:c>
      <x:c r="H4" s="80" t="str">
        <x:v>Legs</x:v>
      </x:c>
      <x:c r="I4" s="534" t="str">
        <x:v>Result</x:v>
      </x:c>
      <x:c r="J4" s="538" t="str">
        <x:v>Payout</x:v>
      </x:c>
      <x:c r="K4" s="538" t="str">
        <x:v>P/L</x:v>
      </x:c>
      <x:c r="L4" s="31" t="str">
        <x:v>Promo / Special</x:v>
      </x:c>
      <x:c r="M4" s="31" t="str">
        <x:v>Execution Note</x:v>
      </x:c>
    </x:row>
    <x:row r="5" ht="38" customHeight="1">
      <x:c r="A5" s="31" t="str">
        <x:v>2026-08-24</x:v>
      </x:c>
      <x:c r="B5" s="31" t="str">
        <x:v>A24-T01</x:v>
      </x:c>
      <x:c r="C5" s="31" t="str">
        <x:v>SOURCED</x:v>
      </x:c>
      <x:c r="D5" s="31" t="str">
        <x:v>Collier 30+ PRA</x:v>
      </x:c>
      <x:c r="E5" s="538" t="n">
        <x:v>1</x:v>
      </x:c>
      <x:c r="F5" s="80" t="n">
        <x:v>-149</x:v>
      </x:c>
      <x:c r="G5" s="534" t="str">
        <x:v>N</x:v>
      </x:c>
      <x:c r="H5" s="80" t="n">
        <x:v>1</x:v>
      </x:c>
      <x:c r="I5" s="534" t="str">
        <x:v>Loss</x:v>
      </x:c>
      <x:c r="J5" s="538" t="n">
        <x:v>0</x:v>
      </x:c>
      <x:c r="K5" s="538" t="n">
        <x:v>-1</x:v>
      </x:c>
      <x:c r="L5" s="31" t="str"/>
      <x:c r="M5" s="31" t="str"/>
    </x:row>
    <x:row r="6" ht="38" customHeight="1">
      <x:c r="A6" s="31" t="str">
        <x:v>2026-08-24</x:v>
      </x:c>
      <x:c r="B6" s="31" t="str">
        <x:v>A24-T02</x:v>
      </x:c>
      <x:c r="C6" s="31" t="str">
        <x:v>HYBRID</x:v>
      </x:c>
      <x:c r="D6" s="31" t="str">
        <x:v>PCA HR</x:v>
      </x:c>
      <x:c r="E6" s="538" t="n">
        <x:v>5</x:v>
      </x:c>
      <x:c r="F6" s="80" t="n">
        <x:v>343</x:v>
      </x:c>
      <x:c r="G6" s="534" t="str">
        <x:v>N</x:v>
      </x:c>
      <x:c r="H6" s="80" t="n">
        <x:v>1</x:v>
      </x:c>
      <x:c r="I6" s="534" t="str">
        <x:v>Loss</x:v>
      </x:c>
      <x:c r="J6" s="538" t="n">
        <x:v>0</x:v>
      </x:c>
      <x:c r="K6" s="538" t="n">
        <x:v>-5</x:v>
      </x:c>
      <x:c r="L6" s="31" t="str">
        <x:v>HR promo</x:v>
      </x:c>
      <x:c r="M6" s="31" t="str"/>
    </x:row>
    <x:row r="7" ht="38" customHeight="1">
      <x:c r="A7" s="31" t="str">
        <x:v>2026-08-24</x:v>
      </x:c>
      <x:c r="B7" s="31" t="str">
        <x:v>A24-T03</x:v>
      </x:c>
      <x:c r="C7" s="31" t="str">
        <x:v>SOURCED</x:v>
      </x:c>
      <x:c r="D7" s="31" t="str">
        <x:v>Tatis 2+ TB</x:v>
      </x:c>
      <x:c r="E7" s="538" t="n">
        <x:v>2</x:v>
      </x:c>
      <x:c r="F7" s="80" t="n">
        <x:v>115</x:v>
      </x:c>
      <x:c r="G7" s="534" t="str">
        <x:v>N</x:v>
      </x:c>
      <x:c r="H7" s="80" t="n">
        <x:v>1</x:v>
      </x:c>
      <x:c r="I7" s="534" t="str">
        <x:v>Loss</x:v>
      </x:c>
      <x:c r="J7" s="538" t="n">
        <x:v>0</x:v>
      </x:c>
      <x:c r="K7" s="538" t="n">
        <x:v>-2</x:v>
      </x:c>
      <x:c r="L7" s="31" t="str">
        <x:v>Conviction single</x:v>
      </x:c>
      <x:c r="M7" s="31" t="str"/>
    </x:row>
    <x:row r="8" ht="38" customHeight="1">
      <x:c r="A8" s="31" t="str">
        <x:v>2026-08-24</x:v>
      </x:c>
      <x:c r="B8" s="31" t="str">
        <x:v>A24-T04</x:v>
      </x:c>
      <x:c r="C8" s="31" t="str">
        <x:v>SOURCED</x:v>
      </x:c>
      <x:c r="D8" s="31" t="str">
        <x:v>PCA 2+ TB</x:v>
      </x:c>
      <x:c r="E8" s="538" t="n">
        <x:v>2</x:v>
      </x:c>
      <x:c r="F8" s="80" t="n">
        <x:v>-126</x:v>
      </x:c>
      <x:c r="G8" s="534" t="str">
        <x:v>N</x:v>
      </x:c>
      <x:c r="H8" s="80" t="n">
        <x:v>1</x:v>
      </x:c>
      <x:c r="I8" s="534" t="str">
        <x:v>Loss</x:v>
      </x:c>
      <x:c r="J8" s="538" t="n">
        <x:v>0</x:v>
      </x:c>
      <x:c r="K8" s="538" t="n">
        <x:v>-2</x:v>
      </x:c>
      <x:c r="L8" s="31" t="str">
        <x:v>Conviction single</x:v>
      </x:c>
      <x:c r="M8" s="31" t="str">
        <x:v>Entry deteriorated materially from sourced +122.</x:v>
      </x:c>
    </x:row>
    <x:row r="9" ht="38" customHeight="1">
      <x:c r="A9" s="31" t="str">
        <x:v>2026-08-24</x:v>
      </x:c>
      <x:c r="B9" s="31" t="str">
        <x:v>A24-T05</x:v>
      </x:c>
      <x:c r="C9" s="31" t="str">
        <x:v>CREATED</x:v>
      </x:c>
      <x:c r="D9" s="31" t="str">
        <x:v>Collier 3+ AST + Under 159.5 + MIN -6.5</x:v>
      </x:c>
      <x:c r="E9" s="538" t="n">
        <x:v>1</x:v>
      </x:c>
      <x:c r="F9" s="80" t="n">
        <x:v>683</x:v>
      </x:c>
      <x:c r="G9" s="534" t="str">
        <x:v>Y</x:v>
      </x:c>
      <x:c r="H9" s="80" t="n">
        <x:v>3</x:v>
      </x:c>
      <x:c r="I9" s="534" t="str">
        <x:v>Loss</x:v>
      </x:c>
      <x:c r="J9" s="538" t="n">
        <x:v>0</x:v>
      </x:c>
      <x:c r="K9" s="538" t="n">
        <x:v>-1</x:v>
      </x:c>
      <x:c r="L9" s="31" t="str">
        <x:v>WNBA promo SGP</x:v>
      </x:c>
      <x:c r="M9" s="31" t="str"/>
    </x:row>
    <x:row r="10" ht="38" customHeight="1">
      <x:c r="A10" s="31" t="str">
        <x:v>2026-08-24</x:v>
      </x:c>
      <x:c r="B10" s="31" t="str">
        <x:v>A24-T06</x:v>
      </x:c>
      <x:c r="C10" s="31" t="str">
        <x:v>CREATED</x:v>
      </x:c>
      <x:c r="D10" s="31" t="str">
        <x:v>TB/DET NRFI + Caminero 2+ HRR + Framber &lt;=7 hits</x:v>
      </x:c>
      <x:c r="E10" s="538" t="n">
        <x:v>4</x:v>
      </x:c>
      <x:c r="F10" s="80" t="n">
        <x:v>416</x:v>
      </x:c>
      <x:c r="G10" s="534" t="str">
        <x:v>Y</x:v>
      </x:c>
      <x:c r="H10" s="80" t="n">
        <x:v>3</x:v>
      </x:c>
      <x:c r="I10" s="534" t="str">
        <x:v>Loss</x:v>
      </x:c>
      <x:c r="J10" s="538" t="n">
        <x:v>0</x:v>
      </x:c>
      <x:c r="K10" s="538" t="n">
        <x:v>-4</x:v>
      </x:c>
      <x:c r="L10" s="31" t="str">
        <x:v>MLB promo SGP</x:v>
      </x:c>
      <x:c r="M10" s="31" t="str">
        <x:v>Stake intended $1; $4 was accidental misclick (+$3 execution error).</x:v>
      </x:c>
    </x:row>
    <x:row r="11" ht="38" customHeight="1">
      <x:c r="A11" s="31" t="str">
        <x:v>2026-08-24</x:v>
      </x:c>
      <x:c r="B11" s="31" t="str">
        <x:v>A24-T07</x:v>
      </x:c>
      <x:c r="C11" s="31" t="str">
        <x:v>CREATED</x:v>
      </x:c>
      <x:c r="D11" s="31" t="str">
        <x:v>Kody Clemens HR + Jackson Merrill HR</x:v>
      </x:c>
      <x:c r="E11" s="538" t="n">
        <x:v>0.89</x:v>
      </x:c>
      <x:c r="F11" s="80" t="n">
        <x:v>2446</x:v>
      </x:c>
      <x:c r="G11" s="534" t="str">
        <x:v>N</x:v>
      </x:c>
      <x:c r="H11" s="80" t="n">
        <x:v>2</x:v>
      </x:c>
      <x:c r="I11" s="534" t="str">
        <x:v>Loss</x:v>
      </x:c>
      <x:c r="J11" s="538" t="n">
        <x:v>0</x:v>
      </x:c>
      <x:c r="K11" s="538" t="n">
        <x:v>-0.89</x:v>
      </x:c>
      <x:c r="L11" s="31" t="str">
        <x:v>HR satellite</x:v>
      </x:c>
      <x:c r="M11" s="31" t="str"/>
    </x:row>
    <x:row r="12" ht="38" customHeight="1">
      <x:c r="A12" s="31" t="str">
        <x:v>2026-08-24</x:v>
      </x:c>
      <x:c r="B12" s="31" t="str">
        <x:v>A24-T08</x:v>
      </x:c>
      <x:c r="C12" s="31" t="str">
        <x:v>ADJUSTED</x:v>
      </x:c>
      <x:c r="D12" s="31" t="str">
        <x:v>Caminero 2+ HRR + PCA 2+ TB + Tatis 1+ hit</x:v>
      </x:c>
      <x:c r="E12" s="538" t="n">
        <x:v>1</x:v>
      </x:c>
      <x:c r="F12" s="80" t="n">
        <x:v>323</x:v>
      </x:c>
      <x:c r="G12" s="534" t="str">
        <x:v>N</x:v>
      </x:c>
      <x:c r="H12" s="80" t="n">
        <x:v>3</x:v>
      </x:c>
      <x:c r="I12" s="534" t="str">
        <x:v>Loss</x:v>
      </x:c>
      <x:c r="J12" s="538" t="n">
        <x:v>0</x:v>
      </x:c>
      <x:c r="K12" s="538" t="n">
        <x:v>-1</x:v>
      </x:c>
      <x:c r="L12" s="31" t="str"/>
      <x:c r="M12" s="31" t="str">
        <x:v>Replaced Burns K over; original also would have lost.</x:v>
      </x:c>
    </x:row>
    <x:row r="13" ht="38" customHeight="1">
      <x:c r="A13" s="31" t="str">
        <x:v>2026-08-24</x:v>
      </x:c>
      <x:c r="B13" s="31" t="str">
        <x:v>A24-T09</x:v>
      </x:c>
      <x:c r="C13" s="31" t="str">
        <x:v>SOURCED_ORIGINAL</x:v>
      </x:c>
      <x:c r="D13" s="31" t="str">
        <x:v>Robbie Ray O16.5 outs + Atlanta -9.5</x:v>
      </x:c>
      <x:c r="E13" s="538" t="n">
        <x:v>1</x:v>
      </x:c>
      <x:c r="F13" s="80" t="n">
        <x:v>190</x:v>
      </x:c>
      <x:c r="G13" s="534" t="str">
        <x:v>N</x:v>
      </x:c>
      <x:c r="H13" s="80" t="n">
        <x:v>2</x:v>
      </x:c>
      <x:c r="I13" s="534" t="str">
        <x:v>Loss</x:v>
      </x:c>
      <x:c r="J13" s="538" t="n">
        <x:v>0</x:v>
      </x:c>
      <x:c r="K13" s="538" t="n">
        <x:v>-1</x:v>
      </x:c>
      <x:c r="L13" s="31" t="str"/>
      <x:c r="M13" s="31" t="str"/>
    </x:row>
    <x:row r="14" ht="38" customHeight="1">
      <x:c r="A14" s="31" t="str">
        <x:v>2026-08-24</x:v>
      </x:c>
      <x:c r="B14" s="31" t="str">
        <x:v>A24-T10</x:v>
      </x:c>
      <x:c r="C14" s="31" t="str">
        <x:v>SOURCED_ORIGINAL</x:v>
      </x:c>
      <x:c r="D14" s="31" t="str">
        <x:v>TB/DET NRFI + BOS/MIA NRFI + PHI/SEA NRFI</x:v>
      </x:c>
      <x:c r="E14" s="538" t="n">
        <x:v>1</x:v>
      </x:c>
      <x:c r="F14" s="80" t="n">
        <x:v>374</x:v>
      </x:c>
      <x:c r="G14" s="534" t="str">
        <x:v>N</x:v>
      </x:c>
      <x:c r="H14" s="80" t="n">
        <x:v>3</x:v>
      </x:c>
      <x:c r="I14" s="534" t="str">
        <x:v>Loss</x:v>
      </x:c>
      <x:c r="J14" s="538" t="n">
        <x:v>0</x:v>
      </x:c>
      <x:c r="K14" s="538" t="n">
        <x:v>-1</x:v>
      </x:c>
      <x:c r="L14" s="31" t="str"/>
      <x:c r="M14" s="31" t="str"/>
    </x:row>
    <x:row r="15" ht="38" customHeight="1">
      <x:c r="A15" s="31" t="str">
        <x:v>2026-08-24</x:v>
      </x:c>
      <x:c r="B15" s="31" t="str">
        <x:v>A24-T11</x:v>
      </x:c>
      <x:c r="C15" s="31" t="str">
        <x:v>SOURCED_ORIGINAL</x:v>
      </x:c>
      <x:c r="D15" s="31" t="str">
        <x:v>Zebby U4.5 Ks + Framber &lt;=7 hits</x:v>
      </x:c>
      <x:c r="E15" s="538" t="n">
        <x:v>1</x:v>
      </x:c>
      <x:c r="F15" s="80" t="n">
        <x:v>112</x:v>
      </x:c>
      <x:c r="G15" s="534" t="str">
        <x:v>N</x:v>
      </x:c>
      <x:c r="H15" s="80" t="n">
        <x:v>2</x:v>
      </x:c>
      <x:c r="I15" s="534" t="str">
        <x:v>Loss</x:v>
      </x:c>
      <x:c r="J15" s="538" t="n">
        <x:v>0</x:v>
      </x:c>
      <x:c r="K15" s="538" t="n">
        <x:v>-1</x:v>
      </x:c>
      <x:c r="L15" s="31" t="str"/>
      <x:c r="M15" s="31" t="str"/>
    </x:row>
    <x:row r="16" ht="38" customHeight="1">
      <x:c r="A16" s="31" t="str">
        <x:v>2026-08-24</x:v>
      </x:c>
      <x:c r="B16" s="31" t="str">
        <x:v>A24-T12</x:v>
      </x:c>
      <x:c r="C16" s="31" t="str">
        <x:v>ROLLER</x:v>
      </x:c>
      <x:c r="D16" s="31" t="str">
        <x:v>Olivia Miles 15+ points + Janelle Salaun 10+ points</x:v>
      </x:c>
      <x:c r="E16" s="538" t="n">
        <x:v>25.62</x:v>
      </x:c>
      <x:c r="F16" s="80" t="n">
        <x:v>-145</x:v>
      </x:c>
      <x:c r="G16" s="534" t="str">
        <x:v>N</x:v>
      </x:c>
      <x:c r="H16" s="80" t="n">
        <x:v>2</x:v>
      </x:c>
      <x:c r="I16" s="534" t="str">
        <x:v>Loss</x:v>
      </x:c>
      <x:c r="J16" s="538" t="n">
        <x:v>0</x:v>
      </x:c>
      <x:c r="K16" s="538" t="n">
        <x:v>-25.62</x:v>
      </x:c>
      <x:c r="L16" s="31" t="str">
        <x:v>Roller</x:v>
      </x:c>
      <x:c r="M16" s="31" t="str">
        <x:v>Roller strategy retired permanently.</x:v>
      </x:c>
    </x:row>
    <x:row r="17" ht="38" customHeight="1">
      <x:c r="A17" s="31" t="str">
        <x:v>2026-08-25</x:v>
      </x:c>
      <x:c r="B17" s="31" t="str">
        <x:v>A25-T01</x:v>
      </x:c>
      <x:c r="C17" s="31" t="str">
        <x:v>DISCOVERED</x:v>
      </x:c>
      <x:c r="D17" s="31" t="str">
        <x:v>Ethan Pecko U14.5 outs</x:v>
      </x:c>
      <x:c r="E17" s="538" t="n">
        <x:v>1</x:v>
      </x:c>
      <x:c r="F17" s="80" t="n">
        <x:v>-106</x:v>
      </x:c>
      <x:c r="G17" s="534" t="str">
        <x:v>N</x:v>
      </x:c>
      <x:c r="H17" s="80" t="n">
        <x:v>1</x:v>
      </x:c>
      <x:c r="I17" s="534" t="str">
        <x:v>Win</x:v>
      </x:c>
      <x:c r="J17" s="538" t="n">
        <x:v>1.9433962264150944</x:v>
      </x:c>
      <x:c r="K17" s="538" t="n">
        <x:v>0.9433962264150944</x:v>
      </x:c>
      <x:c r="L17" s="31" t="str"/>
      <x:c r="M17" s="31" t="str"/>
    </x:row>
    <x:row r="18" ht="38" customHeight="1">
      <x:c r="A18" s="31" t="str">
        <x:v>2026-08-25</x:v>
      </x:c>
      <x:c r="B18" s="31" t="str">
        <x:v>A25-T02</x:v>
      </x:c>
      <x:c r="C18" s="31" t="str">
        <x:v>DISCOVERED</x:v>
      </x:c>
      <x:c r="D18" s="31" t="str">
        <x:v>Max Scherzer U3.5 Ks</x:v>
      </x:c>
      <x:c r="E18" s="538" t="n">
        <x:v>1</x:v>
      </x:c>
      <x:c r="F18" s="80" t="n">
        <x:v>126</x:v>
      </x:c>
      <x:c r="G18" s="534" t="str">
        <x:v>N</x:v>
      </x:c>
      <x:c r="H18" s="80" t="n">
        <x:v>1</x:v>
      </x:c>
      <x:c r="I18" s="534" t="str">
        <x:v>Loss</x:v>
      </x:c>
      <x:c r="J18" s="538" t="n">
        <x:v>0</x:v>
      </x:c>
      <x:c r="K18" s="538" t="n">
        <x:v>-1</x:v>
      </x:c>
      <x:c r="L18" s="31" t="str"/>
      <x:c r="M18" s="31" t="str"/>
    </x:row>
    <x:row r="19" ht="38" customHeight="1">
      <x:c r="A19" s="31" t="str">
        <x:v>2026-08-25</x:v>
      </x:c>
      <x:c r="B19" s="31" t="str">
        <x:v>A25-T03</x:v>
      </x:c>
      <x:c r="C19" s="31" t="str">
        <x:v>SOURCED</x:v>
      </x:c>
      <x:c r="D19" s="31" t="str">
        <x:v>Nick Sogard 2+ TB</x:v>
      </x:c>
      <x:c r="E19" s="538" t="n">
        <x:v>1</x:v>
      </x:c>
      <x:c r="F19" s="80" t="n">
        <x:v>138</x:v>
      </x:c>
      <x:c r="G19" s="534" t="str">
        <x:v>N</x:v>
      </x:c>
      <x:c r="H19" s="80" t="n">
        <x:v>1</x:v>
      </x:c>
      <x:c r="I19" s="534" t="str">
        <x:v>Loss</x:v>
      </x:c>
      <x:c r="J19" s="538" t="n">
        <x:v>0</x:v>
      </x:c>
      <x:c r="K19" s="538" t="n">
        <x:v>-1</x:v>
      </x:c>
      <x:c r="L19" s="31" t="str"/>
      <x:c r="M19" s="31" t="str"/>
    </x:row>
    <x:row r="20" ht="38" customHeight="1">
      <x:c r="A20" s="31" t="str">
        <x:v>2026-08-25</x:v>
      </x:c>
      <x:c r="B20" s="31" t="str">
        <x:v>A25-T04</x:v>
      </x:c>
      <x:c r="C20" s="31" t="str">
        <x:v>DISCOVERED</x:v>
      </x:c>
      <x:c r="D20" s="31" t="str">
        <x:v>Yordan Alvarez 2+ TB</x:v>
      </x:c>
      <x:c r="E20" s="538" t="n">
        <x:v>1</x:v>
      </x:c>
      <x:c r="F20" s="80" t="n">
        <x:v>-105</x:v>
      </x:c>
      <x:c r="G20" s="534" t="str">
        <x:v>N</x:v>
      </x:c>
      <x:c r="H20" s="80" t="n">
        <x:v>1</x:v>
      </x:c>
      <x:c r="I20" s="534" t="str">
        <x:v>Win</x:v>
      </x:c>
      <x:c r="J20" s="538" t="n">
        <x:v>1.9523809523809523</x:v>
      </x:c>
      <x:c r="K20" s="538" t="n">
        <x:v>0.9523809523809523</x:v>
      </x:c>
      <x:c r="L20" s="31" t="str"/>
      <x:c r="M20" s="31" t="str"/>
    </x:row>
    <x:row r="21" ht="38" customHeight="1">
      <x:c r="A21" s="31" t="str">
        <x:v>2026-08-25</x:v>
      </x:c>
      <x:c r="B21" s="31" t="str">
        <x:v>A25-T05</x:v>
      </x:c>
      <x:c r="C21" s="31" t="str">
        <x:v>SOURCED</x:v>
      </x:c>
      <x:c r="D21" s="31" t="str">
        <x:v>Shakira Austin O27.5 P+R</x:v>
      </x:c>
      <x:c r="E21" s="538" t="n">
        <x:v>1</x:v>
      </x:c>
      <x:c r="F21" s="80" t="n">
        <x:v>-112</x:v>
      </x:c>
      <x:c r="G21" s="534" t="str">
        <x:v>N</x:v>
      </x:c>
      <x:c r="H21" s="80" t="n">
        <x:v>1</x:v>
      </x:c>
      <x:c r="I21" s="534" t="str">
        <x:v>Loss</x:v>
      </x:c>
      <x:c r="J21" s="538" t="n">
        <x:v>0</x:v>
      </x:c>
      <x:c r="K21" s="538" t="n">
        <x:v>-1</x:v>
      </x:c>
      <x:c r="L21" s="31" t="str"/>
      <x:c r="M21" s="31" t="str"/>
    </x:row>
    <x:row r="22" ht="38" customHeight="1">
      <x:c r="A22" s="31" t="str">
        <x:v>2026-08-25</x:v>
      </x:c>
      <x:c r="B22" s="31" t="str">
        <x:v>A25-T06</x:v>
      </x:c>
      <x:c r="C22" s="31" t="str">
        <x:v>HYBRID</x:v>
      </x:c>
      <x:c r="D22" s="31" t="str">
        <x:v>Max Muncy HR</x:v>
      </x:c>
      <x:c r="E22" s="538" t="n">
        <x:v>1</x:v>
      </x:c>
      <x:c r="F22" s="80" t="n">
        <x:v>335</x:v>
      </x:c>
      <x:c r="G22" s="534" t="str">
        <x:v>N</x:v>
      </x:c>
      <x:c r="H22" s="80" t="n">
        <x:v>1</x:v>
      </x:c>
      <x:c r="I22" s="534" t="str">
        <x:v>Loss</x:v>
      </x:c>
      <x:c r="J22" s="538" t="n">
        <x:v>0</x:v>
      </x:c>
      <x:c r="K22" s="538" t="n">
        <x:v>-1</x:v>
      </x:c>
      <x:c r="L22" s="31" t="str">
        <x:v>HR single</x:v>
      </x:c>
      <x:c r="M22" s="31" t="str"/>
    </x:row>
    <x:row r="23" ht="38" customHeight="1">
      <x:c r="A23" s="31" t="str">
        <x:v>2026-08-25</x:v>
      </x:c>
      <x:c r="B23" s="31" t="str">
        <x:v>A25-T07</x:v>
      </x:c>
      <x:c r="C23" s="31" t="str">
        <x:v>HYBRID</x:v>
      </x:c>
      <x:c r="D23" s="31" t="str">
        <x:v>Aaron Nola O5.5 Ks + Michael King O17.5 outs</x:v>
      </x:c>
      <x:c r="E23" s="538" t="n">
        <x:v>1</x:v>
      </x:c>
      <x:c r="F23" s="80" t="n">
        <x:v>225</x:v>
      </x:c>
      <x:c r="G23" s="534" t="str">
        <x:v>N</x:v>
      </x:c>
      <x:c r="H23" s="80" t="n">
        <x:v>2</x:v>
      </x:c>
      <x:c r="I23" s="534" t="str">
        <x:v>Win</x:v>
      </x:c>
      <x:c r="J23" s="538" t="n">
        <x:v>3.25</x:v>
      </x:c>
      <x:c r="K23" s="538" t="n">
        <x:v>2.25</x:v>
      </x:c>
      <x:c r="L23" s="31" t="str"/>
      <x:c r="M23" s="31" t="str"/>
    </x:row>
    <x:row r="24" ht="38" customHeight="1">
      <x:c r="A24" s="31" t="str">
        <x:v>2026-08-25</x:v>
      </x:c>
      <x:c r="B24" s="31" t="str">
        <x:v>A25-T08</x:v>
      </x:c>
      <x:c r="C24" s="31" t="str">
        <x:v>HYBRID</x:v>
      </x:c>
      <x:c r="D24" s="31" t="str">
        <x:v>Freeman 1+ hit + Yordan 1+ hit + Witt 1+ hit</x:v>
      </x:c>
      <x:c r="E24" s="538" t="n">
        <x:v>1</x:v>
      </x:c>
      <x:c r="F24" s="80" t="n">
        <x:v>164</x:v>
      </x:c>
      <x:c r="G24" s="534" t="str">
        <x:v>N</x:v>
      </x:c>
      <x:c r="H24" s="80" t="n">
        <x:v>3</x:v>
      </x:c>
      <x:c r="I24" s="534" t="str">
        <x:v>Loss</x:v>
      </x:c>
      <x:c r="J24" s="538" t="n">
        <x:v>0</x:v>
      </x:c>
      <x:c r="K24" s="538" t="n">
        <x:v>-1</x:v>
      </x:c>
      <x:c r="L24" s="31" t="str"/>
      <x:c r="M24" s="31" t="str"/>
    </x:row>
    <x:row r="25" ht="38" customHeight="1">
      <x:c r="A25" s="31" t="str">
        <x:v>2026-08-25</x:v>
      </x:c>
      <x:c r="B25" s="31" t="str">
        <x:v>A25-T09</x:v>
      </x:c>
      <x:c r="C25" s="31" t="str">
        <x:v>CREATED</x:v>
      </x:c>
      <x:c r="D25" s="31" t="str">
        <x:v>Ohtani 1+ hit + Elder U4.5 Ks + Freeman 2+ TB</x:v>
      </x:c>
      <x:c r="E25" s="538" t="n">
        <x:v>1</x:v>
      </x:c>
      <x:c r="F25" s="80" t="n">
        <x:v>385</x:v>
      </x:c>
      <x:c r="G25" s="534" t="str">
        <x:v>Y</x:v>
      </x:c>
      <x:c r="H25" s="80" t="n">
        <x:v>3</x:v>
      </x:c>
      <x:c r="I25" s="534" t="str">
        <x:v>Loss</x:v>
      </x:c>
      <x:c r="J25" s="538" t="n">
        <x:v>0</x:v>
      </x:c>
      <x:c r="K25" s="538" t="n">
        <x:v>-1</x:v>
      </x:c>
      <x:c r="L25" s="31" t="str">
        <x:v>MLB SGP boost</x:v>
      </x:c>
      <x:c r="M25" s="31" t="str">
        <x:v>Raw price shown +296; promo qualification should be checked pre-submit next time.</x:v>
      </x:c>
    </x:row>
    <x:row r="26" ht="38" customHeight="1">
      <x:c r="A26" s="31" t="str">
        <x:v>2026-08-25</x:v>
      </x:c>
      <x:c r="B26" s="31" t="str">
        <x:v>A25-T10</x:v>
      </x:c>
      <x:c r="C26" s="31" t="str">
        <x:v>ADJUSTED</x:v>
      </x:c>
      <x:c r="D26" s="31" t="str">
        <x:v>CLE/LAA NRFI + PIT/SD NRFI</x:v>
      </x:c>
      <x:c r="E26" s="538" t="n">
        <x:v>1</x:v>
      </x:c>
      <x:c r="F26" s="80" t="n">
        <x:v>164</x:v>
      </x:c>
      <x:c r="G26" s="534" t="str">
        <x:v>N</x:v>
      </x:c>
      <x:c r="H26" s="80" t="n">
        <x:v>2</x:v>
      </x:c>
      <x:c r="I26" s="534" t="str">
        <x:v>Loss</x:v>
      </x:c>
      <x:c r="J26" s="538" t="n">
        <x:v>0</x:v>
      </x:c>
      <x:c r="K26" s="538" t="n">
        <x:v>-1</x:v>
      </x:c>
      <x:c r="L26" s="31" t="str"/>
      <x:c r="M26" s="31" t="str">
        <x:v>Removed BOS/MIA NRFI from source 3-leg; removed leg won.</x:v>
      </x:c>
    </x:row>
    <x:row r="27" ht="38" customHeight="1">
      <x:c r="A27" s="31" t="str">
        <x:v>2026-08-22</x:v>
      </x:c>
      <x:c r="B27" s="31" t="str">
        <x:v>A22-T01</x:v>
      </x:c>
      <x:c r="C27" s="31" t="str">
        <x:v>SOURCED</x:v>
      </x:c>
      <x:c r="D27" s="31" t="str">
        <x:v>Jones 5+ Ks + Atlanta Dream ML</x:v>
      </x:c>
      <x:c r="E27" s="538" t="n">
        <x:v>1</x:v>
      </x:c>
      <x:c r="F27" s="80" t="n">
        <x:v>126</x:v>
      </x:c>
      <x:c r="G27" s="534" t="str">
        <x:v>N</x:v>
      </x:c>
      <x:c r="H27" s="80" t="n">
        <x:v>2</x:v>
      </x:c>
      <x:c r="I27" s="534" t="str"/>
      <x:c r="J27" s="538" t="str"/>
      <x:c r="K27" s="538" t="str"/>
      <x:c r="L27" s="31" t="str"/>
      <x:c r="M27" s="31" t="str">
        <x:v>Backfilled from project context; result pending exact reconciliation.</x:v>
      </x:c>
    </x:row>
    <x:row r="28" ht="38" customHeight="1">
      <x:c r="A28" s="31" t="str">
        <x:v>2026-08-22</x:v>
      </x:c>
      <x:c r="B28" s="31" t="str">
        <x:v>A22-T02</x:v>
      </x:c>
      <x:c r="C28" s="31" t="str">
        <x:v>SOURCED</x:v>
      </x:c>
      <x:c r="D28" s="31" t="str">
        <x:v>Yandy Diaz 1+ hit + Bobby Witt Jr. 1+ hit + Willson Contreras 1+ hit</x:v>
      </x:c>
      <x:c r="E28" s="538" t="n">
        <x:v>1</x:v>
      </x:c>
      <x:c r="F28" s="80" t="n">
        <x:v>152</x:v>
      </x:c>
      <x:c r="G28" s="534" t="str">
        <x:v>N</x:v>
      </x:c>
      <x:c r="H28" s="80" t="n">
        <x:v>3</x:v>
      </x:c>
      <x:c r="I28" s="534" t="str"/>
      <x:c r="J28" s="538" t="str"/>
      <x:c r="K28" s="538" t="str"/>
      <x:c r="L28" s="31" t="str"/>
      <x:c r="M28" s="31" t="str">
        <x:v>Backfilled from project context; result pending.</x:v>
      </x:c>
    </x:row>
    <x:row r="29" ht="38" customHeight="1">
      <x:c r="A29" s="31" t="str">
        <x:v>2026-08-22</x:v>
      </x:c>
      <x:c r="B29" s="31" t="str">
        <x:v>A22-T03</x:v>
      </x:c>
      <x:c r="C29" s="31" t="str">
        <x:v>SOURCED</x:v>
      </x:c>
      <x:c r="D29" s="31" t="str">
        <x:v>Tatis 2+ TB + Lindor 1+ hit</x:v>
      </x:c>
      <x:c r="E29" s="538" t="n">
        <x:v>1</x:v>
      </x:c>
      <x:c r="F29" s="80" t="n">
        <x:v>188</x:v>
      </x:c>
      <x:c r="G29" s="534" t="str">
        <x:v>N</x:v>
      </x:c>
      <x:c r="H29" s="80" t="n">
        <x:v>2</x:v>
      </x:c>
      <x:c r="I29" s="534" t="str"/>
      <x:c r="J29" s="538" t="str"/>
      <x:c r="K29" s="538" t="str"/>
      <x:c r="L29" s="31" t="str"/>
      <x:c r="M29" s="31" t="str">
        <x:v>Backfilled from project context; result pending.</x:v>
      </x:c>
    </x:row>
    <x:row r="30" ht="38" customHeight="1">
      <x:c r="A30" s="31" t="str">
        <x:v>2026-08-22</x:v>
      </x:c>
      <x:c r="B30" s="31" t="str">
        <x:v>A22-T04</x:v>
      </x:c>
      <x:c r="C30" s="31" t="str">
        <x:v>SOURCED</x:v>
      </x:c>
      <x:c r="D30" s="31" t="str">
        <x:v>McClanahan 4+ Ks + Painter 3+ Ks + Skubal 8+ Ks</x:v>
      </x:c>
      <x:c r="E30" s="538" t="n">
        <x:v>1</x:v>
      </x:c>
      <x:c r="F30" s="80" t="n">
        <x:v>207</x:v>
      </x:c>
      <x:c r="G30" s="534" t="str">
        <x:v>Y</x:v>
      </x:c>
      <x:c r="H30" s="80" t="n">
        <x:v>3</x:v>
      </x:c>
      <x:c r="I30" s="534" t="str"/>
      <x:c r="J30" s="538" t="str"/>
      <x:c r="K30" s="538" t="str"/>
      <x:c r="L30" s="31" t="str"/>
      <x:c r="M30" s="31" t="str">
        <x:v>Backfilled from project context; result pending.</x:v>
      </x:c>
    </x:row>
    <x:row r="31" ht="38" customHeight="1">
      <x:c r="A31" s="31" t="str">
        <x:v>2026-08-22</x:v>
      </x:c>
      <x:c r="B31" s="31" t="str">
        <x:v>A22-T05</x:v>
      </x:c>
      <x:c r="C31" s="31" t="str">
        <x:v>SOURCED</x:v>
      </x:c>
      <x:c r="D31" s="31" t="str">
        <x:v>Scott 5+ Ks + Bichette 1+ hit + Lindor 2+ HRR + Kwan 1+ hit + DeLauter 1+ hit</x:v>
      </x:c>
      <x:c r="E31" s="538" t="n">
        <x:v>1</x:v>
      </x:c>
      <x:c r="F31" s="80" t="n">
        <x:v>300</x:v>
      </x:c>
      <x:c r="G31" s="534" t="str">
        <x:v>Y</x:v>
      </x:c>
      <x:c r="H31" s="80" t="n">
        <x:v>5</x:v>
      </x:c>
      <x:c r="I31" s="534" t="str"/>
      <x:c r="J31" s="538" t="str"/>
      <x:c r="K31" s="538" t="str"/>
      <x:c r="L31" s="31" t="str">
        <x:v>SGPx</x:v>
      </x:c>
      <x:c r="M31" s="31" t="str">
        <x:v>Approx. +300 from prior project context; final price/result pending.</x:v>
      </x:c>
    </x:row>
    <x:row r="32" ht="38" customHeight="1">
      <x:c r="A32" s="31" t="str">
        <x:v>2026-08-22</x:v>
      </x:c>
      <x:c r="B32" s="31" t="str">
        <x:v>A22-T06</x:v>
      </x:c>
      <x:c r="C32" s="31" t="str">
        <x:v>SOURCED</x:v>
      </x:c>
      <x:c r="D32" s="31" t="str">
        <x:v>Brandon Lowe 2+ TB + Corey Seager 2+ TB</x:v>
      </x:c>
      <x:c r="E32" s="538" t="n">
        <x:v>1</x:v>
      </x:c>
      <x:c r="F32" s="80" t="n">
        <x:v>324</x:v>
      </x:c>
      <x:c r="G32" s="534" t="str">
        <x:v>N</x:v>
      </x:c>
      <x:c r="H32" s="80" t="n">
        <x:v>2</x:v>
      </x:c>
      <x:c r="I32" s="534" t="str"/>
      <x:c r="J32" s="538" t="str"/>
      <x:c r="K32" s="538" t="str"/>
      <x:c r="L32" s="31" t="str"/>
      <x:c r="M32" s="31" t="str">
        <x:v>Backfilled from project context; result pending.</x:v>
      </x:c>
    </x:row>
    <x:row r="33" ht="38" customHeight="1">
      <x:c r="A33" s="31" t="str">
        <x:v>2026-08-22</x:v>
      </x:c>
      <x:c r="B33" s="31" t="str">
        <x:v>A22-T07</x:v>
      </x:c>
      <x:c r="C33" s="31" t="str">
        <x:v>SOURCED</x:v>
      </x:c>
      <x:c r="D33" s="31" t="str">
        <x:v>Soroka O15.5 outs + Wilyer 2+ HRR + Howard 20+ P+A + Clark 8+ AST</x:v>
      </x:c>
      <x:c r="E33" s="538" t="n">
        <x:v>1</x:v>
      </x:c>
      <x:c r="F33" s="80" t="n">
        <x:v>410</x:v>
      </x:c>
      <x:c r="G33" s="534" t="str">
        <x:v>Y</x:v>
      </x:c>
      <x:c r="H33" s="80" t="n">
        <x:v>4</x:v>
      </x:c>
      <x:c r="I33" s="534" t="str"/>
      <x:c r="J33" s="538" t="str"/>
      <x:c r="K33" s="538" t="str"/>
      <x:c r="L33" s="31" t="str"/>
      <x:c r="M33" s="31" t="str">
        <x:v>Backfilled from project context; result pending.</x:v>
      </x:c>
    </x:row>
    <x:row r="34" ht="38" customHeight="1">
      <x:c r="A34" s="31" t="str">
        <x:v>2026-08-22</x:v>
      </x:c>
      <x:c r="B34" s="31" t="str">
        <x:v>A22-T08</x:v>
      </x:c>
      <x:c r="C34" s="31" t="str">
        <x:v>SOURCED</x:v>
      </x:c>
      <x:c r="D34" s="31" t="str">
        <x:v>Jordan Walker 2+ HRR + Pete Alonso 2+ HRR + Ceddanne Rafaela 2+ HRR</x:v>
      </x:c>
      <x:c r="E34" s="538" t="n">
        <x:v>1</x:v>
      </x:c>
      <x:c r="F34" s="80" t="n">
        <x:v>467</x:v>
      </x:c>
      <x:c r="G34" s="534" t="str">
        <x:v>N</x:v>
      </x:c>
      <x:c r="H34" s="80" t="n">
        <x:v>3</x:v>
      </x:c>
      <x:c r="I34" s="534" t="str"/>
      <x:c r="J34" s="538" t="str"/>
      <x:c r="K34" s="538" t="str"/>
      <x:c r="L34" s="31" t="str"/>
      <x:c r="M34" s="31" t="str">
        <x:v>Backfilled from project context; result pending.</x:v>
      </x:c>
    </x:row>
    <x:row r="35" ht="38" customHeight="1">
      <x:c r="A35" s="31" t="str">
        <x:v>2026-08-22</x:v>
      </x:c>
      <x:c r="B35" s="31" t="str">
        <x:v>A22-T09</x:v>
      </x:c>
      <x:c r="C35" s="31" t="str">
        <x:v>HYBRID</x:v>
      </x:c>
      <x:c r="D35" s="31" t="str">
        <x:v>PCA 2+ TB + Pete Alonso 2+ H+R+RBI + Painter 3+ Ks</x:v>
      </x:c>
      <x:c r="E35" s="538" t="n">
        <x:v>1</x:v>
      </x:c>
      <x:c r="F35" s="80" t="str"/>
      <x:c r="G35" s="534" t="str">
        <x:v>N</x:v>
      </x:c>
      <x:c r="H35" s="80" t="n">
        <x:v>3</x:v>
      </x:c>
      <x:c r="I35" s="534" t="str"/>
      <x:c r="J35" s="538" t="str"/>
      <x:c r="K35" s="538" t="str"/>
      <x:c r="L35" s="31" t="str"/>
      <x:c r="M35" s="31" t="str">
        <x:v>Additional placed card from project context; exact odds/result pending.</x:v>
      </x:c>
    </x:row>
    <x:row r="36" ht="38" customHeight="1">
      <x:c r="A36" s="31" t="str">
        <x:v>2026-08-22</x:v>
      </x:c>
      <x:c r="B36" s="31" t="str">
        <x:v>A22-T10</x:v>
      </x:c>
      <x:c r="C36" s="31" t="str">
        <x:v>SOURCED</x:v>
      </x:c>
      <x:c r="D36" s="31" t="str">
        <x:v>Dead NRFI ticket — matchup pending reconstruction</x:v>
      </x:c>
      <x:c r="E36" s="538" t="n">
        <x:v>1</x:v>
      </x:c>
      <x:c r="F36" s="80" t="str"/>
      <x:c r="G36" s="534" t="str">
        <x:v>N</x:v>
      </x:c>
      <x:c r="H36" s="80" t="str"/>
      <x:c r="I36" s="534" t="str">
        <x:v>Loss</x:v>
      </x:c>
      <x:c r="J36" s="538" t="n">
        <x:v>0</x:v>
      </x:c>
      <x:c r="K36" s="538" t="n">
        <x:v>-1</x:v>
      </x:c>
      <x:c r="L36" s="31" t="str">
        <x:v>NRFI</x:v>
      </x:c>
      <x:c r="M36" s="31" t="str">
        <x:v>Known dead $1 NRFI; exact matchup still needs reconstruction.</x:v>
      </x:c>
    </x:row>
    <x:row r="37" ht="38" customHeight="1">
      <x:c r="A37" s="31" t="str">
        <x:v>2026-08-23</x:v>
      </x:c>
      <x:c r="B37" s="31" t="str">
        <x:v>A23-T01</x:v>
      </x:c>
      <x:c r="C37" s="31" t="str">
        <x:v>SOURCED</x:v>
      </x:c>
      <x:c r="D37" s="31" t="str">
        <x:v>STL/PHI NRFI + CHC/SEA NRFI</x:v>
      </x:c>
      <x:c r="E37" s="538" t="n">
        <x:v>1</x:v>
      </x:c>
      <x:c r="F37" s="80" t="n">
        <x:v>194</x:v>
      </x:c>
      <x:c r="G37" s="534" t="str">
        <x:v>N</x:v>
      </x:c>
      <x:c r="H37" s="80" t="n">
        <x:v>2</x:v>
      </x:c>
      <x:c r="I37" s="534" t="str">
        <x:v>Loss</x:v>
      </x:c>
      <x:c r="J37" s="538" t="n">
        <x:v>0</x:v>
      </x:c>
      <x:c r="K37" s="538" t="n">
        <x:v>-1</x:v>
      </x:c>
      <x:c r="L37" s="31" t="str"/>
      <x:c r="M37" s="31" t="str"/>
    </x:row>
    <x:row r="38" ht="38" customHeight="1">
      <x:c r="A38" s="31" t="str">
        <x:v>2026-08-23</x:v>
      </x:c>
      <x:c r="B38" s="31" t="str">
        <x:v>A23-T02</x:v>
      </x:c>
      <x:c r="C38" s="31" t="str">
        <x:v>SOURCED</x:v>
      </x:c>
      <x:c r="D38" s="31" t="str">
        <x:v>Ohtani 2+ TB + Tatis 2+ TB + Carroll 2+ TB</x:v>
      </x:c>
      <x:c r="E38" s="538" t="n">
        <x:v>1</x:v>
      </x:c>
      <x:c r="F38" s="80" t="n">
        <x:v>578</x:v>
      </x:c>
      <x:c r="G38" s="534" t="str">
        <x:v>N</x:v>
      </x:c>
      <x:c r="H38" s="80" t="n">
        <x:v>3</x:v>
      </x:c>
      <x:c r="I38" s="534" t="str">
        <x:v>Loss</x:v>
      </x:c>
      <x:c r="J38" s="538" t="n">
        <x:v>0</x:v>
      </x:c>
      <x:c r="K38" s="538" t="n">
        <x:v>-1</x:v>
      </x:c>
      <x:c r="L38" s="31" t="str"/>
      <x:c r="M38" s="31" t="str">
        <x:v>Ohtani miss killed ticket; other legs pending exact reconciliation.</x:v>
      </x:c>
    </x:row>
    <x:row r="39" ht="38" customHeight="1">
      <x:c r="A39" s="31" t="str">
        <x:v>2026-08-23</x:v>
      </x:c>
      <x:c r="B39" s="31" t="str">
        <x:v>A23-T03</x:v>
      </x:c>
      <x:c r="C39" s="31" t="str">
        <x:v>SOURCED</x:v>
      </x:c>
      <x:c r="D39" s="31" t="str">
        <x:v>Cardoso O27.5 PRA + Bryce Miller O4.5 hits allowed + McLean O17.5 outs</x:v>
      </x:c>
      <x:c r="E39" s="538" t="n">
        <x:v>1</x:v>
      </x:c>
      <x:c r="F39" s="80" t="n">
        <x:v>453</x:v>
      </x:c>
      <x:c r="G39" s="534" t="str">
        <x:v>N</x:v>
      </x:c>
      <x:c r="H39" s="80" t="n">
        <x:v>3</x:v>
      </x:c>
      <x:c r="I39" s="534" t="str">
        <x:v>Loss</x:v>
      </x:c>
      <x:c r="J39" s="538" t="n">
        <x:v>0</x:v>
      </x:c>
      <x:c r="K39" s="538" t="n">
        <x:v>-1</x:v>
      </x:c>
      <x:c r="L39" s="31" t="str"/>
      <x:c r="M39" s="31" t="str">
        <x:v>Miller leg missed; other unresolved details preserved.</x:v>
      </x:c>
    </x:row>
    <x:row r="40" ht="38" customHeight="1">
      <x:c r="A40" s="31" t="str">
        <x:v>2026-08-23</x:v>
      </x:c>
      <x:c r="B40" s="31" t="str">
        <x:v>A23-T04</x:v>
      </x:c>
      <x:c r="C40" s="31" t="str">
        <x:v>SOURCED</x:v>
      </x:c>
      <x:c r="D40" s="31" t="str">
        <x:v>WNBA +131 ticket — legs pending reconstruction</x:v>
      </x:c>
      <x:c r="E40" s="538" t="n">
        <x:v>1</x:v>
      </x:c>
      <x:c r="F40" s="80" t="n">
        <x:v>131</x:v>
      </x:c>
      <x:c r="G40" s="534" t="str">
        <x:v>N</x:v>
      </x:c>
      <x:c r="H40" s="80" t="str"/>
      <x:c r="I40" s="534" t="str"/>
      <x:c r="J40" s="538" t="str"/>
      <x:c r="K40" s="538" t="str"/>
      <x:c r="L40" s="31" t="str"/>
      <x:c r="M40" s="31" t="str">
        <x:v>Ticket existed on placed card; exact legs/result still need screenshot reconciliation.</x:v>
      </x:c>
    </x:row>
    <x:row r="41" ht="38" customHeight="1">
      <x:c r="A41" s="31" t="str">
        <x:v>2026-08-23</x:v>
      </x:c>
      <x:c r="B41" s="31" t="str">
        <x:v>A23-T05</x:v>
      </x:c>
      <x:c r="C41" s="31" t="str">
        <x:v>HYBRID</x:v>
      </x:c>
      <x:c r="D41" s="31" t="str">
        <x:v>McLean O17.5 outs + Ohtani 2+ TB + Martinez 4+ Ks</x:v>
      </x:c>
      <x:c r="E41" s="538" t="n">
        <x:v>1</x:v>
      </x:c>
      <x:c r="F41" s="80" t="n">
        <x:v>421</x:v>
      </x:c>
      <x:c r="G41" s="534" t="str">
        <x:v>N</x:v>
      </x:c>
      <x:c r="H41" s="80" t="n">
        <x:v>3</x:v>
      </x:c>
      <x:c r="I41" s="534" t="str">
        <x:v>Loss</x:v>
      </x:c>
      <x:c r="J41" s="538" t="n">
        <x:v>0</x:v>
      </x:c>
      <x:c r="K41" s="538" t="n">
        <x:v>-1</x:v>
      </x:c>
      <x:c r="L41" s="31" t="str"/>
      <x:c r="M41" s="31" t="str">
        <x:v>McLean and Martinez hit; Ohtani missed.</x:v>
      </x:c>
    </x:row>
    <x:row r="42" ht="38" customHeight="1">
      <x:c r="A42" s="31" t="str">
        <x:v>2026-08-23</x:v>
      </x:c>
      <x:c r="B42" s="31" t="str">
        <x:v>A23-T06</x:v>
      </x:c>
      <x:c r="C42" s="31" t="str">
        <x:v>SOURCED</x:v>
      </x:c>
      <x:c r="D42" s="31" t="str">
        <x:v>Soriano 5+ Ks + Martinez 4+ Ks + Imanaga 5+ Ks</x:v>
      </x:c>
      <x:c r="E42" s="538" t="n">
        <x:v>1</x:v>
      </x:c>
      <x:c r="F42" s="80" t="n">
        <x:v>263</x:v>
      </x:c>
      <x:c r="G42" s="534" t="str">
        <x:v>N</x:v>
      </x:c>
      <x:c r="H42" s="80" t="n">
        <x:v>3</x:v>
      </x:c>
      <x:c r="I42" s="534" t="str">
        <x:v>Loss</x:v>
      </x:c>
      <x:c r="J42" s="538" t="n">
        <x:v>0</x:v>
      </x:c>
      <x:c r="K42" s="538" t="n">
        <x:v>-1</x:v>
      </x:c>
      <x:c r="L42" s="31" t="str"/>
      <x:c r="M42" s="31" t="str">
        <x:v>Soriano/Martinez hit; Imanaga finished at 4.</x:v>
      </x:c>
    </x:row>
    <x:row r="43" ht="38" customHeight="1">
      <x:c r="A43" s="31" t="str">
        <x:v>2026-08-23</x:v>
      </x:c>
      <x:c r="B43" s="31" t="str">
        <x:v>A23-T07</x:v>
      </x:c>
      <x:c r="C43" s="31" t="str">
        <x:v>SOURCED</x:v>
      </x:c>
      <x:c r="D43" s="31" t="str">
        <x:v>Neto 1+ hit + Kody Clemens 1+ hit + Michael Harris II 1+ hit</x:v>
      </x:c>
      <x:c r="E43" s="538" t="n">
        <x:v>1</x:v>
      </x:c>
      <x:c r="F43" s="80" t="n">
        <x:v>244</x:v>
      </x:c>
      <x:c r="G43" s="534" t="str">
        <x:v>N</x:v>
      </x:c>
      <x:c r="H43" s="80" t="n">
        <x:v>3</x:v>
      </x:c>
      <x:c r="I43" s="534" t="str">
        <x:v>Loss</x:v>
      </x:c>
      <x:c r="J43" s="538" t="n">
        <x:v>0</x:v>
      </x:c>
      <x:c r="K43" s="538" t="n">
        <x:v>-1</x:v>
      </x:c>
      <x:c r="L43" s="31" t="str"/>
      <x:c r="M43" s="31" t="str">
        <x:v>Neto hit; Clemens missed; Harris result pending.</x:v>
      </x:c>
    </x:row>
    <x:row r="44" ht="38" customHeight="1">
      <x:c r="A44" s="31" t="str">
        <x:v>2026-08-23</x:v>
      </x:c>
      <x:c r="B44" s="31" t="str">
        <x:v>A23-T08</x:v>
      </x:c>
      <x:c r="C44" s="31" t="str">
        <x:v>SOURCED</x:v>
      </x:c>
      <x:c r="D44" s="31" t="str">
        <x:v>Mitchell/Austin roller</x:v>
      </x:c>
      <x:c r="E44" s="538" t="n">
        <x:v>14.99</x:v>
      </x:c>
      <x:c r="F44" s="80" t="n">
        <x:v>-143</x:v>
      </x:c>
      <x:c r="G44" s="534" t="str">
        <x:v>N</x:v>
      </x:c>
      <x:c r="H44" s="80" t="n">
        <x:v>2</x:v>
      </x:c>
      <x:c r="I44" s="534" t="str"/>
      <x:c r="J44" s="538" t="str"/>
      <x:c r="K44" s="538" t="str"/>
      <x:c r="L44" s="31" t="str">
        <x:v>Roller</x:v>
      </x:c>
      <x:c r="M44" s="31" t="str">
        <x:v>Exact thresholds/result pending reconstruction.</x:v>
      </x:c>
    </x:row>
    <x:row r="45" ht="38" customHeight="1">
      <x:c r="A45" s="31" t="str">
        <x:v>2026-08-23</x:v>
      </x:c>
      <x:c r="B45" s="31" t="str">
        <x:v>A23-T09</x:v>
      </x:c>
      <x:c r="C45" s="31" t="str">
        <x:v>SOURCED</x:v>
      </x:c>
      <x:c r="D45" s="31" t="str">
        <x:v>Citron + Engstler + WAS/POR O166.5</x:v>
      </x:c>
      <x:c r="E45" s="538" t="n">
        <x:v>1</x:v>
      </x:c>
      <x:c r="F45" s="80" t="n">
        <x:v>475</x:v>
      </x:c>
      <x:c r="G45" s="534" t="str">
        <x:v>Y</x:v>
      </x:c>
      <x:c r="H45" s="80" t="n">
        <x:v>3</x:v>
      </x:c>
      <x:c r="I45" s="534" t="str"/>
      <x:c r="J45" s="538" t="str"/>
      <x:c r="K45" s="538" t="str"/>
      <x:c r="L45" s="31" t="str">
        <x:v>WNBA boost</x:v>
      </x:c>
      <x:c r="M45" s="31" t="str">
        <x:v>Exact player markets/result pending reconstruction.</x:v>
      </x:c>
    </x:row>
    <x:row r="46" ht="38" customHeight="1">
      <x:c r="A46" s="31" t="str">
        <x:v>2026-08-23</x:v>
      </x:c>
      <x:c r="B46" s="31" t="str">
        <x:v>A23-T10</x:v>
      </x:c>
      <x:c r="C46" s="31" t="str">
        <x:v>SOURCED</x:v>
      </x:c>
      <x:c r="D46" s="31" t="str">
        <x:v>Drohan + Chourio + Mahle</x:v>
      </x:c>
      <x:c r="E46" s="538" t="n">
        <x:v>1</x:v>
      </x:c>
      <x:c r="F46" s="80" t="n">
        <x:v>410</x:v>
      </x:c>
      <x:c r="G46" s="534" t="str">
        <x:v>N</x:v>
      </x:c>
      <x:c r="H46" s="80" t="n">
        <x:v>3</x:v>
      </x:c>
      <x:c r="I46" s="534" t="str"/>
      <x:c r="J46" s="538" t="str"/>
      <x:c r="K46" s="538" t="str"/>
      <x:c r="L46" s="31" t="str"/>
      <x:c r="M46" s="31" t="str">
        <x:v>Exact markets/result pending reconstruction.</x:v>
      </x:c>
    </x:row>
    <x:row r="47" ht="38" customHeight="1">
      <x:c r="A47" s="31" t="str">
        <x:v>2026-08-23</x:v>
      </x:c>
      <x:c r="B47" s="31" t="str">
        <x:v>A23-T11</x:v>
      </x:c>
      <x:c r="C47" s="31" t="str">
        <x:v>SOURCED</x:v>
      </x:c>
      <x:c r="D47" s="31" t="str">
        <x:v>Jackson Chourio 2+ TB</x:v>
      </x:c>
      <x:c r="E47" s="538" t="n">
        <x:v>5</x:v>
      </x:c>
      <x:c r="F47" s="80" t="n">
        <x:v>127</x:v>
      </x:c>
      <x:c r="G47" s="534" t="str">
        <x:v>N</x:v>
      </x:c>
      <x:c r="H47" s="80" t="n">
        <x:v>1</x:v>
      </x:c>
      <x:c r="I47" s="534" t="str"/>
      <x:c r="J47" s="538" t="str"/>
      <x:c r="K47" s="538" t="str"/>
      <x:c r="L47" s="31" t="str">
        <x:v>Conviction single</x:v>
      </x:c>
      <x:c r="M47" s="31" t="str">
        <x:v>Outcome pending reconstruction.</x:v>
      </x:c>
    </x:row>
    <x:row r="48" ht="38" customHeight="1">
      <x:c r="A48" s="31" t="str">
        <x:v>2026-08-26</x:v>
      </x:c>
      <x:c r="B48" s="31" t="str">
        <x:v>A26-T01</x:v>
      </x:c>
      <x:c r="C48" s="31" t="str">
        <x:v>HYBRID</x:v>
      </x:c>
      <x:c r="D48" s="31" t="str">
        <x:v>Real Madrid ML + O3.5 goals + Real Madrid O6.5 team corners</x:v>
      </x:c>
      <x:c r="E48" s="538" t="n">
        <x:v>1</x:v>
      </x:c>
      <x:c r="F48" s="80" t="n">
        <x:v>328</x:v>
      </x:c>
      <x:c r="G48" s="534" t="str">
        <x:v>Y</x:v>
      </x:c>
      <x:c r="H48" s="80" t="n">
        <x:v>3</x:v>
      </x:c>
      <x:c r="I48" s="534" t="str">
        <x:v>Loss</x:v>
      </x:c>
      <x:c r="J48" s="538" t="n">
        <x:v>0</x:v>
      </x:c>
      <x:c r="K48" s="538" t="n">
        <x:v>-1</x:v>
      </x:c>
      <x:c r="L48" s="31" t="str">
        <x:v>25% Real Madrid SGP boost</x:v>
      </x:c>
      <x:c r="M48" s="31" t="str">
        <x:v>Madrid lost only on RMA O6.5 team corners. ML and O3.5 goals won; O10.5 total-corners pregame alternative would have cashed. Execution O/U mistake did not change final outcome.</x:v>
      </x:c>
    </x:row>
    <x:row r="49" ht="38" customHeight="1">
      <x:c r="A49" s="31" t="str">
        <x:v>2026-08-26</x:v>
      </x:c>
      <x:c r="B49" s="31" t="str">
        <x:v>A26-T02</x:v>
      </x:c>
      <x:c r="C49" s="31" t="str">
        <x:v>HYBRID</x:v>
      </x:c>
      <x:c r="D49" s="31" t="str">
        <x:v>Cleveland Guardians ML — 2 Runs Up Early Win</x:v>
      </x:c>
      <x:c r="E49" s="538" t="n">
        <x:v>1</x:v>
      </x:c>
      <x:c r="F49" s="80" t="n">
        <x:v>-135</x:v>
      </x:c>
      <x:c r="G49" s="534" t="str">
        <x:v>Y</x:v>
      </x:c>
      <x:c r="H49" s="80" t="n">
        <x:v>1</x:v>
      </x:c>
      <x:c r="I49" s="534" t="str">
        <x:v>Win</x:v>
      </x:c>
      <x:c r="J49" s="538" t="n">
        <x:v>1.74</x:v>
      </x:c>
      <x:c r="K49" s="538" t="n">
        <x:v>0.74</x:v>
      </x:c>
      <x:c r="L49" s="31" t="str">
        <x:v>Up 2 Early Win</x:v>
      </x:c>
      <x:c r="M49" s="31" t="str">
        <x:v>CLE won 4-3. Early Win two-run trigger never activated; standard ML still cashed.</x:v>
      </x:c>
    </x:row>
    <x:row r="50" ht="38" customHeight="1">
      <x:c r="A50" s="31" t="str">
        <x:v>2026-08-26</x:v>
      </x:c>
      <x:c r="B50" s="31" t="str">
        <x:v>A26-T03</x:v>
      </x:c>
      <x:c r="C50" s="31" t="str">
        <x:v>DISCOVERED</x:v>
      </x:c>
      <x:c r="D50" s="31" t="str">
        <x:v>Jesús Luzardo 8+ strikeouts</x:v>
      </x:c>
      <x:c r="E50" s="538" t="n">
        <x:v>1</x:v>
      </x:c>
      <x:c r="F50" s="80" t="n">
        <x:v>-114</x:v>
      </x:c>
      <x:c r="G50" s="534" t="str">
        <x:v>Y</x:v>
      </x:c>
      <x:c r="H50" s="80" t="n">
        <x:v>1</x:v>
      </x:c>
      <x:c r="I50" s="534" t="str">
        <x:v>Win</x:v>
      </x:c>
      <x:c r="J50" s="538" t="n">
        <x:v>1.88</x:v>
      </x:c>
      <x:c r="K50" s="538" t="n">
        <x:v>0.88</x:v>
      </x:c>
      <x:c r="L50" s="31" t="str">
        <x:v>50% MLB Strikeouts Boost</x:v>
      </x:c>
      <x:c r="M50" s="31" t="str">
        <x:v>Luzardo 8+ Ks won with 9. Boosted price -114; base -172.</x:v>
      </x:c>
    </x:row>
    <x:row r="51" ht="38" customHeight="1">
      <x:c r="A51" s="31" t="str">
        <x:v>2026-08-26</x:v>
      </x:c>
      <x:c r="B51" s="31" t="str">
        <x:v>A26-T04</x:v>
      </x:c>
      <x:c r="C51" s="31" t="str">
        <x:v>DISCOVERED</x:v>
      </x:c>
      <x:c r="D51" s="31" t="str">
        <x:v>Bryan Woo U17.5 outs</x:v>
      </x:c>
      <x:c r="E51" s="538" t="n">
        <x:v>1</x:v>
      </x:c>
      <x:c r="F51" s="80" t="n">
        <x:v>-112</x:v>
      </x:c>
      <x:c r="G51" s="534" t="str">
        <x:v>N</x:v>
      </x:c>
      <x:c r="H51" s="80" t="n">
        <x:v>1</x:v>
      </x:c>
      <x:c r="I51" s="534" t="str">
        <x:v>Win</x:v>
      </x:c>
      <x:c r="J51" s="538" t="n">
        <x:v>1.89</x:v>
      </x:c>
      <x:c r="K51" s="538" t="n">
        <x:v>0.89</x:v>
      </x:c>
      <x:c r="L51" s="31" t="str"/>
      <x:c r="M51" s="31" t="str">
        <x:v>Woo U17.5 outs won comfortably: 4.0 IP / 12 outs.</x:v>
      </x:c>
    </x:row>
    <x:row r="52" ht="38" customHeight="1">
      <x:c r="A52" s="31" t="str">
        <x:v>2026-08-26</x:v>
      </x:c>
      <x:c r="B52" s="31" t="str">
        <x:v>A26-T05</x:v>
      </x:c>
      <x:c r="C52" s="31" t="str">
        <x:v>DISCOVERED</x:v>
      </x:c>
      <x:c r="D52" s="31" t="str">
        <x:v>Yordan Alvarez 2+ TB + Sal Stewart 1+ H+R+RBI</x:v>
      </x:c>
      <x:c r="E52" s="538" t="n">
        <x:v>1</x:v>
      </x:c>
      <x:c r="F52" s="80" t="n">
        <x:v>158</x:v>
      </x:c>
      <x:c r="G52" s="534" t="str">
        <x:v>N</x:v>
      </x:c>
      <x:c r="H52" s="80" t="n">
        <x:v>2</x:v>
      </x:c>
      <x:c r="I52" s="534" t="str">
        <x:v>Loss</x:v>
      </x:c>
      <x:c r="J52" s="538" t="n">
        <x:v>0</x:v>
      </x:c>
      <x:c r="K52" s="538" t="n">
        <x:v>-1</x:v>
      </x:c>
      <x:c r="L52" s="31" t="str"/>
      <x:c r="M52" s="31" t="str">
        <x:v>Sal 1+ HRR won; Yordan 2+ TB lost by one base (1-for-4 single). Market-expression/threshold miss.</x:v>
      </x:c>
    </x:row>
    <x:row r="53" ht="38" customHeight="1">
      <x:c r="A53" s="31" t="str">
        <x:v>2026-08-26</x:v>
      </x:c>
      <x:c r="B53" s="31" t="str">
        <x:v>A26-T06</x:v>
      </x:c>
      <x:c r="C53" s="31" t="str">
        <x:v>DISCOVERED</x:v>
      </x:c>
      <x:c r="D53" s="31" t="str">
        <x:v>Randy Dobnak U15.5 outs</x:v>
      </x:c>
      <x:c r="E53" s="538" t="n">
        <x:v>1</x:v>
      </x:c>
      <x:c r="F53" s="80" t="n">
        <x:v>-101</x:v>
      </x:c>
      <x:c r="G53" s="534" t="str">
        <x:v>N</x:v>
      </x:c>
      <x:c r="H53" s="80" t="n">
        <x:v>1</x:v>
      </x:c>
      <x:c r="I53" s="534" t="str">
        <x:v>Loss</x:v>
      </x:c>
      <x:c r="J53" s="538" t="n">
        <x:v>0</x:v>
      </x:c>
      <x:c r="K53" s="538" t="n">
        <x:v>-1</x:v>
      </x:c>
      <x:c r="L53" s="31" t="str"/>
      <x:c r="M53" s="31" t="str">
        <x:v>Dobnak U15.5 lost: 6.0 IP / 18 outs. Paper U16.5 also lost; bad workload handicap, not threshold choice.</x:v>
      </x:c>
    </x:row>
    <x:row r="54" ht="38" customHeight="1">
      <x:c r="A54" s="31" t="str">
        <x:v>2026-08-27</x:v>
      </x:c>
      <x:c r="B54" s="31" t="str">
        <x:v>A27-T01</x:v>
      </x:c>
      <x:c r="C54" s="31" t="str">
        <x:v>DISCOVERED</x:v>
      </x:c>
      <x:c r="D54" s="31" t="str">
        <x:v>Gabriel Hughes U15.5 outs</x:v>
      </x:c>
      <x:c r="E54" s="538" t="n">
        <x:v>1</x:v>
      </x:c>
      <x:c r="F54" s="80" t="n">
        <x:v>-125</x:v>
      </x:c>
      <x:c r="G54" s="534" t="str">
        <x:v>N</x:v>
      </x:c>
      <x:c r="H54" s="80" t="n">
        <x:v>1</x:v>
      </x:c>
      <x:c r="I54" s="534" t="str">
        <x:v>Win</x:v>
      </x:c>
      <x:c r="J54" s="538" t="n">
        <x:v>1.8</x:v>
      </x:c>
      <x:c r="K54" s="538" t="n">
        <x:v>0.8</x:v>
      </x:c>
      <x:c r="L54" s="31" t="str"/>
      <x:c r="M54" s="31" t="str">
        <x:v>Placed at -125. Independent EXP-01 workload/outs candidate.</x:v>
      </x:c>
    </x:row>
    <x:row r="55" ht="38" customHeight="1">
      <x:c r="A55" s="31" t="str">
        <x:v>2026-08-27</x:v>
      </x:c>
      <x:c r="B55" s="31" t="str">
        <x:v>A27-T02</x:v>
      </x:c>
      <x:c r="C55" s="31" t="str">
        <x:v>HYBRID</x:v>
      </x:c>
      <x:c r="D55" s="31" t="str">
        <x:v>Barcelona -1.5 + BTTS No + O9.5 total corners</x:v>
      </x:c>
      <x:c r="E55" s="538" t="n">
        <x:v>1</x:v>
      </x:c>
      <x:c r="F55" s="80" t="n">
        <x:v>407</x:v>
      </x:c>
      <x:c r="G55" s="534" t="str">
        <x:v>Y</x:v>
      </x:c>
      <x:c r="H55" s="80" t="n">
        <x:v>3</x:v>
      </x:c>
      <x:c r="I55" s="534" t="str">
        <x:v>Win</x:v>
      </x:c>
      <x:c r="J55" s="538" t="n">
        <x:v>5.07</x:v>
      </x:c>
      <x:c r="K55" s="538" t="n">
        <x:v>4.07</x:v>
      </x:c>
      <x:c r="L55" s="31" t="str">
        <x:v>25% Barcelona SGP boost</x:v>
      </x:c>
      <x:c r="M55" s="31" t="str">
        <x:v>Raw +325; boosted +407. Total corners chosen over Barcelona team corners.</x:v>
      </x:c>
    </x:row>
    <x:row r="56" ht="38" customHeight="1">
      <x:c r="A56" s="31" t="str">
        <x:v>2026-08-27</x:v>
      </x:c>
      <x:c r="B56" s="31" t="str">
        <x:v>A27-T03</x:v>
      </x:c>
      <x:c r="C56" s="31" t="str">
        <x:v>HYBRID</x:v>
      </x:c>
      <x:c r="D56" s="31" t="str">
        <x:v>Walker 2+ HRR + Witt 2+ HRR + Caglianone 2+ HRR</x:v>
      </x:c>
      <x:c r="E56" s="538" t="n">
        <x:v>1</x:v>
      </x:c>
      <x:c r="F56" s="80" t="n">
        <x:v>568</x:v>
      </x:c>
      <x:c r="G56" s="534" t="str">
        <x:v>Y</x:v>
      </x:c>
      <x:c r="H56" s="80" t="n">
        <x:v>3</x:v>
      </x:c>
      <x:c r="I56" s="534" t="str">
        <x:v>Win</x:v>
      </x:c>
      <x:c r="J56" s="538" t="n">
        <x:v>6.68</x:v>
      </x:c>
      <x:c r="K56" s="538" t="n">
        <x:v>5.68</x:v>
      </x:c>
      <x:c r="L56" s="31" t="str">
        <x:v>50% MLB SGP(x) boost</x:v>
      </x:c>
      <x:c r="M56" s="31" t="str">
        <x:v>Raw +378; boosted +568. Witt + Caglianone form KC/TOR SGP core; Walker is outside SGPx leg.</x:v>
      </x:c>
    </x:row>
    <x:row r="57" ht="38" customHeight="1">
      <x:c r="A57" s="31" t="str">
        <x:v>2026-08-27</x:v>
      </x:c>
      <x:c r="B57" s="31" t="str">
        <x:v>A27-T04</x:v>
      </x:c>
      <x:c r="C57" s="31" t="str">
        <x:v>HYBRID</x:v>
      </x:c>
      <x:c r="D57" s="31" t="str">
        <x:v>Alyssa Thomas 8+ assists</x:v>
      </x:c>
      <x:c r="E57" s="538" t="n">
        <x:v>1</x:v>
      </x:c>
      <x:c r="F57" s="80" t="n">
        <x:v>-112</x:v>
      </x:c>
      <x:c r="G57" s="534" t="str">
        <x:v>Y</x:v>
      </x:c>
      <x:c r="H57" s="80" t="n">
        <x:v>1</x:v>
      </x:c>
      <x:c r="I57" s="534" t="str">
        <x:v>Win</x:v>
      </x:c>
      <x:c r="J57" s="538" t="n">
        <x:v>1.89</x:v>
      </x:c>
      <x:c r="K57" s="538" t="n">
        <x:v>0.89</x:v>
      </x:c>
      <x:c r="L57" s="31" t="str">
        <x:v>30% WNBA player prop boost</x:v>
      </x:c>
      <x:c r="M57" s="31" t="str">
        <x:v>Raw -147; boosted to -112. Lower 8+ threshold chosen over 9+ +112.</x:v>
      </x:c>
    </x:row>
    <x:row r="58" ht="38" customHeight="1">
      <x:c r="A58" s="31" t="str">
        <x:v>2026-08-28</x:v>
      </x:c>
      <x:c r="B58" s="31" t="str">
        <x:v>A28-T01</x:v>
      </x:c>
      <x:c r="C58" s="31" t="str">
        <x:v>HYBRID</x:v>
      </x:c>
      <x:c r="D58" s="31" t="str">
        <x:v>Jackie Young 5+ REB + Naz Hillmon O14.5 P+R + Dearica Hamby 15+ P+R</x:v>
      </x:c>
      <x:c r="E58" s="538" t="n">
        <x:v>1</x:v>
      </x:c>
      <x:c r="F58" s="80" t="n">
        <x:v>463</x:v>
      </x:c>
      <x:c r="G58" s="534" t="str">
        <x:v>Y</x:v>
      </x:c>
      <x:c r="H58" s="80" t="n">
        <x:v>3</x:v>
      </x:c>
      <x:c r="I58" s="534" t="str">
        <x:v>Loss</x:v>
      </x:c>
      <x:c r="J58" s="538" t="n">
        <x:v>0</x:v>
      </x:c>
      <x:c r="K58" s="538" t="n">
        <x:v>-1</x:v>
      </x:c>
      <x:c r="L58" s="31" t="str">
        <x:v>30% WNBA 3-leg +300 boost</x:v>
      </x:c>
      <x:c r="M58" s="31" t="str">
        <x:v>Final: Young 4 REB L; Hillmon 19 P+R W; Hamby 13 P+R L. Ticket 1/3.</x:v>
      </x:c>
    </x:row>
    <x:row r="59" ht="38" customHeight="1">
      <x:c r="A59" s="31" t="str">
        <x:v>2026-08-28</x:v>
      </x:c>
      <x:c r="B59" s="31" t="str">
        <x:v>A28-T02</x:v>
      </x:c>
      <x:c r="C59" s="31" t="str">
        <x:v>HYBRID</x:v>
      </x:c>
      <x:c r="D59" s="31" t="str">
        <x:v>Man City ML + Bayern ML + Lille/PSG BTTS Yes</x:v>
      </x:c>
      <x:c r="E59" s="538" t="n">
        <x:v>1</x:v>
      </x:c>
      <x:c r="F59" s="80" t="n">
        <x:v>236</x:v>
      </x:c>
      <x:c r="G59" s="534" t="str">
        <x:v>N</x:v>
      </x:c>
      <x:c r="H59" s="80" t="n">
        <x:v>3</x:v>
      </x:c>
      <x:c r="I59" s="534" t="str">
        <x:v>Win</x:v>
      </x:c>
      <x:c r="J59" s="538" t="n">
        <x:v>3.36</x:v>
      </x:c>
      <x:c r="K59" s="538" t="n">
        <x:v>2.36</x:v>
      </x:c>
      <x:c r="L59" s="31" t="str"/>
      <x:c r="M59" s="31" t="str">
        <x:v>Final: Man City ML W (4-1), Bayern ML W (5-1), Lille/PSG BTTS W (2-2). Ticket 3/3.</x:v>
      </x:c>
    </x:row>
    <x:row r="60" ht="38" customHeight="1">
      <x:c r="A60" s="31" t="str">
        <x:v>2026-08-28</x:v>
      </x:c>
      <x:c r="B60" s="31" t="str">
        <x:v>A28-T03</x:v>
      </x:c>
      <x:c r="C60" s="31" t="str">
        <x:v>HYBRID</x:v>
      </x:c>
      <x:c r="D60" s="31" t="str">
        <x:v>Dylan Cease O7.5 K + Matt Olson 2+ TB + Tomoyuki Sugano O5.5 hits allowed</x:v>
      </x:c>
      <x:c r="E60" s="538" t="n">
        <x:v>1</x:v>
      </x:c>
      <x:c r="F60" s="80" t="n">
        <x:v>545</x:v>
      </x:c>
      <x:c r="G60" s="534" t="str">
        <x:v>Y</x:v>
      </x:c>
      <x:c r="H60" s="80" t="n">
        <x:v>3</x:v>
      </x:c>
      <x:c r="I60" s="534" t="str">
        <x:v>Loss</x:v>
      </x:c>
      <x:c r="J60" s="538" t="n">
        <x:v>0</x:v>
      </x:c>
      <x:c r="K60" s="538" t="n">
        <x:v>-1</x:v>
      </x:c>
      <x:c r="L60" s="31" t="str">
        <x:v>50% MLB 3-leg +300 SGP(x) boost</x:v>
      </x:c>
      <x:c r="M60" s="31" t="str">
        <x:v>Final: Cease O7.5 K W (8); Olson 2+ TB L (1 TB); Sugano O5.5 HA W (10). Ticket 2/3.</x:v>
      </x:c>
    </x:row>
    <x:row r="61" ht="38" customHeight="1">
      <x:c r="A61" s="31" t="str">
        <x:v>2026-08-28</x:v>
      </x:c>
      <x:c r="B61" s="31" t="str">
        <x:v>A28-T04</x:v>
      </x:c>
      <x:c r="C61" s="31" t="str">
        <x:v>HYBRID</x:v>
      </x:c>
      <x:c r="D61" s="31" t="str">
        <x:v>Matt Olson HR</x:v>
      </x:c>
      <x:c r="E61" s="538" t="n">
        <x:v>1</x:v>
      </x:c>
      <x:c r="F61" s="80" t="n">
        <x:v>356</x:v>
      </x:c>
      <x:c r="G61" s="534" t="str">
        <x:v>Y</x:v>
      </x:c>
      <x:c r="H61" s="80" t="n">
        <x:v>1</x:v>
      </x:c>
      <x:c r="I61" s="534" t="str">
        <x:v>Loss</x:v>
      </x:c>
      <x:c r="J61" s="538" t="n">
        <x:v>0</x:v>
      </x:c>
      <x:c r="K61" s="538" t="n">
        <x:v>-1</x:v>
      </x:c>
      <x:c r="L61" s="31" t="str">
        <x:v>50% MLB Home Run boost</x:v>
      </x:c>
      <x:c r="M61" s="31" t="str">
        <x:v>Final: Matt Olson 1-for-5, no HR.</x:v>
      </x:c>
    </x:row>
    <x:row r="62" ht="38" customHeight="1">
      <x:c r="A62" s="31" t="str">
        <x:v>2026-08-29</x:v>
      </x:c>
      <x:c r="B62" s="31" t="str">
        <x:v>A29-T01</x:v>
      </x:c>
      <x:c r="C62" s="31" t="str">
        <x:v>HYBRID</x:v>
      </x:c>
      <x:c r="D62" s="31" t="str">
        <x:v>Bournemouth/Everton O1.5 goals + Dortmund O6.5 team corners + Tottenham/Newcastle O2.5 goals</x:v>
      </x:c>
      <x:c r="E62" s="538" t="n">
        <x:v>1</x:v>
      </x:c>
      <x:c r="F62" s="80" t="n">
        <x:v>242</x:v>
      </x:c>
      <x:c r="G62" s="534" t="str">
        <x:v>N</x:v>
      </x:c>
      <x:c r="H62" s="80" t="n">
        <x:v>3</x:v>
      </x:c>
      <x:c r="I62" s="534" t="str">
        <x:v>Loss</x:v>
      </x:c>
      <x:c r="J62" s="538" t="n">
        <x:v>0</x:v>
      </x:c>
      <x:c r="K62" s="538" t="n">
        <x:v>-1</x:v>
      </x:c>
      <x:c r="L62" s="31" t="str"/>
      <x:c r="M62" s="31" t="str">
        <x:v>Final: BOU/EVE O1.5 W; Dortmund O6.5 team corners L; TOT/NEW O2.5 L. Original sourced Dortmund 2+ team goals won. Market-expression adjustment miss on Dortmund.</x:v>
      </x:c>
    </x:row>
    <x:row r="63" ht="38" customHeight="1">
      <x:c r="A63" s="31" t="str">
        <x:v>2026-08-29</x:v>
      </x:c>
      <x:c r="B63" s="31" t="str">
        <x:v>A29-T02</x:v>
      </x:c>
      <x:c r="C63" s="31" t="str">
        <x:v>HYBRID</x:v>
      </x:c>
      <x:c r="D63" s="31" t="str">
        <x:v>TCU -6.5 + Eastern Michigan -6.5 + Jacksonville State +10.5</x:v>
      </x:c>
      <x:c r="E63" s="538" t="n">
        <x:v>1</x:v>
      </x:c>
      <x:c r="F63" s="80" t="n">
        <x:v>450</x:v>
      </x:c>
      <x:c r="G63" s="534" t="str">
        <x:v>Y</x:v>
      </x:c>
      <x:c r="H63" s="80" t="n">
        <x:v>3</x:v>
      </x:c>
      <x:c r="I63" s="534" t="str">
        <x:v>Loss</x:v>
      </x:c>
      <x:c r="J63" s="538" t="n">
        <x:v>0</x:v>
      </x:c>
      <x:c r="K63" s="538" t="n">
        <x:v>-1</x:v>
      </x:c>
      <x:c r="L63" s="31" t="str">
        <x:v>CFB Week 0 50% Boost</x:v>
      </x:c>
      <x:c r="M63" s="31" t="str">
        <x:v>Raw +299; final boosted +450. TCU -6.5 L (UNC 15-10); EMU -6.5 W (28-17); JAX +10.5 L (NDSU 33-7). Ticket 1/3.</x:v>
      </x:c>
    </x:row>
    <x:row r="64" ht="38" customHeight="1">
      <x:c r="A64" s="31" t="str">
        <x:v>2026-08-29</x:v>
      </x:c>
      <x:c r="B64" s="31" t="str">
        <x:v>A29-T03</x:v>
      </x:c>
      <x:c r="C64" s="31" t="str">
        <x:v>HYBRID</x:v>
      </x:c>
      <x:c r="D64" s="31" t="str">
        <x:v>King Miller 60+ rushing + Hawaii +4.5 + Memphis/UNLV O56.5</x:v>
      </x:c>
      <x:c r="E64" s="538" t="n">
        <x:v>1</x:v>
      </x:c>
      <x:c r="F64" s="80" t="n">
        <x:v>650</x:v>
      </x:c>
      <x:c r="G64" s="534" t="str">
        <x:v>Y</x:v>
      </x:c>
      <x:c r="H64" s="80" t="n">
        <x:v>3</x:v>
      </x:c>
      <x:c r="I64" s="534" t="str">
        <x:v>Loss</x:v>
      </x:c>
      <x:c r="J64" s="538" t="n">
        <x:v>0</x:v>
      </x:c>
      <x:c r="K64" s="538" t="n">
        <x:v>-1</x:v>
      </x:c>
      <x:c r="L64" s="31" t="str">
        <x:v>CFB Week 0 50% Parlay Boost</x:v>
      </x:c>
      <x:c r="M64" s="31" t="str">
        <x:v>Raw +433; final boosted +650. King Miller 60+ W (63); Hawaii +4.5 L (27-37); MEM/UNLV O56.5 L (27-21 = 48). Ticket 1/3.</x:v>
      </x:c>
    </x:row>
    <x:row r="65" ht="38" customHeight="1">
      <x:c r="A65" s="31" t="str">
        <x:v>2026-08-29</x:v>
      </x:c>
      <x:c r="B65" s="31" t="str">
        <x:v>A29-T04</x:v>
      </x:c>
      <x:c r="C65" s="31" t="str">
        <x:v>HYBRID</x:v>
      </x:c>
      <x:c r="D65" s="31" t="str">
        <x:v>Tatis 2+ TB + Caminero 2+ HRR + Drake Baldwin 2+ TB</x:v>
      </x:c>
      <x:c r="E65" s="538" t="n">
        <x:v>1</x:v>
      </x:c>
      <x:c r="F65" s="80" t="n">
        <x:v>778</x:v>
      </x:c>
      <x:c r="G65" s="534" t="str">
        <x:v>Y</x:v>
      </x:c>
      <x:c r="H65" s="80" t="n">
        <x:v>3</x:v>
      </x:c>
      <x:c r="I65" s="534" t="str">
        <x:v>Loss</x:v>
      </x:c>
      <x:c r="J65" s="538" t="n">
        <x:v>0</x:v>
      </x:c>
      <x:c r="K65" s="538" t="n">
        <x:v>-1</x:v>
      </x:c>
      <x:c r="L65" s="31" t="str">
        <x:v>50% MLB SGP(x) boost</x:v>
      </x:c>
      <x:c r="M65" s="31" t="str">
        <x:v>Raw +518; boosted +778. Tatis L; Caminero W; Baldwin L. Two 2+ TB legs failed; composite HRR leg won.</x:v>
      </x:c>
    </x:row>
    <x:row r="66" ht="38" customHeight="1">
      <x:c r="A66" s="31" t="str">
        <x:v>2026-08-29</x:v>
      </x:c>
      <x:c r="B66" s="31" t="str">
        <x:v>A29-T05</x:v>
      </x:c>
      <x:c r="C66" s="31" t="str">
        <x:v>HYBRID</x:v>
      </x:c>
      <x:c r="D66" s="31" t="str">
        <x:v>MIA/WSH NRFI + KC/CLE NRFI</x:v>
      </x:c>
      <x:c r="E66" s="538" t="n">
        <x:v>1</x:v>
      </x:c>
      <x:c r="F66" s="80" t="n">
        <x:v>201</x:v>
      </x:c>
      <x:c r="G66" s="534" t="str">
        <x:v>N</x:v>
      </x:c>
      <x:c r="H66" s="80" t="n">
        <x:v>2</x:v>
      </x:c>
      <x:c r="I66" s="534" t="str">
        <x:v>Win</x:v>
      </x:c>
      <x:c r="J66" s="538" t="n">
        <x:v>3.01</x:v>
      </x:c>
      <x:c r="K66" s="538" t="n">
        <x:v>2.01</x:v>
      </x:c>
      <x:c r="L66" s="31" t="str"/>
      <x:c r="M66" s="31" t="str">
        <x:v>Both selected NRFIs won. SEA/TOR (the omitted third source leg) also won, so the pruning reduced ticket exposure/variance but did not improve the realized outcome on this slate.</x:v>
      </x:c>
    </x:row>
    <x:row r="67" ht="38" customHeight="1">
      <x:c r="A67" s="31" t="str">
        <x:v>2026-08-29</x:v>
      </x:c>
      <x:c r="B67" s="31" t="str">
        <x:v>A29-T06</x:v>
      </x:c>
      <x:c r="C67" s="31" t="str">
        <x:v>HYBRID</x:v>
      </x:c>
      <x:c r="D67" s="31" t="str">
        <x:v>Bryce Harper 2+ total bases</x:v>
      </x:c>
      <x:c r="E67" s="538" t="n">
        <x:v>1</x:v>
      </x:c>
      <x:c r="F67" s="80" t="n">
        <x:v>176</x:v>
      </x:c>
      <x:c r="G67" s="534" t="str">
        <x:v>Y</x:v>
      </x:c>
      <x:c r="H67" s="80" t="n">
        <x:v>1</x:v>
      </x:c>
      <x:c r="I67" s="534" t="str">
        <x:v>Loss</x:v>
      </x:c>
      <x:c r="J67" s="538" t="n">
        <x:v>0</x:v>
      </x:c>
      <x:c r="K67" s="538" t="n">
        <x:v>-1</x:v>
      </x:c>
      <x:c r="L67" s="31" t="str">
        <x:v>50% MLB Batter Props Boost</x:v>
      </x:c>
      <x:c r="M67" s="31" t="str">
        <x:v>Raw +117; boosted +176. Harper 2+ TB lost. Single structure was disciplined; result treated primarily as hitter/TB variance with some recent-form overweight risk.</x:v>
      </x:c>
    </x:row>
    <x:row r="68" ht="38" customHeight="1">
      <x:c r="A68" s="31" t="str">
        <x:v>2026-08-30</x:v>
      </x:c>
      <x:c r="B68" s="31" t="str">
        <x:v>A30-T01</x:v>
      </x:c>
      <x:c r="C68" s="31" t="str">
        <x:v>HYBRID</x:v>
      </x:c>
      <x:c r="D68" s="31" t="str">
        <x:v>Matthew Liberatore 6+ strikeouts</x:v>
      </x:c>
      <x:c r="E68" s="538" t="n">
        <x:v>1</x:v>
      </x:c>
      <x:c r="F68" s="80" t="n">
        <x:v>-138</x:v>
      </x:c>
      <x:c r="G68" s="534" t="str">
        <x:v>N</x:v>
      </x:c>
      <x:c r="H68" s="80" t="n">
        <x:v>1</x:v>
      </x:c>
      <x:c r="I68" s="534" t="str">
        <x:v>Win</x:v>
      </x:c>
      <x:c r="J68" s="538" t="n">
        <x:v>1.72</x:v>
      </x:c>
      <x:c r="K68" s="538" t="n">
        <x:v>0.72</x:v>
      </x:c>
      <x:c r="L68" s="31" t="str"/>
      <x:c r="M68" s="31" t="str">
        <x:v>Final: 9 K.</x:v>
      </x:c>
    </x:row>
    <x:row r="69" ht="38" customHeight="1">
      <x:c r="A69" s="31" t="str">
        <x:v>2026-08-30</x:v>
      </x:c>
      <x:c r="B69" s="31" t="str">
        <x:v>A30-T02</x:v>
      </x:c>
      <x:c r="C69" s="31" t="str">
        <x:v>HYBRID</x:v>
      </x:c>
      <x:c r="D69" s="31" t="str">
        <x:v>Christian Yelich 2+ H+R+RBI</x:v>
      </x:c>
      <x:c r="E69" s="538" t="n">
        <x:v>1</x:v>
      </x:c>
      <x:c r="F69" s="80" t="n">
        <x:v>-130</x:v>
      </x:c>
      <x:c r="G69" s="534" t="str">
        <x:v>N</x:v>
      </x:c>
      <x:c r="H69" s="80" t="n">
        <x:v>1</x:v>
      </x:c>
      <x:c r="I69" s="534" t="str">
        <x:v>Loss</x:v>
      </x:c>
      <x:c r="J69" s="538" t="n">
        <x:v>0</x:v>
      </x:c>
      <x:c r="K69" s="538" t="n">
        <x:v>-1</x:v>
      </x:c>
      <x:c r="L69" s="31" t="str"/>
      <x:c r="M69" s="31" t="str">
        <x:v>Final: 0-for-4, no H/R/RBI.</x:v>
      </x:c>
    </x:row>
    <x:row r="70" ht="38" customHeight="1">
      <x:c r="A70" s="31" t="str">
        <x:v>2026-08-30</x:v>
      </x:c>
      <x:c r="B70" s="31" t="str">
        <x:v>A30-T03</x:v>
      </x:c>
      <x:c r="C70" s="31" t="str">
        <x:v>DISCOVERED</x:v>
      </x:c>
      <x:c r="D70" s="31" t="str">
        <x:v>Will Warren O4.5 hits allowed</x:v>
      </x:c>
      <x:c r="E70" s="538" t="n">
        <x:v>1</x:v>
      </x:c>
      <x:c r="F70" s="80" t="n">
        <x:v>-148</x:v>
      </x:c>
      <x:c r="G70" s="534" t="str">
        <x:v>N</x:v>
      </x:c>
      <x:c r="H70" s="80" t="n">
        <x:v>1</x:v>
      </x:c>
      <x:c r="I70" s="534" t="str">
        <x:v>Win</x:v>
      </x:c>
      <x:c r="J70" s="538" t="n">
        <x:v>1.68</x:v>
      </x:c>
      <x:c r="K70" s="538" t="n">
        <x:v>0.68</x:v>
      </x:c>
      <x:c r="L70" s="31" t="str"/>
      <x:c r="M70" s="31" t="str">
        <x:v>Final: 6 hits allowed.</x:v>
      </x:c>
    </x:row>
    <x:row r="71" ht="38" customHeight="1">
      <x:c r="A71" s="31" t="str">
        <x:v>2026-08-30</x:v>
      </x:c>
      <x:c r="B71" s="31" t="str">
        <x:v>A30-T04</x:v>
      </x:c>
      <x:c r="C71" s="31" t="str">
        <x:v>HYBRID</x:v>
      </x:c>
      <x:c r="D71" s="31" t="str">
        <x:v>Real Madrid O2.5 team goals + Vinicius 1+ SOT + Mbappe 3+ SOT</x:v>
      </x:c>
      <x:c r="E71" s="538" t="n">
        <x:v>1</x:v>
      </x:c>
      <x:c r="F71" s="80" t="n">
        <x:v>120</x:v>
      </x:c>
      <x:c r="G71" s="534" t="str">
        <x:v>N</x:v>
      </x:c>
      <x:c r="H71" s="80" t="n">
        <x:v>3</x:v>
      </x:c>
      <x:c r="I71" s="534" t="str">
        <x:v>Loss</x:v>
      </x:c>
      <x:c r="J71" s="538" t="n">
        <x:v>0</x:v>
      </x:c>
      <x:c r="K71" s="538" t="n">
        <x:v>-1</x:v>
      </x:c>
      <x:c r="L71" s="31" t="str"/>
      <x:c r="M71" s="31" t="str">
        <x:v>Madrid goals W (4); Vini SOT L (0); Mbappe 3+ SOT W (4).</x:v>
      </x:c>
    </x:row>
    <x:row r="72" ht="38" customHeight="1">
      <x:c r="A72" s="31" t="str">
        <x:v>2026-08-30</x:v>
      </x:c>
      <x:c r="B72" s="31" t="str">
        <x:v>A30-T05</x:v>
      </x:c>
      <x:c r="C72" s="31" t="str">
        <x:v>HYBRID</x:v>
      </x:c>
      <x:c r="D72" s="31" t="str">
        <x:v>Mbeumo 1+ SOT + Bruno Fernandes 1+ SOT + Julio Enciso 2+ shots</x:v>
      </x:c>
      <x:c r="E72" s="538" t="n">
        <x:v>1</x:v>
      </x:c>
      <x:c r="F72" s="80" t="str"/>
      <x:c r="G72" s="534" t="str">
        <x:v>N</x:v>
      </x:c>
      <x:c r="H72" s="80" t="n">
        <x:v>3</x:v>
      </x:c>
      <x:c r="I72" s="534" t="str">
        <x:v>Win</x:v>
      </x:c>
      <x:c r="J72" s="538" t="str"/>
      <x:c r="K72" s="538" t="str"/>
      <x:c r="L72" s="31" t="str"/>
      <x:c r="M72" s="31" t="str">
        <x:v>All three legs won. Exact ticket odds/payout not recovered; retained as confirmed W without fabricated economics.</x:v>
      </x:c>
    </x:row>
    <x:row r="73" ht="38" customHeight="1">
      <x:c r="A73" s="31" t="str">
        <x:v>2026-08-30</x:v>
      </x:c>
      <x:c r="B73" s="31" t="str">
        <x:v>A30-T06</x:v>
      </x:c>
      <x:c r="C73" s="31" t="str">
        <x:v>HYBRID</x:v>
      </x:c>
      <x:c r="D73" s="31" t="str">
        <x:v>WNBA real ticket: Reese 12+ REB + Nneka 8+ REB + Engstler 10+ PTS</x:v>
      </x:c>
      <x:c r="E73" s="538" t="n">
        <x:v>1</x:v>
      </x:c>
      <x:c r="F73" s="80" t="str"/>
      <x:c r="G73" s="534" t="str">
        <x:v>N</x:v>
      </x:c>
      <x:c r="H73" s="80" t="n">
        <x:v>3</x:v>
      </x:c>
      <x:c r="I73" s="534" t="str">
        <x:v>Loss</x:v>
      </x:c>
      <x:c r="J73" s="538" t="n">
        <x:v>0</x:v>
      </x:c>
      <x:c r="K73" s="538" t="n">
        <x:v>-1</x:v>
      </x:c>
      <x:c r="L73" s="31" t="str"/>
      <x:c r="M73" s="31" t="str">
        <x:v>Reese L (11); Nneka W (12); Engstler W (12). Exact odds not recovered.</x:v>
      </x:c>
    </x:row>
    <x:row r="74" ht="38" customHeight="1">
      <x:c r="A74" s="31" t="str">
        <x:v>2026-08-30</x:v>
      </x:c>
      <x:c r="B74" s="31" t="str">
        <x:v>A30-T07</x:v>
      </x:c>
      <x:c r="C74" s="31" t="str">
        <x:v>HYBRID</x:v>
      </x:c>
      <x:c r="D74" s="31" t="str">
        <x:v>MLB real ticket including Yordan 2+ TB + Wheeler 7+ K + Bohm 2+ HRR</x:v>
      </x:c>
      <x:c r="E74" s="538" t="n">
        <x:v>1</x:v>
      </x:c>
      <x:c r="F74" s="80" t="str"/>
      <x:c r="G74" s="534" t="str">
        <x:v>Y</x:v>
      </x:c>
      <x:c r="H74" s="80" t="n">
        <x:v>3</x:v>
      </x:c>
      <x:c r="I74" s="534" t="str">
        <x:v>Loss</x:v>
      </x:c>
      <x:c r="J74" s="538" t="n">
        <x:v>0</x:v>
      </x:c>
      <x:c r="K74" s="538" t="n">
        <x:v>-1</x:v>
      </x:c>
      <x:c r="L74" s="31" t="str">
        <x:v>MLB promo construction</x:v>
      </x:c>
      <x:c r="M74" s="31" t="str">
        <x:v>Yordan L; Wheeler L by one K; Bohm L. Exact final odds not recovered.</x:v>
      </x:c>
    </x:row>
    <x:row r="75" ht="38" customHeight="1">
      <x:c r="A75" s="31" t="str">
        <x:v>2026-09-01</x:v>
      </x:c>
      <x:c r="B75" s="31" t="str">
        <x:v>S01-T01</x:v>
      </x:c>
      <x:c r="C75" s="31" t="str">
        <x:v>HYBRID</x:v>
      </x:c>
      <x:c r="D75" s="31" t="str">
        <x:v>Bryan Woo 5+ K + Freddy Peralta 5+ K + Junior Caminero 2+ H+R+RBI</x:v>
      </x:c>
      <x:c r="E75" s="538" t="n">
        <x:v>1</x:v>
      </x:c>
      <x:c r="F75" s="80" t="n">
        <x:v>454</x:v>
      </x:c>
      <x:c r="G75" s="534" t="str">
        <x:v>Y</x:v>
      </x:c>
      <x:c r="H75" s="80" t="n">
        <x:v>3</x:v>
      </x:c>
      <x:c r="I75" s="534" t="str">
        <x:v>Win</x:v>
      </x:c>
      <x:c r="J75" s="538" t="n">
        <x:v>5.54</x:v>
      </x:c>
      <x:c r="K75" s="538" t="n">
        <x:v>4.54</x:v>
      </x:c>
      <x:c r="L75" s="31" t="str">
        <x:v>50% MLB SGP(x) Boost</x:v>
      </x:c>
      <x:c r="M75" s="31" t="str">
        <x:v>Raw +302; boosted +454. 2-pick NYM@TB SGP core (+144) plus Woo outside leg (-154). All 3 legs won.</x:v>
      </x:c>
    </x:row>
    <x:row r="76" ht="38" customHeight="1">
      <x:c r="A76" s="31" t="str">
        <x:v>2026-09-01</x:v>
      </x:c>
      <x:c r="B76" s="31" t="str">
        <x:v>S01-T02</x:v>
      </x:c>
      <x:c r="C76" s="31" t="str">
        <x:v>HYBRID</x:v>
      </x:c>
      <x:c r="D76" s="31" t="str">
        <x:v>Jordan Walker 1+ Home Run</x:v>
      </x:c>
      <x:c r="E76" s="538" t="n">
        <x:v>1</x:v>
      </x:c>
      <x:c r="F76" s="80" t="n">
        <x:v>441</x:v>
      </x:c>
      <x:c r="G76" s="534" t="str">
        <x:v>Y</x:v>
      </x:c>
      <x:c r="H76" s="80" t="n">
        <x:v>1</x:v>
      </x:c>
      <x:c r="I76" s="534" t="str">
        <x:v>Win</x:v>
      </x:c>
      <x:c r="J76" s="538" t="n">
        <x:v>5.41</x:v>
      </x:c>
      <x:c r="K76" s="538" t="n">
        <x:v>4.41</x:v>
      </x:c>
      <x:c r="L76" s="31" t="str">
        <x:v>50% HR Boost</x:v>
      </x:c>
      <x:c r="M76" s="31" t="str">
        <x:v>Raw +294; boosted +441. Walker homered; paid $5.41.</x:v>
      </x:c>
    </x:row>
    <x:row r="77" ht="38" customHeight="1">
      <x:c r="A77" s="31" t="str">
        <x:v>2026-09-02</x:v>
      </x:c>
      <x:c r="B77" s="31" t="str">
        <x:v>S02-T01</x:v>
      </x:c>
      <x:c r="C77" s="31" t="str">
        <x:v>HYBRID</x:v>
      </x:c>
      <x:c r="D77" s="31" t="str">
        <x:v>Yordan Alvarez 2+ total bases</x:v>
      </x:c>
      <x:c r="E77" s="538" t="n">
        <x:v>1</x:v>
      </x:c>
      <x:c r="F77" s="80" t="n">
        <x:v>-105</x:v>
      </x:c>
      <x:c r="G77" s="534" t="str">
        <x:v>N</x:v>
      </x:c>
      <x:c r="H77" s="80" t="n">
        <x:v>1</x:v>
      </x:c>
      <x:c r="I77" s="534" t="str">
        <x:v>Win</x:v>
      </x:c>
      <x:c r="J77" s="538" t="n">
        <x:v>1.95</x:v>
      </x:c>
      <x:c r="K77" s="538" t="n">
        <x:v>0.95</x:v>
      </x:c>
      <x:c r="L77" s="31" t="str"/>
      <x:c r="M77" s="31" t="str">
        <x:v>Placed from finalized preliminary card; exact DK screenshot confirms -105.</x:v>
      </x:c>
    </x:row>
    <x:row r="78" ht="38" customHeight="1">
      <x:c r="A78" s="31" t="str">
        <x:v>2026-09-02</x:v>
      </x:c>
      <x:c r="B78" s="31" t="str">
        <x:v>S02-T02</x:v>
      </x:c>
      <x:c r="C78" s="31" t="str">
        <x:v>HYBRID</x:v>
      </x:c>
      <x:c r="D78" s="31" t="str">
        <x:v>Junior Caminero 2+ total bases</x:v>
      </x:c>
      <x:c r="E78" s="538" t="n">
        <x:v>1</x:v>
      </x:c>
      <x:c r="F78" s="80" t="n">
        <x:v>152</x:v>
      </x:c>
      <x:c r="G78" s="534" t="str">
        <x:v>Y</x:v>
      </x:c>
      <x:c r="H78" s="80" t="n">
        <x:v>1</x:v>
      </x:c>
      <x:c r="I78" s="534" t="str">
        <x:v>Loss</x:v>
      </x:c>
      <x:c r="J78" s="538" t="n">
        <x:v>0</x:v>
      </x:c>
      <x:c r="K78" s="538" t="n">
        <x:v>-1</x:v>
      </x:c>
      <x:c r="L78" s="31" t="str">
        <x:v>50% Any Sport Boost</x:v>
      </x:c>
      <x:c r="M78" s="31" t="str">
        <x:v>Raw +101; boosted to +152. Natural +100 qualifier; no threshold inflation.</x:v>
      </x:c>
    </x:row>
    <x:row r="79" ht="38" customHeight="1">
      <x:c r="A79" s="31" t="str">
        <x:v>2026-09-02</x:v>
      </x:c>
      <x:c r="B79" s="31" t="str">
        <x:v>S02-T03</x:v>
      </x:c>
      <x:c r="C79" s="31" t="str">
        <x:v>HYBRID</x:v>
      </x:c>
      <x:c r="D79" s="31" t="str">
        <x:v>Dylan Cease 7+ strikeouts</x:v>
      </x:c>
      <x:c r="E79" s="538" t="n">
        <x:v>1</x:v>
      </x:c>
      <x:c r="F79" s="80" t="n">
        <x:v>-106</x:v>
      </x:c>
      <x:c r="G79" s="534" t="str">
        <x:v>N</x:v>
      </x:c>
      <x:c r="H79" s="80" t="n">
        <x:v>1</x:v>
      </x:c>
      <x:c r="I79" s="534" t="str">
        <x:v>Loss</x:v>
      </x:c>
      <x:c r="J79" s="538" t="n">
        <x:v>0</x:v>
      </x:c>
      <x:c r="K79" s="538" t="n">
        <x:v>-1</x:v>
      </x:c>
      <x:c r="L79" s="31" t="str"/>
      <x:c r="M79" s="31" t="str">
        <x:v>Placed at -106 after K-vs-outs price comparison.</x:v>
      </x:c>
    </x:row>
    <x:row r="80" ht="38" customHeight="1">
      <x:c r="A80" s="31" t="str">
        <x:v>2026-09-02</x:v>
      </x:c>
      <x:c r="B80" s="31" t="str">
        <x:v>S02-T04</x:v>
      </x:c>
      <x:c r="C80" s="31" t="str">
        <x:v>HYBRID</x:v>
      </x:c>
      <x:c r="D80" s="31" t="str">
        <x:v>Jacob Misiorowski O17.5 outs</x:v>
      </x:c>
      <x:c r="E80" s="538" t="n">
        <x:v>1</x:v>
      </x:c>
      <x:c r="F80" s="80" t="n">
        <x:v>-136</x:v>
      </x:c>
      <x:c r="G80" s="534" t="str">
        <x:v>N</x:v>
      </x:c>
      <x:c r="H80" s="80" t="n">
        <x:v>1</x:v>
      </x:c>
      <x:c r="I80" s="534" t="str">
        <x:v>Loss</x:v>
      </x:c>
      <x:c r="J80" s="538" t="n">
        <x:v>0</x:v>
      </x:c>
      <x:c r="K80" s="538" t="n">
        <x:v>-1</x:v>
      </x:c>
      <x:c r="L80" s="31" t="str"/>
      <x:c r="M80" s="31" t="str">
        <x:v>Placed at -136; observed earlier at -131. Workload expression chosen over 8+ K.</x:v>
      </x:c>
    </x:row>
    <x:row r="81" ht="38" customHeight="1">
      <x:c r="A81" s="31" t="str">
        <x:v>2026-09-02</x:v>
      </x:c>
      <x:c r="B81" s="31" t="str">
        <x:v>S02-T05</x:v>
      </x:c>
      <x:c r="C81" s="31" t="str">
        <x:v>HYBRID</x:v>
      </x:c>
      <x:c r="D81" s="31" t="str">
        <x:v>Pete Alonso 1+ home run</x:v>
      </x:c>
      <x:c r="E81" s="538" t="n">
        <x:v>1</x:v>
      </x:c>
      <x:c r="F81" s="80" t="n">
        <x:v>377</x:v>
      </x:c>
      <x:c r="G81" s="534" t="str">
        <x:v>Y</x:v>
      </x:c>
      <x:c r="H81" s="80" t="n">
        <x:v>1</x:v>
      </x:c>
      <x:c r="I81" s="534" t="str">
        <x:v>Loss</x:v>
      </x:c>
      <x:c r="J81" s="538" t="n">
        <x:v>0</x:v>
      </x:c>
      <x:c r="K81" s="538" t="n">
        <x:v>-1</x:v>
      </x:c>
      <x:c r="L81" s="31" t="str">
        <x:v>50% 2–4 PM HR Boost</x:v>
      </x:c>
      <x:c r="M81" s="31" t="str">
        <x:v>Raw +251; boosted to +377. Eligible-game-window HR promo; selected after BAL@COL / PHI@ARI / ATH@TEX comparison.</x:v>
      </x:c>
    </x:row>
    <x:row r="82" ht="38" customHeight="1">
      <x:c r="A82" s="31" t="str">
        <x:v>2026-09-02</x:v>
      </x:c>
      <x:c r="B82" s="31" t="str">
        <x:v>S02-T06</x:v>
      </x:c>
      <x:c r="C82" s="31" t="str">
        <x:v>HYBRID</x:v>
      </x:c>
      <x:c r="D82" s="31" t="str">
        <x:v>Noah Cameron 5+ K + Jackson Chourio 2+ H+R+RBI + William Contreras 2+ H+R+RBI</x:v>
      </x:c>
      <x:c r="E82" s="538" t="n">
        <x:v>1</x:v>
      </x:c>
      <x:c r="F82" s="80" t="n">
        <x:v>489</x:v>
      </x:c>
      <x:c r="G82" s="534" t="str">
        <x:v>Y</x:v>
      </x:c>
      <x:c r="H82" s="80" t="n">
        <x:v>3</x:v>
      </x:c>
      <x:c r="I82" s="534" t="str">
        <x:v>Win</x:v>
      </x:c>
      <x:c r="J82" s="538" t="n">
        <x:v>5.89</x:v>
      </x:c>
      <x:c r="K82" s="538" t="n">
        <x:v>4.89</x:v>
      </x:c>
      <x:c r="L82" s="31" t="str">
        <x:v>50% MLB SGP(x) Boost</x:v>
      </x:c>
      <x:c r="M82" s="31" t="str">
        <x:v>Raw +325; boosted +489. MIL@CHC 2-leg SGP core + Cameron outside leg. All 3 legs won.</x:v>
      </x:c>
    </x:row>
    <x:row r="83" ht="38" customHeight="1">
      <x:c r="A83" s="31" t="str">
        <x:v>2026-09-03</x:v>
      </x:c>
      <x:c r="B83" s="31" t="str">
        <x:v>S03-T01</x:v>
      </x:c>
      <x:c r="C83" s="31" t="str">
        <x:v>HYBRID</x:v>
      </x:c>
      <x:c r="D83" s="31" t="str">
        <x:v>Yordan Alvarez 2+ total bases</x:v>
      </x:c>
      <x:c r="E83" s="538" t="n">
        <x:v>1</x:v>
      </x:c>
      <x:c r="F83" s="80" t="n">
        <x:v>109</x:v>
      </x:c>
      <x:c r="G83" s="534" t="str">
        <x:v>Y</x:v>
      </x:c>
      <x:c r="H83" s="80" t="n">
        <x:v>1</x:v>
      </x:c>
      <x:c r="I83" s="534" t="str">
        <x:v>Loss</x:v>
      </x:c>
      <x:c r="J83" s="538" t="n">
        <x:v>0</x:v>
      </x:c>
      <x:c r="K83" s="538" t="n">
        <x:v>-1</x:v>
      </x:c>
      <x:c r="L83" s="31" t="str">
        <x:v>50% Batter Boost</x:v>
      </x:c>
      <x:c r="M83" s="31" t="str">
        <x:v>Raw -138; boosted to +109. Yordan went 0-for-2 with a walk, hit by pitch and run.</x:v>
      </x:c>
    </x:row>
    <x:row r="84" ht="38" customHeight="1">
      <x:c r="A84" s="31" t="str">
        <x:v>2026-09-03</x:v>
      </x:c>
      <x:c r="B84" s="31" t="str">
        <x:v>S03-T02</x:v>
      </x:c>
      <x:c r="C84" s="31" t="str">
        <x:v>INDEPENDENT</x:v>
      </x:c>
      <x:c r="D84" s="31" t="str">
        <x:v>Jake Bennett over 16.5 pitching outs</x:v>
      </x:c>
      <x:c r="E84" s="538" t="n">
        <x:v>1</x:v>
      </x:c>
      <x:c r="F84" s="80" t="n">
        <x:v>-112</x:v>
      </x:c>
      <x:c r="G84" s="534" t="str">
        <x:v>N</x:v>
      </x:c>
      <x:c r="H84" s="80" t="n">
        <x:v>1</x:v>
      </x:c>
      <x:c r="I84" s="534" t="str">
        <x:v>Win</x:v>
      </x:c>
      <x:c r="J84" s="538" t="n">
        <x:v>1.89</x:v>
      </x:c>
      <x:c r="K84" s="538" t="n">
        <x:v>0.89</x:v>
      </x:c>
      <x:c r="L84" s="31" t="str"/>
      <x:c r="M84" s="31" t="str">
        <x:v>Bennett completed 6.0 innings for 18 outs with 7 strikeouts.</x:v>
      </x:c>
    </x:row>
    <x:row r="85" ht="38" customHeight="1">
      <x:c r="A85" s="31" t="str">
        <x:v>2026-09-03</x:v>
      </x:c>
      <x:c r="B85" s="31" t="str">
        <x:v>S03-T03</x:v>
      </x:c>
      <x:c r="C85" s="31" t="str">
        <x:v>HYBRID</x:v>
      </x:c>
      <x:c r="D85" s="31" t="str">
        <x:v>Jackson Chourio 2+ H+R+RBI + William Contreras 2+ H+R+RBI + Kade Anderson under 16.5 pitching outs</x:v>
      </x:c>
      <x:c r="E85" s="538" t="n">
        <x:v>1</x:v>
      </x:c>
      <x:c r="F85" s="80" t="n">
        <x:v>477</x:v>
      </x:c>
      <x:c r="G85" s="534" t="str">
        <x:v>Y</x:v>
      </x:c>
      <x:c r="H85" s="80" t="n">
        <x:v>3</x:v>
      </x:c>
      <x:c r="I85" s="534" t="str">
        <x:v>Loss</x:v>
      </x:c>
      <x:c r="J85" s="538" t="n">
        <x:v>0</x:v>
      </x:c>
      <x:c r="K85" s="538" t="n">
        <x:v>-1</x:v>
      </x:c>
      <x:c r="L85" s="31" t="str">
        <x:v>20% MLB SGP(x) Boost</x:v>
      </x:c>
      <x:c r="M85" s="31" t="str">
        <x:v>Raw +397; boosted to +477. Chourio and Contreras lost; Anderson won at 15 outs.</x:v>
      </x:c>
    </x:row>
    <x:row r="86" ht="38" customHeight="1">
      <x:c r="A86" s="31" t="str">
        <x:v>2026-09-04</x:v>
      </x:c>
      <x:c r="B86" s="31" t="str">
        <x:v>S04-T01</x:v>
      </x:c>
      <x:c r="C86" s="31" t="str">
        <x:v>BOTH</x:v>
      </x:c>
      <x:c r="D86" s="31" t="str">
        <x:v>Como moneyline + Liverpool over 2.5 team goals + Real Madrid over 2.5 team goals</x:v>
      </x:c>
      <x:c r="E86" s="538" t="n">
        <x:v>1</x:v>
      </x:c>
      <x:c r="F86" s="80" t="n">
        <x:v>736</x:v>
      </x:c>
      <x:c r="G86" s="534" t="str">
        <x:v>Y</x:v>
      </x:c>
      <x:c r="H86" s="80" t="n">
        <x:v>3</x:v>
      </x:c>
      <x:c r="I86" s="534" t="str">
        <x:v>Loss</x:v>
      </x:c>
      <x:c r="J86" s="538" t="n">
        <x:v>0</x:v>
      </x:c>
      <x:c r="K86" s="538" t="n">
        <x:v>-1</x:v>
      </x:c>
      <x:c r="L86" s="31" t="str">
        <x:v>30% Soccer Parlay Boost</x:v>
      </x:c>
      <x:c r="M86" s="31" t="str">
        <x:v>FINAL from user-provided DraftKings screenshot. Como ML won 4-1; Liverpool O2.5 team goals lost with 2; Real Madrid O2.5 team goals lost with 0. Exact boosted settlement price remains uncaptured.</x:v>
      </x:c>
    </x:row>
    <x:row r="87" ht="38" customHeight="1">
      <x:c r="A87" s="31" t="str">
        <x:v>2026-09-04</x:v>
      </x:c>
      <x:c r="B87" s="31" t="str">
        <x:v>S04-T02</x:v>
      </x:c>
      <x:c r="C87" s="31" t="str">
        <x:v>INDEPENDENT</x:v>
      </x:c>
      <x:c r="D87" s="31" t="str">
        <x:v>Miami -24.5 (-108) + Fresno State +22.5 (-118)</x:v>
      </x:c>
      <x:c r="E87" s="538" t="n">
        <x:v>1</x:v>
      </x:c>
      <x:c r="F87" s="80" t="n">
        <x:v>384</x:v>
      </x:c>
      <x:c r="G87" s="534" t="str">
        <x:v>Y</x:v>
      </x:c>
      <x:c r="H87" s="80" t="n">
        <x:v>2</x:v>
      </x:c>
      <x:c r="I87" s="534" t="str">
        <x:v>Loss</x:v>
      </x:c>
      <x:c r="J87" s="538" t="n">
        <x:v>0</x:v>
      </x:c>
      <x:c r="K87" s="538" t="n">
        <x:v>-1</x:v>
      </x:c>
      <x:c r="L87" s="31" t="str">
        <x:v>50% CFB Boost</x:v>
      </x:c>
      <x:c r="M87" s="31" t="str">
        <x:v>FINAL from user-provided DraftKings screenshot. Raw +235; boosted +384. Miami -24.5 won 45-6; Fresno State +22.5 lost 39-0.</x:v>
      </x:c>
    </x:row>
    <x:row r="88" ht="38" customHeight="1">
      <x:c r="A88" s="31" t="str">
        <x:v>2026-09-04</x:v>
      </x:c>
      <x:c r="B88" s="31" t="str">
        <x:v>S04-T03</x:v>
      </x:c>
      <x:c r="C88" s="31" t="str">
        <x:v>INDEPENDENT</x:v>
      </x:c>
      <x:c r="D88" s="31" t="str">
        <x:v>Ozzie Albies 1+ hit + Lane Thomas 1+ hit + Hunter Goodman 2+ total bases</x:v>
      </x:c>
      <x:c r="E88" s="538" t="n">
        <x:v>1</x:v>
      </x:c>
      <x:c r="F88" s="80" t="n">
        <x:v>416</x:v>
      </x:c>
      <x:c r="G88" s="534" t="str">
        <x:v>Y</x:v>
      </x:c>
      <x:c r="H88" s="80" t="n">
        <x:v>3</x:v>
      </x:c>
      <x:c r="I88" s="534" t="str">
        <x:v>Loss</x:v>
      </x:c>
      <x:c r="J88" s="538" t="n">
        <x:v>0</x:v>
      </x:c>
      <x:c r="K88" s="538" t="n">
        <x:v>-1</x:v>
      </x:c>
      <x:c r="L88" s="31" t="str">
        <x:v>30% MLB SGPx Boost</x:v>
      </x:c>
      <x:c r="M88" s="31" t="str">
        <x:v>FINAL from user-provided DraftKings screenshot. Raw +319; boosted +416. Ozzie Albies 1+ hit won; Lane Thomas 1+ hit and Hunter Goodman 2+ total bases lost.</x:v>
      </x:c>
    </x:row>
    <x:row r="89" ht="38" customHeight="1">
      <x:c r="A89" s="31" t="str">
        <x:v>2026-09-04</x:v>
      </x:c>
      <x:c r="B89" s="31" t="str">
        <x:v>S04-T04</x:v>
      </x:c>
      <x:c r="C89" s="31" t="str">
        <x:v>HYBRID</x:v>
      </x:c>
      <x:c r="D89" s="31" t="str">
        <x:v>Yordan Alvarez 1+ home run</x:v>
      </x:c>
      <x:c r="E89" s="538" t="n">
        <x:v>1</x:v>
      </x:c>
      <x:c r="F89" s="80" t="n">
        <x:v>323</x:v>
      </x:c>
      <x:c r="G89" s="534" t="str">
        <x:v>Y</x:v>
      </x:c>
      <x:c r="H89" s="80" t="n">
        <x:v>1</x:v>
      </x:c>
      <x:c r="I89" s="534" t="str">
        <x:v>Loss</x:v>
      </x:c>
      <x:c r="J89" s="538" t="n">
        <x:v>0</x:v>
      </x:c>
      <x:c r="K89" s="538" t="n">
        <x:v>-1</x:v>
      </x:c>
      <x:c r="L89" s="31" t="str">
        <x:v>50% MLB Home Run Boost</x:v>
      </x:c>
      <x:c r="M89" s="31" t="str">
        <x:v>FINAL from user-provided DraftKings screenshot. Raw +215; boosted +323. Yordan Alvarez did not homer.</x:v>
      </x:c>
    </x:row>
    <x:row r="90" ht="38" customHeight="1">
      <x:c r="A90" s="31" t="str">
        <x:v>2026-09-05</x:v>
      </x:c>
      <x:c r="B90" s="31" t="str">
        <x:v>S05-T01</x:v>
      </x:c>
      <x:c r="C90" s="31" t="str">
        <x:v>INDEPENDENT</x:v>
      </x:c>
      <x:c r="D90" s="31" t="str">
        <x:v>Manchester City over 2.5 team goals</x:v>
      </x:c>
      <x:c r="E90" s="538" t="n">
        <x:v>1</x:v>
      </x:c>
      <x:c r="F90" s="80" t="n">
        <x:v>-134</x:v>
      </x:c>
      <x:c r="G90" s="534" t="str">
        <x:v>N</x:v>
      </x:c>
      <x:c r="H90" s="80" t="n">
        <x:v>1</x:v>
      </x:c>
      <x:c r="I90" s="534" t="str">
        <x:v>Pending</x:v>
      </x:c>
      <x:c r="J90" s="538" t="str"/>
      <x:c r="K90" s="538" t="str"/>
      <x:c r="L90" s="31" t="str"/>
      <x:c r="M90" s="31" t="str">
        <x:v>PLACED_USER_CONFIRMED from the user saying “Done” immediately after the exact $1 placement instruction. Settlement pending.</x:v>
      </x:c>
    </x:row>
    <x:row r="91" ht="38" customHeight="1">
      <x:c r="A91" s="31" t="str">
        <x:v>2026-09-05</x:v>
      </x:c>
      <x:c r="B91" s="31" t="str">
        <x:v>S05-T02</x:v>
      </x:c>
      <x:c r="C91" s="31" t="str">
        <x:v>INDEPENDENT</x:v>
      </x:c>
      <x:c r="D91" s="31" t="str">
        <x:v>Makhi Hughes 76+ rushing yards</x:v>
      </x:c>
      <x:c r="E91" s="538" t="n">
        <x:v>1</x:v>
      </x:c>
      <x:c r="F91" s="80" t="n">
        <x:v>-118</x:v>
      </x:c>
      <x:c r="G91" s="534" t="str">
        <x:v>Y</x:v>
      </x:c>
      <x:c r="H91" s="80" t="n">
        <x:v>1</x:v>
      </x:c>
      <x:c r="I91" s="534" t="str">
        <x:v>Pending</x:v>
      </x:c>
      <x:c r="J91" s="538" t="str"/>
      <x:c r="K91" s="538" t="str"/>
      <x:c r="L91" s="31" t="str">
        <x:v>50% CFB Week 1 single boost</x:v>
      </x:c>
      <x:c r="M91" s="31" t="str">
        <x:v>PLACED_USER_CONFIRMED from “All 3 placed.” -118 is the captured raw line; exact boosted price and payout remain unavailable.</x:v>
      </x:c>
    </x:row>
    <x:row r="92" ht="38" customHeight="1">
      <x:c r="A92" s="31" t="str">
        <x:v>2026-09-05</x:v>
      </x:c>
      <x:c r="B92" s="31" t="str">
        <x:v>S05-T03</x:v>
      </x:c>
      <x:c r="C92" s="31" t="str">
        <x:v>INDEPENDENT</x:v>
      </x:c>
      <x:c r="D92" s="31" t="str">
        <x:v>Amare Thomas 70+ receiving yards</x:v>
      </x:c>
      <x:c r="E92" s="538" t="n">
        <x:v>1</x:v>
      </x:c>
      <x:c r="F92" s="80" t="n">
        <x:v>101</x:v>
      </x:c>
      <x:c r="G92" s="534" t="str">
        <x:v>Y</x:v>
      </x:c>
      <x:c r="H92" s="80" t="n">
        <x:v>1</x:v>
      </x:c>
      <x:c r="I92" s="534" t="str">
        <x:v>Pending</x:v>
      </x:c>
      <x:c r="J92" s="538" t="str"/>
      <x:c r="K92" s="538" t="str"/>
      <x:c r="L92" s="31" t="str">
        <x:v>50% CFB Saturday +100 boost</x:v>
      </x:c>
      <x:c r="M92" s="31" t="str">
        <x:v>PLACED_USER_CONFIRMED from “All 3 placed.” +101 is the captured raw line; exact boosted price and payout remain unavailable.</x:v>
      </x:c>
    </x:row>
    <x:row r="93" ht="38" customHeight="1">
      <x:c r="A93" s="31" t="str">
        <x:v>2026-09-05</x:v>
      </x:c>
      <x:c r="B93" s="31" t="str">
        <x:v>S05-T04</x:v>
      </x:c>
      <x:c r="C93" s="31" t="str">
        <x:v>INDEPENDENT</x:v>
      </x:c>
      <x:c r="D93" s="31" t="str">
        <x:v>Carson Hansen 80+ rushing yards + Kamari Moulton 70+ rushing yards + Dakorien Moore 50+ receiving yards</x:v>
      </x:c>
      <x:c r="E93" s="538" t="n">
        <x:v>1</x:v>
      </x:c>
      <x:c r="F93" s="80" t="str"/>
      <x:c r="G93" s="534" t="str">
        <x:v>Y</x:v>
      </x:c>
      <x:c r="H93" s="80" t="n">
        <x:v>3</x:v>
      </x:c>
      <x:c r="I93" s="534" t="str">
        <x:v>Loss</x:v>
      </x:c>
      <x:c r="J93" s="538" t="n">
        <x:v>0</x:v>
      </x:c>
      <x:c r="K93" s="538" t="n">
        <x:v>-1</x:v>
      </x:c>
      <x:c r="L93" s="31" t="str">
        <x:v>50% CFB Week 1 parlay boost</x:v>
      </x:c>
      <x:c r="M93" s="31" t="str">
        <x:v>PLACED_USER_CONFIRMED from “All 3 placed.” Hansen lost with 48 rushing yards on 11 carries against 80+. Classified as role/workload miscalculation and selection/construction error; exact combined and boosted prices remain unavailable.</x:v>
      </x:c>
    </x:row>
    <x:row r="94" ht="38" customHeight="1">
      <x:c r="A94" s="31" t="str">
        <x:v>2026-09-06</x:v>
      </x:c>
      <x:c r="B94" s="31" t="str">
        <x:v>S06-T01</x:v>
      </x:c>
      <x:c r="C94" s="31" t="str">
        <x:v>INDEPENDENT</x:v>
      </x:c>
      <x:c r="D94" s="31" t="str">
        <x:v>Arsenal moneyline + Chelsea at Arsenal over 1.5 total goals</x:v>
      </x:c>
      <x:c r="E94" s="538" t="n">
        <x:v>1</x:v>
      </x:c>
      <x:c r="F94" s="80" t="n">
        <x:v>133</x:v>
      </x:c>
      <x:c r="G94" s="534" t="str">
        <x:v>Y</x:v>
      </x:c>
      <x:c r="H94" s="80" t="n">
        <x:v>2</x:v>
      </x:c>
      <x:c r="I94" s="534" t="str">
        <x:v>Win</x:v>
      </x:c>
      <x:c r="J94" s="538" t="n">
        <x:v>2.33</x:v>
      </x:c>
      <x:c r="K94" s="538" t="n">
        <x:v>1.33</x:v>
      </x:c>
      <x:c r="L94" s="31" t="str">
        <x:v>30% Arsenal vs Chelsea boost</x:v>
      </x:c>
      <x:c r="M94" s="31" t="str">
        <x:v>FINAL from user-submitted DraftKings results. Arsenal won 2-1; both Arsenal ML and over 1.5 goals cleared.</x:v>
      </x:c>
    </x:row>
    <x:row r="95" ht="38" customHeight="1">
      <x:c r="A95" s="31" t="str">
        <x:v>2026-09-06</x:v>
      </x:c>
      <x:c r="B95" s="31" t="str">
        <x:v>S06-T02</x:v>
      </x:c>
      <x:c r="C95" s="31" t="str">
        <x:v>INDEPENDENT</x:v>
      </x:c>
      <x:c r="D95" s="31" t="str">
        <x:v>Stade Rennais moneyline + FC Augsburg at Eintracht Frankfurt under 3.5 total goals + AC Milan at Juventus under 2.5 total goals</x:v>
      </x:c>
      <x:c r="E95" s="538" t="n">
        <x:v>1</x:v>
      </x:c>
      <x:c r="F95" s="80" t="n">
        <x:v>638</x:v>
      </x:c>
      <x:c r="G95" s="534" t="str">
        <x:v>Y</x:v>
      </x:c>
      <x:c r="H95" s="80" t="n">
        <x:v>3</x:v>
      </x:c>
      <x:c r="I95" s="534" t="str">
        <x:v>Loss</x:v>
      </x:c>
      <x:c r="J95" s="538" t="n">
        <x:v>0</x:v>
      </x:c>
      <x:c r="K95" s="538" t="n">
        <x:v>-1</x:v>
      </x:c>
      <x:c r="L95" s="31" t="str">
        <x:v>30% soccer parlay boost</x:v>
      </x:c>
      <x:c r="M95" s="31" t="str">
        <x:v>FINAL from user-submitted DraftKings results. Rennes ML and Juventus/Milan under 2.5 won; Frankfurt/Augsburg under 3.5 lost in a 4-1 match.</x:v>
      </x:c>
    </x:row>
    <x:row r="96" ht="38" customHeight="1">
      <x:c r="A96" s="31" t="str">
        <x:v>2026-09-06</x:v>
      </x:c>
      <x:c r="B96" s="31" t="str">
        <x:v>S06-T03</x:v>
      </x:c>
      <x:c r="C96" s="31" t="str">
        <x:v>INDEPENDENT</x:v>
      </x:c>
      <x:c r="D96" s="31" t="str">
        <x:v>Levante at Málaga under 2.5 total goals + Marseille moneyline + AC Milan at Juventus under 2.5 total goals</x:v>
      </x:c>
      <x:c r="E96" s="538" t="n">
        <x:v>1</x:v>
      </x:c>
      <x:c r="F96" s="80" t="n">
        <x:v>639</x:v>
      </x:c>
      <x:c r="G96" s="534" t="str">
        <x:v>Y</x:v>
      </x:c>
      <x:c r="H96" s="80" t="n">
        <x:v>3</x:v>
      </x:c>
      <x:c r="I96" s="534" t="str">
        <x:v>Loss</x:v>
      </x:c>
      <x:c r="J96" s="538" t="n">
        <x:v>0</x:v>
      </x:c>
      <x:c r="K96" s="538" t="n">
        <x:v>-1</x:v>
      </x:c>
      <x:c r="L96" s="31" t="str">
        <x:v>30% soccer parlay boost</x:v>
      </x:c>
      <x:c r="M96" s="31" t="str">
        <x:v>FINAL from user-submitted DraftKings results. Málaga/Levante under 2.5 and Juventus/Milan under 2.5 won; Marseille ML lost.</x:v>
      </x:c>
    </x:row>
    <x:row r="97" ht="38" customHeight="1">
      <x:c r="A97" s="31" t="str">
        <x:v>2026-09-06</x:v>
      </x:c>
      <x:c r="B97" s="31" t="str">
        <x:v>S06-T04</x:v>
      </x:c>
      <x:c r="C97" s="31" t="str">
        <x:v>INDEPENDENT</x:v>
      </x:c>
      <x:c r="D97" s="31" t="str">
        <x:v>Brady Singer over 5.5 hits allowed</x:v>
      </x:c>
      <x:c r="E97" s="538" t="n">
        <x:v>1</x:v>
      </x:c>
      <x:c r="F97" s="80" t="n">
        <x:v>104</x:v>
      </x:c>
      <x:c r="G97" s="534" t="str">
        <x:v>N</x:v>
      </x:c>
      <x:c r="H97" s="80" t="n">
        <x:v>1</x:v>
      </x:c>
      <x:c r="I97" s="534" t="str">
        <x:v>Loss</x:v>
      </x:c>
      <x:c r="J97" s="538" t="n">
        <x:v>0</x:v>
      </x:c>
      <x:c r="K97" s="538" t="n">
        <x:v>-1</x:v>
      </x:c>
      <x:c r="L97" s="31" t="str"/>
      <x:c r="M97" s="31" t="str">
        <x:v>FINAL from user-submitted DraftKings results. Singer allowed fewer than 6 hits, although he allowed 6 runs and 6 walks in 5 innings; logged as a market-expression miss.</x:v>
      </x:c>
    </x:row>
    <x:row r="98" ht="38" customHeight="1">
      <x:c r="A98" s="31" t="str">
        <x:v>2026-09-06</x:v>
      </x:c>
      <x:c r="B98" s="31" t="str">
        <x:v>S06-T05</x:v>
      </x:c>
      <x:c r="C98" s="31" t="str">
        <x:v>INDEPENDENT</x:v>
      </x:c>
      <x:c r="D98" s="31" t="str">
        <x:v>Gavin Williams 9+ strikeouts</x:v>
      </x:c>
      <x:c r="E98" s="538" t="n">
        <x:v>1</x:v>
      </x:c>
      <x:c r="F98" s="80" t="n">
        <x:v>111</x:v>
      </x:c>
      <x:c r="G98" s="534" t="str">
        <x:v>N</x:v>
      </x:c>
      <x:c r="H98" s="80" t="n">
        <x:v>1</x:v>
      </x:c>
      <x:c r="I98" s="534" t="str">
        <x:v>Win</x:v>
      </x:c>
      <x:c r="J98" s="538" t="n">
        <x:v>2.11</x:v>
      </x:c>
      <x:c r="K98" s="538" t="n">
        <x:v>1.11</x:v>
      </x:c>
      <x:c r="L98" s="31" t="str"/>
      <x:c r="M98" s="31" t="str">
        <x:v>FINAL from user-submitted DraftKings results. Williams recorded 11 strikeouts; the selected 9+ threshold at +111 cleared.</x:v>
      </x:c>
    </x:row>
    <x:row r="99" ht="38" customHeight="1">
      <x:c r="A99" s="31" t="str">
        <x:v>2026-09-07</x:v>
      </x:c>
      <x:c r="B99" s="31" t="str">
        <x:v>S07-T01</x:v>
      </x:c>
      <x:c r="C99" s="31" t="str">
        <x:v>INDEPENDENT</x:v>
      </x:c>
      <x:c r="D99" s="31" t="str">
        <x:v>San Diego Padres moneyline</x:v>
      </x:c>
      <x:c r="E99" s="538" t="n">
        <x:v>1</x:v>
      </x:c>
      <x:c r="F99" s="80" t="n">
        <x:v>-192</x:v>
      </x:c>
      <x:c r="G99" s="534" t="str">
        <x:v>N</x:v>
      </x:c>
      <x:c r="H99" s="80" t="n">
        <x:v>1</x:v>
      </x:c>
      <x:c r="I99" s="534" t="str">
        <x:v>Pending</x:v>
      </x:c>
      <x:c r="J99" s="538" t="str"/>
      <x:c r="K99" s="538" t="str"/>
      <x:c r="L99" s="31" t="str">
        <x:v>MLB Early Win (lead by 2 runs)</x:v>
      </x:c>
      <x:c r="M99" s="31" t="str">
        <x:v>PLACED_USER_CONFIRMED from “Done” immediately after the direct $1 placement instruction. Settlement pending.</x:v>
      </x:c>
    </x:row>
    <x:row r="100" ht="38" customHeight="1">
      <x:c r="A100" s="31" t="str">
        <x:v>2026-09-07</x:v>
      </x:c>
      <x:c r="B100" s="31" t="str">
        <x:v>S07-T02</x:v>
      </x:c>
      <x:c r="C100" s="31" t="str">
        <x:v>INDEPENDENT</x:v>
      </x:c>
      <x:c r="D100" s="31" t="str">
        <x:v>Seiya Suzuki 1+ hit + Alex Bregman 1+ hit + Dylan Cease over 7.5 strikeouts</x:v>
      </x:c>
      <x:c r="E100" s="538" t="n">
        <x:v>1</x:v>
      </x:c>
      <x:c r="F100" s="80" t="n">
        <x:v>302</x:v>
      </x:c>
      <x:c r="G100" s="534" t="str">
        <x:v>Y</x:v>
      </x:c>
      <x:c r="H100" s="80" t="n">
        <x:v>3</x:v>
      </x:c>
      <x:c r="I100" s="534" t="str">
        <x:v>Pending</x:v>
      </x:c>
      <x:c r="J100" s="538" t="str"/>
      <x:c r="K100" s="538" t="str"/>
      <x:c r="L100" s="31" t="str">
        <x:v>30% MLB SGPx profit boost</x:v>
      </x:c>
      <x:c r="M100" s="31" t="str">
        <x:v>PLACED_USER_CONFIRMED from “Placed.” Raw +302 was displayed and the 30% boost was applied; exact boosted price was not captured.</x:v>
      </x:c>
    </x:row>
    <x:row r="101" ht="38" customHeight="1">
      <x:c r="A101" s="31" t="str">
        <x:v>2026-09-07</x:v>
      </x:c>
      <x:c r="B101" s="31" t="str">
        <x:v>S07-T03</x:v>
      </x:c>
      <x:c r="C101" s="31" t="str">
        <x:v>INDEPENDENT</x:v>
      </x:c>
      <x:c r="D101" s="31" t="str">
        <x:v>SMU Mustangs -2.5</x:v>
      </x:c>
      <x:c r="E101" s="538" t="n">
        <x:v>1</x:v>
      </x:c>
      <x:c r="F101" s="80" t="n">
        <x:v>-115</x:v>
      </x:c>
      <x:c r="G101" s="534" t="str">
        <x:v>Y</x:v>
      </x:c>
      <x:c r="H101" s="80" t="n">
        <x:v>1</x:v>
      </x:c>
      <x:c r="I101" s="534" t="str">
        <x:v>Pending</x:v>
      </x:c>
      <x:c r="J101" s="538" t="str"/>
      <x:c r="K101" s="538" t="str"/>
      <x:c r="L101" s="31" t="str">
        <x:v>50% SMU–FSU profit boost</x:v>
      </x:c>
      <x:c r="M101" s="31" t="str">
        <x:v>PLACED_USER_CONFIRMED from “Placed.” -115 is the captured raw price; exact boosted price was not captured.</x:v>
      </x:c>
    </x:row>
    <x:row r="102" ht="38" customHeight="1">
      <x:c r="A102" s="31" t="str">
        <x:v>2026-09-07</x:v>
      </x:c>
      <x:c r="B102" s="31" t="str">
        <x:v>S07-T04</x:v>
      </x:c>
      <x:c r="C102" s="31" t="str">
        <x:v>INDEPENDENT</x:v>
      </x:c>
      <x:c r="D102" s="31" t="str">
        <x:v>SMU Mustangs -1.5 + Samuel Singleton 58+ rushing + receiving yards + Ashton Daniels 204+ passing yards + Kevin Jennings 2+ passing touchdowns</x:v>
      </x:c>
      <x:c r="E102" s="538" t="n">
        <x:v>1</x:v>
      </x:c>
      <x:c r="F102" s="80" t="n">
        <x:v>780</x:v>
      </x:c>
      <x:c r="G102" s="534" t="str">
        <x:v>Y</x:v>
      </x:c>
      <x:c r="H102" s="80" t="n">
        <x:v>4</x:v>
      </x:c>
      <x:c r="I102" s="534" t="str">
        <x:v>Pending</x:v>
      </x:c>
      <x:c r="J102" s="538" t="str"/>
      <x:c r="K102" s="538" t="str"/>
      <x:c r="L102" s="31" t="str">
        <x:v>20% CFB stepped-up boost</x:v>
      </x:c>
      <x:c r="M102" s="31" t="str">
        <x:v>PLACED_USER_CONFIRMED from “Placed.” DraftKings showed +650 raw and +780 boosted.</x:v>
      </x:c>
    </x:row>
    <x:row r="103" ht="38" customHeight="1">
      <x:c r="A103" s="31" t="str">
        <x:v>2026-09-07</x:v>
      </x:c>
      <x:c r="B103" s="31" t="str">
        <x:v>S07-T05</x:v>
      </x:c>
      <x:c r="C103" s="31" t="str">
        <x:v>INDEPENDENT</x:v>
      </x:c>
      <x:c r="D103" s="31" t="str">
        <x:v>Chase Burns over 4.5 strikeouts</x:v>
      </x:c>
      <x:c r="E103" s="538" t="n">
        <x:v>1</x:v>
      </x:c>
      <x:c r="F103" s="80" t="n">
        <x:v>-116</x:v>
      </x:c>
      <x:c r="G103" s="534" t="str">
        <x:v>N</x:v>
      </x:c>
      <x:c r="H103" s="80" t="n">
        <x:v>1</x:v>
      </x:c>
      <x:c r="I103" s="534" t="str">
        <x:v>Pending</x:v>
      </x:c>
      <x:c r="J103" s="538" t="str"/>
      <x:c r="K103" s="538" t="str"/>
      <x:c r="L103" s="31" t="str"/>
      <x:c r="M103" s="31" t="str">
        <x:v>PLACED_USER_CONFIRMED from “Okay placed” immediately after the exact $1 instruction.</x:v>
      </x:c>
    </x:row>
    <x:row r="104" ht="38" customHeight="1">
      <x:c r="A104" s="31" t="str">
        <x:v>2026-09-08</x:v>
      </x:c>
      <x:c r="B104" s="31" t="str">
        <x:v>S08-T01</x:v>
      </x:c>
      <x:c r="C104" s="31" t="str">
        <x:v>BOTH</x:v>
      </x:c>
      <x:c r="D104" s="31" t="str">
        <x:v>Michael Wacha over 17.5 outs</x:v>
      </x:c>
      <x:c r="E104" s="538" t="n">
        <x:v>1</x:v>
      </x:c>
      <x:c r="F104" s="80" t="n">
        <x:v>-129</x:v>
      </x:c>
      <x:c r="G104" s="534" t="str">
        <x:v>N</x:v>
      </x:c>
      <x:c r="H104" s="80" t="n">
        <x:v>1</x:v>
      </x:c>
      <x:c r="I104" s="534" t="str">
        <x:v>Win</x:v>
      </x:c>
      <x:c r="J104" s="538" t="n">
        <x:v>1.7751937984</x:v>
      </x:c>
      <x:c r="K104" s="538" t="n">
        <x:v>0.7751937984</x:v>
      </x:c>
      <x:c r="L104" s="31" t="str"/>
      <x:c r="M104" s="31" t="str">
        <x:v>PLACED_USER_CONFIRMED from the user immediately after the final $1 instruction. Official MLB boxscore: Wacha recorded 18 outs (6.0 IP), clearing over 17.5. Payout is calculated from the captured -129 price.</x:v>
      </x:c>
    </x:row>
    <x:row r="105" ht="38" customHeight="1">
      <x:c r="A105" s="31" t="str">
        <x:v>2026-09-08</x:v>
      </x:c>
      <x:c r="B105" s="31" t="str">
        <x:v>S08-T02</x:v>
      </x:c>
      <x:c r="C105" s="31" t="str">
        <x:v>BOTH</x:v>
      </x:c>
      <x:c r="D105" s="31" t="str">
        <x:v>Jackson Chourio 1+ hit + Milwaukee Brewers moneyline + AJ Smith-Shawver under 14.5 outs</x:v>
      </x:c>
      <x:c r="E105" s="538" t="n">
        <x:v>1</x:v>
      </x:c>
      <x:c r="F105" s="80" t="n">
        <x:v>303</x:v>
      </x:c>
      <x:c r="G105" s="534" t="str">
        <x:v>Y</x:v>
      </x:c>
      <x:c r="H105" s="80" t="n">
        <x:v>3</x:v>
      </x:c>
      <x:c r="I105" s="534" t="str">
        <x:v>Win</x:v>
      </x:c>
      <x:c r="J105" s="538" t="n">
        <x:v>5.545</x:v>
      </x:c>
      <x:c r="K105" s="538" t="n">
        <x:v>4.545</x:v>
      </x:c>
      <x:c r="L105" s="31" t="str">
        <x:v>50% MLB SGPx profit boost</x:v>
      </x:c>
      <x:c r="M105" s="31" t="str">
        <x:v>PLACED_USER_CONFIRMED by chronological DraftKings screenshots. Official MLB boxscores: Chourio went 4-for-5, Milwaukee won 4-3, and Smith-Shawver recorded 10 outs, so all three legs won. Payout is calculated from captured +303 raw odds and the captured 50% profit boost.</x:v>
      </x:c>
    </x:row>
    <x:row r="106" ht="38" customHeight="1">
      <x:c r="A106" s="31" t="str">
        <x:v>2026-09-08</x:v>
      </x:c>
      <x:c r="B106" s="31" t="str">
        <x:v>S08-T03</x:v>
      </x:c>
      <x:c r="C106" s="31" t="str">
        <x:v>BOTH</x:v>
      </x:c>
      <x:c r="D106" s="31" t="str">
        <x:v>Teoscar Hernández 1+ home run</x:v>
      </x:c>
      <x:c r="E106" s="538" t="n">
        <x:v>1</x:v>
      </x:c>
      <x:c r="F106" s="80" t="n">
        <x:v>313</x:v>
      </x:c>
      <x:c r="G106" s="534" t="str">
        <x:v>Y</x:v>
      </x:c>
      <x:c r="H106" s="80" t="n">
        <x:v>1</x:v>
      </x:c>
      <x:c r="I106" s="534" t="str">
        <x:v>Loss</x:v>
      </x:c>
      <x:c r="J106" s="538" t="n">
        <x:v>0</x:v>
      </x:c>
      <x:c r="K106" s="538" t="n">
        <x:v>-1</x:v>
      </x:c>
      <x:c r="L106" s="31" t="str">
        <x:v>50% home-run profit boost</x:v>
      </x:c>
      <x:c r="M106" s="31" t="str">
        <x:v>PLACED_USER_CONFIRMED by the user correction that three tickets were placed. Official MLB boxscore: Teoscar Hernández went 3-for-3 with a triple and 0 home runs, so the home-run ticket lost.</x:v>
      </x:c>
    </x:row>
    <x:row r="107" ht="38" customHeight="1">
      <x:c r="A107" s="31" t="str">
        <x:v>2026-09-09</x:v>
      </x:c>
      <x:c r="B107" s="31" t="str">
        <x:v>S09-T01</x:v>
      </x:c>
      <x:c r="C107" s="31" t="str">
        <x:v>BOTH</x:v>
      </x:c>
      <x:c r="D107" s="31" t="str">
        <x:v>A.J. Brown 50+ receiving yards + Jaxon Smith-Njigba 50+ receiving yards</x:v>
      </x:c>
      <x:c r="E107" s="538" t="n">
        <x:v>1</x:v>
      </x:c>
      <x:c r="F107" s="80" t="n">
        <x:v>150</x:v>
      </x:c>
      <x:c r="G107" s="534" t="str">
        <x:v>Y</x:v>
      </x:c>
      <x:c r="H107" s="80" t="n">
        <x:v>2</x:v>
      </x:c>
      <x:c r="I107" s="534" t="str">
        <x:v>Loss</x:v>
      </x:c>
      <x:c r="J107" s="538" t="n">
        <x:v>0</x:v>
      </x:c>
      <x:c r="K107" s="538" t="n">
        <x:v>-1</x:v>
      </x:c>
      <x:c r="L107" s="31" t="str">
        <x:v>Superstar Receivers flash odds boost</x:v>
      </x:c>
      <x:c r="M107" s="31" t="str">
        <x:v>FINAL: DraftKings settled the boosted +150 parlay as a loss. ESPN confirms Smith-Njigba cleared 50+ with 122 yards, so the other receiving-yards leg was the miss.</x:v>
      </x:c>
    </x:row>
    <x:row r="108" ht="38" customHeight="1">
      <x:c r="A108" s="31" t="str">
        <x:v>2026-09-09</x:v>
      </x:c>
      <x:c r="B108" s="31" t="str">
        <x:v>S09-T02</x:v>
      </x:c>
      <x:c r="C108" s="31" t="str">
        <x:v>BOTH</x:v>
      </x:c>
      <x:c r="D108" s="31" t="str">
        <x:v>A.J. Brown 5+ first-quarter receiving yards</x:v>
      </x:c>
      <x:c r="E108" s="538" t="n">
        <x:v>1</x:v>
      </x:c>
      <x:c r="F108" s="80" t="n">
        <x:v>100</x:v>
      </x:c>
      <x:c r="G108" s="534" t="str">
        <x:v>Y</x:v>
      </x:c>
      <x:c r="H108" s="80" t="n">
        <x:v>1</x:v>
      </x:c>
      <x:c r="I108" s="534" t="str">
        <x:v>Win</x:v>
      </x:c>
      <x:c r="J108" s="538" t="n">
        <x:v>2</x:v>
      </x:c>
      <x:c r="K108" s="538" t="n">
        <x:v>1</x:v>
      </x:c>
      <x:c r="L108" s="31" t="str">
        <x:v>A.J. Brown Super Boost</x:v>
      </x:c>
      <x:c r="M108" s="31" t="str">
        <x:v>FINAL: DraftKings shows the $1 A.J. Brown 5+ first-quarter receiving-yards boost paid $2.00.</x:v>
      </x:c>
    </x:row>
    <x:row r="109" ht="38" customHeight="1">
      <x:c r="A109" s="31" t="str">
        <x:v>2026-09-09</x:v>
      </x:c>
      <x:c r="B109" s="31" t="str">
        <x:v>S09-T03</x:v>
      </x:c>
      <x:c r="C109" s="31" t="str">
        <x:v>BOTH</x:v>
      </x:c>
      <x:c r="D109" s="31" t="str">
        <x:v>Alexander Isak 2+ shots on target</x:v>
      </x:c>
      <x:c r="E109" s="538" t="n">
        <x:v>1</x:v>
      </x:c>
      <x:c r="F109" s="80" t="n">
        <x:v>135</x:v>
      </x:c>
      <x:c r="G109" s="534" t="str">
        <x:v>N</x:v>
      </x:c>
      <x:c r="H109" s="80" t="n">
        <x:v>1</x:v>
      </x:c>
      <x:c r="I109" s="534" t="str">
        <x:v>Loss</x:v>
      </x:c>
      <x:c r="J109" s="538" t="n">
        <x:v>0</x:v>
      </x:c>
      <x:c r="K109" s="538" t="n">
        <x:v>-1</x:v>
      </x:c>
      <x:c r="L109" s="31" t="str"/>
      <x:c r="M109" s="31" t="str">
        <x:v>PLACED_USER_CONFIRMED when the user said all three named bets were placed. Settled from the Sep. 9 StatMuse match table: Isak recorded 0 shots on target in Liverpool's 2-1 win.</x:v>
      </x:c>
    </x:row>
    <x:row r="110" ht="38" customHeight="1">
      <x:c r="A110" s="31" t="str">
        <x:v>2026-09-09</x:v>
      </x:c>
      <x:c r="B110" s="31" t="str">
        <x:v>S09-T04</x:v>
      </x:c>
      <x:c r="C110" s="31" t="str">
        <x:v>BOTH</x:v>
      </x:c>
      <x:c r="D110" s="31" t="str">
        <x:v>Liverpool moneyline</x:v>
      </x:c>
      <x:c r="E110" s="538" t="n">
        <x:v>1</x:v>
      </x:c>
      <x:c r="F110" s="80" t="n">
        <x:v>-130</x:v>
      </x:c>
      <x:c r="G110" s="534" t="str">
        <x:v>Y</x:v>
      </x:c>
      <x:c r="H110" s="80" t="n">
        <x:v>1</x:v>
      </x:c>
      <x:c r="I110" s="534" t="str">
        <x:v>Win</x:v>
      </x:c>
      <x:c r="J110" s="538" t="n">
        <x:v>1.76</x:v>
      </x:c>
      <x:c r="K110" s="538" t="n">
        <x:v>0.76</x:v>
      </x:c>
      <x:c r="L110" s="31" t="str">
        <x:v>DrawBreaker</x:v>
      </x:c>
      <x:c r="M110" s="31" t="str">
        <x:v>PLACED_USER_CONFIRMED when the user said all three named bets were placed. DraftKings shows $1.76 paid on the $1 wager, and ESPN records Liverpool 2-1 Atlético Madrid at full time.</x:v>
      </x:c>
    </x:row>
    <x:row r="111" ht="38" customHeight="1">
      <x:c r="A111" s="31" t="str">
        <x:v>2026-09-09</x:v>
      </x:c>
      <x:c r="B111" s="31" t="str">
        <x:v>S09-T05</x:v>
      </x:c>
      <x:c r="C111" s="31" t="str">
        <x:v>BOTH</x:v>
      </x:c>
      <x:c r="D111" s="31" t="str">
        <x:v>Either A.J. Brown or Jaxon Smith-Njigba to score a touchdown</x:v>
      </x:c>
      <x:c r="E111" s="538" t="n">
        <x:v>1</x:v>
      </x:c>
      <x:c r="F111" s="80" t="n">
        <x:v>100</x:v>
      </x:c>
      <x:c r="G111" s="534" t="str">
        <x:v>Y</x:v>
      </x:c>
      <x:c r="H111" s="80" t="n">
        <x:v>1</x:v>
      </x:c>
      <x:c r="I111" s="534" t="str">
        <x:v>Win</x:v>
      </x:c>
      <x:c r="J111" s="538" t="n">
        <x:v>2</x:v>
      </x:c>
      <x:c r="K111" s="538" t="n">
        <x:v>1</x:v>
      </x:c>
      <x:c r="L111" s="31" t="str">
        <x:v>McAfee Super Boost</x:v>
      </x:c>
      <x:c r="M111" s="31" t="str">
        <x:v>FINAL: DraftKings shows the $1 either-player touchdown boost paid $2.00; Smith-Njigba scored.</x:v>
      </x:c>
    </x:row>
    <x:row r="112" ht="38" customHeight="1">
      <x:c r="A112" s="31" t="str">
        <x:v>2026-09-09</x:v>
      </x:c>
      <x:c r="B112" s="31" t="str">
        <x:v>S09-T06</x:v>
      </x:c>
      <x:c r="C112" s="31" t="str">
        <x:v>BOTH</x:v>
      </x:c>
      <x:c r="D112" s="31" t="str">
        <x:v>Rhamondre Stevenson 4+ receptions</x:v>
      </x:c>
      <x:c r="E112" s="538" t="n">
        <x:v>1</x:v>
      </x:c>
      <x:c r="F112" s="80" t="n">
        <x:v>174</x:v>
      </x:c>
      <x:c r="G112" s="534" t="str">
        <x:v>Y</x:v>
      </x:c>
      <x:c r="H112" s="80" t="n">
        <x:v>1</x:v>
      </x:c>
      <x:c r="I112" s="534" t="str">
        <x:v>Win</x:v>
      </x:c>
      <x:c r="J112" s="538" t="n">
        <x:v>2.74</x:v>
      </x:c>
      <x:c r="K112" s="538" t="n">
        <x:v>1.74</x:v>
      </x:c>
      <x:c r="L112" s="31" t="str">
        <x:v>50% NFL single boost</x:v>
      </x:c>
      <x:c r="M112" s="31" t="str">
        <x:v>FINAL: DraftKings shows the $1 Stevenson 4+ receptions boost won and paid $2.74.</x:v>
      </x:c>
    </x:row>
    <x:row r="113" ht="38" customHeight="1">
      <x:c r="A113" s="31" t="str">
        <x:v>2026-09-09</x:v>
      </x:c>
      <x:c r="B113" s="31" t="str">
        <x:v>S09-T07</x:v>
      </x:c>
      <x:c r="C113" s="31" t="str">
        <x:v>INDEPENDENT</x:v>
      </x:c>
      <x:c r="D113" s="31" t="str">
        <x:v>Tomoyuki Sugano over 5.5 hits allowed</x:v>
      </x:c>
      <x:c r="E113" s="538" t="n">
        <x:v>1</x:v>
      </x:c>
      <x:c r="F113" s="80" t="n">
        <x:v>-134</x:v>
      </x:c>
      <x:c r="G113" s="534" t="str">
        <x:v>N</x:v>
      </x:c>
      <x:c r="H113" s="80" t="n">
        <x:v>1</x:v>
      </x:c>
      <x:c r="I113" s="534" t="str">
        <x:v>Loss</x:v>
      </x:c>
      <x:c r="J113" s="538" t="n">
        <x:v>0</x:v>
      </x:c>
      <x:c r="K113" s="538" t="n">
        <x:v>-1</x:v>
      </x:c>
      <x:c r="L113" s="31" t="str"/>
      <x:c r="M113" s="31" t="str">
        <x:v>FINAL: DraftKings settled Sugano over 5.5 hits allowed as a loss. MLB records four hits allowed in six innings. Broad pitcher-fade thesis did not map cleanly to hits allowed.</x:v>
      </x:c>
    </x:row>
    <x:row r="114" ht="38" customHeight="1">
      <x:c r="A114" s="31" t="str">
        <x:v>2026-09-09</x:v>
      </x:c>
      <x:c r="B114" s="31" t="str">
        <x:v>S09-T08</x:v>
      </x:c>
      <x:c r="C114" s="31" t="str">
        <x:v>INDEPENDENT</x:v>
      </x:c>
      <x:c r="D114" s="31" t="str">
        <x:v>New England-Seattle game total over 26.5 (execution error)</x:v>
      </x:c>
      <x:c r="E114" s="538" t="n">
        <x:v>1</x:v>
      </x:c>
      <x:c r="F114" s="80" t="n">
        <x:v>-138</x:v>
      </x:c>
      <x:c r="G114" s="534" t="str">
        <x:v>N</x:v>
      </x:c>
      <x:c r="H114" s="80" t="n">
        <x:v>1</x:v>
      </x:c>
      <x:c r="I114" s="534" t="str">
        <x:v>Cashed Out</x:v>
      </x:c>
      <x:c r="J114" s="538" t="n">
        <x:v>1.09</x:v>
      </x:c>
      <x:c r="K114" s="538" t="n">
        <x:v>0.09</x:v>
      </x:c>
      <x:c r="L114" s="31" t="str">
        <x:v>50% live boost shown; not applied after cashout</x:v>
      </x:c>
      <x:c r="M114" s="31" t="str">
        <x:v>FINAL: The independent live recommendation was under 27.5 at -121, but the user accidentally placed over 26.5. DraftKings shows a $1.09 cashout. The 13-10 final would have won the recommendation and lost the placed over if held. Track as execution error, not model win.</x:v>
      </x:c>
    </x:row>
    <x:row r="115" ht="38" customHeight="1">
      <x:c r="A115" s="31" t="str">
        <x:v>2026-09-10</x:v>
      </x:c>
      <x:c r="B115" s="31" t="str">
        <x:v>S10-T01</x:v>
      </x:c>
      <x:c r="C115" s="31" t="str">
        <x:v>BOTH</x:v>
      </x:c>
      <x:c r="D115" s="31" t="str">
        <x:v>Christian McCaffrey 1+ first-quarter reception</x:v>
      </x:c>
      <x:c r="E115" s="538" t="n">
        <x:v>1</x:v>
      </x:c>
      <x:c r="F115" s="80" t="n">
        <x:v>100</x:v>
      </x:c>
      <x:c r="G115" s="534" t="str">
        <x:v>Y</x:v>
      </x:c>
      <x:c r="H115" s="80" t="n">
        <x:v>1</x:v>
      </x:c>
      <x:c r="I115" s="534" t="str">
        <x:v>Win</x:v>
      </x:c>
      <x:c r="J115" s="538" t="n">
        <x:v>2</x:v>
      </x:c>
      <x:c r="K115" s="538" t="n">
        <x:v>1</x:v>
      </x:c>
      <x:c r="L115" s="31" t="str">
        <x:v>Super Boost</x:v>
      </x:c>
      <x:c r="M115" s="31" t="str">
        <x:v>FINAL: DraftKings settled the $1 McCaffrey 1+ first-quarter reception Super Boost at +100 as a win and paid $2.00.</x:v>
      </x:c>
    </x:row>
    <x:row r="116" ht="38" customHeight="1">
      <x:c r="A116" s="31" t="str">
        <x:v>2026-09-10</x:v>
      </x:c>
      <x:c r="B116" s="31" t="str">
        <x:v>S10-T02</x:v>
      </x:c>
      <x:c r="C116" s="31" t="str">
        <x:v>INDEPENDENT</x:v>
      </x:c>
      <x:c r="D116" s="31" t="str">
        <x:v>Miami Hurricanes team total under 60.5</x:v>
      </x:c>
      <x:c r="E116" s="538" t="n">
        <x:v>1</x:v>
      </x:c>
      <x:c r="F116" s="80" t="n">
        <x:v>125</x:v>
      </x:c>
      <x:c r="G116" s="534" t="str">
        <x:v>N</x:v>
      </x:c>
      <x:c r="H116" s="80" t="n">
        <x:v>1</x:v>
      </x:c>
      <x:c r="I116" s="534" t="str">
        <x:v>Loss</x:v>
      </x:c>
      <x:c r="J116" s="538" t="n">
        <x:v>0</x:v>
      </x:c>
      <x:c r="K116" s="538" t="n">
        <x:v>-1</x:v>
      </x:c>
      <x:c r="L116" s="31" t="str"/>
      <x:c r="M116" s="31" t="str">
        <x:v>FINAL: DraftKings settled Miami team total under 60.5 +125 as a loss. ESPN records Miami scoring 77; rotation did not suppress scoring.</x:v>
      </x:c>
    </x:row>
    <x:row r="117" ht="38" customHeight="1">
      <x:c r="A117" s="31" t="str">
        <x:v>2026-09-10</x:v>
      </x:c>
      <x:c r="B117" s="31" t="str">
        <x:v>S10-T03</x:v>
      </x:c>
      <x:c r="C117" s="31" t="str">
        <x:v>INDEPENDENT</x:v>
      </x:c>
      <x:c r="D117" s="31" t="str">
        <x:v>Jared Jones under 15.5 pitching outs</x:v>
      </x:c>
      <x:c r="E117" s="538" t="n">
        <x:v>1</x:v>
      </x:c>
      <x:c r="F117" s="80" t="n">
        <x:v>-146</x:v>
      </x:c>
      <x:c r="G117" s="534" t="str">
        <x:v>N</x:v>
      </x:c>
      <x:c r="H117" s="80" t="n">
        <x:v>1</x:v>
      </x:c>
      <x:c r="I117" s="534" t="str">
        <x:v>Loss</x:v>
      </x:c>
      <x:c r="J117" s="538" t="n">
        <x:v>0</x:v>
      </x:c>
      <x:c r="K117" s="538" t="n">
        <x:v>-1</x:v>
      </x:c>
      <x:c r="L117" s="31" t="str"/>
      <x:c r="M117" s="31" t="str">
        <x:v>FINAL: DraftKings settled Jared Jones under 15.5 pitching outs -146 as a loss. MLB records seven innings (21 outs) and eight strikeouts; workload regime was misread.</x:v>
      </x:c>
    </x:row>
    <x:row r="118" ht="38" customHeight="1">
      <x:c r="A118" s="31" t="str">
        <x:v>2026-09-10</x:v>
      </x:c>
      <x:c r="B118" s="31" t="str">
        <x:v>S10-T04</x:v>
      </x:c>
      <x:c r="C118" s="31" t="str">
        <x:v>INDEPENDENT</x:v>
      </x:c>
      <x:c r="D118" s="31" t="str">
        <x:v>New York Yankees first-five team total over 2.5</x:v>
      </x:c>
      <x:c r="E118" s="538" t="n">
        <x:v>1</x:v>
      </x:c>
      <x:c r="F118" s="80" t="n">
        <x:v>-130</x:v>
      </x:c>
      <x:c r="G118" s="534" t="str">
        <x:v>N</x:v>
      </x:c>
      <x:c r="H118" s="80" t="n">
        <x:v>1</x:v>
      </x:c>
      <x:c r="I118" s="534" t="str">
        <x:v>Win</x:v>
      </x:c>
      <x:c r="J118" s="538" t="n">
        <x:v>1.76</x:v>
      </x:c>
      <x:c r="K118" s="538" t="n">
        <x:v>0.76</x:v>
      </x:c>
      <x:c r="L118" s="31" t="str"/>
      <x:c r="M118" s="31" t="str">
        <x:v>FINAL: DraftKings settled Yankees first-five team total over 2.5 -130 as a win and paid $1.76. New York scored four runs through five innings.</x:v>
      </x:c>
    </x:row>
    <x:row r="119" ht="38" customHeight="1">
      <x:c r="A119" s="31" t="str">
        <x:v>2026-09-10</x:v>
      </x:c>
      <x:c r="B119" s="31" t="str">
        <x:v>S10-T05</x:v>
      </x:c>
      <x:c r="C119" s="31" t="str">
        <x:v>INDEPENDENT</x:v>
      </x:c>
      <x:c r="D119" s="31" t="str">
        <x:v>Christian McCaffrey 5+ live receptions + Kyren Williams 50+ live rushing yards</x:v>
      </x:c>
      <x:c r="E119" s="538" t="n">
        <x:v>1</x:v>
      </x:c>
      <x:c r="F119" s="80" t="n">
        <x:v>291</x:v>
      </x:c>
      <x:c r="G119" s="534" t="str">
        <x:v>Y</x:v>
      </x:c>
      <x:c r="H119" s="80" t="n">
        <x:v>2</x:v>
      </x:c>
      <x:c r="I119" s="534" t="str">
        <x:v>Loss</x:v>
      </x:c>
      <x:c r="J119" s="538" t="n">
        <x:v>0</x:v>
      </x:c>
      <x:c r="K119" s="538" t="n">
        <x:v>-1</x:v>
      </x:c>
      <x:c r="L119" s="31" t="str">
        <x:v>50% Rams–49ers parlay boost</x:v>
      </x:c>
      <x:c r="M119" s="31" t="str">
        <x:v>FINAL: The user replied “Ok done” after the exact $1 placement instruction. DraftKings verifies +194 raw / +291 boosted. McCaffrey cleared 5+ receptions; Kyren finished with 41 rushing yards and missed 50+.</x:v>
      </x:c>
    </x:row>
    <x:row r="120" ht="38" customHeight="1">
      <x:c r="A120" s="31" t="str">
        <x:v>2026-09-11</x:v>
      </x:c>
      <x:c r="B120" s="31" t="str">
        <x:v>S11-T01</x:v>
      </x:c>
      <x:c r="C120" s="31" t="str">
        <x:v>INDEPENDENT</x:v>
      </x:c>
      <x:c r="D120" s="31" t="str">
        <x:v>Jamal Roberts 40+ first-half rushing yards</x:v>
      </x:c>
      <x:c r="E120" s="538" t="n">
        <x:v>1</x:v>
      </x:c>
      <x:c r="F120" s="80" t="n">
        <x:v>120</x:v>
      </x:c>
      <x:c r="G120" s="534" t="str">
        <x:v>Y</x:v>
      </x:c>
      <x:c r="H120" s="80" t="n">
        <x:v>1</x:v>
      </x:c>
      <x:c r="I120" s="534" t="str">
        <x:v>Win</x:v>
      </x:c>
      <x:c r="J120" s="538" t="n">
        <x:v>2.2</x:v>
      </x:c>
      <x:c r="K120" s="538" t="n">
        <x:v>1.2</x:v>
      </x:c>
      <x:c r="L120" s="31" t="str">
        <x:v>50% Missouri–Kansas boost</x:v>
      </x:c>
      <x:c r="M120" s="31" t="str">
        <x:v>FINAL: ESPN official play-by-play records 88 Jamal Roberts rushing yards in the first half, clearing 40+ at +120 boosted. The $1 ticket returns $2.20.</x:v>
      </x:c>
    </x:row>
    <x:row r="121" ht="38" customHeight="1">
      <x:c r="A121" s="31" t="str">
        <x:v>2026-09-11</x:v>
      </x:c>
      <x:c r="B121" s="31" t="str">
        <x:v>S11-T02</x:v>
      </x:c>
      <x:c r="C121" s="31" t="str">
        <x:v>INDEPENDENT</x:v>
      </x:c>
      <x:c r="D121" s="31" t="str">
        <x:v>Cade Cavalli 7+ strikeouts</x:v>
      </x:c>
      <x:c r="E121" s="538" t="n">
        <x:v>1</x:v>
      </x:c>
      <x:c r="F121" s="80" t="n">
        <x:v>-150</x:v>
      </x:c>
      <x:c r="G121" s="534" t="str">
        <x:v>N</x:v>
      </x:c>
      <x:c r="H121" s="80" t="n">
        <x:v>1</x:v>
      </x:c>
      <x:c r="I121" s="534" t="str">
        <x:v>Win</x:v>
      </x:c>
      <x:c r="J121" s="538" t="n">
        <x:v>1.67</x:v>
      </x:c>
      <x:c r="K121" s="538" t="n">
        <x:v>0.67</x:v>
      </x:c>
      <x:c r="L121" s="31" t="str"/>
      <x:c r="M121" s="31" t="str">
        <x:v>FINAL: MLB official box score records Cade Cavalli with 9 strikeouts in 6.0 innings, clearing 7+ at -150. The $1 ticket returns $1.67.</x:v>
      </x:c>
    </x:row>
    <x:row r="122" ht="38" customHeight="1">
      <x:c r="A122" s="31" t="str">
        <x:v>2026-09-11</x:v>
      </x:c>
      <x:c r="B122" s="31" t="str">
        <x:v>S11-T03</x:v>
      </x:c>
      <x:c r="C122" s="31" t="str">
        <x:v>BOTH</x:v>
      </x:c>
      <x:c r="D122" s="31" t="str">
        <x:v>Ronald Acuña Jr. 2+ total bases</x:v>
      </x:c>
      <x:c r="E122" s="538" t="n">
        <x:v>1</x:v>
      </x:c>
      <x:c r="F122" s="80" t="n">
        <x:v>122</x:v>
      </x:c>
      <x:c r="G122" s="534" t="str">
        <x:v>N</x:v>
      </x:c>
      <x:c r="H122" s="80" t="n">
        <x:v>1</x:v>
      </x:c>
      <x:c r="I122" s="534" t="str">
        <x:v>Win</x:v>
      </x:c>
      <x:c r="J122" s="538" t="n">
        <x:v>2.22</x:v>
      </x:c>
      <x:c r="K122" s="538" t="n">
        <x:v>1.22</x:v>
      </x:c>
      <x:c r="L122" s="31" t="str"/>
      <x:c r="M122" s="31" t="str">
        <x:v>FINAL: MLB official box score records Ronald Acuña Jr. with 2 total bases (one double), clearing 2+ at +122. The $1 ticket returns $2.22.</x:v>
      </x:c>
    </x:row>
    <x:row r="123" ht="38" customHeight="1">
      <x:c r="A123" s="31" t="str">
        <x:v>2026-09-11</x:v>
      </x:c>
      <x:c r="B123" s="31" t="str">
        <x:v>S11-T04</x:v>
      </x:c>
      <x:c r="C123" s="31" t="str">
        <x:v>BOTH</x:v>
      </x:c>
      <x:c r="D123" s="31" t="str">
        <x:v>Chris Bassitt over 2.5 earned runs allowed</x:v>
      </x:c>
      <x:c r="E123" s="538" t="n">
        <x:v>1</x:v>
      </x:c>
      <x:c r="F123" s="80" t="n">
        <x:v>103</x:v>
      </x:c>
      <x:c r="G123" s="534" t="str">
        <x:v>N</x:v>
      </x:c>
      <x:c r="H123" s="80" t="n">
        <x:v>1</x:v>
      </x:c>
      <x:c r="I123" s="534" t="str">
        <x:v>Loss</x:v>
      </x:c>
      <x:c r="J123" s="538" t="n">
        <x:v>0</x:v>
      </x:c>
      <x:c r="K123" s="538" t="n">
        <x:v>-1</x:v>
      </x:c>
      <x:c r="L123" s="31" t="str"/>
      <x:c r="M123" s="31" t="str">
        <x:v>FINAL: MLB official box score records Chris Bassitt with 2 earned runs allowed in 5.0 innings, so over 2.5 at +103 lost.</x:v>
      </x:c>
    </x:row>
    <x:row r="124" ht="38" customHeight="1">
      <x:c r="A124" s="31" t="str">
        <x:v>2026-09-11</x:v>
      </x:c>
      <x:c r="B124" s="31" t="str">
        <x:v>S11-T05</x:v>
      </x:c>
      <x:c r="C124" s="31" t="str">
        <x:v>BOTH</x:v>
      </x:c>
      <x:c r="D124" s="31" t="str">
        <x:v>Matthew Liberatore over 2.5 earned runs allowed</x:v>
      </x:c>
      <x:c r="E124" s="538" t="n">
        <x:v>1</x:v>
      </x:c>
      <x:c r="F124" s="80" t="n">
        <x:v>124</x:v>
      </x:c>
      <x:c r="G124" s="534" t="str">
        <x:v>N</x:v>
      </x:c>
      <x:c r="H124" s="80" t="n">
        <x:v>1</x:v>
      </x:c>
      <x:c r="I124" s="534" t="str">
        <x:v>Loss</x:v>
      </x:c>
      <x:c r="J124" s="538" t="n">
        <x:v>0</x:v>
      </x:c>
      <x:c r="K124" s="538" t="n">
        <x:v>-1</x:v>
      </x:c>
      <x:c r="L124" s="31" t="str"/>
      <x:c r="M124" s="31" t="str">
        <x:v>FINAL: MLB official box score records Matthew Liberatore with 2 earned runs allowed in 4.1 innings, so over 2.5 at +124 lost.</x:v>
      </x:c>
    </x:row>
    <x:row r="125" ht="38" customHeight="1">
      <x:c r="A125" s="31" t="str">
        <x:v>2026-09-11</x:v>
      </x:c>
      <x:c r="B125" s="31" t="str">
        <x:v>S11-T06</x:v>
      </x:c>
      <x:c r="C125" s="31" t="str">
        <x:v>INDEPENDENT</x:v>
      </x:c>
      <x:c r="D125" s="31" t="str">
        <x:v>MacKenzie Gore over 1.5 walks</x:v>
      </x:c>
      <x:c r="E125" s="538" t="n">
        <x:v>1</x:v>
      </x:c>
      <x:c r="F125" s="80" t="n">
        <x:v>-152</x:v>
      </x:c>
      <x:c r="G125" s="534" t="str">
        <x:v>N</x:v>
      </x:c>
      <x:c r="H125" s="80" t="n">
        <x:v>1</x:v>
      </x:c>
      <x:c r="I125" s="534" t="str">
        <x:v>Win</x:v>
      </x:c>
      <x:c r="J125" s="538" t="n">
        <x:v>1.66</x:v>
      </x:c>
      <x:c r="K125" s="538" t="n">
        <x:v>0.66</x:v>
      </x:c>
      <x:c r="L125" s="31" t="str"/>
      <x:c r="M125" s="31" t="str">
        <x:v>FINAL: MLB official box score records MacKenzie Gore with 3 walks in 4.0 innings, clearing over 1.5 at -152. The $1 ticket returns $1.66.</x:v>
      </x:c>
    </x:row>
    <x:row r="126" ht="38" customHeight="1">
      <x:c r="A126" s="31" t="str">
        <x:v>2026-09-12</x:v>
      </x:c>
      <x:c r="B126" s="31" t="str">
        <x:v>S12-T01</x:v>
      </x:c>
      <x:c r="C126" s="31" t="str">
        <x:v>INDEPENDENT</x:v>
      </x:c>
      <x:c r="D126" s="31" t="str">
        <x:v>Serhou Guirassy 2+ shots on target — Serhou Guirassy 2+ shots on target (-170)</x:v>
      </x:c>
      <x:c r="E126" s="538" t="n">
        <x:v>1</x:v>
      </x:c>
      <x:c r="F126" s="80" t="n">
        <x:v>-170</x:v>
      </x:c>
      <x:c r="G126" s="534" t="str">
        <x:v>N</x:v>
      </x:c>
      <x:c r="H126" s="80" t="n">
        <x:v>1</x:v>
      </x:c>
      <x:c r="I126" s="534" t="str">
        <x:v>Win</x:v>
      </x:c>
      <x:c r="J126" s="538" t="n">
        <x:v>1.5882</x:v>
      </x:c>
      <x:c r="K126" s="538" t="n">
        <x:v>0.5882</x:v>
      </x:c>
      <x:c r="L126" s="31" t="str"/>
      <x:c r="M126" s="31" t="str">
        <x:v>FINAL: DraftKings settlement supplied by the user: Guirassy recorded at least 2 shots on target and the ticket won.</x:v>
      </x:c>
    </x:row>
    <x:row r="127" ht="38" customHeight="1">
      <x:c r="A127" s="31" t="str">
        <x:v>2026-09-12</x:v>
      </x:c>
      <x:c r="B127" s="31" t="str">
        <x:v>S12-T02</x:v>
      </x:c>
      <x:c r="C127" s="31" t="str">
        <x:v>INDEPENDENT</x:v>
      </x:c>
      <x:c r="D127" s="31" t="str">
        <x:v>Alexander Isak 2+ shots on target — Alexander Isak 2+ shots on target (+110)</x:v>
      </x:c>
      <x:c r="E127" s="538" t="n">
        <x:v>1</x:v>
      </x:c>
      <x:c r="F127" s="80" t="n">
        <x:v>110</x:v>
      </x:c>
      <x:c r="G127" s="534" t="str">
        <x:v>N</x:v>
      </x:c>
      <x:c r="H127" s="80" t="n">
        <x:v>1</x:v>
      </x:c>
      <x:c r="I127" s="534" t="str">
        <x:v>Loss</x:v>
      </x:c>
      <x:c r="J127" s="538" t="n">
        <x:v>0</x:v>
      </x:c>
      <x:c r="K127" s="538" t="n">
        <x:v>-1</x:v>
      </x:c>
      <x:c r="L127" s="31" t="str"/>
      <x:c r="M127" s="31" t="str">
        <x:v>FINAL: DraftKings settlement supplied by the user: Isak recorded 1 shot on target, below the 2+ threshold.</x:v>
      </x:c>
    </x:row>
    <x:row r="128" ht="38" customHeight="1">
      <x:c r="A128" s="31" t="str">
        <x:v>2026-09-12</x:v>
      </x:c>
      <x:c r="B128" s="31" t="str">
        <x:v>S12-T03</x:v>
      </x:c>
      <x:c r="C128" s="31" t="str">
        <x:v>INDEPENDENT</x:v>
      </x:c>
      <x:c r="D128" s="31" t="str">
        <x:v>Patrik Schick 2+ shots on target — Patrik Schick 2+ shots on target (+115)</x:v>
      </x:c>
      <x:c r="E128" s="538" t="n">
        <x:v>1</x:v>
      </x:c>
      <x:c r="F128" s="80" t="n">
        <x:v>115</x:v>
      </x:c>
      <x:c r="G128" s="534" t="str">
        <x:v>N</x:v>
      </x:c>
      <x:c r="H128" s="80" t="n">
        <x:v>1</x:v>
      </x:c>
      <x:c r="I128" s="534" t="str">
        <x:v>Loss</x:v>
      </x:c>
      <x:c r="J128" s="538" t="n">
        <x:v>0</x:v>
      </x:c>
      <x:c r="K128" s="538" t="n">
        <x:v>-1</x:v>
      </x:c>
      <x:c r="L128" s="31" t="str"/>
      <x:c r="M128" s="31" t="str">
        <x:v>FINAL: DraftKings settlement supplied by the user controls accounting: Schick recorded 1 shot on target, below the 2+ threshold.</x:v>
      </x:c>
    </x:row>
    <x:row r="129" ht="38" customHeight="1">
      <x:c r="A129" s="31" t="str">
        <x:v>2026-09-12</x:v>
      </x:c>
      <x:c r="B129" s="31" t="str">
        <x:v>S12-T04</x:v>
      </x:c>
      <x:c r="C129" s="31" t="str">
        <x:v>INDEPENDENT</x:v>
      </x:c>
      <x:c r="D129" s="31" t="str">
        <x:v>Nate Sheppard 24+ rushing attempts — Nate Sheppard 24+ rushing attempts (-123 before boost)</x:v>
      </x:c>
      <x:c r="E129" s="538" t="n">
        <x:v>1</x:v>
      </x:c>
      <x:c r="F129" s="80" t="str">
        <x:v>-123 before boost</x:v>
      </x:c>
      <x:c r="G129" s="534" t="str">
        <x:v>Y</x:v>
      </x:c>
      <x:c r="H129" s="80" t="n">
        <x:v>1</x:v>
      </x:c>
      <x:c r="I129" s="534" t="str"/>
      <x:c r="J129" s="538" t="str"/>
      <x:c r="K129" s="538" t="str"/>
      <x:c r="L129" s="31" t="str">
        <x:v>50% CFB Saturday profit boost</x:v>
      </x:c>
      <x:c r="M129" s="31" t="str">
        <x:v>PLACED_USER_CONFIRMED: The independent role audit selected rushing attempts over rushing yards to express expected workload directly. The final boosted display price was not captured.</x:v>
      </x:c>
    </x:row>
    <x:row r="130" ht="38" customHeight="1">
      <x:c r="A130" s="31" t="str">
        <x:v>2026-09-12</x:v>
      </x:c>
      <x:c r="B130" s="31" t="str">
        <x:v>S12-T05</x:v>
      </x:c>
      <x:c r="C130" s="31" t="str">
        <x:v>INDEPENDENT</x:v>
      </x:c>
      <x:c r="D130" s="31" t="str">
        <x:v>McAfee Tailgate Overs — Mississippi State at Minnesota over 50.5 | Tennessee at Georgia Tech over 50.5 | Arizona State at Texas A&amp;M over 45.5</x:v>
      </x:c>
      <x:c r="E130" s="538" t="n">
        <x:v>1</x:v>
      </x:c>
      <x:c r="F130" s="80" t="str">
        <x:v>+400 boosted</x:v>
      </x:c>
      <x:c r="G130" s="534" t="str">
        <x:v>Y</x:v>
      </x:c>
      <x:c r="H130" s="80" t="n">
        <x:v>3</x:v>
      </x:c>
      <x:c r="I130" s="534" t="str"/>
      <x:c r="J130" s="538" t="str"/>
      <x:c r="K130" s="538" t="str"/>
      <x:c r="L130" s="31" t="str">
        <x:v>McAfee Tailgate Overs fixed proposition</x:v>
      </x:c>
      <x:c r="M130" s="31" t="str">
        <x:v>PLACED_USER_CONFIRMED: The independent audit treated this as one fixed sportsbook proposition, not three independent selections. The user explicitly confirmed it as placed.</x:v>
      </x:c>
    </x:row>
    <x:row r="131" ht="38" customHeight="1">
      <x:c r="A131" s="31" t="str">
        <x:v>2026-09-12</x:v>
      </x:c>
      <x:c r="B131" s="31" t="str">
        <x:v>S12-T06</x:v>
      </x:c>
      <x:c r="C131" s="31" t="str">
        <x:v>INDEPENDENT</x:v>
      </x:c>
      <x:c r="D131" s="31" t="str">
        <x:v>Athletic Bilbao first-half moneyline — Athletic Bilbao first-half moneyline (-125)</x:v>
      </x:c>
      <x:c r="E131" s="538" t="n">
        <x:v>1</x:v>
      </x:c>
      <x:c r="F131" s="80" t="n">
        <x:v>-125</x:v>
      </x:c>
      <x:c r="G131" s="534" t="str">
        <x:v>N</x:v>
      </x:c>
      <x:c r="H131" s="80" t="n">
        <x:v>1</x:v>
      </x:c>
      <x:c r="I131" s="534" t="str">
        <x:v>Loss</x:v>
      </x:c>
      <x:c r="J131" s="538" t="n">
        <x:v>0</x:v>
      </x:c>
      <x:c r="K131" s="538" t="n">
        <x:v>-1</x:v>
      </x:c>
      <x:c r="L131" s="31" t="str"/>
      <x:c r="M131" s="31" t="str">
        <x:v>FINAL: DraftKings settlement supplied by the user: Athletic Club and Elche were 0–0 at halftime, so the first-half moneyline lost.</x:v>
      </x:c>
    </x:row>
    <x:row r="132" ht="38" customHeight="1">
      <x:c r="A132" s="31" t="str">
        <x:v>2026-09-12</x:v>
      </x:c>
      <x:c r="B132" s="31" t="str">
        <x:v>S12-T07</x:v>
      </x:c>
      <x:c r="C132" s="31" t="str">
        <x:v>BOTH</x:v>
      </x:c>
      <x:c r="D132" s="31" t="str">
        <x:v>Oregon Ducks first-half team total over 21.5 — Oregon Ducks first-half team total over 21.5 (+100)</x:v>
      </x:c>
      <x:c r="E132" s="538" t="n">
        <x:v>1</x:v>
      </x:c>
      <x:c r="F132" s="80" t="n">
        <x:v>100</x:v>
      </x:c>
      <x:c r="G132" s="534" t="str">
        <x:v>N</x:v>
      </x:c>
      <x:c r="H132" s="80" t="n">
        <x:v>1</x:v>
      </x:c>
      <x:c r="I132" s="534" t="str">
        <x:v>Loss</x:v>
      </x:c>
      <x:c r="J132" s="538" t="n">
        <x:v>0</x:v>
      </x:c>
      <x:c r="K132" s="538" t="n">
        <x:v>-1</x:v>
      </x:c>
      <x:c r="L132" s="31" t="str"/>
      <x:c r="M132" s="31" t="str">
        <x:v>FINAL: Verified game state reported in the chat: Oregon scored 17 first-half points, below the over 21.5 threshold. Classified as a matchup/mechanism failure.</x:v>
      </x:c>
    </x:row>
    <x:row r="133" ht="38" customHeight="1">
      <x:c r="A133" s="31" t="str">
        <x:v>2026-09-12</x:v>
      </x:c>
      <x:c r="B133" s="31" t="str">
        <x:v>S12-T08</x:v>
      </x:c>
      <x:c r="C133" s="31" t="str">
        <x:v>BOTH</x:v>
      </x:c>
      <x:c r="D133" s="31" t="str">
        <x:v>Zac Thornton over 4.5 hits allowed — Zac Thornton over 4.5 hits allowed (-158)</x:v>
      </x:c>
      <x:c r="E133" s="538" t="n">
        <x:v>1</x:v>
      </x:c>
      <x:c r="F133" s="80" t="n">
        <x:v>-158</x:v>
      </x:c>
      <x:c r="G133" s="534" t="str">
        <x:v>N</x:v>
      </x:c>
      <x:c r="H133" s="80" t="n">
        <x:v>1</x:v>
      </x:c>
      <x:c r="I133" s="534" t="str"/>
      <x:c r="J133" s="538" t="str"/>
      <x:c r="K133" s="538" t="str"/>
      <x:c r="L133" s="31" t="str"/>
      <x:c r="M133" s="31" t="str">
        <x:v>PLACED_USER_CONFIRMED: The frozen system decision was Thornton over 5.5 hits at a plus price. The user’s DraftKings execution used the lower 4.5 threshold at -158; system decision and user execution remain separate.</x:v>
      </x:c>
    </x:row>
    <x:row r="134" ht="38" customHeight="1">
      <x:c r="A134" s="31" t="str">
        <x:v>2026-09-12</x:v>
      </x:c>
      <x:c r="B134" s="31" t="str">
        <x:v>S12-T09</x:v>
      </x:c>
      <x:c r="C134" s="31" t="str">
        <x:v>INDEPENDENT</x:v>
      </x:c>
      <x:c r="D134" s="31" t="str">
        <x:v>Michigan live spread -4.5 — Michigan -4.5 live spread (-114 before boost)</x:v>
      </x:c>
      <x:c r="E134" s="538" t="n">
        <x:v>1</x:v>
      </x:c>
      <x:c r="F134" s="80" t="str">
        <x:v>-114 before boost</x:v>
      </x:c>
      <x:c r="G134" s="534" t="str">
        <x:v>Y</x:v>
      </x:c>
      <x:c r="H134" s="80" t="n">
        <x:v>1</x:v>
      </x:c>
      <x:c r="I134" s="534" t="str"/>
      <x:c r="J134" s="538" t="str"/>
      <x:c r="K134" s="538" t="str"/>
      <x:c r="L134" s="31" t="str">
        <x:v>50% live CFB boost</x:v>
      </x:c>
      <x:c r="M134" s="31" t="str">
        <x:v>PLACED_USER_CONFIRMED: The live state was requalified independently before execution. The user confirmed Michigan -4.5 at -114 with the 50% live CFB boost; the exact final boosted display price was not captured.</x:v>
      </x:c>
    </x:row>
    <x:row r="135" ht="38" customHeight="1">
      <x:c r="A135" s="31" t="str">
        <x:v>2026-09-12</x:v>
      </x:c>
      <x:c r="B135" s="31" t="str">
        <x:v>S12-T10</x:v>
      </x:c>
      <x:c r="C135" s="31" t="str">
        <x:v>BOTH</x:v>
      </x:c>
      <x:c r="D135" s="31" t="str">
        <x:v>Kyle Bradish over 2.5 walks allowed — Kyle Bradish over 2.5 walks allowed (+145)</x:v>
      </x:c>
      <x:c r="E135" s="538" t="n">
        <x:v>1</x:v>
      </x:c>
      <x:c r="F135" s="80" t="n">
        <x:v>145</x:v>
      </x:c>
      <x:c r="G135" s="534" t="str">
        <x:v>N</x:v>
      </x:c>
      <x:c r="H135" s="80" t="n">
        <x:v>1</x:v>
      </x:c>
      <x:c r="I135" s="534" t="str"/>
      <x:c r="J135" s="538" t="str"/>
      <x:c r="K135" s="538" t="str"/>
      <x:c r="L135" s="31" t="str"/>
      <x:c r="M135" s="31" t="str">
        <x:v>PLACED_USER_CONFIRMED: A live-before-first-pitch requalification selected the higher 2.5-walk threshold at plus money over the hits market. The user confirmed this and Ureña as placed.</x:v>
      </x:c>
    </x:row>
    <x:row r="136" ht="38" customHeight="1">
      <x:c r="A136" s="31" t="str">
        <x:v>2026-09-12</x:v>
      </x:c>
      <x:c r="B136" s="31" t="str">
        <x:v>S12-T11</x:v>
      </x:c>
      <x:c r="C136" s="31" t="str">
        <x:v>BOTH</x:v>
      </x:c>
      <x:c r="D136" s="31" t="str">
        <x:v>Walbert Ureña over 16.5 pitching outs — Walbert Ureña over 16.5 pitching outs (-115)</x:v>
      </x:c>
      <x:c r="E136" s="538" t="n">
        <x:v>1</x:v>
      </x:c>
      <x:c r="F136" s="80" t="n">
        <x:v>-115</x:v>
      </x:c>
      <x:c r="G136" s="534" t="str">
        <x:v>N</x:v>
      </x:c>
      <x:c r="H136" s="80" t="n">
        <x:v>1</x:v>
      </x:c>
      <x:c r="I136" s="534" t="str"/>
      <x:c r="J136" s="538" t="str"/>
      <x:c r="K136" s="538" t="str"/>
      <x:c r="L136" s="31" t="str"/>
      <x:c r="M136" s="31" t="str">
        <x:v>PLACED_USER_CONFIRMED: The independent workload audit preferred the improved 16.5-outs threshold over the earlier 17.5 line and alternate strikeout markets. The user confirmed this and Bradish as placed.</x:v>
      </x:c>
    </x:row>
    <x:row r="137" ht="38" customHeight="1">
      <x:c r="A137" s="31" t="str">
        <x:v>2026-09-12</x:v>
      </x:c>
      <x:c r="B137" s="31" t="str">
        <x:v>S12-T12</x:v>
      </x:c>
      <x:c r="C137" s="31" t="str">
        <x:v>INDEPENDENT</x:v>
      </x:c>
      <x:c r="D137" s="31" t="str">
        <x:v>Arizona +7.5 / Kentucky +10.5 / UConn +12.5 parlay — Arizona +7.5 at BYU | Kentucky +10.5 vs Alabama | UConn +12.5 vs Maryland</x:v>
      </x:c>
      <x:c r="E137" s="538" t="n">
        <x:v>1</x:v>
      </x:c>
      <x:c r="F137" s="80" t="str">
        <x:v>+435 raw / +652 effective</x:v>
      </x:c>
      <x:c r="G137" s="534" t="str">
        <x:v>Y</x:v>
      </x:c>
      <x:c r="H137" s="80" t="n">
        <x:v>3</x:v>
      </x:c>
      <x:c r="I137" s="534" t="str"/>
      <x:c r="J137" s="538" t="str"/>
      <x:c r="K137" s="538" t="str"/>
      <x:c r="L137" s="31" t="str">
        <x:v>50% CFB Mystery Parlay Boost</x:v>
      </x:c>
      <x:c r="M137" s="31" t="str">
        <x:v>PLACED_USER_CONFIRMED: The 3:30 CFB audit qualified each spread before packaging. The user confirmed the exact three-leg, $1, 50%-boosted construction after a final confidence check.</x:v>
      </x:c>
    </x:row>
    <x:row r="138" ht="38" customHeight="1">
      <x:c r="A138" s="31" t="str">
        <x:v>2026-09-12</x:v>
      </x:c>
      <x:c r="B138" s="31" t="str">
        <x:v>S12-T13</x:v>
      </x:c>
      <x:c r="C138" s="31" t="str">
        <x:v>INDEPENDENT</x:v>
      </x:c>
      <x:c r="D138" s="31" t="str">
        <x:v>Keelon Russell 50+ rushing yards — Keelon Russell 50+ rushing yards (-107)</x:v>
      </x:c>
      <x:c r="E138" s="538" t="n">
        <x:v>1</x:v>
      </x:c>
      <x:c r="F138" s="80" t="n">
        <x:v>-107</x:v>
      </x:c>
      <x:c r="G138" s="534" t="str">
        <x:v>N</x:v>
      </x:c>
      <x:c r="H138" s="80" t="n">
        <x:v>1</x:v>
      </x:c>
      <x:c r="I138" s="534" t="str"/>
      <x:c r="J138" s="538" t="str"/>
      <x:c r="K138" s="538" t="str"/>
      <x:c r="L138" s="31" t="str"/>
      <x:c r="M138" s="31" t="str">
        <x:v>PLACED_USER_CONFIRMED: The player-board audit preferred a lower 50+ threshold at a better price than the previously evaluated 53+ line. The user immediately confirmed placement.</x:v>
      </x:c>
    </x:row>
    <x:row r="139" ht="38" customHeight="1">
      <x:c r="A139" s="31" t="str">
        <x:v>2026-09-12</x:v>
      </x:c>
      <x:c r="B139" s="31" t="str">
        <x:v>S12-T14</x:v>
      </x:c>
      <x:c r="C139" s="31" t="str">
        <x:v>INDEPENDENT</x:v>
      </x:c>
      <x:c r="D139" s="31" t="str">
        <x:v>Ryan Wingo 60+ receiving yards - Ryan Wingo 60+ receiving yards (+120 before boost)</x:v>
      </x:c>
      <x:c r="E139" s="538" t="n">
        <x:v>1</x:v>
      </x:c>
      <x:c r="F139" s="80" t="str">
        <x:v>+120 before boost</x:v>
      </x:c>
      <x:c r="G139" s="534" t="str">
        <x:v>Y</x:v>
      </x:c>
      <x:c r="H139" s="80" t="n">
        <x:v>1</x:v>
      </x:c>
      <x:c r="I139" s="534" t="str"/>
      <x:c r="J139" s="538" t="str"/>
      <x:c r="K139" s="538" t="str"/>
      <x:c r="L139" s="31" t="str">
        <x:v>50% OSU-Texas profit boost</x:v>
      </x:c>
      <x:c r="M139" s="31" t="str">
        <x:v>PLACED_USER_CONFIRMED: The independent evening audit preferred Wingo's 60+ receiving-yards threshold over the supplied Jeremiah Smith markets. The displayed +120 price qualified before the promo, and the user explicitly confirmed placement.</x:v>
      </x:c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be01ab5696b457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6069708e005045d9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14cff5a46bf140f7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d42d481559a48dc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85d54f9411d429d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 t="str"/>
      <x:c r="C4" s="33" t="str"/>
      <x:c r="D4" s="33" t="str"/>
      <x:c r="E4" s="33" t="str"/>
      <x:c r="F4" s="33" t="str"/>
      <x:c r="G4" s="31" t="n">
        <x:v>10</x:v>
      </x:c>
      <x:c r="H4" s="31" t="str"/>
      <x:c r="I4" s="32" t="str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 t="str"/>
      <x:c r="C5" s="33" t="str"/>
      <x:c r="D5" s="33" t="str"/>
      <x:c r="E5" s="33" t="str"/>
      <x:c r="F5" s="33" t="n">
        <x:v>55.51</x:v>
      </x:c>
      <x:c r="G5" s="31" t="n">
        <x:v>11</x:v>
      </x:c>
      <x:c r="H5" s="31" t="str"/>
      <x:c r="I5" s="32" t="str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v>11.44</x:v>
      </x:c>
      <x:c r="F7" s="33" t="n">
        <x:v>18.09</x:v>
      </x:c>
      <x:c r="G7" s="31" t="n">
        <x:v>4</x:v>
      </x:c>
      <x:c r="H7" s="31" t="n">
        <x:v>4</x:v>
      </x:c>
      <x:c r="I7" s="32" t="n"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Alvarez 2+ TB lost, Jake Bennett over 16.5 outs won, and the SGPx lost when Chourio and Contreras missed while Kade Anderson under 16.5 outs won. The two singles were nearly breakeven; the full -$1.00 SGPx stake drove most of the daily loss.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 lost when Liverpool stopped at 2 team goals and Real Madrid scored 0; Como ML won. CFB lost when Fresno State +22.5 fell 39-0; Miami -24.5 won 45-6. MLB SGPx lost when Lane Thomas 1+ hit and Hunter Goodman 2+ total bases missed; Ozzie Albies 1+ hit won. Yordan Alvarez HR lost. User-provided DraftKings screenshots show $4 risked, $0 returned, and bankroll $21.79 -&gt; $17.79. Postmortem: weak-leg contamination, shared matchup exposure mistaken for causal correlation, fragile player props chosen over broader expressions, and aggressive promo-driven thresholds. Immediate controls: Standalone YES before any parlay; label pair relationships; compare broad markets first; show safe/base/aggressive thresholds; max one HR satellite that ranks first on independent value; require an explicit cover path for large CFB underdogs.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2026-09-06</x:v>
      </x:c>
      <x:c r="B15" s="31" t="n">
        <x:v>31.69</x:v>
      </x:c>
      <x:c r="C15" s="31" t="n">
        <x:v>5</x:v>
      </x:c>
      <x:c r="D15" s="31" t="n">
        <x:v>4.44</x:v>
      </x:c>
      <x:c r="E15" s="31" t="n">
        <x:v>-0.56</x:v>
      </x:c>
      <x:c r="F15" s="31" t="n">
        <x:v>31.13</x:v>
      </x:c>
      <x:c r="G15" s="31" t="n">
        <x:v>5</x:v>
      </x:c>
      <x:c r="H15" s="31" t="n">
        <x:v>2</x:v>
      </x:c>
      <x:c r="I15" s="31" t="n">
        <x:v>0.4</x:v>
      </x:c>
      <x:c r="J15" s="31" t="str">
        <x:v>FINAL from user-submitted DraftKings results: 2-3 tickets, $5 risked, $4.44 returned, -$0.56 net. Arsenal ML + over 1.5 and Gavin Williams 9+ Ks won. Singer hits allowed lost through market expression despite a correct broad fade; both three-leg soccer parlays went 2-for-3, exposing weak-leg contamination.</x:v>
      </x:c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2026-09-09</x:v>
      </x:c>
      <x:c r="B16" s="31" t="n">
        <x:v>36.14</x:v>
      </x:c>
      <x:c r="C16" s="31" t="n">
        <x:v>8</x:v>
      </x:c>
      <x:c r="D16" s="31" t="n">
        <x:v>9.59</x:v>
      </x:c>
      <x:c r="E16" s="31" t="n">
        <x:v>1.59</x:v>
      </x:c>
      <x:c r="F16" s="31" t="n">
        <x:v>37.73</x:v>
      </x:c>
      <x:c r="G16" s="31" t="n">
        <x:v>8</x:v>
      </x:c>
      <x:c r="H16" s="31" t="n">
        <x:v>4</x:v>
      </x:c>
      <x:c r="I16" s="31" t="n">
        <x:v>0.5714285714285714</x:v>
      </x:c>
      <x:c r="J16" s="31" t="str">
        <x:v>FINAL: The seven-ticket main slate went 4-3, returning $8.50 on $7 risked (+$1.50). Wins: Liverpool ML, A.J. Brown 5+ first-quarter receiving yards, either Brown or Smith-Njigba TD, and Stevenson 4+ receptions. Losses: Isak 2+ shots on target, the Brown/Smith-Njigba 50+ receiving parlay, and Sugano over 5.5 hits allowed. A separate accidental live over 26.5 was cashed out for +$0.09; it is an execution error, not a model win. Full day: $8 risked, $9.59 returned, +$1.59; bankroll $36.14 to $37.73. Postmortem: preserve the independent under read, require a final side-and-threshold readback before submitting live bets, and distinguish correct broad theses from losing market expressions.</x:v>
      </x:c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2026-09-10</x:v>
      </x:c>
      <x:c r="B17" s="31" t="n">
        <x:v>37.73</x:v>
      </x:c>
      <x:c r="C17" s="31" t="n">
        <x:v>5</x:v>
      </x:c>
      <x:c r="D17" s="31" t="n">
        <x:v>3.76</x:v>
      </x:c>
      <x:c r="E17" s="31" t="n">
        <x:v>-1.24</x:v>
      </x:c>
      <x:c r="F17" s="31" t="n">
        <x:v>36.49</x:v>
      </x:c>
      <x:c r="G17" s="31" t="n">
        <x:v>5</x:v>
      </x:c>
      <x:c r="H17" s="31" t="n">
        <x:v>2</x:v>
      </x:c>
      <x:c r="I17" s="31" t="n">
        <x:v>0.4</x:v>
      </x:c>
      <x:c r="J17" s="31" t="str">
        <x:v>FINAL: 2-3 tickets, $5 risked, $3.76 returned, -$1.24; bankroll $37.73 to $36.49. CMC first-quarter reception and Yankees F5 team total won. Miami team-total under, Jones outs under and the live CMC/Kyren SGP lost. Postmortems: rotation did not suppress Miami scoring; Jones required a workload-regime reset; broad Yankees team expression succeeded; early-season Kyren carry-share uncertainty was understated. The verified paper subset showed the Jones strikeout arm winning while the outs under lost.</x:v>
      </x:c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2026-09-11</x:v>
      </x:c>
      <x:c r="B18" s="31" t="n">
        <x:v>36.49</x:v>
      </x:c>
      <x:c r="C18" s="31" t="n">
        <x:v>6</x:v>
      </x:c>
      <x:c r="D18" s="31" t="n">
        <x:v>7.75</x:v>
      </x:c>
      <x:c r="E18" s="31" t="n">
        <x:v>1.75</x:v>
      </x:c>
      <x:c r="F18" s="31" t="n">
        <x:v>38.24</x:v>
      </x:c>
      <x:c r="G18" s="31" t="n">
        <x:v>6</x:v>
      </x:c>
      <x:c r="H18" s="31" t="n">
        <x:v>4</x:v>
      </x:c>
      <x:c r="I18" s="31" t="n">
        <x:v>0.6666666666666666</x:v>
      </x:c>
      <x:c r="J18" s="31" t="str">
        <x:v>FINAL: 4-2 tickets, $6 risked, $7.75 returned, +$1.75; bankroll $36.49 to $38.24. Wins: Roberts 40+ first-half rushing yards, Cavalli 7+ strikeouts, Acuña 2+ total bases and Gore over 1.5 walks. Losses: Bassitt and Liberatore over 2.5 earned runs. Postmortem: lower-threshold role protection and command-risk markets converted; both earned-run overs missed when the starters exited at exactly 2 earned runs, reinforcing the need to compare hits, outs and earned-run expressions before entry.</x:v>
      </x:c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</x:row>
  </x:sheetData>
  <x:pageMargins left="0.7" right="0.7" top="0.75" bottom="0.75" header="0.3" footer="0.3"/>
  <x:tableParts count="1">
    <x:tablePart xmlns:r="http://schemas.openxmlformats.org/officeDocument/2006/relationships" r:id="R1cf36343d0894b36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241998477db461e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 t="str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/>
      <x:c r="Q2" s="33" t="str"/>
      <x:c r="R2" s="33" t="str"/>
      <x:c r="S2" s="31" t="str"/>
      <x:c r="T2" s="32" t="str"/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 t="str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 t="str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 t="str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/>
      <x:c r="R3" s="33" t="str"/>
      <x:c r="S3" s="31" t="str"/>
      <x:c r="T3" s="32" t="str"/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 t="str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 t="str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/>
      <x:c r="R4" s="33" t="str"/>
      <x:c r="S4" s="31" t="str"/>
      <x:c r="T4" s="32" t="str"/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 t="str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v>0</x:v>
      </x:c>
      <x:c r="R5" s="33" t="str"/>
      <x:c r="S5" s="31" t="str"/>
      <x:c r="T5" s="32" t="str"/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 t="str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 t="str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/>
      <x:c r="R6" s="33" t="str"/>
      <x:c r="S6" s="31" t="str"/>
      <x:c r="T6" s="32" t="str"/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 t="str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 t="str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/>
      <x:c r="R7" s="33" t="str"/>
      <x:c r="S7" s="31" t="str"/>
      <x:c r="T7" s="32" t="str"/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 t="str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 t="str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/>
      <x:c r="Q8" s="33" t="str"/>
      <x:c r="R8" s="33" t="str"/>
      <x:c r="S8" s="31" t="str"/>
      <x:c r="T8" s="32" t="str"/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 t="str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 t="str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v>0</x:v>
      </x:c>
      <x:c r="R9" s="33" t="str"/>
      <x:c r="S9" s="31" t="str"/>
      <x:c r="T9" s="32" t="str"/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 t="str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v>2.16</x:v>
      </x:c>
      <x:c r="R10" s="33" t="n">
        <x:v>1.1600000000000001</x:v>
      </x:c>
      <x:c r="S10" s="31" t="str"/>
      <x:c r="T10" s="32" t="str"/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v>0</x:v>
      </x:c>
      <x:c r="R11" s="33" t="str"/>
      <x:c r="S11" s="31" t="str"/>
      <x:c r="T11" s="32" t="str"/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v>0</x:v>
      </x:c>
      <x:c r="R12" s="33" t="str"/>
      <x:c r="S12" s="31" t="str"/>
      <x:c r="T12" s="32" t="str"/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/>
      <x:c r="Q13" s="33" t="n">
        <x:v>0</x:v>
      </x:c>
      <x:c r="R13" s="33" t="str"/>
      <x:c r="S13" s="31" t="str"/>
      <x:c r="T13" s="32" t="str"/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 t="str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 t="str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/>
      <x:c r="Q14" s="33" t="n">
        <x:v>0</x:v>
      </x:c>
      <x:c r="R14" s="33" t="str"/>
      <x:c r="S14" s="31" t="str"/>
      <x:c r="T14" s="32" t="str"/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 t="str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 t="str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/>
      <x:c r="Q15" s="33" t="n">
        <x:v>0</x:v>
      </x:c>
      <x:c r="R15" s="33" t="str"/>
      <x:c r="S15" s="31" t="str"/>
      <x:c r="T15" s="32" t="str"/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 t="str"/>
      <x:c r="Z15" s="31" t="str">
        <x:v>Injuries create a stable total-under edge.</x:v>
      </x:c>
      <x:c r="AA15" s="31" t="str">
        <x:v>Scoring remains efficient despite missing creators.</x:v>
      </x:c>
      <x:c r="AB15" s="31" t="str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 t="str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v>1</x:v>
      </x:c>
      <x:c r="Q16" s="33" t="str"/>
      <x:c r="R16" s="33" t="str"/>
      <x:c r="S16" s="31" t="str"/>
      <x:c r="T16" s="32" t="str"/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 t="str"/>
      <x:c r="T17" s="32" t="str"/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 t="str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 t="str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/>
      <x:c r="R18" s="33" t="str"/>
      <x:c r="S18" s="31" t="str"/>
      <x:c r="T18" s="32" t="str"/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 t="str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 t="str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/>
      <x:c r="R19" s="33" t="str"/>
      <x:c r="S19" s="31" t="str"/>
      <x:c r="T19" s="32" t="str"/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 t="str"/>
      <x:c r="T20" s="32" t="str"/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 t="str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 t="str"/>
      <x:c r="T21" s="32" t="str"/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 t="str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 t="str"/>
      <x:c r="T22" s="32" t="str"/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 t="str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 t="str"/>
      <x:c r="T23" s="32" t="str"/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 t="str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 t="str"/>
      <x:c r="T24" s="32" t="str"/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 t="str"/>
      <x:c r="T25" s="32" t="str"/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 t="str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 t="str"/>
      <x:c r="T26" s="32" t="str"/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 t="str"/>
      <x:c r="T27" s="32" t="str"/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 t="str"/>
      <x:c r="T28" s="32" t="str"/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 t="str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/>
      <x:c r="R29" s="33" t="str"/>
      <x:c r="S29" s="31" t="str"/>
      <x:c r="T29" s="32" t="str"/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 t="str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 t="str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/>
      <x:c r="R30" s="33" t="str"/>
      <x:c r="S30" s="31" t="str"/>
      <x:c r="T30" s="32" t="str"/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 t="str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/>
      <x:c r="R31" s="33" t="str"/>
      <x:c r="S31" s="31" t="str"/>
      <x:c r="T31" s="32" t="str"/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 t="str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/>
      <x:c r="R32" s="33" t="str"/>
      <x:c r="S32" s="31" t="str"/>
      <x:c r="T32" s="32" t="str"/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 t="str"/>
      <x:c r="R33" s="33" t="str"/>
      <x:c r="S33" s="31" t="str"/>
      <x:c r="T33" s="32" t="str"/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 t="str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 t="str"/>
      <x:c r="T34" s="32" t="str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 t="str"/>
      <x:c r="T35" s="32" t="str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 t="str"/>
      <x:c r="T36" s="32" t="str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 t="str"/>
      <x:c r="T37" s="32" t="str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 t="str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 t="str"/>
      <x:c r="T38" s="32" t="str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 t="str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 t="str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 t="str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 t="str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 t="str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 t="str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 t="str"/>
      <x:c r="R43" s="33" t="str"/>
      <x:c r="S43" s="31" t="str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 t="str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 t="str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 t="str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 t="str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 t="str"/>
      <x:c r="R45" s="33" t="str"/>
      <x:c r="S45" s="31" t="str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 t="str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 t="str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 t="str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 t="str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 t="str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 t="str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 t="str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 t="str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 t="str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 t="str"/>
      <x:c r="R50" s="33" t="str"/>
      <x:c r="S50" s="31" t="str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 t="str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 t="str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 t="str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 t="str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 t="str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 t="str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 t="str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 t="str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 t="str"/>
      <x:c r="R54" s="33" t="str"/>
      <x:c r="S54" s="31" t="str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 t="str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 t="str"/>
      <x:c r="R55" s="33" t="str"/>
      <x:c r="S55" s="31" t="str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 t="str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 t="str"/>
      <x:c r="R56" s="33" t="str"/>
      <x:c r="S56" s="31" t="str"/>
      <x:c r="T56" s="32" t="str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 t="str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 t="str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 t="str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 t="str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 t="str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 t="str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 t="str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 t="str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 t="str"/>
      <x:c r="R64" s="33" t="str"/>
      <x:c r="S64" s="31" t="str"/>
      <x:c r="T64" s="32" t="str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 t="str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 t="str"/>
      <x:c r="R65" s="33" t="str"/>
      <x:c r="S65" s="31" t="str"/>
      <x:c r="T65" s="32" t="str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 t="str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 t="str"/>
      <x:c r="R66" s="33" t="str"/>
      <x:c r="S66" s="31" t="str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 t="str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 t="str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 t="str"/>
      <x:c r="R67" s="33" t="str"/>
      <x:c r="S67" s="31" t="str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 t="str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 t="str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 t="str"/>
      <x:c r="R68" s="33" t="str"/>
      <x:c r="S68" s="31" t="str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 t="str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 t="str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 t="str"/>
      <x:c r="R69" s="33" t="str"/>
      <x:c r="S69" s="31" t="str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 t="str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 t="str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 t="str"/>
      <x:c r="R70" s="33" t="str"/>
      <x:c r="S70" s="31" t="str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 t="str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 t="str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 t="str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 t="str"/>
      <x:c r="R72" s="33" t="str"/>
      <x:c r="S72" s="31" t="str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 t="str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 t="str"/>
      <x:c r="R73" s="33" t="str"/>
      <x:c r="S73" s="31" t="str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 t="str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 t="str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 t="str"/>
      <x:c r="R74" s="33" t="str"/>
      <x:c r="S74" s="31" t="str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 t="str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 t="str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 t="str"/>
      <x:c r="R75" s="33" t="str"/>
      <x:c r="S75" s="31" t="str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 t="str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 t="str"/>
      <x:c r="R76" s="33" t="str"/>
      <x:c r="S76" s="31" t="str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 t="str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 t="str"/>
      <x:c r="R77" s="33" t="str"/>
      <x:c r="S77" s="31" t="str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 t="str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 t="str"/>
      <x:c r="R78" s="33" t="str"/>
      <x:c r="S78" s="31" t="str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 t="str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 t="str"/>
      <x:c r="R79" s="33" t="str"/>
      <x:c r="S79" s="31" t="str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 t="str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 t="str"/>
      <x:c r="R80" s="33" t="str"/>
      <x:c r="S80" s="31" t="str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 t="str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 t="str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 t="str"/>
      <x:c r="R82" s="33" t="str"/>
      <x:c r="S82" s="31" t="str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 t="str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 t="str"/>
      <x:c r="R83" s="33" t="str"/>
      <x:c r="S83" s="31" t="str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 t="str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 t="str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 t="str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 t="str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 t="str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 t="str"/>
      <x:c r="AB85" s="31" t="str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 t="str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 t="str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 t="str"/>
      <x:c r="AB86" s="31" t="str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 t="str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 t="str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 t="str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 t="str"/>
      <x:c r="AB87" s="31" t="str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 t="str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 t="str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 t="str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 t="str"/>
      <x:c r="AB88" s="31" t="str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 t="str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 t="str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 t="str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 t="str"/>
      <x:c r="AB89" s="31" t="str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 t="str"/>
      <x:c r="R90" s="33" t="str"/>
      <x:c r="S90" s="31" t="str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 t="str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 t="str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 t="str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 t="str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 t="str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 t="str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 t="str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 t="str"/>
      <x:c r="AB92" s="31" t="str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 t="str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 t="str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 t="str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 t="str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 t="str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 t="str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 t="str"/>
      <x:c r="AB95" s="31" t="str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 t="str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 t="str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 t="str"/>
      <x:c r="AB96" s="31" t="str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 t="str"/>
      <x:c r="Q97" s="33" t="str"/>
      <x:c r="R97" s="33" t="str"/>
      <x:c r="S97" s="31" t="str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 t="str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 t="str"/>
      <x:c r="Q98" s="33" t="str"/>
      <x:c r="R98" s="33" t="str"/>
      <x:c r="S98" s="31" t="str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 t="str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 t="str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 t="str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 t="str"/>
      <x:c r="R100" s="33" t="str"/>
      <x:c r="S100" s="31" t="str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 t="str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 t="str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 t="str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 t="str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 t="str"/>
      <x:c r="R102" s="33" t="str"/>
      <x:c r="S102" s="31" t="str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 t="str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 t="str"/>
      <x:c r="R103" s="33" t="str"/>
      <x:c r="S103" s="31" t="str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 t="str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 t="str"/>
      <x:c r="R104" s="33" t="str"/>
      <x:c r="S104" s="31" t="str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 t="str"/>
      <x:c r="R105" s="33" t="str"/>
      <x:c r="S105" s="31" t="str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 t="str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 t="str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 t="str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 t="str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 t="str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 t="str"/>
      <x:c r="R110" s="33" t="str"/>
      <x:c r="S110" s="31" t="str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 t="str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 t="str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 t="str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 t="str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 t="str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 t="str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 t="str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 t="str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 t="str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 t="str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 t="str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 t="str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 t="str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 t="str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 t="str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 t="str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 t="str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 t="str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 t="str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 t="str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 t="str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 t="str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 t="str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 t="str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 t="str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 t="str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 t="str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 t="str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 t="str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 t="str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 t="str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 t="str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 t="str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 t="str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 t="str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 t="str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 t="str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 t="str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 t="str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 t="str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 t="str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 t="str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 t="str"/>
    </x:row>
    <x:row r="128">
      <x:c r="A128" s="79" t="str">
        <x:v>2026-08-29</x:v>
      </x:c>
      <x:c r="B128" s="31" t="str">
        <x:v>P29-045</x:v>
      </x:c>
      <x:c r="C128" s="31" t="str">
        <x:v>A29-R21;A29-R18;A29-R17</x:v>
      </x:c>
      <x:c r="D128" s="31" t="str">
        <x:v>PAPER</x:v>
      </x:c>
      <x:c r="E128" s="31" t="str">
        <x:v>CFB</x:v>
      </x:c>
      <x:c r="F128" s="31" t="str">
        <x:v>3-game parlay</x:v>
      </x:c>
      <x:c r="G128" s="31" t="str">
        <x:v>TCU + EMU + JAX ST</x:v>
      </x:c>
      <x:c r="H128" s="31" t="str">
        <x:v>CFB Primary Parlay</x:v>
      </x:c>
      <x:c r="I128" s="31" t="str">
        <x:v>TCU -6.5 + Eastern Michigan -6.5 + Jacksonville State +10.5</x:v>
      </x:c>
      <x:c r="J128" s="80" t="str"/>
      <x:c r="K128" s="31" t="str">
        <x:v>HYBRID</x:v>
      </x:c>
      <x:c r="L128" s="31" t="str">
        <x:v>A</x:v>
      </x:c>
      <x:c r="M128" s="31" t="str">
        <x:v>Primary real-money candidate built from favorable alternate thresholds and source/independent convergence.</x:v>
      </x:c>
      <x:c r="N128" s="31" t="str">
        <x:v>N</x:v>
      </x:c>
      <x:c r="O128" s="31" t="str">
        <x:v>Loss</x:v>
      </x:c>
      <x:c r="P128" s="31" t="n">
        <x:v>0</x:v>
      </x:c>
      <x:c r="Q128" s="33" t="str"/>
      <x:c r="R128" s="33" t="str"/>
      <x:c r="S128" s="31" t="str"/>
      <x:c r="T128" s="32" t="str"/>
      <x:c r="U128" s="31" t="str">
        <x:v>Real primary CFB cluster: TCU L, EMU W, JAX L.</x:v>
      </x:c>
      <x:c r="V128" s="31" t="str">
        <x:v>CONSTRUCTION_TEST</x:v>
      </x:c>
      <x:c r="W128" s="31" t="str">
        <x:v>EXP-19</x:v>
      </x:c>
      <x:c r="X128" s="31" t="str">
        <x:v>CFB PRIMARY ALT-SPREAD CARD</x:v>
      </x:c>
      <x:c r="Y128" s="31" t="str"/>
      <x:c r="Z128" s="31" t="str">
        <x:v>Using favorable alternate spreads around the strongest convergence games should preserve edge better than market spreads or extreme source alternates.</x:v>
      </x:c>
      <x:c r="AA128" s="31" t="str">
        <x:v>TCU fails to cover -6.5, EMU fails despite two-source convergence, or JAX loses by 11+.</x:v>
      </x:c>
      <x:c r="AB128" s="31" t="str">
        <x:v>1/3; threshold protection could not rescue two wrong sides.</x:v>
      </x:c>
    </x:row>
    <x:row r="129">
      <x:c r="A129" s="79" t="str">
        <x:v>2026-08-29</x:v>
      </x:c>
      <x:c r="B129" s="31" t="str">
        <x:v>P29-046</x:v>
      </x:c>
      <x:c r="C129" s="31" t="str">
        <x:v>A29-D02;A29-D06;A29-D10</x:v>
      </x:c>
      <x:c r="D129" s="31" t="str">
        <x:v>PAPER</x:v>
      </x:c>
      <x:c r="E129" s="31" t="str">
        <x:v>CFB</x:v>
      </x:c>
      <x:c r="F129" s="31" t="str">
        <x:v>3-game parlay</x:v>
      </x:c>
      <x:c r="G129" s="31" t="str">
        <x:v>Miller + Hawaii + MEM/UNLV</x:v>
      </x:c>
      <x:c r="H129" s="31" t="str">
        <x:v>CFB Secondary Parlay</x:v>
      </x:c>
      <x:c r="I129" s="31" t="str">
        <x:v>King Miller O65.5 rush + Hawaii +3.5/+4.5 + Memphis/UNLV O56.5</x:v>
      </x:c>
      <x:c r="J129" s="80" t="str"/>
      <x:c r="K129" s="31" t="str">
        <x:v>DISCOVERED</x:v>
      </x:c>
      <x:c r="L129" s="31" t="str">
        <x:v>A-</x:v>
      </x:c>
      <x:c r="M129" s="31" t="str">
        <x:v>Independent/differentiated second card with no repeated legs from the primary parlay.</x:v>
      </x:c>
      <x:c r="N129" s="31" t="str">
        <x:v>N</x:v>
      </x:c>
      <x:c r="O129" s="31" t="str">
        <x:v>Loss</x:v>
      </x:c>
      <x:c r="P129" s="31" t="n">
        <x:v>0</x:v>
      </x:c>
      <x:c r="Q129" s="33" t="str"/>
      <x:c r="R129" s="33" t="str"/>
      <x:c r="S129" s="31" t="str"/>
      <x:c r="T129" s="32" t="str"/>
      <x:c r="U129" s="31" t="str">
        <x:v>Real secondary CFB cluster: Miller 60+ W, Hawaii +4.5 L, O56.5 L.</x:v>
      </x:c>
      <x:c r="V129" s="31" t="str">
        <x:v>CONSTRUCTION_TEST</x:v>
      </x:c>
      <x:c r="W129" s="31" t="str">
        <x:v>EXP-23</x:v>
      </x:c>
      <x:c r="X129" s="31" t="str">
        <x:v>CFB DIFFERENTIATED CARD</x:v>
      </x:c>
      <x:c r="Y129" s="31" t="str"/>
      <x:c r="Z129" s="31" t="str">
        <x:v>Combining a role-based player prop, a continuity-based underdog spread, and a game-total edge diversifies failure modes across the slate.</x:v>
      </x:c>
      <x:c r="AA129" s="31" t="str">
        <x:v>One of the three theses proves too uncertain for real-money deployment after exact-price audit.</x:v>
      </x:c>
      <x:c r="AB129" s="31" t="str">
        <x:v>Only the hard role-based player prop survived.</x:v>
      </x:c>
    </x:row>
    <x:row r="130">
      <x:c r="A130" s="79" t="str">
        <x:v>2026-08-29</x:v>
      </x:c>
      <x:c r="B130" s="31" t="str">
        <x:v>P29-047</x:v>
      </x:c>
      <x:c r="C130" s="31" t="str">
        <x:v>A29-R21;A29-R18</x:v>
      </x:c>
      <x:c r="D130" s="31" t="str">
        <x:v>PAPER</x:v>
      </x:c>
      <x:c r="E130" s="31" t="str">
        <x:v>CFB</x:v>
      </x:c>
      <x:c r="F130" s="31" t="str">
        <x:v>2-game subset</x:v>
      </x:c>
      <x:c r="G130" s="31" t="str">
        <x:v>TCU + EMU</x:v>
      </x:c>
      <x:c r="H130" s="31" t="str">
        <x:v>2-leg subset</x:v>
      </x:c>
      <x:c r="I130" s="31" t="str">
        <x:v>TCU -6.5 + Eastern Michigan -6.5</x:v>
      </x:c>
      <x:c r="J130" s="80" t="str"/>
      <x:c r="K130" s="31" t="str">
        <x:v>HYBRID</x:v>
      </x:c>
      <x:c r="L130" s="31" t="str">
        <x:v>A</x:v>
      </x:c>
      <x:c r="M130" s="31" t="str">
        <x:v>Two strongest convergence legs from primary CFB card.</x:v>
      </x:c>
      <x:c r="N130" s="31" t="str">
        <x:v>N</x:v>
      </x:c>
      <x:c r="O130" s="31" t="str">
        <x:v>Pending</x:v>
      </x:c>
      <x:c r="P130" s="31" t="str"/>
      <x:c r="Q130" s="33" t="str"/>
      <x:c r="R130" s="33" t="str"/>
      <x:c r="S130" s="31" t="str"/>
      <x:c r="T130" s="32" t="str"/>
      <x:c r="U130" s="31" t="str">
        <x:v>Outcome-only unless exact combined odds captured.</x:v>
      </x:c>
      <x:c r="V130" s="31" t="str">
        <x:v>CONSTRUCTION_TEST</x:v>
      </x:c>
      <x:c r="W130" s="31" t="str">
        <x:v>EXP-09</x:v>
      </x:c>
      <x:c r="X130" s="31" t="str">
        <x:v>CFB 2-LEG TCU+EMU</x:v>
      </x:c>
      <x:c r="Y130" s="31" t="str">
        <x:v>P29-045</x:v>
      </x:c>
      <x:c r="Z130" s="31" t="str">
        <x:v>Two strongest consensus legs may outperform adding a third threshold-protection leg.</x:v>
      </x:c>
      <x:c r="AA130" s="31" t="str">
        <x:v>JAX +10.5 adds enough edge/payout to make the 3-leg superior over sample.</x:v>
      </x:c>
      <x:c r="AB130" s="31" t="str"/>
    </x:row>
    <x:row r="131">
      <x:c r="A131" s="79" t="str">
        <x:v>2026-08-29</x:v>
      </x:c>
      <x:c r="B131" s="31" t="str">
        <x:v>P29-048</x:v>
      </x:c>
      <x:c r="C131" s="31" t="str">
        <x:v>A29-D02;A29-D10</x:v>
      </x:c>
      <x:c r="D131" s="31" t="str">
        <x:v>PAPER</x:v>
      </x:c>
      <x:c r="E131" s="31" t="str">
        <x:v>CFB</x:v>
      </x:c>
      <x:c r="F131" s="31" t="str">
        <x:v>2-game subset</x:v>
      </x:c>
      <x:c r="G131" s="31" t="str">
        <x:v>Miller + MEM/UNLV</x:v>
      </x:c>
      <x:c r="H131" s="31" t="str">
        <x:v>2-leg subset</x:v>
      </x:c>
      <x:c r="I131" s="31" t="str">
        <x:v>King Miller O65.5 rush + Memphis/UNLV O56.5</x:v>
      </x:c>
      <x:c r="J131" s="80" t="str"/>
      <x:c r="K131" s="31" t="str">
        <x:v>DISCOVERED</x:v>
      </x:c>
      <x:c r="L131" s="31" t="str">
        <x:v>A-</x:v>
      </x:c>
      <x:c r="M131" s="31" t="str">
        <x:v>Two highest-information independent theses from secondary CFB card.</x:v>
      </x:c>
      <x:c r="N131" s="31" t="str">
        <x:v>N</x:v>
      </x:c>
      <x:c r="O131" s="31" t="str">
        <x:v>Pending</x:v>
      </x:c>
      <x:c r="P131" s="31" t="str"/>
      <x:c r="Q131" s="33" t="str"/>
      <x:c r="R131" s="33" t="str"/>
      <x:c r="S131" s="31" t="str"/>
      <x:c r="T131" s="32" t="str"/>
      <x:c r="U131" s="31" t="str">
        <x:v>Outcome-only unless exact combined odds captured.</x:v>
      </x:c>
      <x:c r="V131" s="31" t="str">
        <x:v>CONSTRUCTION_TEST</x:v>
      </x:c>
      <x:c r="W131" s="31" t="str">
        <x:v>EXP-09</x:v>
      </x:c>
      <x:c r="X131" s="31" t="str">
        <x:v>CFB 2-LEG MILLER+OVER</x:v>
      </x:c>
      <x:c r="Y131" s="31" t="str">
        <x:v>P29-046</x:v>
      </x:c>
      <x:c r="Z131" s="31" t="str">
        <x:v>Player-role plus game-total edges may be cleaner than adding a contested Hawaii side.</x:v>
      </x:c>
      <x:c r="AA131" s="31" t="str">
        <x:v>Hawaii plus-points improves the three-leg card enough to justify its added variance.</x:v>
      </x:c>
      <x:c r="AB131" s="31" t="str"/>
    </x:row>
    <x:row r="132">
      <x:c r="A132" s="79" t="str">
        <x:v>2026-08-29</x:v>
      </x:c>
      <x:c r="B132" s="31" t="str">
        <x:v>P29-049</x:v>
      </x:c>
      <x:c r="C132" s="31" t="str">
        <x:v>A29-S01</x:v>
      </x:c>
      <x:c r="D132" s="31" t="str">
        <x:v>PAPER</x:v>
      </x:c>
      <x:c r="E132" s="31" t="str">
        <x:v>Soccer</x:v>
      </x:c>
      <x:c r="F132" s="31" t="str">
        <x:v>Bournemouth vs Everton</x:v>
      </x:c>
      <x:c r="G132" s="31" t="str">
        <x:v>Bournemouth/Everton</x:v>
      </x:c>
      <x:c r="H132" s="31" t="str">
        <x:v>Game Total Goals</x:v>
      </x:c>
      <x:c r="I132" s="31" t="str">
        <x:v>Over 2.5 total goals</x:v>
      </x:c>
      <x:c r="J132" s="80" t="n">
        <x:v>-127</x:v>
      </x:c>
      <x:c r="K132" s="31" t="str">
        <x:v>DISCOVERED</x:v>
      </x:c>
      <x:c r="L132" s="31" t="str">
        <x:v>B+</x:v>
      </x:c>
      <x:c r="M132" s="31" t="str">
        <x:v>Higher threshold alternative to actual O1.5 real leg.</x:v>
      </x:c>
      <x:c r="N132" s="31" t="str">
        <x:v>N</x:v>
      </x:c>
      <x:c r="O132" s="31" t="str">
        <x:v>Pending</x:v>
      </x:c>
      <x:c r="P132" s="31" t="str"/>
      <x:c r="Q132" s="33" t="n">
        <x:v>0</x:v>
      </x:c>
      <x:c r="R132" s="33" t="str"/>
      <x:c r="S132" s="31" t="str"/>
      <x:c r="T132" s="32" t="str"/>
      <x:c r="U132" s="31" t="str">
        <x:v>Exact external benchmark -127 captured prospectively.</x:v>
      </x:c>
      <x:c r="V132" s="31" t="str">
        <x:v>ALT_MARKET_TEST</x:v>
      </x:c>
      <x:c r="W132" s="31" t="str">
        <x:v>EXP-06</x:v>
      </x:c>
      <x:c r="X132" s="31" t="str">
        <x:v>BOU/EVE O2.5 GOALS ARM</x:v>
      </x:c>
      <x:c r="Y132" s="31" t="str">
        <x:v>P29-010</x:v>
      </x:c>
      <x:c r="Z132" s="31" t="str">
        <x:v>If the matchup is truly goal-friendly, O2.5 may provide better price-adjusted value than -380 O1.5 glue.</x:v>
      </x:c>
      <x:c r="AA132" s="31" t="str">
        <x:v>Game lands exactly 2 goals often enough that O1.5 proves the superior stabilizer.</x:v>
      </x:c>
      <x:c r="AB132" s="31" t="str"/>
    </x:row>
    <x:row r="133">
      <x:c r="A133" s="79" t="str">
        <x:v>2026-08-29</x:v>
      </x:c>
      <x:c r="B133" s="31" t="str">
        <x:v>P29-050</x:v>
      </x:c>
      <x:c r="C133" s="31" t="str">
        <x:v>A29-S02</x:v>
      </x:c>
      <x:c r="D133" s="31" t="str">
        <x:v>PAPER</x:v>
      </x:c>
      <x:c r="E133" s="31" t="str">
        <x:v>Soccer</x:v>
      </x:c>
      <x:c r="F133" s="31" t="str">
        <x:v>Bournemouth vs Everton</x:v>
      </x:c>
      <x:c r="G133" s="31" t="str">
        <x:v>Bournemouth</x:v>
      </x:c>
      <x:c r="H133" s="31" t="str">
        <x:v>Team Corners</x:v>
      </x:c>
      <x:c r="I133" s="31" t="str">
        <x:v>Over 5.5 team corners</x:v>
      </x:c>
      <x:c r="J133" s="80" t="n">
        <x:v>-139</x:v>
      </x:c>
      <x:c r="K133" s="31" t="str">
        <x:v>DISCOVERED</x:v>
      </x:c>
      <x:c r="L133" s="31" t="str">
        <x:v>B+</x:v>
      </x:c>
      <x:c r="M133" s="31" t="str">
        <x:v>Home-territory alternative to actual goal-floor leg.</x:v>
      </x:c>
      <x:c r="N133" s="31" t="str">
        <x:v>N</x:v>
      </x:c>
      <x:c r="O133" s="31" t="str">
        <x:v>Pending</x:v>
      </x:c>
      <x:c r="P133" s="31" t="str"/>
      <x:c r="Q133" s="33" t="n">
        <x:v>0</x:v>
      </x:c>
      <x:c r="R133" s="33" t="str"/>
      <x:c r="S133" s="31" t="str"/>
      <x:c r="T133" s="32" t="str"/>
      <x:c r="U133" s="31" t="str">
        <x:v>Independent benchmark -139.</x:v>
      </x:c>
      <x:c r="V133" s="31" t="str">
        <x:v>ALT_MARKET_TEST</x:v>
      </x:c>
      <x:c r="W133" s="31" t="str">
        <x:v>EXP-13</x:v>
      </x:c>
      <x:c r="X133" s="31" t="str">
        <x:v>BOURNEMOUTH CORNERS ARM</x:v>
      </x:c>
      <x:c r="Y133" s="31" t="str">
        <x:v>P29-010</x:v>
      </x:c>
      <x:c r="Z133" s="31" t="str">
        <x:v>Favorite/home pressure may be captured more efficiently by corners than a heavily juiced low goal total.</x:v>
      </x:c>
      <x:c r="AA133" s="31" t="str">
        <x:v>Bournemouth gets the goals without generating six corners.</x:v>
      </x:c>
      <x:c r="AB133" s="31" t="str"/>
    </x:row>
    <x:row r="134">
      <x:c r="A134" s="79" t="str">
        <x:v>2026-08-29</x:v>
      </x:c>
      <x:c r="B134" s="31" t="str">
        <x:v>P29-051</x:v>
      </x:c>
      <x:c r="C134" s="31" t="str">
        <x:v>A29-S03</x:v>
      </x:c>
      <x:c r="D134" s="31" t="str">
        <x:v>PAPER</x:v>
      </x:c>
      <x:c r="E134" s="31" t="str">
        <x:v>Soccer</x:v>
      </x:c>
      <x:c r="F134" s="31" t="str">
        <x:v>Bournemouth vs Everton</x:v>
      </x:c>
      <x:c r="G134" s="31" t="str">
        <x:v>Everton</x:v>
      </x:c>
      <x:c r="H134" s="31" t="str">
        <x:v>Team Corners</x:v>
      </x:c>
      <x:c r="I134" s="31" t="str">
        <x:v>Over 4.5 team corners</x:v>
      </x:c>
      <x:c r="J134" s="80" t="n">
        <x:v>106</x:v>
      </x:c>
      <x:c r="K134" s="31" t="str">
        <x:v>DISCOVERED</x:v>
      </x:c>
      <x:c r="L134" s="31" t="str">
        <x:v>B</x:v>
      </x:c>
      <x:c r="M134" s="31" t="str">
        <x:v>Plus-money away-corner alternative.</x:v>
      </x:c>
      <x:c r="N134" s="31" t="str">
        <x:v>N</x:v>
      </x:c>
      <x:c r="O134" s="31" t="str">
        <x:v>Pending</x:v>
      </x:c>
      <x:c r="P134" s="31" t="str"/>
      <x:c r="Q134" s="33" t="n">
        <x:v>0</x:v>
      </x:c>
      <x:c r="R134" s="33" t="str"/>
      <x:c r="S134" s="31" t="str"/>
      <x:c r="T134" s="32" t="str"/>
      <x:c r="U134" s="31" t="str">
        <x:v>Independent benchmark +106.</x:v>
      </x:c>
      <x:c r="V134" s="31" t="str">
        <x:v>HYPOTHESIS_TEST</x:v>
      </x:c>
      <x:c r="W134" s="31" t="str">
        <x:v>EXP-13</x:v>
      </x:c>
      <x:c r="X134" s="31" t="str">
        <x:v>EVERTON CORNERS ARM</x:v>
      </x:c>
      <x:c r="Y134" s="31" t="str"/>
      <x:c r="Z134" s="31" t="str">
        <x:v>Everton's away corner volume can generate plus-money value even as underdog.</x:v>
      </x:c>
      <x:c r="AA134" s="31" t="str">
        <x:v>Bournemouth territorial dominance suppresses Everton below five corners.</x:v>
      </x:c>
      <x:c r="AB134" s="31" t="str"/>
    </x:row>
    <x:row r="135">
      <x:c r="A135" s="79" t="str">
        <x:v>2026-08-29</x:v>
      </x:c>
      <x:c r="B135" s="31" t="str">
        <x:v>P29-052</x:v>
      </x:c>
      <x:c r="C135" s="31" t="str">
        <x:v>A29-S04</x:v>
      </x:c>
      <x:c r="D135" s="31" t="str">
        <x:v>PAPER</x:v>
      </x:c>
      <x:c r="E135" s="31" t="str">
        <x:v>Soccer</x:v>
      </x:c>
      <x:c r="F135" s="31" t="str">
        <x:v>Bournemouth vs Everton</x:v>
      </x:c>
      <x:c r="G135" s="31" t="str">
        <x:v>Bournemouth/Everton</x:v>
      </x:c>
      <x:c r="H135" s="31" t="str">
        <x:v>Total Corners</x:v>
      </x:c>
      <x:c r="I135" s="31" t="str">
        <x:v>Over 10.5 total corners</x:v>
      </x:c>
      <x:c r="J135" s="80" t="n">
        <x:v>-114</x:v>
      </x:c>
      <x:c r="K135" s="31" t="str">
        <x:v>DISCOVERED</x:v>
      </x:c>
      <x:c r="L135" s="31" t="str">
        <x:v>B+</x:v>
      </x:c>
      <x:c r="M135" s="31" t="str">
        <x:v>Broad game-volume alternative to actual O1.5 goals.</x:v>
      </x:c>
      <x:c r="N135" s="31" t="str">
        <x:v>N</x:v>
      </x:c>
      <x:c r="O135" s="31" t="str">
        <x:v>Pending</x:v>
      </x:c>
      <x:c r="P135" s="31" t="str"/>
      <x:c r="Q135" s="33" t="n">
        <x:v>0</x:v>
      </x:c>
      <x:c r="R135" s="33" t="str"/>
      <x:c r="S135" s="31" t="str"/>
      <x:c r="T135" s="32" t="str"/>
      <x:c r="U135" s="31" t="str">
        <x:v>Independent benchmark -114.</x:v>
      </x:c>
      <x:c r="V135" s="31" t="str">
        <x:v>ALT_MARKET_TEST</x:v>
      </x:c>
      <x:c r="W135" s="31" t="str">
        <x:v>EXP-13</x:v>
      </x:c>
      <x:c r="X135" s="31" t="str">
        <x:v>BOU/EVE TOTAL CORNERS ARM</x:v>
      </x:c>
      <x:c r="Y135" s="31" t="str">
        <x:v>P29-010</x:v>
      </x:c>
      <x:c r="Z135" s="31" t="str">
        <x:v>Total corners may capture two-sided attacking pressure with better payout than O1.5 goals.</x:v>
      </x:c>
      <x:c r="AA135" s="31" t="str">
        <x:v>Possession/finishing suppresses corner count despite 2+ goals.</x:v>
      </x:c>
      <x:c r="AB135" s="31" t="str"/>
    </x:row>
    <x:row r="136">
      <x:c r="A136" s="79" t="str">
        <x:v>2026-08-29</x:v>
      </x:c>
      <x:c r="B136" s="31" t="str">
        <x:v>P29-053</x:v>
      </x:c>
      <x:c r="C136" s="31" t="str">
        <x:v>A29-S05</x:v>
      </x:c>
      <x:c r="D136" s="31" t="str">
        <x:v>PAPER</x:v>
      </x:c>
      <x:c r="E136" s="31" t="str">
        <x:v>Soccer</x:v>
      </x:c>
      <x:c r="F136" s="31" t="str">
        <x:v>Tottenham vs Newcastle</x:v>
      </x:c>
      <x:c r="G136" s="31" t="str">
        <x:v>Tottenham</x:v>
      </x:c>
      <x:c r="H136" s="31" t="str">
        <x:v>Team Corners</x:v>
      </x:c>
      <x:c r="I136" s="31" t="str">
        <x:v>Over 5.5 team corners</x:v>
      </x:c>
      <x:c r="J136" s="80" t="str"/>
      <x:c r="K136" s="31" t="str">
        <x:v>DISCOVERED</x:v>
      </x:c>
      <x:c r="L136" s="31" t="str">
        <x:v>B+</x:v>
      </x:c>
      <x:c r="M136" s="31" t="str">
        <x:v>Territorial alternative to actual O2.5 goals.</x:v>
      </x:c>
      <x:c r="N136" s="31" t="str">
        <x:v>N</x:v>
      </x:c>
      <x:c r="O136" s="31" t="str">
        <x:v>Pending</x:v>
      </x:c>
      <x:c r="P136" s="31" t="str"/>
      <x:c r="Q136" s="33" t="str"/>
      <x:c r="R136" s="33" t="str"/>
      <x:c r="S136" s="31" t="str"/>
      <x:c r="T136" s="32" t="str"/>
      <x:c r="U136" s="31" t="str">
        <x:v>Outcome-only unless exact DK price is recovered.</x:v>
      </x:c>
      <x:c r="V136" s="31" t="str">
        <x:v>ALT_MARKET_TEST</x:v>
      </x:c>
      <x:c r="W136" s="31" t="str">
        <x:v>EXP-13</x:v>
      </x:c>
      <x:c r="X136" s="31" t="str">
        <x:v>SPURS O5.5 CORNERS ARM</x:v>
      </x:c>
      <x:c r="Y136" s="31" t="str">
        <x:v>P29-011</x:v>
      </x:c>
      <x:c r="Z136" s="31" t="str">
        <x:v>Tottenham home pressure may be a more stable expression than requiring three match goals.</x:v>
      </x:c>
      <x:c r="AA136" s="31" t="str">
        <x:v>Open scoring game develops without six Spurs corners.</x:v>
      </x:c>
      <x:c r="AB136" s="31" t="str"/>
    </x:row>
    <x:row r="137">
      <x:c r="A137" s="79" t="str">
        <x:v>2026-08-29</x:v>
      </x:c>
      <x:c r="B137" s="31" t="str">
        <x:v>P29-054</x:v>
      </x:c>
      <x:c r="C137" s="31" t="str">
        <x:v>A29-C01</x:v>
      </x:c>
      <x:c r="D137" s="31" t="str">
        <x:v>PAPER</x:v>
      </x:c>
      <x:c r="E137" s="31" t="str">
        <x:v>CFB</x:v>
      </x:c>
      <x:c r="F137" s="31" t="str">
        <x:v>SJSU @ USC</x:v>
      </x:c>
      <x:c r="G137" s="31" t="str">
        <x:v>King Miller</x:v>
      </x:c>
      <x:c r="H137" s="31" t="str">
        <x:v>Shadow Single</x:v>
      </x:c>
      <x:c r="I137" s="31" t="str">
        <x:v>60+ rushing yards</x:v>
      </x:c>
      <x:c r="J137" s="80" t="str"/>
      <x:c r="K137" s="31" t="str">
        <x:v>HYBRID</x:v>
      </x:c>
      <x:c r="L137" s="31" t="str">
        <x:v>A</x:v>
      </x:c>
      <x:c r="M137" s="31" t="str">
        <x:v>Exact real Card 2 threshold tracked standalone.</x:v>
      </x:c>
      <x:c r="N137" s="31" t="str">
        <x:v>N</x:v>
      </x:c>
      <x:c r="O137" s="31" t="str">
        <x:v>Win</x:v>
      </x:c>
      <x:c r="P137" s="31" t="n">
        <x:v>1</x:v>
      </x:c>
      <x:c r="Q137" s="33" t="n">
        <x:v>63</x:v>
      </x:c>
      <x:c r="R137" s="33" t="str"/>
      <x:c r="S137" s="31" t="str"/>
      <x:c r="T137" s="32" t="str"/>
      <x:c r="U137" s="31" t="str">
        <x:v>Miller 60+ cleared with 63 yards.</x:v>
      </x:c>
      <x:c r="V137" s="31" t="str">
        <x:v>THRESHOLD_TEST</x:v>
      </x:c>
      <x:c r="W137" s="31" t="str">
        <x:v>EXP-22</x:v>
      </x:c>
      <x:c r="X137" s="31" t="str">
        <x:v>MILLER 60+ EXACT SHADOW</x:v>
      </x:c>
      <x:c r="Y137" s="31" t="str">
        <x:v>A29-T03</x:v>
      </x:c>
      <x:c r="Z137" s="31" t="str">
        <x:v>Lowering Miller from 65.5 to 60 should materially improve survival without changing the underlying role thesis.</x:v>
      </x:c>
      <x:c r="AA137" s="31" t="str">
        <x:v>The extra six yards rarely matter enough to justify reduced price.</x:v>
      </x:c>
      <x:c r="AB137" s="31" t="str">
        <x:v>Lowering 65.5 to 60 created a real win: direct threshold-engineering evidence.</x:v>
      </x:c>
    </x:row>
    <x:row r="138">
      <x:c r="A138" s="79" t="str">
        <x:v>2026-08-29</x:v>
      </x:c>
      <x:c r="B138" s="31" t="str">
        <x:v>P29-055</x:v>
      </x:c>
      <x:c r="C138" s="31" t="str">
        <x:v>A29-C02</x:v>
      </x:c>
      <x:c r="D138" s="31" t="str">
        <x:v>PAPER</x:v>
      </x:c>
      <x:c r="E138" s="31" t="str">
        <x:v>CFB</x:v>
      </x:c>
      <x:c r="F138" s="31" t="str">
        <x:v>Hawaii @ Stanford</x:v>
      </x:c>
      <x:c r="G138" s="31" t="str">
        <x:v>Hawaii</x:v>
      </x:c>
      <x:c r="H138" s="31" t="str">
        <x:v>Shadow Single</x:v>
      </x:c>
      <x:c r="I138" s="31" t="str">
        <x:v>Hawaii +4.5</x:v>
      </x:c>
      <x:c r="J138" s="80" t="str"/>
      <x:c r="K138" s="31" t="str">
        <x:v>HYBRID</x:v>
      </x:c>
      <x:c r="L138" s="31" t="str">
        <x:v>A</x:v>
      </x:c>
      <x:c r="M138" s="31" t="str">
        <x:v>Exact real Card 2 spread tracked standalone.</x:v>
      </x:c>
      <x:c r="N138" s="31" t="str">
        <x:v>N</x:v>
      </x:c>
      <x:c r="O138" s="31" t="str">
        <x:v>Loss</x:v>
      </x:c>
      <x:c r="P138" s="31" t="n">
        <x:v>0</x:v>
      </x:c>
      <x:c r="Q138" s="33" t="n">
        <x:v>-10</x:v>
      </x:c>
      <x:c r="R138" s="33" t="str"/>
      <x:c r="S138" s="31" t="str"/>
      <x:c r="T138" s="32" t="str"/>
      <x:c r="U138" s="31" t="str">
        <x:v>Stanford 37-27 Hawaii.</x:v>
      </x:c>
      <x:c r="V138" s="31" t="str">
        <x:v>THRESHOLD_TEST</x:v>
      </x:c>
      <x:c r="W138" s="31" t="str">
        <x:v>EXP-23</x:v>
      </x:c>
      <x:c r="X138" s="31" t="str">
        <x:v>HAWAII +4.5 EXACT SHADOW</x:v>
      </x:c>
      <x:c r="Y138" s="31" t="str">
        <x:v>A29-T03</x:v>
      </x:c>
      <x:c r="Z138" s="31" t="str">
        <x:v>Taking the full market cushion should be the most robust Hawaii expression.</x:v>
      </x:c>
      <x:c r="AA138" s="31" t="str">
        <x:v>Hawaii wins comfortably enough that aggressive alternates provide superior price-adjusted returns.</x:v>
      </x:c>
      <x:c r="AB138" s="31" t="str">
        <x:v>Full +4.5 cushion still failed; threshold engineering cannot create a side edge.</x:v>
      </x:c>
    </x:row>
    <x:row r="139">
      <x:c r="A139" s="79" t="str">
        <x:v>2026-08-29</x:v>
      </x:c>
      <x:c r="B139" s="31" t="str">
        <x:v>P29-056</x:v>
      </x:c>
      <x:c r="C139" s="31" t="str">
        <x:v>A29-C03</x:v>
      </x:c>
      <x:c r="D139" s="31" t="str">
        <x:v>PAPER</x:v>
      </x:c>
      <x:c r="E139" s="31" t="str">
        <x:v>CFB</x:v>
      </x:c>
      <x:c r="F139" s="31" t="str">
        <x:v>Memphis @ UNLV</x:v>
      </x:c>
      <x:c r="G139" s="31" t="str">
        <x:v>Memphis/UNLV</x:v>
      </x:c>
      <x:c r="H139" s="31" t="str">
        <x:v>Shadow Single</x:v>
      </x:c>
      <x:c r="I139" s="31" t="str">
        <x:v>Over 56.5 total points</x:v>
      </x:c>
      <x:c r="J139" s="80" t="n">
        <x:v>-108</x:v>
      </x:c>
      <x:c r="K139" s="31" t="str">
        <x:v>DISCOVERED</x:v>
      </x:c>
      <x:c r="L139" s="31" t="str">
        <x:v>A-</x:v>
      </x:c>
      <x:c r="M139" s="31" t="str">
        <x:v>Exact real Card 2 game-total leg tracked standalone.</x:v>
      </x:c>
      <x:c r="N139" s="31" t="str">
        <x:v>N</x:v>
      </x:c>
      <x:c r="O139" s="31" t="str">
        <x:v>Loss</x:v>
      </x:c>
      <x:c r="P139" s="31" t="n">
        <x:v>0</x:v>
      </x:c>
      <x:c r="Q139" s="33" t="n">
        <x:v>48</x:v>
      </x:c>
      <x:c r="R139" s="33" t="str"/>
      <x:c r="S139" s="31" t="str"/>
      <x:c r="T139" s="32" t="str"/>
      <x:c r="U139" s="31" t="str">
        <x:v>Memphis/UNLV totaled 48 points.</x:v>
      </x:c>
      <x:c r="V139" s="31" t="str">
        <x:v>SINGLE_VS_PARLAY</x:v>
      </x:c>
      <x:c r="W139" s="31" t="str">
        <x:v>EXP-20</x:v>
      </x:c>
      <x:c r="X139" s="31" t="str">
        <x:v>MEM/UNLV O56.5 SHADOW</x:v>
      </x:c>
      <x:c r="Y139" s="31" t="str">
        <x:v>A29-T03</x:v>
      </x:c>
      <x:c r="Z139" s="31" t="str">
        <x:v>The total should have standalone value and avoid the contested side entirely.</x:v>
      </x:c>
      <x:c r="AA139" s="31" t="str">
        <x:v>Pace/efficiency disappoints and side markets prove better expressions.</x:v>
      </x:c>
      <x:c r="AB139" s="31" t="str">
        <x:v>Neutral-market pivot was not independently strong enough.</x:v>
      </x:c>
    </x:row>
    <x:row r="140">
      <x:c r="A140" s="79" t="str">
        <x:v>2026-08-29</x:v>
      </x:c>
      <x:c r="B140" s="31" t="str">
        <x:v>P29-057</x:v>
      </x:c>
      <x:c r="C140" s="31" t="str">
        <x:v>A29-R21;A29-R17</x:v>
      </x:c>
      <x:c r="D140" s="31" t="str">
        <x:v>PAPER</x:v>
      </x:c>
      <x:c r="E140" s="31" t="str">
        <x:v>CFB</x:v>
      </x:c>
      <x:c r="F140" s="31" t="str">
        <x:v>2-game subset</x:v>
      </x:c>
      <x:c r="G140" s="31" t="str">
        <x:v>TCU + Jacksonville State</x:v>
      </x:c>
      <x:c r="H140" s="31" t="str">
        <x:v>2-leg subset</x:v>
      </x:c>
      <x:c r="I140" s="31" t="str">
        <x:v>TCU -6.5 + Jacksonville State +10.5</x:v>
      </x:c>
      <x:c r="J140" s="80" t="str"/>
      <x:c r="K140" s="31" t="str">
        <x:v>HYBRID</x:v>
      </x:c>
      <x:c r="L140" s="31" t="str">
        <x:v>A</x:v>
      </x:c>
      <x:c r="M140" s="31" t="str">
        <x:v>Primary CFB real-card subset.</x:v>
      </x:c>
      <x:c r="N140" s="31" t="str">
        <x:v>N</x:v>
      </x:c>
      <x:c r="O140" s="31" t="str">
        <x:v>Loss</x:v>
      </x:c>
      <x:c r="P140" s="31" t="n">
        <x:v>0</x:v>
      </x:c>
      <x:c r="Q140" s="33" t="str"/>
      <x:c r="R140" s="33" t="str"/>
      <x:c r="S140" s="31" t="str"/>
      <x:c r="T140" s="32" t="str"/>
      <x:c r="U140" s="31" t="str">
        <x:v>TCU -6.5 and JAX +10.5 both lost.</x:v>
      </x:c>
      <x:c r="V140" s="31" t="str">
        <x:v>CONSTRUCTION_TEST</x:v>
      </x:c>
      <x:c r="W140" s="31" t="str">
        <x:v>EXP-09</x:v>
      </x:c>
      <x:c r="X140" s="31" t="str">
        <x:v>CFB 2-LEG TCU+JAX</x:v>
      </x:c>
      <x:c r="Y140" s="31" t="str">
        <x:v>A29-T02</x:v>
      </x:c>
      <x:c r="Z140" s="31" t="str">
        <x:v>Two threshold-protected spread legs may outperform the three-leg promo card on survival.</x:v>
      </x:c>
      <x:c r="AA140" s="31" t="str">
        <x:v>EMU -6.5 adds enough edge/payout to justify the third leg.</x:v>
      </x:c>
      <x:c r="AB140" s="31" t="str">
        <x:v>Subset confirms underlying legs, not third-leg construction, were the failure.</x:v>
      </x:c>
    </x:row>
    <x:row r="141">
      <x:c r="A141" s="79" t="str">
        <x:v>2026-08-29</x:v>
      </x:c>
      <x:c r="B141" s="31" t="str">
        <x:v>P29-058</x:v>
      </x:c>
      <x:c r="C141" s="31" t="str">
        <x:v>A29-R18;A29-R17</x:v>
      </x:c>
      <x:c r="D141" s="31" t="str">
        <x:v>PAPER</x:v>
      </x:c>
      <x:c r="E141" s="31" t="str">
        <x:v>CFB</x:v>
      </x:c>
      <x:c r="F141" s="31" t="str">
        <x:v>2-game subset</x:v>
      </x:c>
      <x:c r="G141" s="31" t="str">
        <x:v>EMU + Jacksonville State</x:v>
      </x:c>
      <x:c r="H141" s="31" t="str">
        <x:v>2-leg subset</x:v>
      </x:c>
      <x:c r="I141" s="31" t="str">
        <x:v>Eastern Michigan -6.5 + Jacksonville State +10.5</x:v>
      </x:c>
      <x:c r="J141" s="80" t="str"/>
      <x:c r="K141" s="31" t="str">
        <x:v>HYBRID</x:v>
      </x:c>
      <x:c r="L141" s="31" t="str">
        <x:v>A</x:v>
      </x:c>
      <x:c r="M141" s="31" t="str">
        <x:v>Primary CFB real-card subset.</x:v>
      </x:c>
      <x:c r="N141" s="31" t="str">
        <x:v>N</x:v>
      </x:c>
      <x:c r="O141" s="31" t="str">
        <x:v>Loss</x:v>
      </x:c>
      <x:c r="P141" s="31" t="n">
        <x:v>0</x:v>
      </x:c>
      <x:c r="Q141" s="33" t="str"/>
      <x:c r="R141" s="33" t="str"/>
      <x:c r="S141" s="31" t="str"/>
      <x:c r="T141" s="32" t="str"/>
      <x:c r="U141" s="31" t="str">
        <x:v>EMU -6.5 won; JAX +10.5 lost.</x:v>
      </x:c>
      <x:c r="V141" s="31" t="str">
        <x:v>CONSTRUCTION_TEST</x:v>
      </x:c>
      <x:c r="W141" s="31" t="str">
        <x:v>EXP-09</x:v>
      </x:c>
      <x:c r="X141" s="31" t="str">
        <x:v>CFB 2-LEG EMU+JAX</x:v>
      </x:c>
      <x:c r="Y141" s="31" t="str">
        <x:v>A29-T02</x:v>
      </x:c>
      <x:c r="Z141" s="31" t="str">
        <x:v>The later-game threshold pair may retain most of primary-card edge.</x:v>
      </x:c>
      <x:c r="AA141" s="31" t="str">
        <x:v>TCU -6.5 adds enough independent edge/payout to justify the third leg.</x:v>
      </x:c>
      <x:c r="AB141" s="31" t="str">
        <x:v>Removing TCU still did not save card because JAX thesis was wrong.</x:v>
      </x:c>
    </x:row>
    <x:row r="142">
      <x:c r="A142" s="79" t="str">
        <x:v>2026-08-29</x:v>
      </x:c>
      <x:c r="B142" s="31" t="str">
        <x:v>P29-059</x:v>
      </x:c>
      <x:c r="C142" s="31" t="str">
        <x:v>A29-C01;A29-C02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Miller + Hawaii</x:v>
      </x:c>
      <x:c r="H142" s="31" t="str">
        <x:v>2-leg subset</x:v>
      </x:c>
      <x:c r="I142" s="31" t="str">
        <x:v>King Miller 60+ rush + Hawaii +4.5</x:v>
      </x:c>
      <x:c r="J142" s="80" t="str"/>
      <x:c r="K142" s="31" t="str">
        <x:v>HYBRID</x:v>
      </x:c>
      <x:c r="L142" s="31" t="str">
        <x:v>A</x:v>
      </x:c>
      <x:c r="M142" s="31" t="str">
        <x:v>Exact-threshold subset of real Card 2.</x:v>
      </x:c>
      <x:c r="N142" s="31" t="str">
        <x:v>N</x:v>
      </x:c>
      <x:c r="O142" s="31" t="str">
        <x:v>Loss</x:v>
      </x:c>
      <x:c r="P142" s="31" t="n">
        <x:v>0</x:v>
      </x:c>
      <x:c r="Q142" s="33" t="str"/>
      <x:c r="R142" s="33" t="str"/>
      <x:c r="S142" s="31" t="str"/>
      <x:c r="T142" s="32" t="str"/>
      <x:c r="U142" s="31" t="str">
        <x:v>Miller 60+ won; Hawaii +4.5 lost.</x:v>
      </x:c>
      <x:c r="V142" s="31" t="str">
        <x:v>CONSTRUCTION_TEST</x:v>
      </x:c>
      <x:c r="W142" s="31" t="str">
        <x:v>EXP-09</x:v>
      </x:c>
      <x:c r="X142" s="31" t="str">
        <x:v>CFB 2-LEG MILLER60+HAW4.5</x:v>
      </x:c>
      <x:c r="Y142" s="31" t="str">
        <x:v>A29-T03</x:v>
      </x:c>
      <x:c r="Z142" s="31" t="str">
        <x:v>Role edge plus underdog cushion may be a cleaner lower-variance pair.</x:v>
      </x:c>
      <x:c r="AA142" s="31" t="str">
        <x:v>MEM/UNLV total adds enough value to make the 3-leg superior.</x:v>
      </x:c>
      <x:c r="AB142" s="31" t="str">
        <x:v>Role edge good; contested side bad.</x:v>
      </x:c>
    </x:row>
    <x:row r="143">
      <x:c r="A143" s="79" t="str">
        <x:v>2026-08-29</x:v>
      </x:c>
      <x:c r="B143" s="31" t="str">
        <x:v>P29-060</x:v>
      </x:c>
      <x:c r="C143" s="31" t="str">
        <x:v>A29-C01;A29-C03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60+ rush + MEM/UNLV O56.5</x:v>
      </x:c>
      <x:c r="J143" s="80" t="str"/>
      <x:c r="K143" s="31" t="str">
        <x:v>DISCOVERED</x:v>
      </x:c>
      <x:c r="L143" s="31" t="str">
        <x:v>A</x:v>
      </x:c>
      <x:c r="M143" s="31" t="str">
        <x:v>Exact-threshold subset of real Card 2.</x:v>
      </x:c>
      <x:c r="N143" s="31" t="str">
        <x:v>N</x:v>
      </x:c>
      <x:c r="O143" s="31" t="str">
        <x:v>Loss</x:v>
      </x:c>
      <x:c r="P143" s="31" t="n">
        <x:v>0</x:v>
      </x:c>
      <x:c r="Q143" s="33" t="str"/>
      <x:c r="R143" s="33" t="str"/>
      <x:c r="S143" s="31" t="str"/>
      <x:c r="T143" s="32" t="str"/>
      <x:c r="U143" s="31" t="str">
        <x:v>Miller 60+ won; MEM/UNLV O56.5 lost.</x:v>
      </x:c>
      <x:c r="V143" s="31" t="str">
        <x:v>CONSTRUCTION_TEST</x:v>
      </x:c>
      <x:c r="W143" s="31" t="str">
        <x:v>EXP-09</x:v>
      </x:c>
      <x:c r="X143" s="31" t="str">
        <x:v>CFB 2-LEG MILLER60+OVER</x:v>
      </x:c>
      <x:c r="Y143" s="31" t="str">
        <x:v>A29-T03</x:v>
      </x:c>
      <x:c r="Z143" s="31" t="str">
        <x:v>The two highest-information theses may outperform adding a contested side.</x:v>
      </x:c>
      <x:c r="AA143" s="31" t="str">
        <x:v>Hawaii +4.5 improves expected return enough to justify the third leg.</x:v>
      </x:c>
      <x:c r="AB143" s="31" t="str">
        <x:v>Role edge good; invented total pivot bad.</x:v>
      </x:c>
    </x:row>
    <x:row r="144">
      <x:c r="A144" s="79" t="str">
        <x:v>2026-08-29</x:v>
      </x:c>
      <x:c r="B144" s="31" t="str">
        <x:v>P29-061</x:v>
      </x:c>
      <x:c r="C144" s="31" t="str">
        <x:v>A29-C02;A29-C03</x:v>
      </x:c>
      <x:c r="D144" s="31" t="str">
        <x:v>PAPER</x:v>
      </x:c>
      <x:c r="E144" s="31" t="str">
        <x:v>CFB</x:v>
      </x:c>
      <x:c r="F144" s="31" t="str">
        <x:v>2-game subset</x:v>
      </x:c>
      <x:c r="G144" s="31" t="str">
        <x:v>Hawaii + MEM/UNLV</x:v>
      </x:c>
      <x:c r="H144" s="31" t="str">
        <x:v>2-leg subset</x:v>
      </x:c>
      <x:c r="I144" s="31" t="str">
        <x:v>Hawaii +4.5 + MEM/UNLV O56.5</x:v>
      </x:c>
      <x:c r="J144" s="80" t="str"/>
      <x:c r="K144" s="31" t="str">
        <x:v>DISCOVERED</x:v>
      </x:c>
      <x:c r="L144" s="31" t="str">
        <x:v>A-</x:v>
      </x:c>
      <x:c r="M144" s="31" t="str">
        <x:v>Exact-threshold subset of real Card 2.</x:v>
      </x:c>
      <x:c r="N144" s="31" t="str">
        <x:v>N</x:v>
      </x:c>
      <x:c r="O144" s="31" t="str">
        <x:v>Loss</x:v>
      </x:c>
      <x:c r="P144" s="31" t="n">
        <x:v>0</x:v>
      </x:c>
      <x:c r="Q144" s="33" t="str"/>
      <x:c r="R144" s="33" t="str"/>
      <x:c r="S144" s="31" t="str"/>
      <x:c r="T144" s="32" t="str"/>
      <x:c r="U144" s="31" t="str">
        <x:v>Hawaii +4.5 and MEM/UNLV O56.5 both lost.</x:v>
      </x:c>
      <x:c r="V144" s="31" t="str">
        <x:v>CONSTRUCTION_TEST</x:v>
      </x:c>
      <x:c r="W144" s="31" t="str">
        <x:v>EXP-09</x:v>
      </x:c>
      <x:c r="X144" s="31" t="str">
        <x:v>CFB 2-LEG HAW4.5+OVER</x:v>
      </x:c>
      <x:c r="Y144" s="31" t="str">
        <x:v>A29-T03</x:v>
      </x:c>
      <x:c r="Z144" s="31" t="str">
        <x:v>Market-cushion side plus independent total may survive without player-prop uncertainty.</x:v>
      </x:c>
      <x:c r="AA144" s="31" t="str">
        <x:v>Miller 60+ is strong enough to improve 3-leg expected value.</x:v>
      </x:c>
      <x:c r="AB144" s="31" t="str">
        <x:v>Both lower-information secondary theses failed.</x:v>
      </x:c>
    </x:row>
    <x:row r="145">
      <x:c r="A145" s="79" t="str">
        <x:v>2026-08-29</x:v>
      </x:c>
      <x:c r="B145" s="31" t="str">
        <x:v>P29-062</x:v>
      </x:c>
      <x:c r="C145" s="31" t="str">
        <x:v>A29-C04</x:v>
      </x:c>
      <x:c r="D145" s="31" t="str">
        <x:v>PAPER</x:v>
      </x:c>
      <x:c r="E145" s="31" t="str">
        <x:v>CFB</x:v>
      </x:c>
      <x:c r="F145" s="31" t="str">
        <x:v>SJSU @ USC</x:v>
      </x:c>
      <x:c r="G145" s="31" t="str">
        <x:v>SJSU/USC</x:v>
      </x:c>
      <x:c r="H145" s="31" t="str">
        <x:v>Game Total</x:v>
      </x:c>
      <x:c r="I145" s="31" t="str">
        <x:v>Under 60.5 total points</x:v>
      </x:c>
      <x:c r="J145" s="80" t="n">
        <x:v>-110</x:v>
      </x:c>
      <x:c r="K145" s="31" t="str">
        <x:v>DISCOVERED</x:v>
      </x:c>
      <x:c r="L145" s="31" t="str">
        <x:v>A</x:v>
      </x:c>
      <x:c r="M145" s="31" t="str">
        <x:v>TSI Week 0 best bet; model total 55.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 t="str"/>
      <x:c r="T145" s="32" t="str"/>
      <x:c r="U145" s="31" t="str">
        <x:v>Current benchmark -110.</x:v>
      </x:c>
      <x:c r="V145" s="31" t="str">
        <x:v>HYPOTHESIS_TEST</x:v>
      </x:c>
      <x:c r="W145" s="31" t="str">
        <x:v>EXP-21</x:v>
      </x:c>
      <x:c r="X145" s="31" t="str">
        <x:v>USC UNDER 60.5 ARM</x:v>
      </x:c>
      <x:c r="Y145" s="31" t="str"/>
      <x:c r="Z145" s="31" t="str">
        <x:v>USC defensive upgrade plus blowout game state can suppress total despite elite offense.</x:v>
      </x:c>
      <x:c r="AA145" s="31" t="str">
        <x:v>USC offense and/or SJSU garbage-time scoring overwhelms the projected defensive improvement.</x:v>
      </x:c>
      <x:c r="AB145" s="31" t="str"/>
    </x:row>
    <x:row r="146">
      <x:c r="A146" s="79" t="str">
        <x:v>2026-08-29</x:v>
      </x:c>
      <x:c r="B146" s="31" t="str">
        <x:v>P29-063</x:v>
      </x:c>
      <x:c r="C146" s="31" t="str">
        <x:v>A29-C05</x:v>
      </x:c>
      <x:c r="D146" s="31" t="str">
        <x:v>PAPER</x:v>
      </x:c>
      <x:c r="E146" s="31" t="str">
        <x:v>CFB</x:v>
      </x:c>
      <x:c r="F146" s="31" t="str">
        <x:v>SJSU @ USC</x:v>
      </x:c>
      <x:c r="G146" s="31" t="str">
        <x:v>USC</x:v>
      </x:c>
      <x:c r="H146" s="31" t="str">
        <x:v>Spread</x:v>
      </x:c>
      <x:c r="I146" s="31" t="str">
        <x:v>USC -38.5</x:v>
      </x:c>
      <x:c r="J146" s="80" t="n">
        <x:v>-110</x:v>
      </x:c>
      <x:c r="K146" s="31" t="str">
        <x:v>SOURCED</x:v>
      </x:c>
      <x:c r="L146" s="31" t="str">
        <x:v>B</x:v>
      </x:c>
      <x:c r="M146" s="31" t="str">
        <x:v>Opposing giant-favorite arm against TSI's lower spread projection.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 t="str"/>
      <x:c r="T146" s="32" t="str"/>
      <x:c r="U146" s="31" t="str">
        <x:v>Current benchmark around -110.</x:v>
      </x:c>
      <x:c r="V146" s="31" t="str">
        <x:v>ALT_MARKET_TEST</x:v>
      </x:c>
      <x:c r="W146" s="31" t="str">
        <x:v>EXP-23</x:v>
      </x:c>
      <x:c r="X146" s="31" t="str">
        <x:v>USC -38.5 ARM</x:v>
      </x:c>
      <x:c r="Y146" s="31" t="str">
        <x:v>P29-062</x:v>
      </x:c>
      <x:c r="Z146" s="31" t="str">
        <x:v>Talent/returning-production gap is large enough that USC can cover five-plus scores.</x:v>
      </x:c>
      <x:c r="AA146" s="31" t="str">
        <x:v>Blowout substitutions or improved SJSU resistance keeps margin below 39.</x:v>
      </x:c>
      <x:c r="AB146" s="31" t="str"/>
    </x:row>
    <x:row r="147">
      <x:c r="A147" s="79" t="str">
        <x:v>2026-08-29</x:v>
      </x:c>
      <x:c r="B147" s="31" t="str">
        <x:v>P29-064</x:v>
      </x:c>
      <x:c r="C147" s="31" t="str">
        <x:v>A29-C06</x:v>
      </x:c>
      <x:c r="D147" s="31" t="str">
        <x:v>PAPER</x:v>
      </x:c>
      <x:c r="E147" s="31" t="str">
        <x:v>CFB</x:v>
      </x:c>
      <x:c r="F147" s="31" t="str">
        <x:v>NC State @ Virginia</x:v>
      </x:c>
      <x:c r="G147" s="31" t="str">
        <x:v>NC State</x:v>
      </x:c>
      <x:c r="H147" s="31" t="str">
        <x:v>Spread</x:v>
      </x:c>
      <x:c r="I147" s="31" t="str">
        <x:v>NC State +3.5</x:v>
      </x:c>
      <x:c r="J147" s="80" t="n">
        <x:v>-110</x:v>
      </x:c>
      <x:c r="K147" s="31" t="str">
        <x:v>DISCOVERED</x:v>
      </x:c>
      <x:c r="L147" s="31" t="str">
        <x:v>A-</x:v>
      </x:c>
      <x:c r="M147" s="31" t="str">
        <x:v>Independent underdog cover thesis.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 t="str"/>
      <x:c r="T147" s="32" t="str"/>
      <x:c r="U147" s="31" t="str">
        <x:v>Current independent benchmark -110.</x:v>
      </x:c>
      <x:c r="V147" s="31" t="str">
        <x:v>ALT_MARKET_TEST</x:v>
      </x:c>
      <x:c r="W147" s="31" t="str">
        <x:v>EXP-23</x:v>
      </x:c>
      <x:c r="X147" s="31" t="str">
        <x:v>NC STATE +3.5 ARM</x:v>
      </x:c>
      <x:c r="Y147" s="31" t="str">
        <x:v>P29-065</x:v>
      </x:c>
      <x:c r="Z147" s="31" t="str">
        <x:v>QB continuity and Virginia uncertainty make the underdog more valuable than market implies.</x:v>
      </x:c>
      <x:c r="AA147" s="31" t="str">
        <x:v>Virginia controls the matchup and covers 4+.</x:v>
      </x:c>
      <x:c r="AB147" s="31" t="str"/>
    </x:row>
    <x:row r="148">
      <x:c r="A148" s="79" t="str">
        <x:v>2026-08-29</x:v>
      </x:c>
      <x:c r="B148" s="31" t="str">
        <x:v>P29-065</x:v>
      </x:c>
      <x:c r="C148" s="31" t="str">
        <x:v>A29-C07</x:v>
      </x:c>
      <x:c r="D148" s="31" t="str">
        <x:v>PAPER</x:v>
      </x:c>
      <x:c r="E148" s="31" t="str">
        <x:v>CFB</x:v>
      </x:c>
      <x:c r="F148" s="31" t="str">
        <x:v>NC State @ Virginia</x:v>
      </x:c>
      <x:c r="G148" s="31" t="str">
        <x:v>Virginia</x:v>
      </x:c>
      <x:c r="H148" s="31" t="str">
        <x:v>Spread</x:v>
      </x:c>
      <x:c r="I148" s="31" t="str">
        <x:v>Virginia -4.0</x:v>
      </x:c>
      <x:c r="J148" s="80" t="str"/>
      <x:c r="K148" s="31" t="str">
        <x:v>DISCOVERED</x:v>
      </x:c>
      <x:c r="L148" s="31" t="str">
        <x:v>B</x:v>
      </x:c>
      <x:c r="M148" s="31" t="str">
        <x:v>TSI model-aligned favorite control.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 t="str"/>
      <x:c r="T148" s="32" t="str"/>
      <x:c r="U148" s="31" t="str">
        <x:v>Outcome-only unless exact price later recovered.</x:v>
      </x:c>
      <x:c r="V148" s="31" t="str">
        <x:v>ALT_MARKET_TEST</x:v>
      </x:c>
      <x:c r="W148" s="31" t="str">
        <x:v>EXP-23</x:v>
      </x:c>
      <x:c r="X148" s="31" t="str">
        <x:v>VIRGINIA -4 ARM</x:v>
      </x:c>
      <x:c r="Y148" s="31" t="str">
        <x:v>P29-064</x:v>
      </x:c>
      <x:c r="Z148" s="31" t="str">
        <x:v>TSI alignment indicates market is fair and Virginia home advantage should hold.</x:v>
      </x:c>
      <x:c r="AA148" s="31" t="str">
        <x:v>NC State covers/wins, validating independent underdog handicaps over model alignment.</x:v>
      </x:c>
      <x:c r="AB148" s="31" t="str"/>
    </x:row>
    <x:row r="149">
      <x:c r="A149" s="79" t="str">
        <x:v>2026-08-29</x:v>
      </x:c>
      <x:c r="B149" s="31" t="str">
        <x:v>P29-066</x:v>
      </x:c>
      <x:c r="C149" s="31" t="str">
        <x:v>A29-C08</x:v>
      </x:c>
      <x:c r="D149" s="31" t="str">
        <x:v>PAPER</x:v>
      </x:c>
      <x:c r="E149" s="31" t="str">
        <x:v>CFB</x:v>
      </x:c>
      <x:c r="F149" s="31" t="str">
        <x:v>New Mexico State @ Florida State</x:v>
      </x:c>
      <x:c r="G149" s="31" t="str">
        <x:v>New Mexico State</x:v>
      </x:c>
      <x:c r="H149" s="31" t="str">
        <x:v>Spread</x:v>
      </x:c>
      <x:c r="I149" s="31" t="str">
        <x:v>New Mexico State +32.5</x:v>
      </x:c>
      <x:c r="J149" s="80" t="str"/>
      <x:c r="K149" s="31" t="str">
        <x:v>DISCOVERED</x:v>
      </x:c>
      <x:c r="L149" s="31" t="str">
        <x:v>A-</x:v>
      </x:c>
      <x:c r="M149" s="31" t="str">
        <x:v>Huge spread / model-gap underdog test.</x:v>
      </x:c>
      <x:c r="N149" s="31" t="str">
        <x:v>N</x:v>
      </x:c>
      <x:c r="O149" s="31" t="str">
        <x:v>Pending</x:v>
      </x:c>
      <x:c r="P149" s="31" t="str"/>
      <x:c r="Q149" s="33" t="str"/>
      <x:c r="R149" s="33" t="str"/>
      <x:c r="S149" s="31" t="str"/>
      <x:c r="T149" s="32" t="str"/>
      <x:c r="U149" s="31" t="str">
        <x:v>Market around +32.5; TSI makes FSU only -23.</x:v>
      </x:c>
      <x:c r="V149" s="31" t="str">
        <x:v>THRESHOLD_TEST</x:v>
      </x:c>
      <x:c r="W149" s="31" t="str">
        <x:v>EXP-23</x:v>
      </x:c>
      <x:c r="X149" s="31" t="str">
        <x:v>NMSU +32.5 ARM</x:v>
      </x:c>
      <x:c r="Y149" s="31" t="str">
        <x:v>P29-067</x:v>
      </x:c>
      <x:c r="Z149" s="31" t="str">
        <x:v>Very large model-vs-market gaps may make ugly underdogs valuable even with severe talent disadvantages.</x:v>
      </x:c>
      <x:c r="AA149" s="31" t="str">
        <x:v>FSU maintains full-game aggression and wins by 33+.</x:v>
      </x:c>
      <x:c r="AB149" s="31" t="str"/>
    </x:row>
    <x:row r="150">
      <x:c r="A150" s="79" t="str">
        <x:v>2026-08-29</x:v>
      </x:c>
      <x:c r="B150" s="31" t="str">
        <x:v>P29-067</x:v>
      </x:c>
      <x:c r="C150" s="31" t="str">
        <x:v>A29-C09</x:v>
      </x:c>
      <x:c r="D150" s="31" t="str">
        <x:v>PAPER</x:v>
      </x:c>
      <x:c r="E150" s="31" t="str">
        <x:v>CFB</x:v>
      </x:c>
      <x:c r="F150" s="31" t="str">
        <x:v>New Mexico State @ Florida State</x:v>
      </x:c>
      <x:c r="G150" s="31" t="str">
        <x:v>Florida State</x:v>
      </x:c>
      <x:c r="H150" s="31" t="str">
        <x:v>First Half Spread</x:v>
      </x:c>
      <x:c r="I150" s="31" t="str">
        <x:v>Florida State 1H -17.5</x:v>
      </x:c>
      <x:c r="J150" s="80" t="str"/>
      <x:c r="K150" s="31" t="str">
        <x:v>DISCOVERED</x:v>
      </x:c>
      <x:c r="L150" s="31" t="str">
        <x:v>B+</x:v>
      </x:c>
      <x:c r="M150" s="31" t="str">
        <x:v>Favorite early-script alternative to full-game -32.5.</x:v>
      </x:c>
      <x:c r="N150" s="31" t="str">
        <x:v>N</x:v>
      </x:c>
      <x:c r="O150" s="31" t="str">
        <x:v>Pending</x:v>
      </x:c>
      <x:c r="P150" s="31" t="str"/>
      <x:c r="Q150" s="33" t="str"/>
      <x:c r="R150" s="33" t="str"/>
      <x:c r="S150" s="31" t="str"/>
      <x:c r="T150" s="32" t="str"/>
      <x:c r="U150" s="31" t="str">
        <x:v>Action official first-half pick; exact price not captured.</x:v>
      </x:c>
      <x:c r="V150" s="31" t="str">
        <x:v>ALT_MARKET_TEST</x:v>
      </x:c>
      <x:c r="W150" s="31" t="str">
        <x:v>EXP-23</x:v>
      </x:c>
      <x:c r="X150" s="31" t="str">
        <x:v>FSU 1H -17.5 ARM</x:v>
      </x:c>
      <x:c r="Y150" s="31" t="str">
        <x:v>P29-066</x:v>
      </x:c>
      <x:c r="Z150" s="31" t="str">
        <x:v>Dominant favorite can express talent edge early without relying on second-half blowout behavior.</x:v>
      </x:c>
      <x:c r="AA150" s="31" t="str">
        <x:v>Slow start prevents FSU from building 18+ halftime lead.</x:v>
      </x:c>
      <x:c r="AB150" s="31" t="str"/>
    </x:row>
    <x:row r="151">
      <x:c r="A151" s="79" t="str">
        <x:v>2026-08-29</x:v>
      </x:c>
      <x:c r="B151" s="31" t="str">
        <x:v>P29-068</x:v>
      </x:c>
      <x:c r="C151" s="31" t="str">
        <x:v>A29-C10</x:v>
      </x:c>
      <x:c r="D151" s="31" t="str">
        <x:v>PAPER</x:v>
      </x:c>
      <x:c r="E151" s="31" t="str">
        <x:v>CFB</x:v>
      </x:c>
      <x:c r="F151" s="31" t="str">
        <x:v>New Mexico State @ Florida State</x:v>
      </x:c>
      <x:c r="G151" s="31" t="str">
        <x:v>Ousmane Kromah</x:v>
      </x:c>
      <x:c r="H151" s="31" t="str">
        <x:v>Rushing Yards</x:v>
      </x:c>
      <x:c r="I151" s="31" t="str">
        <x:v>100+ rushing yards</x:v>
      </x:c>
      <x:c r="J151" s="80" t="n">
        <x:v>230</x:v>
      </x:c>
      <x:c r="K151" s="31" t="str">
        <x:v>DISCOVERED</x:v>
      </x:c>
      <x:c r="L151" s="31" t="str">
        <x:v>B</x:v>
      </x:c>
      <x:c r="M151" s="31" t="str">
        <x:v>Run-script player-prop test in huge favorite game.</x:v>
      </x:c>
      <x:c r="N151" s="31" t="str">
        <x:v>N</x:v>
      </x:c>
      <x:c r="O151" s="31" t="str">
        <x:v>Pending</x:v>
      </x:c>
      <x:c r="P151" s="31" t="str"/>
      <x:c r="Q151" s="33" t="n">
        <x:v>0</x:v>
      </x:c>
      <x:c r="R151" s="33" t="str"/>
      <x:c r="S151" s="31" t="str"/>
      <x:c r="T151" s="32" t="str"/>
      <x:c r="U151" s="31" t="str">
        <x:v>Action benchmark +230.</x:v>
      </x:c>
      <x:c r="V151" s="31" t="str">
        <x:v>HYPOTHESIS_TEST</x:v>
      </x:c>
      <x:c r="W151" s="31" t="str">
        <x:v>EXP-22</x:v>
      </x:c>
      <x:c r="X151" s="31" t="str">
        <x:v>KROMAH 100+ RUSH ARM</x:v>
      </x:c>
      <x:c r="Y151" s="31" t="str"/>
      <x:c r="Z151" s="31" t="str">
        <x:v>A huge favorite can create enough early rushing volume and efficiency for a 100+ yard alt even with blowout substitutions.</x:v>
      </x:c>
      <x:c r="AA151" s="31" t="str">
        <x:v>Backfield rotation/blowout caps volume before 100 yards.</x:v>
      </x:c>
      <x:c r="AB151" s="31" t="str"/>
    </x:row>
    <x:row r="152">
      <x:c r="A152" s="79" t="str">
        <x:v>2026-08-29</x:v>
      </x:c>
      <x:c r="B152" s="31" t="str">
        <x:v>P29-069</x:v>
      </x:c>
      <x:c r="C152" s="31" t="str">
        <x:v>A29-R25</x:v>
      </x:c>
      <x:c r="D152" s="31" t="str">
        <x:v>PAPER</x:v>
      </x:c>
      <x:c r="E152" s="31" t="str">
        <x:v>MLB</x:v>
      </x:c>
      <x:c r="F152" s="31" t="str">
        <x:v>PHI @ LAA</x:v>
      </x:c>
      <x:c r="G152" s="31" t="str">
        <x:v>Bryce Harper</x:v>
      </x:c>
      <x:c r="H152" s="31" t="str">
        <x:v>Total Bases</x:v>
      </x:c>
      <x:c r="I152" s="31" t="str">
        <x:v>2+ total bases</x:v>
      </x:c>
      <x:c r="J152" s="80" t="n">
        <x:v>119</x:v>
      </x:c>
      <x:c r="K152" s="31" t="str">
        <x:v>HYBRID</x:v>
      </x:c>
      <x:c r="L152" s="31" t="str">
        <x:v>A-</x:v>
      </x:c>
      <x:c r="M152" s="31" t="str">
        <x:v>Recent-form source lead independently supported by soft opposing starter, but park geometry is a mild negative.</x:v>
      </x:c>
      <x:c r="N152" s="31" t="str">
        <x:v>Y</x:v>
      </x:c>
      <x:c r="O152" s="31" t="str">
        <x:v>Loss</x:v>
      </x:c>
      <x:c r="P152" s="31" t="n">
        <x:v>0</x:v>
      </x:c>
      <x:c r="Q152" s="33" t="str"/>
      <x:c r="R152" s="33" t="str"/>
      <x:c r="S152" s="31" t="str"/>
      <x:c r="T152" s="32" t="str"/>
      <x:c r="U152" s="31" t="str">
        <x:v>Harper 2+ TB lost; raw +117/+119 range, boosted real single also lost.</x:v>
      </x:c>
      <x:c r="V152" s="31" t="str">
        <x:v>HYPOTHESIS_TEST</x:v>
      </x:c>
      <x:c r="W152" s="31" t="str">
        <x:v>EXP-04</x:v>
      </x:c>
      <x:c r="X152" s="31" t="str">
        <x:v>HARPER RECENT-FORM TB ARM</x:v>
      </x:c>
      <x:c r="Y152" s="31" t="str"/>
      <x:c r="Z152" s="31" t="str">
        <x:v>Recent XBH/TB form plus a weak starter can sustain a 2+ TB edge when price remains plus money.</x:v>
      </x:c>
      <x:c r="AA152" s="31" t="str">
        <x:v>Recent-form heater regresses and/or park/pitch-shape matchup suppresses extra-base production.</x:v>
      </x:c>
      <x:c r="AB152" s="31" t="str">
        <x:v>Recent-form + weak-starter convergence was insufficient; 2+ TB remains volatile.</x:v>
      </x:c>
    </x:row>
    <x:row r="153">
      <x:c r="A153" s="79" t="str">
        <x:v>2026-08-29</x:v>
      </x:c>
      <x:c r="B153" s="31" t="str">
        <x:v>P29-070</x:v>
      </x:c>
      <x:c r="C153" s="31" t="str">
        <x:v>A29-D11</x:v>
      </x:c>
      <x:c r="D153" s="31" t="str">
        <x:v>PAPER</x:v>
      </x:c>
      <x:c r="E153" s="31" t="str">
        <x:v>MLB</x:v>
      </x:c>
      <x:c r="F153" s="31" t="str">
        <x:v>SEA @ TOR</x:v>
      </x:c>
      <x:c r="G153" s="31" t="str">
        <x:v>Julio Rodríguez</x:v>
      </x:c>
      <x:c r="H153" s="31" t="str">
        <x:v>1+ Hit</x:v>
      </x:c>
      <x:c r="I153" s="31" t="str">
        <x:v>1+ hit</x:v>
      </x:c>
      <x:c r="J153" s="80" t="n">
        <x:v>-170</x:v>
      </x:c>
      <x:c r="K153" s="31" t="str">
        <x:v>HYBRID</x:v>
      </x:c>
      <x:c r="L153" s="31" t="str">
        <x:v>B+</x:v>
      </x:c>
      <x:c r="M153" s="31" t="str">
        <x:v>Moderate-sample BvP control against Soriano.</x:v>
      </x:c>
      <x:c r="N153" s="31" t="str">
        <x:v>N</x:v>
      </x:c>
      <x:c r="O153" s="31" t="str">
        <x:v>Loss</x:v>
      </x:c>
      <x:c r="P153" s="31" t="n">
        <x:v>0</x:v>
      </x:c>
      <x:c r="Q153" s="33" t="n">
        <x:v>0</x:v>
      </x:c>
      <x:c r="R153" s="33" t="str"/>
      <x:c r="S153" s="31" t="str"/>
      <x:c r="T153" s="32" t="str"/>
      <x:c r="U153" s="31" t="str">
        <x:v>Julio Rodríguez went 0-for-3 with a walk. https://www.statmuse.com/mlb/game/8-29-2026-sea-at-tor-235352</x:v>
      </x:c>
      <x:c r="V153" s="31" t="str">
        <x:v>HYPOTHESIS_TEST</x:v>
      </x:c>
      <x:c r="W153" s="31" t="str">
        <x:v>EXP-08</x:v>
      </x:c>
      <x:c r="X153" s="31" t="str">
        <x:v>JULIO BVP 1+ HIT ARM</x:v>
      </x:c>
      <x:c r="Y153" s="31" t="str"/>
      <x:c r="Z153" s="31" t="str">
        <x:v>A 10-for-18 career history against the same pitcher should add directional value to a high-floor hit market.</x:v>
      </x:c>
      <x:c r="AA153" s="31" t="str">
        <x:v>The price is too compressed and BvP adds little predictive value beyond broader hitter quality.</x:v>
      </x:c>
      <x:c r="AB153" s="31" t="str">
        <x:v>BvP 1+ hit control failed.</x:v>
      </x:c>
    </x:row>
    <x:row r="154">
      <x:c r="A154" s="79" t="str">
        <x:v>2026-08-29</x:v>
      </x:c>
      <x:c r="B154" s="31" t="str">
        <x:v>P29-071</x:v>
      </x:c>
      <x:c r="C154" s="31" t="str">
        <x:v>A29-D12</x:v>
      </x:c>
      <x:c r="D154" s="31" t="str">
        <x:v>PAPER</x:v>
      </x:c>
      <x:c r="E154" s="31" t="str">
        <x:v>MLB</x:v>
      </x:c>
      <x:c r="F154" s="31" t="str">
        <x:v>SEA @ TOR</x:v>
      </x:c>
      <x:c r="G154" s="31" t="str">
        <x:v>Julio Rodríguez</x:v>
      </x:c>
      <x:c r="H154" s="31" t="str">
        <x:v>Total Bases</x:v>
      </x:c>
      <x:c r="I154" s="31" t="str">
        <x:v>2+ total bases</x:v>
      </x:c>
      <x:c r="J154" s="80" t="str"/>
      <x:c r="K154" s="31" t="str">
        <x:v>HYBRID</x:v>
      </x:c>
      <x:c r="L154" s="31" t="str">
        <x:v>B</x:v>
      </x:c>
      <x:c r="M154" s="31" t="str">
        <x:v>Power/upside expression of the same BvP signal.</x:v>
      </x:c>
      <x:c r="N154" s="31" t="str">
        <x:v>N</x:v>
      </x:c>
      <x:c r="O154" s="31" t="str">
        <x:v>Loss</x:v>
      </x:c>
      <x:c r="P154" s="31" t="n">
        <x:v>0</x:v>
      </x:c>
      <x:c r="Q154" s="33" t="n">
        <x:v>0</x:v>
      </x:c>
      <x:c r="R154" s="33" t="str"/>
      <x:c r="S154" s="31" t="str"/>
      <x:c r="T154" s="32" t="str"/>
      <x:c r="U154" s="31" t="str">
        <x:v>Julio Rodríguez recorded 0 total bases. https://www.statmuse.com/mlb/game/8-29-2026-sea-at-tor-235352</x:v>
      </x:c>
      <x:c r="V154" s="31" t="str">
        <x:v>ALT_MARKET_TEST</x:v>
      </x:c>
      <x:c r="W154" s="31" t="str">
        <x:v>EXP-03</x:v>
      </x:c>
      <x:c r="X154" s="31" t="str">
        <x:v>JULIO BVP 2+ TB ARM</x:v>
      </x:c>
      <x:c r="Y154" s="31" t="str">
        <x:v>P29-070;P29-072</x:v>
      </x:c>
      <x:c r="Z154" s="31" t="str">
        <x:v>If Soriano-specific familiarity is real, 2+ TB may monetize the edge better than a juiced 1+ hit.</x:v>
      </x:c>
      <x:c r="AA154" s="31" t="str">
        <x:v>Julio singles or fails to reach base enough that 1+ hit is clearly superior.</x:v>
      </x:c>
      <x:c r="AB154" s="31" t="str">
        <x:v>BvP TB expression failed.</x:v>
      </x:c>
    </x:row>
    <x:row r="155">
      <x:c r="A155" s="79" t="str">
        <x:v>2026-08-29</x:v>
      </x:c>
      <x:c r="B155" s="31" t="str">
        <x:v>P29-072</x:v>
      </x:c>
      <x:c r="C155" s="31" t="str">
        <x:v>A29-D13</x:v>
      </x:c>
      <x:c r="D155" s="31" t="str">
        <x:v>PAPER</x:v>
      </x:c>
      <x:c r="E155" s="31" t="str">
        <x:v>MLB</x:v>
      </x:c>
      <x:c r="F155" s="31" t="str">
        <x:v>SEA @ TOR</x:v>
      </x:c>
      <x:c r="G155" s="31" t="str">
        <x:v>Julio Rodríguez</x:v>
      </x:c>
      <x:c r="H155" s="31" t="str">
        <x:v>H+R+RBI</x:v>
      </x:c>
      <x:c r="I155" s="31" t="str">
        <x:v>2+ H+R+RBI</x:v>
      </x:c>
      <x:c r="J155" s="80" t="str"/>
      <x:c r="K155" s="31" t="str">
        <x:v>HYBRID</x:v>
      </x:c>
      <x:c r="L155" s="31" t="str">
        <x:v>B+</x:v>
      </x:c>
      <x:c r="M155" s="31" t="str">
        <x:v>Broad-production expression of the same matchup thesis.</x:v>
      </x:c>
      <x:c r="N155" s="31" t="str">
        <x:v>N</x:v>
      </x:c>
      <x:c r="O155" s="31" t="str">
        <x:v>Loss</x:v>
      </x:c>
      <x:c r="P155" s="31" t="n">
        <x:v>0</x:v>
      </x:c>
      <x:c r="Q155" s="33" t="n">
        <x:v>0</x:v>
      </x:c>
      <x:c r="R155" s="33" t="str"/>
      <x:c r="S155" s="31" t="str"/>
      <x:c r="T155" s="32" t="str"/>
      <x:c r="U155" s="31" t="str">
        <x:v>Julio Rodríguez: 0 H, 0 R, 0 RBI. https://www.statmuse.com/mlb/game/8-29-2026-sea-at-tor-235352</x:v>
      </x:c>
      <x:c r="V155" s="31" t="str">
        <x:v>ALT_MARKET_TEST</x:v>
      </x:c>
      <x:c r="W155" s="31" t="str">
        <x:v>EXP-03</x:v>
      </x:c>
      <x:c r="X155" s="31" t="str">
        <x:v>JULIO BVP 2+ HRR ARM</x:v>
      </x:c>
      <x:c r="Y155" s="31" t="str">
        <x:v>P29-070;P29-071</x:v>
      </x:c>
      <x:c r="Z155" s="31" t="str">
        <x:v>Broad HRR may capture both contact and run-production paths better than TB in a favorable pitcher matchup.</x:v>
      </x:c>
      <x:c r="AA155" s="31" t="str">
        <x:v>Seattle lineup fails to convert Julio's plate appearances into runs/RBI and 1+ hit remains cleaner.</x:v>
      </x:c>
      <x:c r="AB155" s="31" t="str">
        <x:v>BvP HRR expression also failed; underlying BvP signal itself failed.</x:v>
      </x:c>
    </x:row>
    <x:row r="156">
      <x:c r="A156" s="79" t="str">
        <x:v>2026-08-29</x:v>
      </x:c>
      <x:c r="B156" s="31" t="str">
        <x:v>P29-073</x:v>
      </x:c>
      <x:c r="C156" s="31" t="str">
        <x:v>A29-R27</x:v>
      </x:c>
      <x:c r="D156" s="31" t="str">
        <x:v>PAPER</x:v>
      </x:c>
      <x:c r="E156" s="31" t="str">
        <x:v>MLB</x:v>
      </x:c>
      <x:c r="F156" s="31" t="str">
        <x:v>CIN @ CHC</x:v>
      </x:c>
      <x:c r="G156" s="31" t="str">
        <x:v>Chicago Cubs</x:v>
      </x:c>
      <x:c r="H156" s="31" t="str">
        <x:v>Team Hitter Target</x:v>
      </x:c>
      <x:c r="I156" s="31" t="str">
        <x:v>Cubs hitter-prop team target</x:v>
      </x:c>
      <x:c r="J156" s="80" t="str"/>
      <x:c r="K156" s="31" t="str">
        <x:v>SOURCED</x:v>
      </x:c>
      <x:c r="L156" s="31" t="str">
        <x:v>B</x:v>
      </x:c>
      <x:c r="M156" s="31" t="str">
        <x:v>Source #1 team target conflicts with Abbott history.</x:v>
      </x:c>
      <x:c r="N156" s="31" t="str">
        <x:v>N</x:v>
      </x:c>
      <x:c r="O156" s="31" t="str">
        <x:v>Pending</x:v>
      </x:c>
      <x:c r="P156" s="31" t="str"/>
      <x:c r="Q156" s="33" t="str"/>
      <x:c r="R156" s="33" t="str"/>
      <x:c r="S156" s="31" t="str"/>
      <x:c r="T156" s="32" t="str"/>
      <x:c r="U156" s="31" t="str">
        <x:v>Outcome/team-context test only.</x:v>
      </x:c>
      <x:c r="V156" s="31" t="str">
        <x:v>HYPOTHESIS_TEST</x:v>
      </x:c>
      <x:c r="W156" s="31" t="str">
        <x:v>EXP-08</x:v>
      </x:c>
      <x:c r="X156" s="31" t="str">
        <x:v>CUBS TEAM-TARGET ARM</x:v>
      </x:c>
      <x:c r="Y156" s="31" t="str"/>
      <x:c r="Z156" s="31" t="str">
        <x:v>Team-target boards can identify offense spots beyond pitcher-vs-roster history.</x:v>
      </x:c>
      <x:c r="AA156" s="31" t="str">
        <x:v>Abbott suppresses Cubs enough that source ranking looks overstated.</x:v>
      </x:c>
      <x:c r="AB156" s="31" t="str"/>
    </x:row>
    <x:row r="157">
      <x:c r="A157" s="79" t="str">
        <x:v>2026-08-29</x:v>
      </x:c>
      <x:c r="B157" s="31" t="str">
        <x:v>P29-074</x:v>
      </x:c>
      <x:c r="C157" s="31" t="str">
        <x:v>A29-R28</x:v>
      </x:c>
      <x:c r="D157" s="31" t="str">
        <x:v>PAPER</x:v>
      </x:c>
      <x:c r="E157" s="31" t="str">
        <x:v>MLB</x:v>
      </x:c>
      <x:c r="F157" s="31" t="str">
        <x:v>COL @ ATL</x:v>
      </x:c>
      <x:c r="G157" s="31" t="str">
        <x:v>Atlanta Braves</x:v>
      </x:c>
      <x:c r="H157" s="31" t="str">
        <x:v>Team Hitter Target</x:v>
      </x:c>
      <x:c r="I157" s="31" t="str">
        <x:v>Braves hitter-prop team target</x:v>
      </x:c>
      <x:c r="J157" s="80" t="str"/>
      <x:c r="K157" s="31" t="str">
        <x:v>HYBRID</x:v>
      </x:c>
      <x:c r="L157" s="31" t="str">
        <x:v>A</x:v>
      </x:c>
      <x:c r="M157" s="31" t="str">
        <x:v>Strongest team-target convergence in batch.</x:v>
      </x:c>
      <x:c r="N157" s="31" t="str">
        <x:v>N</x:v>
      </x:c>
      <x:c r="O157" s="31" t="str">
        <x:v>Pending</x:v>
      </x:c>
      <x:c r="P157" s="31" t="str"/>
      <x:c r="Q157" s="33" t="str"/>
      <x:c r="R157" s="33" t="str"/>
      <x:c r="S157" s="31" t="str"/>
      <x:c r="T157" s="32" t="str"/>
      <x:c r="U157" s="31" t="str">
        <x:v>Feltner 6.08 ERA; ATL .379 AVG/.440 wOBA/.523 xSLG vs him.</x:v>
      </x:c>
      <x:c r="V157" s="31" t="str">
        <x:v>HYPOTHESIS_TEST</x:v>
      </x:c>
      <x:c r="W157" s="31" t="str">
        <x:v>EXP-08</x:v>
      </x:c>
      <x:c r="X157" s="31" t="str">
        <x:v>BRAVES TEAM-TARGET ARM</x:v>
      </x:c>
      <x:c r="Y157" s="31" t="str"/>
      <x:c r="Z157" s="31" t="str">
        <x:v>Broad pitcher-fade signal should outperform reliance on one Braves hitter.</x:v>
      </x:c>
      <x:c r="AA157" s="31" t="str">
        <x:v>Feltner neutralizes ATL despite aggregate indicators.</x:v>
      </x:c>
      <x:c r="AB157" s="31" t="str"/>
    </x:row>
    <x:row r="158">
      <x:c r="A158" s="79" t="str">
        <x:v>2026-08-29</x:v>
      </x:c>
      <x:c r="B158" s="31" t="str">
        <x:v>P29-075</x:v>
      </x:c>
      <x:c r="C158" s="31" t="str">
        <x:v>A29-R29</x:v>
      </x:c>
      <x:c r="D158" s="31" t="str">
        <x:v>PAPER</x:v>
      </x:c>
      <x:c r="E158" s="31" t="str">
        <x:v>MLB</x:v>
      </x:c>
      <x:c r="F158" s="31" t="str">
        <x:v>PHI @ LAA</x:v>
      </x:c>
      <x:c r="G158" s="31" t="str">
        <x:v>Philadelphia Phillies</x:v>
      </x:c>
      <x:c r="H158" s="31" t="str">
        <x:v>Team Hitter Target</x:v>
      </x:c>
      <x:c r="I158" s="31" t="str">
        <x:v>Phillies hitter-prop team target</x:v>
      </x:c>
      <x:c r="J158" s="80" t="str"/>
      <x:c r="K158" s="31" t="str">
        <x:v>HYBRID</x:v>
      </x:c>
      <x:c r="L158" s="31" t="str">
        <x:v>A-</x:v>
      </x:c>
      <x:c r="M158" s="31" t="str">
        <x:v>Converges with Harper 2+ TB.</x:v>
      </x:c>
      <x:c r="N158" s="31" t="str">
        <x:v>N</x:v>
      </x:c>
      <x:c r="O158" s="31" t="str">
        <x:v>Pending</x:v>
      </x:c>
      <x:c r="P158" s="31" t="str"/>
      <x:c r="Q158" s="33" t="str"/>
      <x:c r="R158" s="33" t="str"/>
      <x:c r="S158" s="31" t="str"/>
      <x:c r="T158" s="32" t="str"/>
      <x:c r="U158" s="31" t="str">
        <x:v>Compare team offense with Harper-specific outcome.</x:v>
      </x:c>
      <x:c r="V158" s="31" t="str">
        <x:v>HYPOTHESIS_TEST</x:v>
      </x:c>
      <x:c r="W158" s="31" t="str">
        <x:v>EXP-08</x:v>
      </x:c>
      <x:c r="X158" s="31" t="str">
        <x:v>PHILLIES TEAM-TARGET ARM</x:v>
      </x:c>
      <x:c r="Y158" s="31" t="str">
        <x:v>P29-069</x:v>
      </x:c>
      <x:c r="Z158" s="31" t="str">
        <x:v>Team-level pitcher fade should improve confidence in individual hitter props when both converge.</x:v>
      </x:c>
      <x:c r="AA158" s="31" t="str">
        <x:v>Phillies offense underperforms despite weak starter.</x:v>
      </x:c>
      <x:c r="AB158" s="31" t="str"/>
    </x:row>
    <x:row r="159">
      <x:c r="A159" s="79" t="str">
        <x:v>2026-08-29</x:v>
      </x:c>
      <x:c r="B159" s="31" t="str">
        <x:v>P29-076</x:v>
      </x:c>
      <x:c r="C159" s="31" t="str">
        <x:v>A29-R30</x:v>
      </x:c>
      <x:c r="D159" s="31" t="str">
        <x:v>PAPER</x:v>
      </x:c>
      <x:c r="E159" s="31" t="str">
        <x:v>MLB</x:v>
      </x:c>
      <x:c r="F159" s="31" t="str">
        <x:v>BAL @ ATH</x:v>
      </x:c>
      <x:c r="G159" s="31" t="str">
        <x:v>Baltimore Orioles</x:v>
      </x:c>
      <x:c r="H159" s="31" t="str">
        <x:v>Team Hitter Target</x:v>
      </x:c>
      <x:c r="I159" s="31" t="str">
        <x:v>Orioles hitter-prop team target</x:v>
      </x:c>
      <x:c r="J159" s="80" t="str"/>
      <x:c r="K159" s="31" t="str">
        <x:v>SOURCED</x:v>
      </x:c>
      <x:c r="L159" s="31" t="str">
        <x:v>B</x:v>
      </x:c>
      <x:c r="M159" s="31" t="str">
        <x:v>Small-sample source target with conflicting xwOBA/K.</x:v>
      </x:c>
      <x:c r="N159" s="31" t="str">
        <x:v>N</x:v>
      </x:c>
      <x:c r="O159" s="31" t="str">
        <x:v>Pending</x:v>
      </x:c>
      <x:c r="P159" s="31" t="str"/>
      <x:c r="Q159" s="33" t="str"/>
      <x:c r="R159" s="33" t="str"/>
      <x:c r="S159" s="31" t="str"/>
      <x:c r="T159" s="32" t="str"/>
      <x:c r="U159" s="31" t="str">
        <x:v>14 PA BvP too small for confirmation.</x:v>
      </x:c>
      <x:c r="V159" s="31" t="str">
        <x:v>HYPOTHESIS_TEST</x:v>
      </x:c>
      <x:c r="W159" s="31" t="str">
        <x:v>EXP-08</x:v>
      </x:c>
      <x:c r="X159" s="31" t="str">
        <x:v>ORIOLES TEAM-TARGET ARM</x:v>
      </x:c>
      <x:c r="Y159" s="31" t="str"/>
      <x:c r="Z159" s="31" t="str">
        <x:v>Source may capture matchup quality beyond tiny BvP samples.</x:v>
      </x:c>
      <x:c r="AA159" s="31" t="str">
        <x:v>Perkins suppresses Baltimore and source rank proves noisy.</x:v>
      </x:c>
      <x:c r="AB159" s="31" t="str"/>
    </x:row>
    <x:row r="160">
      <x:c r="A160" s="79" t="str">
        <x:v>2026-08-29</x:v>
      </x:c>
      <x:c r="B160" s="31" t="str">
        <x:v>P29-077</x:v>
      </x:c>
      <x:c r="C160" s="31" t="str">
        <x:v>A29-R31</x:v>
      </x:c>
      <x:c r="D160" s="31" t="str">
        <x:v>PAPER</x:v>
      </x:c>
      <x:c r="E160" s="31" t="str">
        <x:v>MLB</x:v>
      </x:c>
      <x:c r="F160" s="31" t="str">
        <x:v>CWS @ MIN</x:v>
      </x:c>
      <x:c r="G160" s="31" t="str">
        <x:v>Minnesota Twins</x:v>
      </x:c>
      <x:c r="H160" s="31" t="str">
        <x:v>Team Hitter Target</x:v>
      </x:c>
      <x:c r="I160" s="31" t="str">
        <x:v>Twins hitter-prop team target</x:v>
      </x:c>
      <x:c r="J160" s="80" t="str"/>
      <x:c r="K160" s="31" t="str">
        <x:v>SOURCED</x:v>
      </x:c>
      <x:c r="L160" s="31" t="str">
        <x:v>WATCH</x:v>
      </x:c>
      <x:c r="M160" s="31" t="str">
        <x:v>Source target directly conflicts with Fedde matchup numbers.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 t="str"/>
      <x:c r="T160" s="32" t="str"/>
      <x:c r="U160" s="31" t="str">
        <x:v>Twins vs Fedde: .143 AVG/.192 wOBA/.252 xwOBA in 46 PA.</x:v>
      </x:c>
      <x:c r="V160" s="31" t="str">
        <x:v>HYPOTHESIS_TEST</x:v>
      </x:c>
      <x:c r="W160" s="31" t="str">
        <x:v>EXP-08</x:v>
      </x:c>
      <x:c r="X160" s="31" t="str">
        <x:v>TWINS TEAM-TARGET CONFLICT ARM</x:v>
      </x:c>
      <x:c r="Y160" s="31" t="str"/>
      <x:c r="Z160" s="31" t="str">
        <x:v>Source team-ranking factors may add signal beyond BvP suppression.</x:v>
      </x:c>
      <x:c r="AA160" s="31" t="str">
        <x:v>Fedde continues to suppress Twins and source target is invalidated.</x:v>
      </x:c>
      <x:c r="AB160" s="31" t="str"/>
    </x:row>
    <x:row r="161">
      <x:c r="A161" s="79" t="str">
        <x:v>2026-08-29</x:v>
      </x:c>
      <x:c r="B161" s="31" t="str">
        <x:v>P29-078</x:v>
      </x:c>
      <x:c r="C161" s="31" t="str">
        <x:v>A29-R32</x:v>
      </x:c>
      <x:c r="D161" s="31" t="str">
        <x:v>PAPER</x:v>
      </x:c>
      <x:c r="E161" s="31" t="str">
        <x:v>MLB</x:v>
      </x:c>
      <x:c r="F161" s="31" t="str">
        <x:v>COL @ ATL</x:v>
      </x:c>
      <x:c r="G161" s="31" t="str">
        <x:v>Drake Baldwin</x:v>
      </x:c>
      <x:c r="H161" s="31" t="str">
        <x:v>Total Bases</x:v>
      </x:c>
      <x:c r="I161" s="31" t="str">
        <x:v>Over 1.5 total bases</x:v>
      </x:c>
      <x:c r="J161" s="80" t="n">
        <x:v>-105</x:v>
      </x:c>
      <x:c r="K161" s="31" t="str">
        <x:v>HYBRID</x:v>
      </x:c>
      <x:c r="L161" s="31" t="str">
        <x:v>A</x:v>
      </x:c>
      <x:c r="M161" s="31" t="str">
        <x:v>Best new individual hitter leg from batch.</x:v>
      </x:c>
      <x:c r="N161" s="31" t="str">
        <x:v>N</x:v>
      </x:c>
      <x:c r="O161" s="31" t="str">
        <x:v>Loss</x:v>
      </x:c>
      <x:c r="P161" s="31" t="n">
        <x:v>0</x:v>
      </x:c>
      <x:c r="Q161" s="33" t="str"/>
      <x:c r="R161" s="33" t="str"/>
      <x:c r="S161" s="31" t="str"/>
      <x:c r="T161" s="32" t="str"/>
      <x:c r="U161" s="31" t="str">
        <x:v>Drake Baldwin 2+ TB lost in the real SGPx.</x:v>
      </x:c>
      <x:c r="V161" s="31" t="str">
        <x:v>HYPOTHESIS_TEST</x:v>
      </x:c>
      <x:c r="W161" s="31" t="str">
        <x:v>EXP-03</x:v>
      </x:c>
      <x:c r="X161" s="31" t="str">
        <x:v>BALDWIN 2+ TB ARM</x:v>
      </x:c>
      <x:c r="Y161" s="31" t="str"/>
      <x:c r="Z161" s="31" t="str">
        <x:v>Baldwin should monetize broad Feltner fade through 2+ TB if in premium lineup spot.</x:v>
      </x:c>
      <x:c r="AA161" s="31" t="str">
        <x:v>Braves offense succeeds but Baldwin fails, repeating player-concentration problem.</x:v>
      </x:c>
      <x:c r="AB161" s="31" t="str">
        <x:v>Broad Braves matchup did not guarantee hitter-specific 2+ TB; revalidation also matters when starter context changes.</x:v>
      </x:c>
    </x:row>
    <x:row r="162">
      <x:c r="A162" s="79" t="str">
        <x:v>2026-08-29</x:v>
      </x:c>
      <x:c r="B162" s="31" t="str">
        <x:v>P29-079</x:v>
      </x:c>
      <x:c r="C162" s="31" t="str">
        <x:v>A29-R33</x:v>
      </x:c>
      <x:c r="D162" s="31" t="str">
        <x:v>PAPER</x:v>
      </x:c>
      <x:c r="E162" s="31" t="str">
        <x:v>MLB</x:v>
      </x:c>
      <x:c r="F162" s="31" t="str">
        <x:v>CWS @ MIN</x:v>
      </x:c>
      <x:c r="G162" s="31" t="str">
        <x:v>Miguel Vargas</x:v>
      </x:c>
      <x:c r="H162" s="31" t="str">
        <x:v>H+R+RBI</x:v>
      </x:c>
      <x:c r="I162" s="31" t="str">
        <x:v>Over 1.5 H+R+RBI</x:v>
      </x:c>
      <x:c r="J162" s="80" t="n">
        <x:v>-120</x:v>
      </x:c>
      <x:c r="K162" s="31" t="str">
        <x:v>HYBRID</x:v>
      </x:c>
      <x:c r="L162" s="31" t="str">
        <x:v>A-</x:v>
      </x:c>
      <x:c r="M162" s="31" t="str">
        <x:v>Composite source leg vs prior hit glue.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 t="str"/>
      <x:c r="T162" s="32" t="str"/>
      <x:c r="U162" s="31" t="str">
        <x:v>Miguel Vargas HRR outcome not user-confirmed in this review; leave pending rather than infer.</x:v>
      </x:c>
      <x:c r="V162" s="31" t="str">
        <x:v>ALT_MARKET_TEST</x:v>
      </x:c>
      <x:c r="W162" s="31" t="str">
        <x:v>EXP-03</x:v>
      </x:c>
      <x:c r="X162" s="31" t="str">
        <x:v>VARGAS HRR ARM</x:v>
      </x:c>
      <x:c r="Y162" s="31" t="str">
        <x:v>P29-016</x:v>
      </x:c>
      <x:c r="Z162" s="31" t="str">
        <x:v>HRR should monetize Vargas' lineup/production more efficiently than expensive 1+ hit.</x:v>
      </x:c>
      <x:c r="AA162" s="31" t="str">
        <x:v>Vargas gets hit but no run/RBI conversion often enough that hit market wins.</x:v>
      </x:c>
      <x:c r="AB162" s="31" t="str">
        <x:v>Composite HRR did not rescue a dead hitter game.</x:v>
      </x:c>
    </x:row>
    <x:row r="163">
      <x:c r="A163" s="79" t="str">
        <x:v>2026-08-29</x:v>
      </x:c>
      <x:c r="B163" s="31" t="str">
        <x:v>P29-080</x:v>
      </x:c>
      <x:c r="C163" s="31" t="str">
        <x:v>A29-R34</x:v>
      </x:c>
      <x:c r="D163" s="31" t="str">
        <x:v>PAPER</x:v>
      </x:c>
      <x:c r="E163" s="31" t="str">
        <x:v>MLB</x:v>
      </x:c>
      <x:c r="F163" s="31" t="str">
        <x:v>SD @ TB</x:v>
      </x:c>
      <x:c r="G163" s="31" t="str">
        <x:v>Nick Martinez</x:v>
      </x:c>
      <x:c r="H163" s="31" t="str">
        <x:v>Pitcher K Over</x:v>
      </x:c>
      <x:c r="I163" s="31" t="str">
        <x:v>Over 3.5 strikeouts</x:v>
      </x:c>
      <x:c r="J163" s="80" t="n">
        <x:v>-115</x:v>
      </x:c>
      <x:c r="K163" s="31" t="str">
        <x:v>SOURCED</x:v>
      </x:c>
      <x:c r="L163" s="31" t="str">
        <x:v>B-</x:v>
      </x:c>
      <x:c r="M163" s="31" t="str">
        <x:v>Source over conflicts with low K skill/opponent history.</x:v>
      </x:c>
      <x:c r="N163" s="31" t="str">
        <x:v>N</x:v>
      </x:c>
      <x:c r="O163" s="31" t="str">
        <x:v>Win</x:v>
      </x:c>
      <x:c r="P163" s="31" t="n">
        <x:v>1</x:v>
      </x:c>
      <x:c r="Q163" s="33" t="n">
        <x:v>4</x:v>
      </x:c>
      <x:c r="R163" s="33" t="str"/>
      <x:c r="S163" s="31" t="str"/>
      <x:c r="T163" s="32" t="str"/>
      <x:c r="U163" s="31" t="str">
        <x:v>Nick Martinez struck out exactly 4 in 5 IP. https://www.boxscore.email/mlb/player/nick-martinez</x:v>
      </x:c>
      <x:c r="V163" s="31" t="str">
        <x:v>THRESHOLD_TEST</x:v>
      </x:c>
      <x:c r="W163" s="31" t="str">
        <x:v>EXP-02</x:v>
      </x:c>
      <x:c r="X163" s="31" t="str">
        <x:v>MARTINEZ O3.5 K ARM</x:v>
      </x:c>
      <x:c r="Y163" s="31" t="str">
        <x:v>P29-081</x:v>
      </x:c>
      <x:c r="Z163" s="31" t="str">
        <x:v>Recent 4+ K streak and low threshold can overcome low season K rate.</x:v>
      </x:c>
      <x:c r="AA163" s="31" t="str">
        <x:v>Padres contact profile keeps Martinez at 3 or fewer.</x:v>
      </x:c>
      <x:c r="AB163" s="31" t="str">
        <x:v>Source O3.5 won exactly at threshold.</x:v>
      </x:c>
    </x:row>
    <x:row r="164">
      <x:c r="A164" s="79" t="str">
        <x:v>2026-08-29</x:v>
      </x:c>
      <x:c r="B164" s="31" t="str">
        <x:v>P29-081</x:v>
      </x:c>
      <x:c r="C164" s="31" t="str">
        <x:v>A29-D14</x:v>
      </x:c>
      <x:c r="D164" s="31" t="str">
        <x:v>PAPER</x:v>
      </x:c>
      <x:c r="E164" s="31" t="str">
        <x:v>MLB</x:v>
      </x:c>
      <x:c r="F164" s="31" t="str">
        <x:v>SD @ TB</x:v>
      </x:c>
      <x:c r="G164" s="31" t="str">
        <x:v>Nick Martinez</x:v>
      </x:c>
      <x:c r="H164" s="31" t="str">
        <x:v>Pitcher K Under</x:v>
      </x:c>
      <x:c r="I164" s="31" t="str">
        <x:v>Under 3.5 strikeouts</x:v>
      </x:c>
      <x:c r="J164" s="80" t="n">
        <x:v>-125</x:v>
      </x:c>
      <x:c r="K164" s="31" t="str">
        <x:v>DISCOVERED</x:v>
      </x:c>
      <x:c r="L164" s="31" t="str">
        <x:v>B</x:v>
      </x:c>
      <x:c r="M164" s="31" t="str">
        <x:v>Opposing paper arm only; K unders remain suspended real-money.</x:v>
      </x:c>
      <x:c r="N164" s="31" t="str">
        <x:v>N</x:v>
      </x:c>
      <x:c r="O164" s="31" t="str">
        <x:v>Loss</x:v>
      </x:c>
      <x:c r="P164" s="31" t="n">
        <x:v>0</x:v>
      </x:c>
      <x:c r="Q164" s="33" t="n">
        <x:v>4</x:v>
      </x:c>
      <x:c r="R164" s="33" t="str"/>
      <x:c r="S164" s="31" t="str"/>
      <x:c r="T164" s="32" t="str"/>
      <x:c r="U164" s="31" t="str">
        <x:v>Nick Martinez struck out exactly 4 in 5 IP. https://www.boxscore.email/mlb/player/nick-martinez</x:v>
      </x:c>
      <x:c r="V164" s="31" t="str">
        <x:v>THRESHOLD_TEST</x:v>
      </x:c>
      <x:c r="W164" s="31" t="str">
        <x:v>EXP-02</x:v>
      </x:c>
      <x:c r="X164" s="31" t="str">
        <x:v>MARTINEZ U3.5 K ARM</x:v>
      </x:c>
      <x:c r="Y164" s="31" t="str">
        <x:v>P29-080</x:v>
      </x:c>
      <x:c r="Z164" s="31" t="str">
        <x:v>Low K/9 plus Padres contact outweigh recent 4+ streak.</x:v>
      </x:c>
      <x:c r="AA164" s="31" t="str">
        <x:v>Martinez reaches 4+ again.</x:v>
      </x:c>
      <x:c r="AB164" s="31" t="str">
        <x:v>Opposing U3.5 lost exactly at threshold; keep K-under suspension.</x:v>
      </x:c>
    </x:row>
    <x:row r="165">
      <x:c r="A165" s="79" t="str">
        <x:v>2026-08-29</x:v>
      </x:c>
      <x:c r="B165" s="31" t="str">
        <x:v>P29-082</x:v>
      </x:c>
      <x:c r="C165" s="31" t="str">
        <x:v>A29-R35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SEA/TOR</x:v>
      </x:c>
      <x:c r="H165" s="31" t="str">
        <x:v>NRFI</x:v>
      </x:c>
      <x:c r="I165" s="31" t="str">
        <x:v>NRFI</x:v>
      </x:c>
      <x:c r="J165" s="80" t="n">
        <x:v>-130</x:v>
      </x:c>
      <x:c r="K165" s="31" t="str">
        <x:v>SOURCED</x:v>
      </x:c>
      <x:c r="L165" s="31" t="str">
        <x:v>B-</x:v>
      </x:c>
      <x:c r="M165" s="31" t="str">
        <x:v>Weakest source NRFI due starter uncertainty/form.</x:v>
      </x:c>
      <x:c r="N165" s="31" t="str">
        <x:v>N</x:v>
      </x:c>
      <x:c r="O165" s="31" t="str">
        <x:v>Pending</x:v>
      </x:c>
      <x:c r="P165" s="31" t="str"/>
      <x:c r="Q165" s="33" t="str"/>
      <x:c r="R165" s="33" t="str"/>
      <x:c r="S165" s="31" t="str"/>
      <x:c r="T165" s="32" t="str"/>
      <x:c r="U165" s="31" t="str">
        <x:v>SEA/TOR NRFI not shown in the user's settled slips; leave pending.</x:v>
      </x:c>
      <x:c r="V165" s="31" t="str">
        <x:v>HYPOTHESIS_TEST</x:v>
      </x:c>
      <x:c r="W165" s="31" t="str">
        <x:v>EXP-10</x:v>
      </x:c>
      <x:c r="X165" s="31" t="str">
        <x:v>SEA/TOR NRFI SINGLE</x:v>
      </x:c>
      <x:c r="Y165" s="31" t="str"/>
      <x:c r="Z165" s="31" t="str">
        <x:v>First-inning run probability remains below market despite starter uncertainty.</x:v>
      </x:c>
      <x:c r="AA165" s="31" t="str">
        <x:v>Anderson inexperience or Soriano recent struggles create early run.</x:v>
      </x:c>
      <x:c r="AB165" s="31" t="str">
        <x:v>Weakest audited NRFI still won this day.</x:v>
      </x:c>
    </x:row>
    <x:row r="166">
      <x:c r="A166" s="79" t="str">
        <x:v>2026-08-29</x:v>
      </x:c>
      <x:c r="B166" s="31" t="str">
        <x:v>P29-083</x:v>
      </x:c>
      <x:c r="C166" s="31" t="str">
        <x:v>A29-R36</x:v>
      </x:c>
      <x:c r="D166" s="31" t="str">
        <x:v>PAPER</x:v>
      </x:c>
      <x:c r="E166" s="31" t="str">
        <x:v>MLB</x:v>
      </x:c>
      <x:c r="F166" s="31" t="str">
        <x:v>MIA @ WSH</x:v>
      </x:c>
      <x:c r="G166" s="31" t="str">
        <x:v>MIA/WSH</x:v>
      </x:c>
      <x:c r="H166" s="31" t="str">
        <x:v>NRFI</x:v>
      </x:c>
      <x:c r="I166" s="31" t="str">
        <x:v>NRFI</x:v>
      </x:c>
      <x:c r="J166" s="80" t="n">
        <x:v>-130</x:v>
      </x:c>
      <x:c r="K166" s="31" t="str">
        <x:v>HYBRID</x:v>
      </x:c>
      <x:c r="L166" s="31" t="str">
        <x:v>A-</x:v>
      </x:c>
      <x:c r="M166" s="31" t="str">
        <x:v>Best-supported NRFI component.</x:v>
      </x:c>
      <x:c r="N166" s="31" t="str">
        <x:v>N</x:v>
      </x:c>
      <x:c r="O166" s="31" t="str">
        <x:v>Win</x:v>
      </x:c>
      <x:c r="P166" s="31" t="n">
        <x:v>1</x:v>
      </x:c>
      <x:c r="Q166" s="33" t="str"/>
      <x:c r="R166" s="33" t="str"/>
      <x:c r="S166" s="31" t="str"/>
      <x:c r="T166" s="32" t="str"/>
      <x:c r="U166" s="31" t="str">
        <x:v>MIA/WSH NRFI won in the user's settled DK ticket.</x:v>
      </x:c>
      <x:c r="V166" s="31" t="str">
        <x:v>HYPOTHESIS_TEST</x:v>
      </x:c>
      <x:c r="W166" s="31" t="str">
        <x:v>EXP-10</x:v>
      </x:c>
      <x:c r="X166" s="31" t="str">
        <x:v>MIA/WSH NRFI SINGLE</x:v>
      </x:c>
      <x:c r="Y166" s="31" t="str"/>
      <x:c r="Z166" s="31" t="str">
        <x:v>Strong current starter indicators suppress first-inning scoring.</x:v>
      </x:c>
      <x:c r="AA166" s="31" t="str">
        <x:v>Top-order sequencing scores despite starter context.</x:v>
      </x:c>
      <x:c r="AB166" s="31" t="str">
        <x:v>Strong audited NRFI component cleared.</x:v>
      </x:c>
    </x:row>
    <x:row r="167">
      <x:c r="A167" s="79" t="str">
        <x:v>2026-08-29</x:v>
      </x:c>
      <x:c r="B167" s="31" t="str">
        <x:v>P29-084</x:v>
      </x:c>
      <x:c r="C167" s="31" t="str">
        <x:v>A29-R37</x:v>
      </x:c>
      <x:c r="D167" s="31" t="str">
        <x:v>PAPER</x:v>
      </x:c>
      <x:c r="E167" s="31" t="str">
        <x:v>MLB</x:v>
      </x:c>
      <x:c r="F167" s="31" t="str">
        <x:v>KC @ CLE</x:v>
      </x:c>
      <x:c r="G167" s="31" t="str">
        <x:v>KC/CLE</x:v>
      </x:c>
      <x:c r="H167" s="31" t="str">
        <x:v>NRFI</x:v>
      </x:c>
      <x:c r="I167" s="31" t="str">
        <x:v>NRFI</x:v>
      </x:c>
      <x:c r="J167" s="80" t="n">
        <x:v>-120</x:v>
      </x:c>
      <x:c r="K167" s="31" t="str">
        <x:v>HYBRID</x:v>
      </x:c>
      <x:c r="L167" s="31" t="str">
        <x:v>A-</x:v>
      </x:c>
      <x:c r="M167" s="31" t="str">
        <x:v>Strong starter-specific history on both sides.</x:v>
      </x:c>
      <x:c r="N167" s="31" t="str">
        <x:v>N</x:v>
      </x:c>
      <x:c r="O167" s="31" t="str">
        <x:v>Win</x:v>
      </x:c>
      <x:c r="P167" s="31" t="n">
        <x:v>1</x:v>
      </x:c>
      <x:c r="Q167" s="33" t="str"/>
      <x:c r="R167" s="33" t="str"/>
      <x:c r="S167" s="31" t="str"/>
      <x:c r="T167" s="32" t="str"/>
      <x:c r="U167" s="31" t="str">
        <x:v>KC/CLE NRFI won in the user's settled DK ticket.</x:v>
      </x:c>
      <x:c r="V167" s="31" t="str">
        <x:v>HYPOTHESIS_TEST</x:v>
      </x:c>
      <x:c r="W167" s="31" t="str">
        <x:v>EXP-10</x:v>
      </x:c>
      <x:c r="X167" s="31" t="str">
        <x:v>KC/CLE NRFI SINGLE</x:v>
      </x:c>
      <x:c r="Y167" s="31" t="str"/>
      <x:c r="Z167" s="31" t="str">
        <x:v>Lynch/Griffin matchup history supports NRFI.</x:v>
      </x:c>
      <x:c r="AA167" s="31" t="str">
        <x:v>Hot offenses/sequence beats starter-history signal.</x:v>
      </x:c>
      <x:c r="AB167" s="31" t="str">
        <x:v>Strong audited NRFI component cleared.</x:v>
      </x:c>
    </x:row>
    <x:row r="168">
      <x:c r="A168" s="79" t="str">
        <x:v>2026-08-29</x:v>
      </x:c>
      <x:c r="B168" s="31" t="str">
        <x:v>P29-085</x:v>
      </x:c>
      <x:c r="C168" s="31" t="str">
        <x:v>A29-R38</x:v>
      </x:c>
      <x:c r="D168" s="31" t="str">
        <x:v>PAPER</x:v>
      </x:c>
      <x:c r="E168" s="31" t="str">
        <x:v>MLB</x:v>
      </x:c>
      <x:c r="F168" s="31" t="str">
        <x:v>3-game NRFI card</x:v>
      </x:c>
      <x:c r="G168" s="31" t="str">
        <x:v>SEA/TOR + MIA/WSH + KC/CLE</x:v>
      </x:c>
      <x:c r="H168" s="31" t="str">
        <x:v>3-leg NRFI Parlay</x:v>
      </x:c>
      <x:c r="I168" s="31" t="str">
        <x:v>Three NRFIs</x:v>
      </x:c>
      <x:c r="J168" s="80" t="n">
        <x:v>366</x:v>
      </x:c>
      <x:c r="K168" s="31" t="str">
        <x:v>SOURCED</x:v>
      </x:c>
      <x:c r="L168" s="31" t="str">
        <x:v>B-</x:v>
      </x:c>
      <x:c r="M168" s="31" t="str">
        <x:v>Intact source construction preserved.</x:v>
      </x:c>
      <x:c r="N168" s="31" t="str">
        <x:v>N</x:v>
      </x:c>
      <x:c r="O168" s="31" t="str">
        <x:v>Pending</x:v>
      </x:c>
      <x:c r="P168" s="31" t="str"/>
      <x:c r="Q168" s="33" t="str"/>
      <x:c r="R168" s="33" t="str"/>
      <x:c r="S168" s="31" t="str"/>
      <x:c r="T168" s="32" t="str"/>
      <x:c r="U168" s="31" t="str">
        <x:v>Source 3-leg NRFI cannot be settled without SEA/TOR component result.</x:v>
      </x:c>
      <x:c r="V168" s="31" t="str">
        <x:v>CONSTRUCTION_TEST</x:v>
      </x:c>
      <x:c r="W168" s="31" t="str">
        <x:v>EXP-10</x:v>
      </x:c>
      <x:c r="X168" s="31" t="str">
        <x:v>A29 3-LEG NRFI SOURCE CARD</x:v>
      </x:c>
      <x:c r="Y168" s="31" t="str"/>
      <x:c r="Z168" s="31" t="str">
        <x:v>Three plausible NRFIs may still have poor survival due multiplicative variance.</x:v>
      </x:c>
      <x:c r="AA168" s="31" t="str">
        <x:v>3-leg card outperforms singles/2-leg subsets after price adjustment.</x:v>
      </x:c>
      <x:c r="AB168" s="31" t="str">
        <x:v>Important correction: source 3-leg NRFI would have cashed too.</x:v>
      </x:c>
    </x:row>
    <x:row r="169">
      <x:c r="A169" s="79" t="str">
        <x:v>2026-08-29</x:v>
      </x:c>
      <x:c r="B169" s="31" t="str">
        <x:v>P29-086</x:v>
      </x:c>
      <x:c r="C169" s="31" t="str">
        <x:v>A29-R36;A29-R37</x:v>
      </x:c>
      <x:c r="D169" s="31" t="str">
        <x:v>PAPER</x:v>
      </x:c>
      <x:c r="E169" s="31" t="str">
        <x:v>MLB</x:v>
      </x:c>
      <x:c r="F169" s="31" t="str">
        <x:v>2-game NRFI subset</x:v>
      </x:c>
      <x:c r="G169" s="31" t="str">
        <x:v>MIA/WSH + KC/CLE</x:v>
      </x:c>
      <x:c r="H169" s="31" t="str">
        <x:v>2-leg NRFI subset</x:v>
      </x:c>
      <x:c r="I169" s="31" t="str">
        <x:v>MIA/WSH NRFI + KC/CLE NRFI</x:v>
      </x:c>
      <x:c r="J169" s="80" t="str"/>
      <x:c r="K169" s="31" t="str">
        <x:v>HYBRID</x:v>
      </x:c>
      <x:c r="L169" s="31" t="str">
        <x:v>A-</x:v>
      </x:c>
      <x:c r="M169" s="31" t="str">
        <x:v>Two strongest audited NRFI legs.</x:v>
      </x:c>
      <x:c r="N169" s="31" t="str">
        <x:v>Y</x:v>
      </x:c>
      <x:c r="O169" s="31" t="str">
        <x:v>Win</x:v>
      </x:c>
      <x:c r="P169" s="31" t="n">
        <x:v>1</x:v>
      </x:c>
      <x:c r="Q169" s="33" t="str"/>
      <x:c r="R169" s="33" t="str"/>
      <x:c r="S169" s="31" t="str"/>
      <x:c r="T169" s="32" t="str"/>
      <x:c r="U169" s="31" t="str">
        <x:v>MIA/WSH + KC/CLE two-leg NRFI paid +201 on the real ticket.</x:v>
      </x:c>
      <x:c r="V169" s="31" t="str">
        <x:v>CONSTRUCTION_TEST</x:v>
      </x:c>
      <x:c r="W169" s="31" t="str">
        <x:v>EXP-10</x:v>
      </x:c>
      <x:c r="X169" s="31" t="str">
        <x:v>A29 2-LEG NRFI STRONG PAIR</x:v>
      </x:c>
      <x:c r="Y169" s="31" t="str">
        <x:v>P29-085</x:v>
      </x:c>
      <x:c r="Z169" s="31" t="str">
        <x:v>Removing weakest NRFI should improve survival.</x:v>
      </x:c>
      <x:c r="AA169" s="31" t="str">
        <x:v>SEA/TOR adds enough payout/value that 3-leg remains superior over sample.</x:v>
      </x:c>
      <x:c r="AB169" s="31" t="str">
        <x:v>Removing the weakest source component created the winning construction.</x:v>
      </x:c>
    </x:row>
    <x:row r="170">
      <x:c r="A170" s="79" t="str">
        <x:v>2026-08-29</x:v>
      </x:c>
      <x:c r="B170" s="31" t="str">
        <x:v>P29-087</x:v>
      </x:c>
      <x:c r="C170" s="31" t="str">
        <x:v>A29-R32;A29-R03</x:v>
      </x:c>
      <x:c r="D170" s="31" t="str">
        <x:v>PAPER</x:v>
      </x:c>
      <x:c r="E170" s="31" t="str">
        <x:v>MLB</x:v>
      </x:c>
      <x:c r="F170" s="31" t="str">
        <x:v>SD/TB + COL/ATL</x:v>
      </x:c>
      <x:c r="G170" s="31" t="str">
        <x:v>Tatis + Caminero + Baldwin</x:v>
      </x:c>
      <x:c r="H170" s="31" t="str">
        <x:v>Proposed 3-leg SGPx</x:v>
      </x:c>
      <x:c r="I170" s="31" t="str">
        <x:v>Tatis 2+ TB + Caminero 2+ H+R+RBI + Baldwin 2+ TB</x:v>
      </x:c>
      <x:c r="J170" s="80" t="n">
        <x:v>518</x:v>
      </x:c>
      <x:c r="K170" s="31" t="str">
        <x:v>HYBRID</x:v>
      </x:c>
      <x:c r="L170" s="31" t="str">
        <x:v>A</x:v>
      </x:c>
      <x:c r="M170" s="31" t="str">
        <x:v>Exact DK proposed SGPx captured at +518 raw; 50% boost displays +778. Tatis/Caminero confirmed; Baldwin lineup still TBD.</x:v>
      </x:c>
      <x:c r="N170" s="31" t="str">
        <x:v>Y</x:v>
      </x:c>
      <x:c r="O170" s="31" t="str">
        <x:v>Loss</x:v>
      </x:c>
      <x:c r="P170" s="31" t="n">
        <x:v>0</x:v>
      </x:c>
      <x:c r="Q170" s="33" t="str"/>
      <x:c r="R170" s="33" t="str"/>
      <x:c r="S170" s="31" t="str"/>
      <x:c r="T170" s="32" t="str"/>
      <x:c r="U170" s="31" t="str">
        <x:v>Real SGPx: Tatis 2+ TB L; Caminero 2+ HRR W; Baldwin 2+ TB L.</x:v>
      </x:c>
      <x:c r="V170" s="31" t="str">
        <x:v>CONSTRUCTION_TEST</x:v>
      </x:c>
      <x:c r="W170" s="31" t="str">
        <x:v>EXP-09</x:v>
      </x:c>
      <x:c r="X170" s="31" t="str">
        <x:v>A29 MLB SGPX PRE-LINEUP FREEZE</x:v>
      </x:c>
      <x:c r="Y170" s="31" t="str"/>
      <x:c r="Z170" s="31" t="str">
        <x:v>Two confirmed SD/TB hitter legs plus independently audited Braves/Feltner hitter leg form a coherent promo construction without filler.</x:v>
      </x:c>
      <x:c r="AA170" s="31" t="str">
        <x:v>Baldwin is out/demoted in lineup, or duplicated hitter-specific variance makes a broader Braves expression superior.</x:v>
      </x:c>
      <x:c r="AB170" s="31" t="str">
        <x:v>Two high-variance TB legs failed while the composite HRR leg won; raw +518 contained excess risk.</x:v>
      </x:c>
    </x:row>
    <x:row r="171">
      <x:c r="A171" s="79" t="str">
        <x:v>2026-08-29</x:v>
      </x:c>
      <x:c r="B171" s="31" t="str">
        <x:v>P29-088</x:v>
      </x:c>
      <x:c r="C171" s="31" t="str">
        <x:v>A29-D15</x:v>
      </x:c>
      <x:c r="D171" s="31" t="str">
        <x:v>PAPER</x:v>
      </x:c>
      <x:c r="E171" s="31" t="str">
        <x:v>MLB</x:v>
      </x:c>
      <x:c r="F171" s="31" t="str">
        <x:v>SD @ TB</x:v>
      </x:c>
      <x:c r="G171" s="31" t="str">
        <x:v>Fernando Tatis Jr.</x:v>
      </x:c>
      <x:c r="H171" s="31" t="str">
        <x:v>Total Bases</x:v>
      </x:c>
      <x:c r="I171" s="31" t="str">
        <x:v>2+ total bases</x:v>
      </x:c>
      <x:c r="J171" s="80" t="str"/>
      <x:c r="K171" s="31" t="str">
        <x:v>HYBRID</x:v>
      </x:c>
      <x:c r="L171" s="31" t="str">
        <x:v>A</x:v>
      </x:c>
      <x:c r="M171" s="31" t="str">
        <x:v>Exact standalone shadow of proposed real SGPx leg; independently audited hitter quality plus source TB convergence.</x:v>
      </x:c>
      <x:c r="N171" s="31" t="str">
        <x:v>N</x:v>
      </x:c>
      <x:c r="O171" s="31" t="str">
        <x:v>Loss</x:v>
      </x:c>
      <x:c r="P171" s="31" t="n">
        <x:v>0</x:v>
      </x:c>
      <x:c r="Q171" s="33" t="str"/>
      <x:c r="R171" s="33" t="str"/>
      <x:c r="S171" s="31" t="str"/>
      <x:c r="T171" s="32" t="str"/>
      <x:c r="U171" s="31" t="str">
        <x:v>Tatis 2+ TB failed.</x:v>
      </x:c>
      <x:c r="V171" s="31" t="str">
        <x:v>SINGLE_VS_PARLAY</x:v>
      </x:c>
      <x:c r="W171" s="31" t="str">
        <x:v>EXP-20</x:v>
      </x:c>
      <x:c r="X171" s="31" t="str">
        <x:v>TATIS 2+ TB SHADOW</x:v>
      </x:c>
      <x:c r="Y171" s="31" t="str">
        <x:v>P29-087</x:v>
      </x:c>
      <x:c r="Z171" s="31" t="str">
        <x:v>If Tatis is a genuinely good leg, it should grade well independently of SGPx packaging.</x:v>
      </x:c>
      <x:c r="AA171" s="31" t="str">
        <x:v>Tatis fails individually, showing the leg rather than construction was the problem.</x:v>
      </x:c>
      <x:c r="AB171" s="31" t="str">
        <x:v>Standalone shadow confirms a leg-selection/market-expression miss, not just parlay variance.</x:v>
      </x:c>
    </x:row>
    <x:row r="172">
      <x:c r="A172" s="79" t="str">
        <x:v>2026-08-29</x:v>
      </x:c>
      <x:c r="B172" s="31" t="str">
        <x:v>P29-089</x:v>
      </x:c>
      <x:c r="C172" s="31" t="str">
        <x:v>A29-D16</x:v>
      </x:c>
      <x:c r="D172" s="31" t="str">
        <x:v>PAPER</x:v>
      </x:c>
      <x:c r="E172" s="31" t="str">
        <x:v>MLB</x:v>
      </x:c>
      <x:c r="F172" s="31" t="str">
        <x:v>SD @ TB</x:v>
      </x:c>
      <x:c r="G172" s="31" t="str">
        <x:v>Junior Caminero</x:v>
      </x:c>
      <x:c r="H172" s="31" t="str">
        <x:v>H+R+RBI</x:v>
      </x:c>
      <x:c r="I172" s="31" t="str">
        <x:v>2+ H+R+RBI</x:v>
      </x:c>
      <x:c r="J172" s="80" t="str"/>
      <x:c r="K172" s="31" t="str">
        <x:v>HYBRID</x:v>
      </x:c>
      <x:c r="L172" s="31" t="str">
        <x:v>A</x:v>
      </x:c>
      <x:c r="M172" s="31" t="str">
        <x:v>Exact standalone shadow of proposed real SGPx leg.</x:v>
      </x:c>
      <x:c r="N172" s="31" t="str">
        <x:v>N</x:v>
      </x:c>
      <x:c r="O172" s="31" t="str">
        <x:v>Win</x:v>
      </x:c>
      <x:c r="P172" s="31" t="n">
        <x:v>1</x:v>
      </x:c>
      <x:c r="Q172" s="33" t="str"/>
      <x:c r="R172" s="33" t="str"/>
      <x:c r="S172" s="31" t="str"/>
      <x:c r="T172" s="32" t="str"/>
      <x:c r="U172" s="31" t="str">
        <x:v>Caminero 2+ HRR cleared.</x:v>
      </x:c>
      <x:c r="V172" s="31" t="str">
        <x:v>SINGLE_VS_PARLAY</x:v>
      </x:c>
      <x:c r="W172" s="31" t="str">
        <x:v>EXP-20</x:v>
      </x:c>
      <x:c r="X172" s="31" t="str">
        <x:v>CAMINERO 2+ HRR SHADOW</x:v>
      </x:c>
      <x:c r="Y172" s="31" t="str">
        <x:v>P29-087</x:v>
      </x:c>
      <x:c r="Z172" s="31" t="str">
        <x:v>Composite production should retain standalone leg quality versus Buehler.</x:v>
      </x:c>
      <x:c r="AA172" s="31" t="str">
        <x:v>Caminero-specific miss kills the thesis independent of ticket construction.</x:v>
      </x:c>
      <x:c r="AB172" s="31" t="str">
        <x:v>Composite market continued to behave better than the TB-heavy real construction.</x:v>
      </x:c>
    </x:row>
    <x:row r="173">
      <x:c r="A173" s="79" t="str">
        <x:v>2026-08-29</x:v>
      </x:c>
      <x:c r="B173" s="31" t="str">
        <x:v>P29-090</x:v>
      </x:c>
      <x:c r="C173" s="31" t="str">
        <x:v>A29-D17</x:v>
      </x:c>
      <x:c r="D173" s="31" t="str">
        <x:v>PAPER</x:v>
      </x:c>
      <x:c r="E173" s="31" t="str">
        <x:v>MLB</x:v>
      </x:c>
      <x:c r="F173" s="31" t="str">
        <x:v>SD @ TB</x:v>
      </x:c>
      <x:c r="G173" s="31" t="str">
        <x:v>Junior Caminero</x:v>
      </x:c>
      <x:c r="H173" s="31" t="str">
        <x:v>Total Bases</x:v>
      </x:c>
      <x:c r="I173" s="31" t="str">
        <x:v>2+ total bases</x:v>
      </x:c>
      <x:c r="J173" s="80" t="str"/>
      <x:c r="K173" s="31" t="str">
        <x:v>SOURCED</x:v>
      </x:c>
      <x:c r="L173" s="31" t="str">
        <x:v>A-</x:v>
      </x:c>
      <x:c r="M173" s="31" t="str">
        <x:v>Bases Loaded alternate expression of same hitter matchup.</x:v>
      </x:c>
      <x:c r="N173" s="31" t="str">
        <x:v>N</x:v>
      </x:c>
      <x:c r="O173" s="31" t="str">
        <x:v>Pending</x:v>
      </x:c>
      <x:c r="P173" s="31" t="str"/>
      <x:c r="Q173" s="33" t="str"/>
      <x:c r="R173" s="33" t="str"/>
      <x:c r="S173" s="31" t="str"/>
      <x:c r="T173" s="32" t="str"/>
      <x:c r="U173" s="31" t="str">
        <x:v>Caminero 2+ TB outcome not confirmed in the user's screenshot; leave pending.</x:v>
      </x:c>
      <x:c r="V173" s="31" t="str">
        <x:v>ALT_MARKET_TEST</x:v>
      </x:c>
      <x:c r="W173" s="31" t="str">
        <x:v>EXP-03</x:v>
      </x:c>
      <x:c r="X173" s="31" t="str">
        <x:v>CAMINERO 2+ TB ARM</x:v>
      </x:c>
      <x:c r="Y173" s="31" t="str">
        <x:v>P29-089</x:v>
      </x:c>
      <x:c r="Z173" s="31" t="str">
        <x:v>If hard contact is the main edge, 2+ TB may outperform HRR.</x:v>
      </x:c>
      <x:c r="AA173" s="31" t="str">
        <x:v>Caminero contributes via singles/runs/RBI without reaching two total bases, favoring HRR.</x:v>
      </x:c>
      <x:c r="AB173" s="31" t="str">
        <x:v>TB alternate also won; this pair is neutral on market choice for this game.</x:v>
      </x:c>
    </x:row>
    <x:row r="174">
      <x:c r="A174" s="79" t="str">
        <x:v>2026-08-29</x:v>
      </x:c>
      <x:c r="B174" s="31" t="str">
        <x:v>P29-091</x:v>
      </x:c>
      <x:c r="C174" s="31" t="str">
        <x:v>A29-R32;A29-D15</x:v>
      </x:c>
      <x:c r="D174" s="31" t="str">
        <x:v>PAPER</x:v>
      </x:c>
      <x:c r="E174" s="31" t="str">
        <x:v>MLB</x:v>
      </x:c>
      <x:c r="F174" s="31" t="str">
        <x:v>2-game subset</x:v>
      </x:c>
      <x:c r="G174" s="31" t="str">
        <x:v>Tatis + Baldwin</x:v>
      </x:c>
      <x:c r="H174" s="31" t="str">
        <x:v>2-leg subset</x:v>
      </x:c>
      <x:c r="I174" s="31" t="str">
        <x:v>Tatis 2+ TB + Baldwin 2+ TB</x:v>
      </x:c>
      <x:c r="J174" s="80" t="str"/>
      <x:c r="K174" s="31" t="str">
        <x:v>HYBRID</x:v>
      </x:c>
      <x:c r="L174" s="31" t="str">
        <x:v>A</x:v>
      </x:c>
      <x:c r="M174" s="31" t="str">
        <x:v>Two-leg subset of proposed MLB SGPx.</x:v>
      </x:c>
      <x:c r="N174" s="31" t="str">
        <x:v>N</x:v>
      </x:c>
      <x:c r="O174" s="31" t="str">
        <x:v>Loss</x:v>
      </x:c>
      <x:c r="P174" s="31" t="n">
        <x:v>0</x:v>
      </x:c>
      <x:c r="Q174" s="33" t="str"/>
      <x:c r="R174" s="33" t="str"/>
      <x:c r="S174" s="31" t="str"/>
      <x:c r="T174" s="32" t="str"/>
      <x:c r="U174" s="31" t="str">
        <x:v>Tatis 2+ TB and Baldwin 2+ TB both failed.</x:v>
      </x:c>
      <x:c r="V174" s="31" t="str">
        <x:v>CONSTRUCTION_TEST</x:v>
      </x:c>
      <x:c r="W174" s="31" t="str">
        <x:v>EXP-09</x:v>
      </x:c>
      <x:c r="X174" s="31" t="str">
        <x:v>MLB 2-LEG TATIS+BALDWIN</x:v>
      </x:c>
      <x:c r="Y174" s="31" t="str">
        <x:v>P29-087</x:v>
      </x:c>
      <x:c r="Z174" s="31" t="str">
        <x:v>Removing one correlated SD/TB hitter may improve survival while retaining two strong audited legs.</x:v>
      </x:c>
      <x:c r="AA174" s="31" t="str">
        <x:v>Caminero adds enough edge/payout to justify the third leg.</x:v>
      </x:c>
      <x:c r="AB174" s="31" t="str">
        <x:v>TB-only pair had duplicated market-family variance.</x:v>
      </x:c>
    </x:row>
    <x:row r="175">
      <x:c r="A175" s="79" t="str">
        <x:v>2026-08-29</x:v>
      </x:c>
      <x:c r="B175" s="31" t="str">
        <x:v>P29-092</x:v>
      </x:c>
      <x:c r="C175" s="31" t="str">
        <x:v>A29-D16;A29-R32</x:v>
      </x:c>
      <x:c r="D175" s="31" t="str">
        <x:v>PAPER</x:v>
      </x:c>
      <x:c r="E175" s="31" t="str">
        <x:v>MLB</x:v>
      </x:c>
      <x:c r="F175" s="31" t="str">
        <x:v>2-game subset</x:v>
      </x:c>
      <x:c r="G175" s="31" t="str">
        <x:v>Caminero + Baldwin</x:v>
      </x:c>
      <x:c r="H175" s="31" t="str">
        <x:v>2-leg subset</x:v>
      </x:c>
      <x:c r="I175" s="31" t="str">
        <x:v>Caminero 2+ HRR + Baldwin 2+ TB</x:v>
      </x:c>
      <x:c r="J175" s="80" t="str"/>
      <x:c r="K175" s="31" t="str">
        <x:v>HYBRID</x:v>
      </x:c>
      <x:c r="L175" s="31" t="str">
        <x:v>A</x:v>
      </x:c>
      <x:c r="M175" s="31" t="str">
        <x:v>Two-leg subset of proposed MLB SGPx.</x:v>
      </x:c>
      <x:c r="N175" s="31" t="str">
        <x:v>N</x:v>
      </x:c>
      <x:c r="O175" s="31" t="str">
        <x:v>Loss</x:v>
      </x:c>
      <x:c r="P175" s="31" t="n">
        <x:v>0</x:v>
      </x:c>
      <x:c r="Q175" s="33" t="str"/>
      <x:c r="R175" s="33" t="str"/>
      <x:c r="S175" s="31" t="str"/>
      <x:c r="T175" s="32" t="str"/>
      <x:c r="U175" s="31" t="str">
        <x:v>Caminero HRR won; Baldwin 2+ TB lost.</x:v>
      </x:c>
      <x:c r="V175" s="31" t="str">
        <x:v>CONSTRUCTION_TEST</x:v>
      </x:c>
      <x:c r="W175" s="31" t="str">
        <x:v>EXP-09</x:v>
      </x:c>
      <x:c r="X175" s="31" t="str">
        <x:v>MLB 2-LEG CAMINERO+BALDWIN</x:v>
      </x:c>
      <x:c r="Y175" s="31" t="str">
        <x:v>P29-087</x:v>
      </x:c>
      <x:c r="Z175" s="31" t="str">
        <x:v>Composite hitter leg plus broad Braves/Feltner expression may be cleaner than including Tatis TB.</x:v>
      </x:c>
      <x:c r="AA175" s="31" t="str">
        <x:v>Tatis adds enough independent edge to improve the 3-leg ticket.</x:v>
      </x:c>
      <x:c r="AB175" s="31" t="str">
        <x:v>Removing Tatis still left Baldwin-specific TB failure.</x:v>
      </x:c>
    </x:row>
    <x:row r="176">
      <x:c r="A176" s="79" t="str">
        <x:v>2026-08-29</x:v>
      </x:c>
      <x:c r="B176" s="31" t="str">
        <x:v>P29-093</x:v>
      </x:c>
      <x:c r="C176" s="31" t="str">
        <x:v>A29-D15;A29-D16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Tatis + Caminero</x:v>
      </x:c>
      <x:c r="H176" s="31" t="str">
        <x:v>2-leg SGP core</x:v>
      </x:c>
      <x:c r="I176" s="31" t="str">
        <x:v>Tatis 2+ TB + Caminero 2+ HRR</x:v>
      </x:c>
      <x:c r="J176" s="80" t="str"/>
      <x:c r="K176" s="31" t="str">
        <x:v>HYBRID</x:v>
      </x:c>
      <x:c r="L176" s="31" t="str">
        <x:v>A</x:v>
      </x:c>
      <x:c r="M176" s="31" t="str">
        <x:v>Exact same-game core of proposed SGPx.</x:v>
      </x:c>
      <x:c r="N176" s="31" t="str">
        <x:v>N</x:v>
      </x:c>
      <x:c r="O176" s="31" t="str">
        <x:v>Loss</x:v>
      </x:c>
      <x:c r="P176" s="31" t="n">
        <x:v>0</x:v>
      </x:c>
      <x:c r="Q176" s="33" t="str"/>
      <x:c r="R176" s="33" t="str"/>
      <x:c r="S176" s="31" t="str"/>
      <x:c r="T176" s="32" t="str"/>
      <x:c r="U176" s="31" t="str">
        <x:v>Caminero HRR won; Tatis 2+ TB lost.</x:v>
      </x:c>
      <x:c r="V176" s="31" t="str">
        <x:v>CONSTRUCTION_TEST</x:v>
      </x:c>
      <x:c r="W176" s="31" t="str">
        <x:v>EXP-09</x:v>
      </x:c>
      <x:c r="X176" s="31" t="str">
        <x:v>SD/TB 2-LEG SGP CORE</x:v>
      </x:c>
      <x:c r="Y176" s="31" t="str">
        <x:v>P29-087</x:v>
      </x:c>
      <x:c r="Z176" s="31" t="str">
        <x:v>The same-game core should be evaluated separately from the Atlanta outside leg.</x:v>
      </x:c>
      <x:c r="AA176" s="31" t="str">
        <x:v>Baldwin is required to create enough added EV to justify the SGPx rather than a 2-leg SGP.</x:v>
      </x:c>
      <x:c r="AB176" s="31" t="str">
        <x:v>Same-game core died on TB leg, reinforcing market-expression issue.</x:v>
      </x:c>
    </x:row>
    <x:row r="177">
      <x:c r="A177" s="79" t="str">
        <x:v>2026-08-29</x:v>
      </x:c>
      <x:c r="B177" s="31" t="str">
        <x:v>P29-094</x:v>
      </x:c>
      <x:c r="C177" s="31" t="str">
        <x:v>A29-D18</x:v>
      </x:c>
      <x:c r="D177" s="31" t="str">
        <x:v>PAPER</x:v>
      </x:c>
      <x:c r="E177" s="31" t="str">
        <x:v>MLB</x:v>
      </x:c>
      <x:c r="F177" s="31" t="str">
        <x:v>SF matchup</x:v>
      </x:c>
      <x:c r="G177" s="31" t="str">
        <x:v>Rafael Devers</x:v>
      </x:c>
      <x:c r="H177" s="31" t="str">
        <x:v>Total Bases</x:v>
      </x:c>
      <x:c r="I177" s="31" t="str">
        <x:v>2+ total bases</x:v>
      </x:c>
      <x:c r="J177" s="80" t="str"/>
      <x:c r="K177" s="31" t="str">
        <x:v>SOURCED</x:v>
      </x:c>
      <x:c r="L177" s="31" t="str">
        <x:v>A-</x:v>
      </x:c>
      <x:c r="M177" s="31" t="str">
        <x:v>Bases Loaded recent-form/matchup source arm.</x:v>
      </x:c>
      <x:c r="N177" s="31" t="str">
        <x:v>N</x:v>
      </x:c>
      <x:c r="O177" s="31" t="str">
        <x:v>Win</x:v>
      </x:c>
      <x:c r="P177" s="31" t="n">
        <x:v>1</x:v>
      </x:c>
      <x:c r="Q177" s="33" t="n">
        <x:v>2</x:v>
      </x:c>
      <x:c r="R177" s="33" t="str"/>
      <x:c r="S177" s="31" t="str"/>
      <x:c r="T177" s="32" t="str"/>
      <x:c r="U177" s="31" t="str">
        <x:v>Devers had two singles in the Merrill Kelly game = 2 TB. https://www.boxscore.email/mlb/player/646240</x:v>
      </x:c>
      <x:c r="V177" s="31" t="str">
        <x:v>HYPOTHESIS_TEST</x:v>
      </x:c>
      <x:c r="W177" s="31" t="str">
        <x:v>EXP-04</x:v>
      </x:c>
      <x:c r="X177" s="31" t="str">
        <x:v>DEVERS BASES-LOADED TB ARM</x:v>
      </x:c>
      <x:c r="Y177" s="31" t="str"/>
      <x:c r="Z177" s="31" t="str">
        <x:v>Recent power form plus favorable barrel-suppression weakness can create a real TB edge.</x:v>
      </x:c>
      <x:c r="AA177" s="31" t="str">
        <x:v>Recent form regresses or pitcher matchup sample proves noisy.</x:v>
      </x:c>
      <x:c r="AB177" s="31" t="str">
        <x:v>Recent-form/matchup TB arm won.</x:v>
      </x:c>
    </x:row>
    <x:row r="178">
      <x:c r="A178" s="79" t="str">
        <x:v>2026-08-29</x:v>
      </x:c>
      <x:c r="B178" s="31" t="str">
        <x:v>P29-095</x:v>
      </x:c>
      <x:c r="C178" s="31" t="str">
        <x:v>A29-R39</x:v>
      </x:c>
      <x:c r="D178" s="31" t="str">
        <x:v>PAPER</x:v>
      </x:c>
      <x:c r="E178" s="31" t="str">
        <x:v>MLB</x:v>
      </x:c>
      <x:c r="F178" s="31" t="str">
        <x:v>COL @ ATL</x:v>
      </x:c>
      <x:c r="G178" s="31" t="str">
        <x:v>Matt Olson</x:v>
      </x:c>
      <x:c r="H178" s="31" t="str">
        <x:v>RBI</x:v>
      </x:c>
      <x:c r="I178" s="31" t="str">
        <x:v>1+ RBI</x:v>
      </x:c>
      <x:c r="J178" s="80" t="str"/>
      <x:c r="K178" s="31" t="str">
        <x:v>SOURCED</x:v>
      </x:c>
      <x:c r="L178" s="31" t="str">
        <x:v>B</x:v>
      </x:c>
      <x:c r="M178" s="31" t="str">
        <x:v>Sequencing-dependent component of +1233 source RBI parlay.</x:v>
      </x:c>
      <x:c r="N178" s="31" t="str">
        <x:v>N</x:v>
      </x:c>
      <x:c r="O178" s="31" t="str">
        <x:v>Loss</x:v>
      </x:c>
      <x:c r="P178" s="31" t="n">
        <x:v>0</x:v>
      </x:c>
      <x:c r="Q178" s="33" t="n">
        <x:v>0</x:v>
      </x:c>
      <x:c r="R178" s="33" t="str"/>
      <x:c r="S178" s="31" t="str"/>
      <x:c r="T178" s="32" t="str"/>
      <x:c r="U178" s="31" t="str">
        <x:v>Olson singled before Michael Harris' two-run double; 0 RBI. https://www.reuters.com/sports/baseball/michael-harris-iis-clutch-double-enables-braves-drop-rockies--flm-2026-08-29/</x:v>
      </x:c>
      <x:c r="V178" s="31" t="str">
        <x:v>HYPOTHESIS_TEST</x:v>
      </x:c>
      <x:c r="W178" s="31" t="str">
        <x:v>EXP-03</x:v>
      </x:c>
      <x:c r="X178" s="31" t="str">
        <x:v>OLSON 1+ RBI ARM</x:v>
      </x:c>
      <x:c r="Y178" s="31" t="str">
        <x:v>P29-098</x:v>
      </x:c>
      <x:c r="Z178" s="31" t="str">
        <x:v>Broad Braves run environment can create RBI value even if Olson TB/HR is volatile.</x:v>
      </x:c>
      <x:c r="AA178" s="31" t="str">
        <x:v>Atlanta offense scores but Olson is bypassed in RBI sequencing.</x:v>
      </x:c>
      <x:c r="AB178" s="31" t="str">
        <x:v>Team environment did not imply player RBI sequencing.</x:v>
      </x:c>
    </x:row>
    <x:row r="179">
      <x:c r="A179" s="79" t="str">
        <x:v>2026-08-29</x:v>
      </x:c>
      <x:c r="B179" s="31" t="str">
        <x:v>P29-096</x:v>
      </x:c>
      <x:c r="C179" s="31" t="str">
        <x:v>A29-R40</x:v>
      </x:c>
      <x:c r="D179" s="31" t="str">
        <x:v>PAPER</x:v>
      </x:c>
      <x:c r="E179" s="31" t="str">
        <x:v>MLB</x:v>
      </x:c>
      <x:c r="F179" s="31" t="str">
        <x:v>BAL @ ATH</x:v>
      </x:c>
      <x:c r="G179" s="31" t="str">
        <x:v>Samuel Basallo</x:v>
      </x:c>
      <x:c r="H179" s="31" t="str">
        <x:v>RBI</x:v>
      </x:c>
      <x:c r="I179" s="31" t="str">
        <x:v>1+ RBI</x:v>
      </x:c>
      <x:c r="J179" s="80" t="str"/>
      <x:c r="K179" s="31" t="str">
        <x:v>SOURCED</x:v>
      </x:c>
      <x:c r="L179" s="31" t="str">
        <x:v>WATCH</x:v>
      </x:c>
      <x:c r="M179" s="31" t="str">
        <x:v>High-variance RBI source component in a mixed Orioles matchup.</x:v>
      </x:c>
      <x:c r="N179" s="31" t="str">
        <x:v>N</x:v>
      </x:c>
      <x:c r="O179" s="31" t="str">
        <x:v>Loss</x:v>
      </x:c>
      <x:c r="P179" s="31" t="n">
        <x:v>0</x:v>
      </x:c>
      <x:c r="Q179" s="33" t="n">
        <x:v>0</x:v>
      </x:c>
      <x:c r="R179" s="33" t="str"/>
      <x:c r="S179" s="31" t="str"/>
      <x:c r="T179" s="32" t="str"/>
      <x:c r="U179" s="31" t="str">
        <x:v>Basallo went 0-for-4 with 0 RBI. https://www.reddit.com/r/orioles/comments/1w21fi2/game_thread_orioles_athletics_sat_aug_29_1005_pm/</x:v>
      </x:c>
      <x:c r="V179" s="31" t="str">
        <x:v>HYPOTHESIS_TEST</x:v>
      </x:c>
      <x:c r="W179" s="31" t="str">
        <x:v>EXP-03</x:v>
      </x:c>
      <x:c r="X179" s="31" t="str">
        <x:v>BASALLO 1+ RBI ARM</x:v>
      </x:c>
      <x:c r="Y179" s="31" t="str">
        <x:v>P29-098</x:v>
      </x:c>
      <x:c r="Z179" s="31" t="str">
        <x:v>Middle-order power can monetize the Orioles team-target environment through RBI.</x:v>
      </x:c>
      <x:c r="AA179" s="31" t="str">
        <x:v>Team target underperforms or runners-on-base sequencing fails.</x:v>
      </x:c>
      <x:c r="AB179" s="31" t="str">
        <x:v>RBI arm failed.</x:v>
      </x:c>
    </x:row>
    <x:row r="180">
      <x:c r="A180" s="79" t="str">
        <x:v>2026-08-29</x:v>
      </x:c>
      <x:c r="B180" s="31" t="str">
        <x:v>P29-097</x:v>
      </x:c>
      <x:c r="C180" s="31" t="str">
        <x:v>A29-R41</x:v>
      </x:c>
      <x:c r="D180" s="31" t="str">
        <x:v>PAPER</x:v>
      </x:c>
      <x:c r="E180" s="31" t="str">
        <x:v>MLB</x:v>
      </x:c>
      <x:c r="F180" s="31" t="str">
        <x:v>PHI @ LAA</x:v>
      </x:c>
      <x:c r="G180" s="31" t="str">
        <x:v>Luis Arraez</x:v>
      </x:c>
      <x:c r="H180" s="31" t="str">
        <x:v>RBI</x:v>
      </x:c>
      <x:c r="I180" s="31" t="str">
        <x:v>1+ RBI</x:v>
      </x:c>
      <x:c r="J180" s="80" t="str"/>
      <x:c r="K180" s="31" t="str">
        <x:v>SOURCED</x:v>
      </x:c>
      <x:c r="L180" s="31" t="str">
        <x:v>B-</x:v>
      </x:c>
      <x:c r="M180" s="31" t="str">
        <x:v>RBI source component within favorable Phillies team matchup.</x:v>
      </x:c>
      <x:c r="N180" s="31" t="str">
        <x:v>N</x:v>
      </x:c>
      <x:c r="O180" s="31" t="str">
        <x:v>Loss</x:v>
      </x:c>
      <x:c r="P180" s="31" t="n">
        <x:v>0</x:v>
      </x:c>
      <x:c r="Q180" s="33" t="n">
        <x:v>0</x:v>
      </x:c>
      <x:c r="R180" s="33" t="str"/>
      <x:c r="S180" s="31" t="str"/>
      <x:c r="T180" s="32" t="str"/>
      <x:c r="U180" s="31" t="str">
        <x:v>Arraez went 0-for-5 with 0 RBI. https://www.cbssports.com/mlb/gametracker/recap/MLB_20260829_PHI%40LAA/</x:v>
      </x:c>
      <x:c r="V180" s="31" t="str">
        <x:v>HYPOTHESIS_TEST</x:v>
      </x:c>
      <x:c r="W180" s="31" t="str">
        <x:v>EXP-03</x:v>
      </x:c>
      <x:c r="X180" s="31" t="str">
        <x:v>ARRAEZ 1+ RBI ARM</x:v>
      </x:c>
      <x:c r="Y180" s="31" t="str">
        <x:v>P29-098</x:v>
      </x:c>
      <x:c r="Z180" s="31" t="str">
        <x:v>Team-level matchup can overcome limited power if lineup sequencing creates RBI chances.</x:v>
      </x:c>
      <x:c r="AA180" s="31" t="str">
        <x:v>Arraez reaches base but lacks RBI opportunities, exposing market-selection weakness.</x:v>
      </x:c>
      <x:c r="AB180" s="31" t="str">
        <x:v>RBI arm failed.</x:v>
      </x:c>
    </x:row>
    <x:row r="181">
      <x:c r="A181" s="79" t="str">
        <x:v>2026-08-29</x:v>
      </x:c>
      <x:c r="B181" s="31" t="str">
        <x:v>P29-098</x:v>
      </x:c>
      <x:c r="C181" s="31" t="str">
        <x:v>A29-R42</x:v>
      </x:c>
      <x:c r="D181" s="31" t="str">
        <x:v>PAPER</x:v>
      </x:c>
      <x:c r="E181" s="31" t="str">
        <x:v>MLB</x:v>
      </x:c>
      <x:c r="F181" s="31" t="str">
        <x:v>3-game</x:v>
      </x:c>
      <x:c r="G181" s="31" t="str">
        <x:v>Olson + Basallo + Arraez</x:v>
      </x:c>
      <x:c r="H181" s="31" t="str">
        <x:v>3-leg RBI Parlay</x:v>
      </x:c>
      <x:c r="I181" s="31" t="str">
        <x:v>Olson 1+ RBI + Basallo 1+ RBI + Arraez 1+ RBI</x:v>
      </x:c>
      <x:c r="J181" s="80" t="n">
        <x:v>1233</x:v>
      </x:c>
      <x:c r="K181" s="31" t="str">
        <x:v>SOURCED</x:v>
      </x:c>
      <x:c r="L181" s="31" t="str">
        <x:v>WATCH</x:v>
      </x:c>
      <x:c r="M181" s="31" t="str">
        <x:v>Intact source RBI lottery card.</x:v>
      </x:c>
      <x:c r="N181" s="31" t="str">
        <x:v>N</x:v>
      </x:c>
      <x:c r="O181" s="31" t="str">
        <x:v>Loss</x:v>
      </x:c>
      <x:c r="P181" s="31" t="n">
        <x:v>0</x:v>
      </x:c>
      <x:c r="Q181" s="33" t="str"/>
      <x:c r="R181" s="33" t="str"/>
      <x:c r="S181" s="31" t="str"/>
      <x:c r="T181" s="32" t="str"/>
      <x:c r="U181" s="31" t="str">
        <x:v>Olson 0 RBI + Basallo 0 RBI + Arraez 0 RBI.</x:v>
      </x:c>
      <x:c r="V181" s="31" t="str">
        <x:v>CONSTRUCTION_TEST</x:v>
      </x:c>
      <x:c r="W181" s="31" t="str">
        <x:v>EXP-09</x:v>
      </x:c>
      <x:c r="X181" s="31" t="str">
        <x:v>A29 3-LEG RBI LOTTERY CONTROL</x:v>
      </x:c>
      <x:c r="Y181" s="31" t="str"/>
      <x:c r="Z181" s="31" t="str">
        <x:v>High-payout RBI cards may exploit correlated team run environments if component selection is strong.</x:v>
      </x:c>
      <x:c r="AA181" s="31" t="str">
        <x:v>Sequencing variance makes component hit rate too low for viable construction.</x:v>
      </x:c>
      <x:c r="AB181" s="31" t="str">
        <x:v>RBI lottery parlay failed 0/3.</x:v>
      </x:c>
    </x:row>
    <x:row r="182">
      <x:c r="A182" s="79" t="str">
        <x:v>2026-08-29</x:v>
      </x:c>
      <x:c r="B182" s="31" t="str">
        <x:v>P29-099</x:v>
      </x:c>
      <x:c r="C182" s="31" t="str">
        <x:v>A29-R25;A29-R32</x:v>
      </x:c>
      <x:c r="D182" s="31" t="str">
        <x:v>PAPER</x:v>
      </x:c>
      <x:c r="E182" s="31" t="str">
        <x:v>MLB</x:v>
      </x:c>
      <x:c r="F182" s="31" t="str">
        <x:v>2-game pair</x:v>
      </x:c>
      <x:c r="G182" s="31" t="str">
        <x:v>Harper + Baldwin</x:v>
      </x:c>
      <x:c r="H182" s="31" t="str">
        <x:v>2-leg hitter pair</x:v>
      </x:c>
      <x:c r="I182" s="31" t="str">
        <x:v>Harper 2+ TB + Baldwin 2+ TB</x:v>
      </x:c>
      <x:c r="J182" s="80" t="str"/>
      <x:c r="K182" s="31" t="str">
        <x:v>HYBRID</x:v>
      </x:c>
      <x:c r="L182" s="31" t="str">
        <x:v>A</x:v>
      </x:c>
      <x:c r="M182" s="31" t="str">
        <x:v>Two strongest current TB candidates from separate games.</x:v>
      </x:c>
      <x:c r="N182" s="31" t="str">
        <x:v>N</x:v>
      </x:c>
      <x:c r="O182" s="31" t="str">
        <x:v>Loss</x:v>
      </x:c>
      <x:c r="P182" s="31" t="n">
        <x:v>0</x:v>
      </x:c>
      <x:c r="Q182" s="33" t="str"/>
      <x:c r="R182" s="33" t="str"/>
      <x:c r="S182" s="31" t="str"/>
      <x:c r="T182" s="32" t="str"/>
      <x:c r="U182" s="31" t="str">
        <x:v>Harper 2+ TB lost, so Harper+Baldwin pair lost regardless of Baldwin.</x:v>
      </x:c>
      <x:c r="V182" s="31" t="str">
        <x:v>CONSTRUCTION_TEST</x:v>
      </x:c>
      <x:c r="W182" s="31" t="str">
        <x:v>EXP-09</x:v>
      </x:c>
      <x:c r="X182" s="31" t="str">
        <x:v>MLB A-TIER TB PAIR</x:v>
      </x:c>
      <x:c r="Y182" s="31" t="str">
        <x:v>P29-069;P29-078</x:v>
      </x:c>
      <x:c r="Z182" s="31" t="str">
        <x:v>Pairing two independently audited A-tier TB singles may outperform promo-driven three-leg constructions.</x:v>
      </x:c>
      <x:c r="AA182" s="31" t="str">
        <x:v>TB volatility remains too high even for top-ranked candidates.</x:v>
      </x:c>
      <x:c r="AB182" s="31" t="str">
        <x:v>A-tier label alone did not create a reliable TB backbone.</x:v>
      </x:c>
    </x:row>
    <x:row r="183">
      <x:c r="A183" s="79" t="str">
        <x:v>2026-08-29</x:v>
      </x:c>
      <x:c r="B183" s="31" t="str">
        <x:v>P29-100</x:v>
      </x:c>
      <x:c r="C183" s="31" t="str">
        <x:v>A29-R33;A29-R25</x:v>
      </x:c>
      <x:c r="D183" s="31" t="str">
        <x:v>PAPER</x:v>
      </x:c>
      <x:c r="E183" s="31" t="str">
        <x:v>MLB</x:v>
      </x:c>
      <x:c r="F183" s="31" t="str">
        <x:v>2-game pair</x:v>
      </x:c>
      <x:c r="G183" s="31" t="str">
        <x:v>Vargas + Harper</x:v>
      </x:c>
      <x:c r="H183" s="31" t="str">
        <x:v>2-leg hitter pair</x:v>
      </x:c>
      <x:c r="I183" s="31" t="str">
        <x:v>Vargas 2+ HRR + Harper 2+ TB</x:v>
      </x:c>
      <x:c r="J183" s="80" t="str"/>
      <x:c r="K183" s="31" t="str">
        <x:v>HYBRID</x:v>
      </x:c>
      <x:c r="L183" s="31" t="str">
        <x:v>A-</x:v>
      </x:c>
      <x:c r="M183" s="31" t="str">
        <x:v>Cross-market pair of two independently strong hitter theses.</x:v>
      </x:c>
      <x:c r="N183" s="31" t="str">
        <x:v>N</x:v>
      </x:c>
      <x:c r="O183" s="31" t="str">
        <x:v>Loss</x:v>
      </x:c>
      <x:c r="P183" s="31" t="n">
        <x:v>0</x:v>
      </x:c>
      <x:c r="Q183" s="33" t="str"/>
      <x:c r="R183" s="33" t="str"/>
      <x:c r="S183" s="31" t="str"/>
      <x:c r="T183" s="32" t="str"/>
      <x:c r="U183" s="31" t="str">
        <x:v>Harper 2+ TB lost, so Vargas+Harper pair lost regardless of Vargas.</x:v>
      </x:c>
      <x:c r="V183" s="31" t="str">
        <x:v>CONSTRUCTION_TEST</x:v>
      </x:c>
      <x:c r="W183" s="31" t="str">
        <x:v>EXP-09</x:v>
      </x:c>
      <x:c r="X183" s="31" t="str">
        <x:v>MLB HRR+TB PAIR</x:v>
      </x:c>
      <x:c r="Y183" s="31" t="str">
        <x:v>P29-069;P29-079</x:v>
      </x:c>
      <x:c r="Z183" s="31" t="str">
        <x:v>Mixing a composite HRR market with TB may diversify hitter failure modes.</x:v>
      </x:c>
      <x:c r="AA183" s="31" t="str">
        <x:v>Underlying hitter volatility remains strongly correlated to offensive environment and offers little diversification.</x:v>
      </x:c>
      <x:c r="AB183" s="31" t="str">
        <x:v>A-tier label alone did not create a reliable TB backbone.</x:v>
      </x:c>
    </x:row>
    <x:row r="184">
      <x:c r="A184" s="79" t="str">
        <x:v>2026-09-02</x:v>
      </x:c>
      <x:c r="B184" s="31" t="str">
        <x:v>P02-001</x:v>
      </x:c>
      <x:c r="C184" s="31" t="str">
        <x:v>S02-R01</x:v>
      </x:c>
      <x:c r="D184" s="31" t="str">
        <x:v>PAPER</x:v>
      </x:c>
      <x:c r="E184" s="31" t="str">
        <x:v>MLB</x:v>
      </x:c>
      <x:c r="F184" s="31" t="str">
        <x:v>MIL @ CHC</x:v>
      </x:c>
      <x:c r="G184" s="31" t="str">
        <x:v>Jacob Misiorowski</x:v>
      </x:c>
      <x:c r="H184" s="31" t="str">
        <x:v>Strikeouts</x:v>
      </x:c>
      <x:c r="I184" s="31" t="str">
        <x:v>8+ strikeouts</x:v>
      </x:c>
      <x:c r="J184" s="80" t="n">
        <x:v>-128</x:v>
      </x:c>
      <x:c r="K184" s="31" t="str">
        <x:v>HYBRID</x:v>
      </x:c>
      <x:c r="L184" s="31" t="str">
        <x:v>A</x:v>
      </x:c>
      <x:c r="M184" s="31" t="str">
        <x:v>Same price neighborhood as the real outs arm creates a clean market-expression test.</x:v>
      </x:c>
      <x:c r="N184" s="31" t="str">
        <x:v>N</x:v>
      </x:c>
      <x:c r="O184" s="31" t="str">
        <x:v>Loss</x:v>
      </x:c>
      <x:c r="P184" s="31" t="n">
        <x:v>0</x:v>
      </x:c>
      <x:c r="Q184" s="33" t="n">
        <x:v>5</x:v>
      </x:c>
      <x:c r="R184" s="33" t="n">
        <x:v>0</x:v>
      </x:c>
      <x:c r="S184" s="31" t="n">
        <x:v>-1</x:v>
      </x:c>
      <x:c r="T184" s="32" t="str"/>
      <x:c r="U184" s="31" t="str">
        <x:v>Exact DK 13:32 ET.</x:v>
      </x:c>
      <x:c r="V184" s="31" t="str">
        <x:v>ALT_MARKET_TEST</x:v>
      </x:c>
      <x:c r="W184" s="31" t="str">
        <x:v>EXP-01</x:v>
      </x:c>
      <x:c r="X184" s="31" t="str">
        <x:v>K ARM</x:v>
      </x:c>
      <x:c r="Y184" s="31" t="str">
        <x:v>S02-R01</x:v>
      </x:c>
      <x:c r="Z184" s="31" t="str">
        <x:v>If dominance is driven by whiffs, 8+ K at similar price can outperform six-inning outs.</x:v>
      </x:c>
      <x:c r="AA184" s="31" t="str">
        <x:v>Efficient contact outs clear while K total stalls below 8.</x:v>
      </x:c>
      <x:c r="AB184" s="31" t="str">
        <x:v>Misiorowski recorded 5 Ks in 4.0 IP. Both the 8+ K arm and real outs arm lost: bad underlying start, not merely market selection.</x:v>
      </x:c>
    </x:row>
    <x:row r="185">
      <x:c r="A185" s="79" t="str">
        <x:v>2026-09-02</x:v>
      </x:c>
      <x:c r="B185" s="31" t="str">
        <x:v>P02-002</x:v>
      </x:c>
      <x:c r="C185" s="31" t="str">
        <x:v>S02-R01</x:v>
      </x:c>
      <x:c r="D185" s="31" t="str">
        <x:v>PAPER</x:v>
      </x:c>
      <x:c r="E185" s="31" t="str">
        <x:v>MLB</x:v>
      </x:c>
      <x:c r="F185" s="31" t="str">
        <x:v>MIL @ CHC</x:v>
      </x:c>
      <x:c r="G185" s="31" t="str">
        <x:v>Jacob Misiorowski</x:v>
      </x:c>
      <x:c r="H185" s="31" t="str">
        <x:v>Strikeouts</x:v>
      </x:c>
      <x:c r="I185" s="31" t="str">
        <x:v>9+ strikeouts</x:v>
      </x:c>
      <x:c r="J185" s="80" t="n">
        <x:v>151</x:v>
      </x:c>
      <x:c r="K185" s="31" t="str">
        <x:v>HYBRID</x:v>
      </x:c>
      <x:c r="L185" s="31" t="str">
        <x:v>B+</x:v>
      </x:c>
      <x:c r="M185" s="31" t="str">
        <x:v>Aggressive threshold arm tests whether plus-money payout compensates for one extra K.</x:v>
      </x:c>
      <x:c r="N185" s="31" t="str">
        <x:v>N</x:v>
      </x:c>
      <x:c r="O185" s="31" t="str">
        <x:v>Loss</x:v>
      </x:c>
      <x:c r="P185" s="31" t="n">
        <x:v>0</x:v>
      </x:c>
      <x:c r="Q185" s="33" t="n">
        <x:v>5</x:v>
      </x:c>
      <x:c r="R185" s="33" t="n">
        <x:v>0</x:v>
      </x:c>
      <x:c r="S185" s="31" t="n">
        <x:v>-1</x:v>
      </x:c>
      <x:c r="T185" s="32" t="str"/>
      <x:c r="U185" s="31" t="str">
        <x:v>Exact DK 13:32 ET.</x:v>
      </x:c>
      <x:c r="V185" s="31" t="str">
        <x:v>THRESHOLD_TEST</x:v>
      </x:c>
      <x:c r="W185" s="31" t="str">
        <x:v>EXP-06</x:v>
      </x:c>
      <x:c r="X185" s="31" t="str">
        <x:v>AGGRESSIVE K ARM</x:v>
      </x:c>
      <x:c r="Y185" s="31" t="str">
        <x:v>P02-001</x:v>
      </x:c>
      <x:c r="Z185" s="31" t="str">
        <x:v>Elite K rate may preserve value one rung above the standard 8+ line.</x:v>
      </x:c>
      <x:c r="AA185" s="31" t="str">
        <x:v>8 Ks exactly or earlier hook shows threshold tax dominates payout gain.</x:v>
      </x:c>
      <x:c r="AB185" s="31" t="str">
        <x:v>Aggressive 9+ K threshold failed badly; Misiorowski finished with 5 Ks. Supports avoiding threshold inflation for payout.</x:v>
      </x:c>
    </x:row>
    <x:row r="186">
      <x:c r="A186" s="79" t="str">
        <x:v>2026-09-02</x:v>
      </x:c>
      <x:c r="B186" s="31" t="str">
        <x:v>P02-003</x:v>
      </x:c>
      <x:c r="C186" s="31" t="str">
        <x:v>S02-R02</x:v>
      </x:c>
      <x:c r="D186" s="31" t="str">
        <x:v>PAPER</x:v>
      </x:c>
      <x:c r="E186" s="31" t="str">
        <x:v>MLB</x:v>
      </x:c>
      <x:c r="F186" s="31" t="str">
        <x:v>TOR @ CLE</x:v>
      </x:c>
      <x:c r="G186" s="31" t="str">
        <x:v>Dylan Cease</x:v>
      </x:c>
      <x:c r="H186" s="31" t="str">
        <x:v>Pitcher Outs</x:v>
      </x:c>
      <x:c r="I186" s="31" t="str">
        <x:v>Over 17.5 outs</x:v>
      </x:c>
      <x:c r="J186" s="80" t="n">
        <x:v>-154</x:v>
      </x:c>
      <x:c r="K186" s="31" t="str">
        <x:v>HYBRID</x:v>
      </x:c>
      <x:c r="L186" s="31" t="str">
        <x:v>A-</x:v>
      </x:c>
      <x:c r="M186" s="31" t="str">
        <x:v>Direct Ks-vs-outs comparison on a workload-capable starter.</x:v>
      </x:c>
      <x:c r="N186" s="31" t="str">
        <x:v>N</x:v>
      </x:c>
      <x:c r="O186" s="31" t="str">
        <x:v>Win</x:v>
      </x:c>
      <x:c r="P186" s="31" t="n">
        <x:v>1</x:v>
      </x:c>
      <x:c r="Q186" s="33" t="n">
        <x:v>18</x:v>
      </x:c>
      <x:c r="R186" s="33" t="n">
        <x:v>1.6493506493506493</x:v>
      </x:c>
      <x:c r="S186" s="31" t="n">
        <x:v>0.6493506493506493</x:v>
      </x:c>
      <x:c r="T186" s="32" t="str"/>
      <x:c r="U186" s="31" t="str">
        <x:v>Source price was -136; DK moved to -154.</x:v>
      </x:c>
      <x:c r="V186" s="31" t="str">
        <x:v>ALT_MARKET_TEST</x:v>
      </x:c>
      <x:c r="W186" s="31" t="str">
        <x:v>EXP-01</x:v>
      </x:c>
      <x:c r="X186" s="31" t="str">
        <x:v>OUTS ARM</x:v>
      </x:c>
      <x:c r="Y186" s="31" t="str">
        <x:v>S02-R02</x:v>
      </x:c>
      <x:c r="Z186" s="31" t="str">
        <x:v>If efficiency/workload is the real edge, six innings should be more robust than a 7-K requirement.</x:v>
      </x:c>
      <x:c r="AA186" s="31" t="str">
        <x:v>Cease records 7+ K but fails to reach 18 outs, or price deterioration erases value.</x:v>
      </x:c>
      <x:c r="AB186" s="31" t="str">
        <x:v>Cease completed 6.0 IP = 18 outs. This outs arm won while 7+/8+ K arms lost, a clean positive observation for workload expression.</x:v>
      </x:c>
    </x:row>
    <x:row r="187">
      <x:c r="A187" s="79" t="str">
        <x:v>2026-09-02</x:v>
      </x:c>
      <x:c r="B187" s="31" t="str">
        <x:v>P02-004</x:v>
      </x:c>
      <x:c r="C187" s="31" t="str">
        <x:v>S02-R02</x:v>
      </x:c>
      <x:c r="D187" s="31" t="str">
        <x:v>PAPER</x:v>
      </x:c>
      <x:c r="E187" s="31" t="str">
        <x:v>MLB</x:v>
      </x:c>
      <x:c r="F187" s="31" t="str">
        <x:v>TOR @ CLE</x:v>
      </x:c>
      <x:c r="G187" s="31" t="str">
        <x:v>Dylan Cease</x:v>
      </x:c>
      <x:c r="H187" s="31" t="str">
        <x:v>Strikeouts</x:v>
      </x:c>
      <x:c r="I187" s="31" t="str">
        <x:v>8+ strikeouts</x:v>
      </x:c>
      <x:c r="J187" s="80" t="n">
        <x:v>191</x:v>
      </x:c>
      <x:c r="K187" s="31" t="str">
        <x:v>HYBRID</x:v>
      </x:c>
      <x:c r="L187" s="31" t="str">
        <x:v>B</x:v>
      </x:c>
      <x:c r="M187" s="31" t="str">
        <x:v>One-rung aggressive arm at a large plus price.</x:v>
      </x:c>
      <x:c r="N187" s="31" t="str">
        <x:v>N</x:v>
      </x:c>
      <x:c r="O187" s="31" t="str">
        <x:v>Loss</x:v>
      </x:c>
      <x:c r="P187" s="31" t="n">
        <x:v>0</x:v>
      </x:c>
      <x:c r="Q187" s="33" t="n">
        <x:v>4</x:v>
      </x:c>
      <x:c r="R187" s="33" t="n">
        <x:v>0</x:v>
      </x:c>
      <x:c r="S187" s="31" t="n">
        <x:v>-1</x:v>
      </x:c>
      <x:c r="T187" s="32" t="str"/>
      <x:c r="U187" s="31" t="str">
        <x:v>Exact DK 13:31 ET.</x:v>
      </x:c>
      <x:c r="V187" s="31" t="str">
        <x:v>THRESHOLD_TEST</x:v>
      </x:c>
      <x:c r="W187" s="31" t="str">
        <x:v>EXP-06</x:v>
      </x:c>
      <x:c r="X187" s="31" t="str">
        <x:v>AGGRESSIVE K ARM</x:v>
      </x:c>
      <x:c r="Y187" s="31" t="str">
        <x:v>S02-R02</x:v>
      </x:c>
      <x:c r="Z187" s="31" t="str">
        <x:v>Cease's K ceiling can justify +191 when 7+ is already near even money.</x:v>
      </x:c>
      <x:c r="AA187" s="31" t="str">
        <x:v>Exactly 7 Ks becomes the canonical threshold-cost failure.</x:v>
      </x:c>
      <x:c r="AB187" s="31" t="str">
        <x:v>Cease finished with 4 Ks despite 6 scoreless innings. Strong market-expression miss versus winning outs arm.</x:v>
      </x:c>
    </x:row>
    <x:row r="188">
      <x:c r="A188" s="79" t="str">
        <x:v>2026-09-02</x:v>
      </x:c>
      <x:c r="B188" s="31" t="str">
        <x:v>P02-005</x:v>
      </x:c>
      <x:c r="C188" s="31" t="str">
        <x:v>S02-R05</x:v>
      </x:c>
      <x:c r="D188" s="31" t="str">
        <x:v>PAPER</x:v>
      </x:c>
      <x:c r="E188" s="31" t="str">
        <x:v>MLB</x:v>
      </x:c>
      <x:c r="F188" s="31" t="str">
        <x:v>NYY @ LAA</x:v>
      </x:c>
      <x:c r="G188" s="31" t="str">
        <x:v>Cam Schlittler</x:v>
      </x:c>
      <x:c r="H188" s="31" t="str">
        <x:v>Strikeouts</x:v>
      </x:c>
      <x:c r="I188" s="31" t="str">
        <x:v>8+ strikeouts</x:v>
      </x:c>
      <x:c r="J188" s="80" t="n">
        <x:v>-141</x:v>
      </x:c>
      <x:c r="K188" s="31" t="str">
        <x:v>HYBRID</x:v>
      </x:c>
      <x:c r="L188" s="31" t="str">
        <x:v>A</x:v>
      </x:c>
      <x:c r="M188" s="31" t="str">
        <x:v>Independent matchup support and direct K mechanism; real-card reserve.</x:v>
      </x:c>
      <x:c r="N188" s="31" t="str">
        <x:v>N</x:v>
      </x:c>
      <x:c r="O188" s="31" t="str">
        <x:v>Win</x:v>
      </x:c>
      <x:c r="P188" s="31" t="n">
        <x:v>1</x:v>
      </x:c>
      <x:c r="Q188" s="33" t="n">
        <x:v>9</x:v>
      </x:c>
      <x:c r="R188" s="33" t="n">
        <x:v>1.7092198581560285</x:v>
      </x:c>
      <x:c r="S188" s="31" t="n">
        <x:v>0.7092198581560285</x:v>
      </x:c>
      <x:c r="T188" s="32" t="str"/>
      <x:c r="U188" s="31" t="str">
        <x:v>Exact DK 13:32 ET.</x:v>
      </x:c>
      <x:c r="V188" s="31" t="str">
        <x:v>HYPOTHESIS_TEST</x:v>
      </x:c>
      <x:c r="W188" s="31" t="str">
        <x:v>EXP-02</x:v>
      </x:c>
      <x:c r="X188" s="31" t="str">
        <x:v>K OVER ARM</x:v>
      </x:c>
      <x:c r="Y188" s="31" t="str"/>
      <x:c r="Z188" s="31" t="str">
        <x:v>High whiff ability against this lineup should support 8+ Ks without requiring six innings.</x:v>
      </x:c>
      <x:c r="AA188" s="31" t="str">
        <x:v>Contact-heavy Angels approach or pitch-count inefficiency keeps him below 8.</x:v>
      </x:c>
      <x:c r="AB188" s="31" t="str">
        <x:v>Schlittler struck out 9 over 8.0 IP. K thesis and threshold both cleared.</x:v>
      </x:c>
    </x:row>
    <x:row r="189">
      <x:c r="A189" s="79" t="str">
        <x:v>2026-09-02</x:v>
      </x:c>
      <x:c r="B189" s="31" t="str">
        <x:v>P02-006</x:v>
      </x:c>
      <x:c r="C189" s="31" t="str">
        <x:v>S02-R05</x:v>
      </x:c>
      <x:c r="D189" s="31" t="str">
        <x:v>PAPER</x:v>
      </x:c>
      <x:c r="E189" s="31" t="str">
        <x:v>MLB</x:v>
      </x:c>
      <x:c r="F189" s="31" t="str">
        <x:v>NYY @ LAA</x:v>
      </x:c>
      <x:c r="G189" s="31" t="str">
        <x:v>Cam Schlittler</x:v>
      </x:c>
      <x:c r="H189" s="31" t="str">
        <x:v>Pitcher Outs</x:v>
      </x:c>
      <x:c r="I189" s="31" t="str">
        <x:v>Over 17.5 outs</x:v>
      </x:c>
      <x:c r="J189" s="80" t="n">
        <x:v>-173</x:v>
      </x:c>
      <x:c r="K189" s="31" t="str">
        <x:v>HYBRID</x:v>
      </x:c>
      <x:c r="L189" s="31" t="str">
        <x:v>B+</x:v>
      </x:c>
      <x:c r="M189" s="31" t="str">
        <x:v>Tests whether workload is worth the extra juice versus his K market.</x:v>
      </x:c>
      <x:c r="N189" s="31" t="str">
        <x:v>N</x:v>
      </x:c>
      <x:c r="O189" s="31" t="str">
        <x:v>Win</x:v>
      </x:c>
      <x:c r="P189" s="31" t="n">
        <x:v>1</x:v>
      </x:c>
      <x:c r="Q189" s="33" t="n">
        <x:v>24</x:v>
      </x:c>
      <x:c r="R189" s="33" t="n">
        <x:v>1.5780346820809248</x:v>
      </x:c>
      <x:c r="S189" s="31" t="n">
        <x:v>0.5780346820809248</x:v>
      </x:c>
      <x:c r="T189" s="32" t="str"/>
      <x:c r="U189" s="31" t="str">
        <x:v>Exact DK 13:33 ET.</x:v>
      </x:c>
      <x:c r="V189" s="31" t="str">
        <x:v>ALT_MARKET_TEST</x:v>
      </x:c>
      <x:c r="W189" s="31" t="str">
        <x:v>EXP-01</x:v>
      </x:c>
      <x:c r="X189" s="31" t="str">
        <x:v>OUTS ARM</x:v>
      </x:c>
      <x:c r="Y189" s="31" t="str">
        <x:v>P02-005</x:v>
      </x:c>
      <x:c r="Z189" s="31" t="str">
        <x:v>If his starter efficiency is more stable than whiff count, outs can justify the steeper price.</x:v>
      </x:c>
      <x:c r="AA189" s="31" t="str">
        <x:v>Eight-plus Ks clear while he exits before 18 outs.</x:v>
      </x:c>
      <x:c r="AB189" s="31" t="str">
        <x:v>Schlittler threw 8.0 IP = 24 outs. Both K and outs arms won; no market separation on this pitcher.</x:v>
      </x:c>
    </x:row>
    <x:row r="190">
      <x:c r="A190" s="79" t="str">
        <x:v>2026-09-02</x:v>
      </x:c>
      <x:c r="B190" s="31" t="str">
        <x:v>P02-007</x:v>
      </x:c>
      <x:c r="C190" s="31" t="str">
        <x:v>S02-R11</x:v>
      </x:c>
      <x:c r="D190" s="31" t="str">
        <x:v>PAPER</x:v>
      </x:c>
      <x:c r="E190" s="31" t="str">
        <x:v>MLB</x:v>
      </x:c>
      <x:c r="F190" s="31" t="str">
        <x:v>STL @ LAD</x:v>
      </x:c>
      <x:c r="G190" s="31" t="str">
        <x:v>Yoshinobu Yamamoto</x:v>
      </x:c>
      <x:c r="H190" s="31" t="str">
        <x:v>Strikeouts</x:v>
      </x:c>
      <x:c r="I190" s="31" t="str">
        <x:v>7+ strikeouts</x:v>
      </x:c>
      <x:c r="J190" s="80" t="n">
        <x:v>-149</x:v>
      </x:c>
      <x:c r="K190" s="31" t="str">
        <x:v>HYBRID</x:v>
      </x:c>
      <x:c r="L190" s="31" t="str">
        <x:v>A-</x:v>
      </x:c>
      <x:c r="M190" s="31" t="str">
        <x:v>Multiple source agreement plus independent confirmation of matchup.</x:v>
      </x:c>
      <x:c r="N190" s="31" t="str">
        <x:v>N</x:v>
      </x:c>
      <x:c r="O190" s="31" t="str">
        <x:v>Win</x:v>
      </x:c>
      <x:c r="P190" s="31" t="n">
        <x:v>1</x:v>
      </x:c>
      <x:c r="Q190" s="33" t="n">
        <x:v>8</x:v>
      </x:c>
      <x:c r="R190" s="33" t="n">
        <x:v>1.6711409395973154</x:v>
      </x:c>
      <x:c r="S190" s="31" t="n">
        <x:v>0.6711409395973154</x:v>
      </x:c>
      <x:c r="T190" s="32" t="str"/>
      <x:c r="U190" s="31" t="str">
        <x:v>Exact DK 13:33 ET.</x:v>
      </x:c>
      <x:c r="V190" s="31" t="str">
        <x:v>HYPOTHESIS_TEST</x:v>
      </x:c>
      <x:c r="W190" s="31" t="str">
        <x:v>EXP-02</x:v>
      </x:c>
      <x:c r="X190" s="31" t="str">
        <x:v>K OVER ARM</x:v>
      </x:c>
      <x:c r="Y190" s="31" t="str"/>
      <x:c r="Z190" s="31" t="str">
        <x:v>Whiff-oriented matchup should make seven Ks a cleaner expression than 19 outs.</x:v>
      </x:c>
      <x:c r="AA190" s="31" t="str">
        <x:v>Good run prevention but six innings or fewer with &lt;7 Ks.</x:v>
      </x:c>
      <x:c r="AB190" s="31" t="str">
        <x:v>Yamamoto struck out 8 in 7.0 IP. 7+ K cleared.</x:v>
      </x:c>
    </x:row>
    <x:row r="191">
      <x:c r="A191" s="79" t="str">
        <x:v>2026-09-02</x:v>
      </x:c>
      <x:c r="B191" s="31" t="str">
        <x:v>P02-008</x:v>
      </x:c>
      <x:c r="C191" s="31" t="str">
        <x:v>S02-R11</x:v>
      </x:c>
      <x:c r="D191" s="31" t="str">
        <x:v>PAPER</x:v>
      </x:c>
      <x:c r="E191" s="31" t="str">
        <x:v>MLB</x:v>
      </x:c>
      <x:c r="F191" s="31" t="str">
        <x:v>STL @ LAD</x:v>
      </x:c>
      <x:c r="G191" s="31" t="str">
        <x:v>Yoshinobu Yamamoto</x:v>
      </x:c>
      <x:c r="H191" s="31" t="str">
        <x:v>Pitcher Outs</x:v>
      </x:c>
      <x:c r="I191" s="31" t="str">
        <x:v>Over 18.5 outs</x:v>
      </x:c>
      <x:c r="J191" s="80" t="n">
        <x:v>-115</x:v>
      </x:c>
      <x:c r="K191" s="31" t="str">
        <x:v>HYBRID</x:v>
      </x:c>
      <x:c r="L191" s="31" t="str">
        <x:v>B+</x:v>
      </x:c>
      <x:c r="M191" s="31" t="str">
        <x:v>Paired workload arm at near-even price.</x:v>
      </x:c>
      <x:c r="N191" s="31" t="str">
        <x:v>N</x:v>
      </x:c>
      <x:c r="O191" s="31" t="str">
        <x:v>Win</x:v>
      </x:c>
      <x:c r="P191" s="31" t="n">
        <x:v>1</x:v>
      </x:c>
      <x:c r="Q191" s="33" t="n">
        <x:v>21</x:v>
      </x:c>
      <x:c r="R191" s="33" t="n">
        <x:v>1.8695652173913042</x:v>
      </x:c>
      <x:c r="S191" s="31" t="n">
        <x:v>0.8695652173913042</x:v>
      </x:c>
      <x:c r="T191" s="32" t="str"/>
      <x:c r="U191" s="31" t="str">
        <x:v>Exact DK 13:33 ET.</x:v>
      </x:c>
      <x:c r="V191" s="31" t="str">
        <x:v>ALT_MARKET_TEST</x:v>
      </x:c>
      <x:c r="W191" s="31" t="str">
        <x:v>EXP-01</x:v>
      </x:c>
      <x:c r="X191" s="31" t="str">
        <x:v>OUTS ARM</x:v>
      </x:c>
      <x:c r="Y191" s="31" t="str">
        <x:v>P02-007</x:v>
      </x:c>
      <x:c r="Z191" s="31" t="str">
        <x:v>If efficiency and leash are stronger than pure whiff volume, 19 outs can beat seven Ks at a cheaper price.</x:v>
      </x:c>
      <x:c r="AA191" s="31" t="str">
        <x:v>He reaches 7+ Ks but exits after six innings.</x:v>
      </x:c>
      <x:c r="AB191" s="31" t="str">
        <x:v>Yamamoto completed 7.0 IP = 21 outs. Both K and outs arms won; no market separation.</x:v>
      </x:c>
    </x:row>
    <x:row r="192">
      <x:c r="A192" s="79" t="str">
        <x:v>2026-09-02</x:v>
      </x:c>
      <x:c r="B192" s="31" t="str">
        <x:v>P02-009</x:v>
      </x:c>
      <x:c r="C192" s="31" t="str">
        <x:v>S02-R12</x:v>
      </x:c>
      <x:c r="D192" s="31" t="str">
        <x:v>PAPER</x:v>
      </x:c>
      <x:c r="E192" s="31" t="str">
        <x:v>MLB</x:v>
      </x:c>
      <x:c r="F192" s="31" t="str">
        <x:v>MIA @ KC</x:v>
      </x:c>
      <x:c r="G192" s="31" t="str">
        <x:v>Noah Cameron</x:v>
      </x:c>
      <x:c r="H192" s="31" t="str">
        <x:v>Strikeouts</x:v>
      </x:c>
      <x:c r="I192" s="31" t="str">
        <x:v>5+ strikeouts</x:v>
      </x:c>
      <x:c r="J192" s="80" t="n">
        <x:v>-123</x:v>
      </x:c>
      <x:c r="K192" s="31" t="str">
        <x:v>HYBRID</x:v>
      </x:c>
      <x:c r="L192" s="31" t="str">
        <x:v>B</x:v>
      </x:c>
      <x:c r="M192" s="31" t="str">
        <x:v>Source threshold held near original price and offers a clean moderate K hurdle.</x:v>
      </x:c>
      <x:c r="N192" s="31" t="str">
        <x:v>N</x:v>
      </x:c>
      <x:c r="O192" s="31" t="str">
        <x:v>Win</x:v>
      </x:c>
      <x:c r="P192" s="31" t="n">
        <x:v>1</x:v>
      </x:c>
      <x:c r="Q192" s="33" t="n">
        <x:v>5</x:v>
      </x:c>
      <x:c r="R192" s="33" t="n">
        <x:v>1.8130081300813008</x:v>
      </x:c>
      <x:c r="S192" s="31" t="n">
        <x:v>0.8130081300813008</x:v>
      </x:c>
      <x:c r="T192" s="32" t="str"/>
      <x:c r="U192" s="31" t="str">
        <x:v>Exact DK 13:32 ET.</x:v>
      </x:c>
      <x:c r="V192" s="31" t="str">
        <x:v>HYPOTHESIS_TEST</x:v>
      </x:c>
      <x:c r="W192" s="31" t="str">
        <x:v>EXP-02</x:v>
      </x:c>
      <x:c r="X192" s="31" t="str">
        <x:v>K OVER ARM</x:v>
      </x:c>
      <x:c r="Y192" s="31" t="str"/>
      <x:c r="Z192" s="31" t="str">
        <x:v>Five Ks can clear without a full six-inning workload.</x:v>
      </x:c>
      <x:c r="AA192" s="31" t="str">
        <x:v>Low season K rate manifests and he finishes with four or fewer.</x:v>
      </x:c>
      <x:c r="AB192" s="31" t="str">
        <x:v>Cameron cleared 5+ Ks but did not reach six innings. Positive evidence for modest K threshold over outs in this matchup.</x:v>
      </x:c>
    </x:row>
    <x:row r="193">
      <x:c r="A193" s="79" t="str">
        <x:v>2026-09-02</x:v>
      </x:c>
      <x:c r="B193" s="31" t="str">
        <x:v>P02-010</x:v>
      </x:c>
      <x:c r="C193" s="31" t="str">
        <x:v>S02-R12</x:v>
      </x:c>
      <x:c r="D193" s="31" t="str">
        <x:v>PAPER</x:v>
      </x:c>
      <x:c r="E193" s="31" t="str">
        <x:v>MLB</x:v>
      </x:c>
      <x:c r="F193" s="31" t="str">
        <x:v>MIA @ KC</x:v>
      </x:c>
      <x:c r="G193" s="31" t="str">
        <x:v>Noah Cameron</x:v>
      </x:c>
      <x:c r="H193" s="31" t="str">
        <x:v>Pitcher Outs</x:v>
      </x:c>
      <x:c r="I193" s="31" t="str">
        <x:v>Over 17.5 outs</x:v>
      </x:c>
      <x:c r="J193" s="80" t="n">
        <x:v>-133</x:v>
      </x:c>
      <x:c r="K193" s="31" t="str">
        <x:v>HYBRID</x:v>
      </x:c>
      <x:c r="L193" s="31" t="str">
        <x:v>B</x:v>
      </x:c>
      <x:c r="M193" s="31" t="str">
        <x:v>Paired workload arm against 5+ Ks.</x:v>
      </x:c>
      <x:c r="N193" s="31" t="str">
        <x:v>N</x:v>
      </x:c>
      <x:c r="O193" s="31" t="str">
        <x:v>Loss</x:v>
      </x:c>
      <x:c r="P193" s="31" t="n">
        <x:v>0</x:v>
      </x:c>
      <x:c r="Q193" s="33" t="n">
        <x:v>15</x:v>
      </x:c>
      <x:c r="R193" s="33" t="n">
        <x:v>0</x:v>
      </x:c>
      <x:c r="S193" s="31" t="n">
        <x:v>-1</x:v>
      </x:c>
      <x:c r="T193" s="32" t="str"/>
      <x:c r="U193" s="31" t="str">
        <x:v>Exact DK 13:32 ET.</x:v>
      </x:c>
      <x:c r="V193" s="31" t="str">
        <x:v>ALT_MARKET_TEST</x:v>
      </x:c>
      <x:c r="W193" s="31" t="str">
        <x:v>EXP-01</x:v>
      </x:c>
      <x:c r="X193" s="31" t="str">
        <x:v>OUTS ARM</x:v>
      </x:c>
      <x:c r="Y193" s="31" t="str">
        <x:v>P02-009</x:v>
      </x:c>
      <x:c r="Z193" s="31" t="str">
        <x:v>Efficient contact management may make six innings more attainable than five strikeouts.</x:v>
      </x:c>
      <x:c r="AA193" s="31" t="str">
        <x:v>Five Ks clear but he misses 18 outs due pitch count or hook.</x:v>
      </x:c>
      <x:c r="AB193" s="31" t="str">
        <x:v>Cameron exited after five innings (15 outs), so O17.5 failed while 5+ K won. Pitcher-specific counterexample to outs-first bias.</x:v>
      </x:c>
    </x:row>
    <x:row r="194">
      <x:c r="A194" s="79" t="str">
        <x:v>2026-09-02</x:v>
      </x:c>
      <x:c r="B194" s="31" t="str">
        <x:v>P02-011</x:v>
      </x:c>
      <x:c r="C194" s="31" t="str"/>
      <x:c r="D194" s="31" t="str">
        <x:v>PAPER</x:v>
      </x:c>
      <x:c r="E194" s="31" t="str">
        <x:v>MLB</x:v>
      </x:c>
      <x:c r="F194" s="31" t="str">
        <x:v>MIA @ KC</x:v>
      </x:c>
      <x:c r="G194" s="31" t="str">
        <x:v>Eury Perez</x:v>
      </x:c>
      <x:c r="H194" s="31" t="str">
        <x:v>Strikeouts</x:v>
      </x:c>
      <x:c r="I194" s="31" t="str">
        <x:v>5+ strikeouts</x:v>
      </x:c>
      <x:c r="J194" s="80" t="n">
        <x:v>-164</x:v>
      </x:c>
      <x:c r="K194" s="31" t="str">
        <x:v>HYBRID</x:v>
      </x:c>
      <x:c r="L194" s="31" t="str">
        <x:v>B</x:v>
      </x:c>
      <x:c r="M194" s="31" t="str">
        <x:v>Independent K profile supports a modest threshold, but juice is meaningful.</x:v>
      </x:c>
      <x:c r="N194" s="31" t="str">
        <x:v>N</x:v>
      </x:c>
      <x:c r="O194" s="31" t="str">
        <x:v>Loss</x:v>
      </x:c>
      <x:c r="P194" s="31" t="n">
        <x:v>0</x:v>
      </x:c>
      <x:c r="Q194" s="33" t="n">
        <x:v>3</x:v>
      </x:c>
      <x:c r="R194" s="33" t="n">
        <x:v>0</x:v>
      </x:c>
      <x:c r="S194" s="31" t="n">
        <x:v>-1</x:v>
      </x:c>
      <x:c r="T194" s="32" t="str"/>
      <x:c r="U194" s="31" t="str">
        <x:v>Exact DK 13:32 ET.</x:v>
      </x:c>
      <x:c r="V194" s="31" t="str">
        <x:v>HYPOTHESIS_TEST</x:v>
      </x:c>
      <x:c r="W194" s="31" t="str">
        <x:v>EXP-02</x:v>
      </x:c>
      <x:c r="X194" s="31" t="str">
        <x:v>K OVER ARM</x:v>
      </x:c>
      <x:c r="Y194" s="31" t="str"/>
      <x:c r="Z194" s="31" t="str">
        <x:v>Perez's superior K rate to Cameron should make 5+ robust despite the price.</x:v>
      </x:c>
      <x:c r="AA194" s="31" t="str">
        <x:v>He works five-plus innings and still finishes below five Ks.</x:v>
      </x:c>
      <x:c r="AB194" s="31" t="str">
        <x:v>Eury Perez struck out 3 and allowed 6 runs in 4.2 IP. K thesis failed.</x:v>
      </x:c>
    </x:row>
    <x:row r="195">
      <x:c r="A195" s="79" t="str">
        <x:v>2026-09-02</x:v>
      </x:c>
      <x:c r="B195" s="31" t="str">
        <x:v>P02-012</x:v>
      </x:c>
      <x:c r="C195" s="31" t="str"/>
      <x:c r="D195" s="31" t="str">
        <x:v>PAPER</x:v>
      </x:c>
      <x:c r="E195" s="31" t="str">
        <x:v>MLB</x:v>
      </x:c>
      <x:c r="F195" s="31" t="str">
        <x:v>MIA @ KC</x:v>
      </x:c>
      <x:c r="G195" s="31" t="str">
        <x:v>Eury Perez</x:v>
      </x:c>
      <x:c r="H195" s="31" t="str">
        <x:v>Pitcher Outs</x:v>
      </x:c>
      <x:c r="I195" s="31" t="str">
        <x:v>Over 15.5 outs</x:v>
      </x:c>
      <x:c r="J195" s="80" t="n">
        <x:v>-136</x:v>
      </x:c>
      <x:c r="K195" s="31" t="str">
        <x:v>HYBRID</x:v>
      </x:c>
      <x:c r="L195" s="31" t="str">
        <x:v>B+</x:v>
      </x:c>
      <x:c r="M195" s="31" t="str">
        <x:v>Only 16 outs required; useful workload-vs-K test.</x:v>
      </x:c>
      <x:c r="N195" s="31" t="str">
        <x:v>N</x:v>
      </x:c>
      <x:c r="O195" s="31" t="str">
        <x:v>Loss</x:v>
      </x:c>
      <x:c r="P195" s="31" t="n">
        <x:v>0</x:v>
      </x:c>
      <x:c r="Q195" s="33" t="n">
        <x:v>14</x:v>
      </x:c>
      <x:c r="R195" s="33" t="n">
        <x:v>0</x:v>
      </x:c>
      <x:c r="S195" s="31" t="n">
        <x:v>-1</x:v>
      </x:c>
      <x:c r="T195" s="32" t="str"/>
      <x:c r="U195" s="31" t="str">
        <x:v>Exact DK 13:32 ET.</x:v>
      </x:c>
      <x:c r="V195" s="31" t="str">
        <x:v>ALT_MARKET_TEST</x:v>
      </x:c>
      <x:c r="W195" s="31" t="str">
        <x:v>EXP-01</x:v>
      </x:c>
      <x:c r="X195" s="31" t="str">
        <x:v>OUTS ARM</x:v>
      </x:c>
      <x:c r="Y195" s="31" t="str">
        <x:v>P02-011</x:v>
      </x:c>
      <x:c r="Z195" s="31" t="str">
        <x:v>Low outs threshold can outperform a juiced K milestone if he reaches the sixth.</x:v>
      </x:c>
      <x:c r="AA195" s="31" t="str">
        <x:v>Short leash/inefficiency prevents 16 outs while strikeouts still clear.</x:v>
      </x:c>
      <x:c r="AB195" s="31" t="str">
        <x:v>Eury Perez recorded 14 outs (4.2 IP), missing O15.5. Both K and outs arms failed: underlying handicap was wrong.</x:v>
      </x:c>
    </x:row>
    <x:row r="196">
      <x:c r="A196" s="79" t="str">
        <x:v>2026-09-02</x:v>
      </x:c>
      <x:c r="B196" s="31" t="str">
        <x:v>P02-013</x:v>
      </x:c>
      <x:c r="C196" s="31" t="str">
        <x:v>S02-R03</x:v>
      </x:c>
      <x:c r="D196" s="31" t="str">
        <x:v>PAPER</x:v>
      </x:c>
      <x:c r="E196" s="31" t="str">
        <x:v>MLB</x:v>
      </x:c>
      <x:c r="F196" s="31" t="str">
        <x:v>NYM @ TB</x:v>
      </x:c>
      <x:c r="G196" s="31" t="str">
        <x:v>Junior Caminero</x:v>
      </x:c>
      <x:c r="H196" s="31" t="str">
        <x:v>H+R+RBI</x:v>
      </x:c>
      <x:c r="I196" s="31" t="str">
        <x:v>2+ H+R+RBI</x:v>
      </x:c>
      <x:c r="J196" s="80" t="n">
        <x:v>-150</x:v>
      </x:c>
      <x:c r="K196" s="31" t="str">
        <x:v>HYBRID</x:v>
      </x:c>
      <x:c r="L196" s="31" t="str">
        <x:v>A-</x:v>
      </x:c>
      <x:c r="M196" s="31" t="str">
        <x:v>Paired composite arm against real 2+ TB.</x:v>
      </x:c>
      <x:c r="N196" s="31" t="str">
        <x:v>N</x:v>
      </x:c>
      <x:c r="O196" s="31" t="str">
        <x:v>Loss</x:v>
      </x:c>
      <x:c r="P196" s="31" t="n">
        <x:v>0</x:v>
      </x:c>
      <x:c r="Q196" s="33" t="n">
        <x:v>0</x:v>
      </x:c>
      <x:c r="R196" s="33" t="n">
        <x:v>0</x:v>
      </x:c>
      <x:c r="S196" s="31" t="n">
        <x:v>-1</x:v>
      </x:c>
      <x:c r="T196" s="32" t="str"/>
      <x:c r="U196" s="31" t="str">
        <x:v>DK exact market supplied 13:48 ET.</x:v>
      </x:c>
      <x:c r="V196" s="31" t="str">
        <x:v>ALT_MARKET_TEST</x:v>
      </x:c>
      <x:c r="W196" s="31" t="str">
        <x:v>EXP-03</x:v>
      </x:c>
      <x:c r="X196" s="31" t="str">
        <x:v>HRR ARM</x:v>
      </x:c>
      <x:c r="Y196" s="31" t="str">
        <x:v>S02-R03</x:v>
      </x:c>
      <x:c r="Z196" s="31" t="str">
        <x:v>Broad offensive involvement may be more robust than TB because runs/RBI add paths.</x:v>
      </x:c>
      <x:c r="AA196" s="31" t="str">
        <x:v>He reaches two bases without scoring/driving in a run while HRR stays below two.</x:v>
      </x:c>
      <x:c r="AB196" s="31" t="str">
        <x:v>Caminero went 0-for-4: 0 H/R/RBI. HRR did not rescue the matchup.</x:v>
      </x:c>
    </x:row>
    <x:row r="197">
      <x:c r="A197" s="79" t="str">
        <x:v>2026-09-02</x:v>
      </x:c>
      <x:c r="B197" s="31" t="str">
        <x:v>P02-014</x:v>
      </x:c>
      <x:c r="C197" s="31" t="str">
        <x:v>S02-R03</x:v>
      </x:c>
      <x:c r="D197" s="31" t="str">
        <x:v>PAPER</x:v>
      </x:c>
      <x:c r="E197" s="31" t="str">
        <x:v>MLB</x:v>
      </x:c>
      <x:c r="F197" s="31" t="str">
        <x:v>NYM @ TB</x:v>
      </x:c>
      <x:c r="G197" s="31" t="str">
        <x:v>Junior Caminero</x:v>
      </x:c>
      <x:c r="H197" s="31" t="str">
        <x:v>Hits</x:v>
      </x:c>
      <x:c r="I197" s="31" t="str">
        <x:v>1+ hit</x:v>
      </x:c>
      <x:c r="J197" s="80" t="n">
        <x:v>-264</x:v>
      </x:c>
      <x:c r="K197" s="31" t="str">
        <x:v>HYBRID</x:v>
      </x:c>
      <x:c r="L197" s="31" t="str">
        <x:v>WATCH</x:v>
      </x:c>
      <x:c r="M197" s="31" t="str">
        <x:v>Expensive glue control against plus-money TB.</x:v>
      </x:c>
      <x:c r="N197" s="31" t="str">
        <x:v>N</x:v>
      </x:c>
      <x:c r="O197" s="31" t="str">
        <x:v>Loss</x:v>
      </x:c>
      <x:c r="P197" s="31" t="n">
        <x:v>0</x:v>
      </x:c>
      <x:c r="Q197" s="33" t="n">
        <x:v>0</x:v>
      </x:c>
      <x:c r="R197" s="33" t="n">
        <x:v>0</x:v>
      </x:c>
      <x:c r="S197" s="31" t="n">
        <x:v>-1</x:v>
      </x:c>
      <x:c r="T197" s="32" t="str"/>
      <x:c r="U197" s="31" t="str">
        <x:v>DK exact market supplied 13:48 ET.</x:v>
      </x:c>
      <x:c r="V197" s="31" t="str">
        <x:v>GLUE_TEST</x:v>
      </x:c>
      <x:c r="W197" s="31" t="str">
        <x:v>EXP-26</x:v>
      </x:c>
      <x:c r="X197" s="31" t="str">
        <x:v>1+ HIT GLUE ARM</x:v>
      </x:c>
      <x:c r="Y197" s="31" t="str">
        <x:v>S02-R03</x:v>
      </x:c>
      <x:c r="Z197" s="31" t="str">
        <x:v>High raw hit probability may still underperform economically because price is too expensive.</x:v>
      </x:c>
      <x:c r="AA197" s="31" t="str">
        <x:v>Hit loses less often but produces inferior price-adjusted ROI over sample.</x:v>
      </x:c>
      <x:c r="AB197" s="31" t="str">
        <x:v>Caminero had no hit. Expensive 1+ hit glue failed outright, illustrating that high implied probability is not protection from a bad game.</x:v>
      </x:c>
    </x:row>
    <x:row r="198">
      <x:c r="A198" s="79" t="str">
        <x:v>2026-09-02</x:v>
      </x:c>
      <x:c r="B198" s="31" t="str">
        <x:v>P02-015</x:v>
      </x:c>
      <x:c r="C198" s="31" t="str">
        <x:v>S02-R03</x:v>
      </x:c>
      <x:c r="D198" s="31" t="str">
        <x:v>PAPER</x:v>
      </x:c>
      <x:c r="E198" s="31" t="str">
        <x:v>MLB</x:v>
      </x:c>
      <x:c r="F198" s="31" t="str">
        <x:v>NYM @ TB</x:v>
      </x:c>
      <x:c r="G198" s="31" t="str">
        <x:v>Junior Caminero</x:v>
      </x:c>
      <x:c r="H198" s="31" t="str">
        <x:v>Home Run</x:v>
      </x:c>
      <x:c r="I198" s="31" t="str">
        <x:v>1+ home run</x:v>
      </x:c>
      <x:c r="J198" s="80" t="n">
        <x:v>284</x:v>
      </x:c>
      <x:c r="K198" s="31" t="str">
        <x:v>HYBRID</x:v>
      </x:c>
      <x:c r="L198" s="31" t="str">
        <x:v>B</x:v>
      </x:c>
      <x:c r="M198" s="31" t="str">
        <x:v>Power ceiling arm and Grand Slam-qualifier candidate.</x:v>
      </x:c>
      <x:c r="N198" s="31" t="str">
        <x:v>N</x:v>
      </x:c>
      <x:c r="O198" s="31" t="str">
        <x:v>Loss</x:v>
      </x:c>
      <x:c r="P198" s="31" t="n">
        <x:v>0</x:v>
      </x:c>
      <x:c r="Q198" s="33" t="n">
        <x:v>0</x:v>
      </x:c>
      <x:c r="R198" s="33" t="n">
        <x:v>0</x:v>
      </x:c>
      <x:c r="S198" s="31" t="n">
        <x:v>-1</x:v>
      </x:c>
      <x:c r="T198" s="32" t="str"/>
      <x:c r="U198" s="31" t="str">
        <x:v>DK exact HR price supplied 13:47 ET.</x:v>
      </x:c>
      <x:c r="V198" s="31" t="str">
        <x:v>HYPOTHESIS_TEST</x:v>
      </x:c>
      <x:c r="W198" s="31" t="str">
        <x:v>EXP-16</x:v>
      </x:c>
      <x:c r="X198" s="31" t="str">
        <x:v>HR ARM</x:v>
      </x:c>
      <x:c r="Y198" s="31" t="str">
        <x:v>S02-R03</x:v>
      </x:c>
      <x:c r="Z198" s="31" t="str">
        <x:v>Elite contact quality can create HR value even when TB is the more robust real expression.</x:v>
      </x:c>
      <x:c r="AA198" s="31" t="str">
        <x:v>No HR despite strong contact, reinforcing variance and price sensitivity.</x:v>
      </x:c>
      <x:c r="AB198" s="31" t="str">
        <x:v>Caminero did not homer. All four Caminero market arms failed, so market choice was not the root cause.</x:v>
      </x:c>
    </x:row>
    <x:row r="199">
      <x:c r="A199" s="79" t="str">
        <x:v>2026-09-02</x:v>
      </x:c>
      <x:c r="B199" s="31" t="str">
        <x:v>P02-016</x:v>
      </x:c>
      <x:c r="C199" s="31" t="str">
        <x:v>S02-R06</x:v>
      </x:c>
      <x:c r="D199" s="31" t="str">
        <x:v>PAPER</x:v>
      </x:c>
      <x:c r="E199" s="31" t="str">
        <x:v>MLB</x:v>
      </x:c>
      <x:c r="F199" s="31" t="str">
        <x:v>MIL @ CHC</x:v>
      </x:c>
      <x:c r="G199" s="31" t="str">
        <x:v>William Contreras</x:v>
      </x:c>
      <x:c r="H199" s="31" t="str">
        <x:v>Total Bases</x:v>
      </x:c>
      <x:c r="I199" s="31" t="str">
        <x:v>2+ total bases</x:v>
      </x:c>
      <x:c r="J199" s="80" t="n">
        <x:v>116</x:v>
      </x:c>
      <x:c r="K199" s="31" t="str">
        <x:v>HYBRID</x:v>
      </x:c>
      <x:c r="L199" s="31" t="str">
        <x:v>A-</x:v>
      </x:c>
      <x:c r="M199" s="31" t="str">
        <x:v>Clean lefty matchup and intact source price.</x:v>
      </x:c>
      <x:c r="N199" s="31" t="str">
        <x:v>N</x:v>
      </x:c>
      <x:c r="O199" s="31" t="str">
        <x:v>Win</x:v>
      </x:c>
      <x:c r="P199" s="31" t="n">
        <x:v>1</x:v>
      </x:c>
      <x:c r="Q199" s="33" t="n">
        <x:v>2</x:v>
      </x:c>
      <x:c r="R199" s="33" t="n">
        <x:v>2.16</x:v>
      </x:c>
      <x:c r="S199" s="31" t="n">
        <x:v>1.1600000000000001</x:v>
      </x:c>
      <x:c r="T199" s="32" t="str"/>
      <x:c r="U199" s="31" t="str">
        <x:v>DK exact market supplied 13:50 ET.</x:v>
      </x:c>
      <x:c r="V199" s="31" t="str">
        <x:v>ALT_MARKET_TEST</x:v>
      </x:c>
      <x:c r="W199" s="31" t="str">
        <x:v>EXP-03</x:v>
      </x:c>
      <x:c r="X199" s="31" t="str">
        <x:v>TB ARM</x:v>
      </x:c>
      <x:c r="Y199" s="31" t="str"/>
      <x:c r="Z199" s="31" t="str">
        <x:v>Extra-base/contact paths can make TB more efficient than a juiced composite.</x:v>
      </x:c>
      <x:c r="AA199" s="31" t="str">
        <x:v>Single plus run/RBI clears HRR while TB stays at one.</x:v>
      </x:c>
      <x:c r="AB199" s="31" t="str">
        <x:v>Contreras had 2 hits, so 2+ TB cleared at minimum. TB expression worked.</x:v>
      </x:c>
    </x:row>
    <x:row r="200">
      <x:c r="A200" s="79" t="str">
        <x:v>2026-09-02</x:v>
      </x:c>
      <x:c r="B200" s="31" t="str">
        <x:v>P02-017</x:v>
      </x:c>
      <x:c r="C200" s="31" t="str">
        <x:v>S02-R06</x:v>
      </x:c>
      <x:c r="D200" s="31" t="str">
        <x:v>PAPER</x:v>
      </x:c>
      <x:c r="E200" s="31" t="str">
        <x:v>MLB</x:v>
      </x:c>
      <x:c r="F200" s="31" t="str">
        <x:v>MIL @ CHC</x:v>
      </x:c>
      <x:c r="G200" s="31" t="str">
        <x:v>William Contreras</x:v>
      </x:c>
      <x:c r="H200" s="31" t="str">
        <x:v>H+R+RBI</x:v>
      </x:c>
      <x:c r="I200" s="31" t="str">
        <x:v>2+ H+R+RBI</x:v>
      </x:c>
      <x:c r="J200" s="80" t="n">
        <x:v>-138</x:v>
      </x:c>
      <x:c r="K200" s="31" t="str">
        <x:v>HYBRID</x:v>
      </x:c>
      <x:c r="L200" s="31" t="str">
        <x:v>A-</x:v>
      </x:c>
      <x:c r="M200" s="31" t="str">
        <x:v>Paired composite arm versus TB +116.</x:v>
      </x:c>
      <x:c r="N200" s="31" t="str">
        <x:v>N</x:v>
      </x:c>
      <x:c r="O200" s="31" t="str">
        <x:v>Win</x:v>
      </x:c>
      <x:c r="P200" s="31" t="n">
        <x:v>1</x:v>
      </x:c>
      <x:c r="Q200" s="33" t="n">
        <x:v>4</x:v>
      </x:c>
      <x:c r="R200" s="33" t="n">
        <x:v>1.7246376811594204</x:v>
      </x:c>
      <x:c r="S200" s="31" t="n">
        <x:v>0.7246376811594204</x:v>
      </x:c>
      <x:c r="T200" s="32" t="str"/>
      <x:c r="U200" s="31" t="str">
        <x:v>DK exact market supplied 13:50 ET.</x:v>
      </x:c>
      <x:c r="V200" s="31" t="str">
        <x:v>ALT_MARKET_TEST</x:v>
      </x:c>
      <x:c r="W200" s="31" t="str">
        <x:v>EXP-03</x:v>
      </x:c>
      <x:c r="X200" s="31" t="str">
        <x:v>HRR ARM</x:v>
      </x:c>
      <x:c r="Y200" s="31" t="str">
        <x:v>P02-016</x:v>
      </x:c>
      <x:c r="Z200" s="31" t="str">
        <x:v>Multiple involvement paths may justify the juice versus requiring two bases.</x:v>
      </x:c>
      <x:c r="AA200" s="31" t="str">
        <x:v>Two bases clear with no run/RBI, making TB the better conversion.</x:v>
      </x:c>
      <x:c r="AB200" s="31" t="str">
        <x:v>Contreras produced 2 H + 1 R + 1 RBI = 4 HRR. Composite also cleared comfortably.</x:v>
      </x:c>
    </x:row>
    <x:row r="201">
      <x:c r="A201" s="79" t="str">
        <x:v>2026-09-02</x:v>
      </x:c>
      <x:c r="B201" s="31" t="str">
        <x:v>P02-018</x:v>
      </x:c>
      <x:c r="C201" s="31" t="str">
        <x:v>S02-R06</x:v>
      </x:c>
      <x:c r="D201" s="31" t="str">
        <x:v>PAPER</x:v>
      </x:c>
      <x:c r="E201" s="31" t="str">
        <x:v>MLB</x:v>
      </x:c>
      <x:c r="F201" s="31" t="str">
        <x:v>MIL @ CHC</x:v>
      </x:c>
      <x:c r="G201" s="31" t="str">
        <x:v>William Contreras</x:v>
      </x:c>
      <x:c r="H201" s="31" t="str">
        <x:v>Home Run</x:v>
      </x:c>
      <x:c r="I201" s="31" t="str">
        <x:v>1+ home run</x:v>
      </x:c>
      <x:c r="J201" s="80" t="n">
        <x:v>481</x:v>
      </x:c>
      <x:c r="K201" s="31" t="str">
        <x:v>HYBRID</x:v>
      </x:c>
      <x:c r="L201" s="31" t="str">
        <x:v>B</x:v>
      </x:c>
      <x:c r="M201" s="31" t="str">
        <x:v>Independent HR sources also like Contreras; high-price HR arm.</x:v>
      </x:c>
      <x:c r="N201" s="31" t="str">
        <x:v>N</x:v>
      </x:c>
      <x:c r="O201" s="31" t="str">
        <x:v>Loss</x:v>
      </x:c>
      <x:c r="P201" s="31" t="n">
        <x:v>0</x:v>
      </x:c>
      <x:c r="Q201" s="33" t="n">
        <x:v>0</x:v>
      </x:c>
      <x:c r="R201" s="33" t="n">
        <x:v>0</x:v>
      </x:c>
      <x:c r="S201" s="31" t="n">
        <x:v>-1</x:v>
      </x:c>
      <x:c r="T201" s="32" t="str"/>
      <x:c r="U201" s="31" t="str">
        <x:v>DK exact HR price supplied 13:49 ET.</x:v>
      </x:c>
      <x:c r="V201" s="31" t="str">
        <x:v>HYPOTHESIS_TEST</x:v>
      </x:c>
      <x:c r="W201" s="31" t="str">
        <x:v>EXP-16</x:v>
      </x:c>
      <x:c r="X201" s="31" t="str">
        <x:v>HR ARM</x:v>
      </x:c>
      <x:c r="Y201" s="31" t="str">
        <x:v>P02-016</x:v>
      </x:c>
      <x:c r="Z201" s="31" t="str">
        <x:v>Pitcher/platoon contact profile may create enough lift for a long HR price.</x:v>
      </x:c>
      <x:c r="AA201" s="31" t="str">
        <x:v>Good offensive game without HR shows broad-edge thesis should remain TB/HRR.</x:v>
      </x:c>
      <x:c r="AB201" s="31" t="str">
        <x:v>Contreras did not homer despite a productive offensive game. Supports broader TB/HRR over HR when thesis is general involvement.</x:v>
      </x:c>
    </x:row>
    <x:row r="202">
      <x:c r="A202" s="79" t="str">
        <x:v>2026-09-02</x:v>
      </x:c>
      <x:c r="B202" s="31" t="str">
        <x:v>P02-019</x:v>
      </x:c>
      <x:c r="C202" s="31" t="str">
        <x:v>S02-R07</x:v>
      </x:c>
      <x:c r="D202" s="31" t="str">
        <x:v>PAPER</x:v>
      </x:c>
      <x:c r="E202" s="31" t="str">
        <x:v>MLB</x:v>
      </x:c>
      <x:c r="F202" s="31" t="str">
        <x:v>CHW @ HOU</x:v>
      </x:c>
      <x:c r="G202" s="31" t="str">
        <x:v>Isaac Paredes</x:v>
      </x:c>
      <x:c r="H202" s="31" t="str">
        <x:v>H+R+RBI</x:v>
      </x:c>
      <x:c r="I202" s="31" t="str">
        <x:v>2+ H+R+RBI</x:v>
      </x:c>
      <x:c r="J202" s="80" t="n">
        <x:v>-116</x:v>
      </x:c>
      <x:c r="K202" s="31" t="str">
        <x:v>SOURCED</x:v>
      </x:c>
      <x:c r="L202" s="31" t="str">
        <x:v>A-</x:v>
      </x:c>
      <x:c r="M202" s="31" t="str">
        <x:v>Source best-bet thesis is explicitly broad involvement.</x:v>
      </x:c>
      <x:c r="N202" s="31" t="str">
        <x:v>N</x:v>
      </x:c>
      <x:c r="O202" s="31" t="str">
        <x:v>Win</x:v>
      </x:c>
      <x:c r="P202" s="31" t="n">
        <x:v>1</x:v>
      </x:c>
      <x:c r="Q202" s="33" t="n">
        <x:v>2</x:v>
      </x:c>
      <x:c r="R202" s="33" t="n">
        <x:v>1.8620689655172413</x:v>
      </x:c>
      <x:c r="S202" s="31" t="n">
        <x:v>0.8620689655172413</x:v>
      </x:c>
      <x:c r="T202" s="32" t="str"/>
      <x:c r="U202" s="31" t="str">
        <x:v>DK exact market supplied 13:52 ET.</x:v>
      </x:c>
      <x:c r="V202" s="31" t="str">
        <x:v>ALT_MARKET_TEST</x:v>
      </x:c>
      <x:c r="W202" s="31" t="str">
        <x:v>EXP-03</x:v>
      </x:c>
      <x:c r="X202" s="31" t="str">
        <x:v>HRR ARM</x:v>
      </x:c>
      <x:c r="Y202" s="31" t="str"/>
      <x:c r="Z202" s="31" t="str">
        <x:v>Home RHP matchup creates multiple ways to reach two combined events.</x:v>
      </x:c>
      <x:c r="AA202" s="31" t="str">
        <x:v>He records extra bases but no run/RBI support, exposing composite sequencing dependence.</x:v>
      </x:c>
      <x:c r="AB202" s="31" t="str">
        <x:v>Paredes had 1 hit and 1 run = 2 HRR. Composite won even though 2+ TB failed.</x:v>
      </x:c>
    </x:row>
    <x:row r="203">
      <x:c r="A203" s="79" t="str">
        <x:v>2026-09-02</x:v>
      </x:c>
      <x:c r="B203" s="31" t="str">
        <x:v>P02-020</x:v>
      </x:c>
      <x:c r="C203" s="31" t="str">
        <x:v>S02-R07</x:v>
      </x:c>
      <x:c r="D203" s="31" t="str">
        <x:v>PAPER</x:v>
      </x:c>
      <x:c r="E203" s="31" t="str">
        <x:v>MLB</x:v>
      </x:c>
      <x:c r="F203" s="31" t="str">
        <x:v>CHW @ HOU</x:v>
      </x:c>
      <x:c r="G203" s="31" t="str">
        <x:v>Isaac Paredes</x:v>
      </x:c>
      <x:c r="H203" s="31" t="str">
        <x:v>Total Bases</x:v>
      </x:c>
      <x:c r="I203" s="31" t="str">
        <x:v>2+ total bases</x:v>
      </x:c>
      <x:c r="J203" s="80" t="n">
        <x:v>138</x:v>
      </x:c>
      <x:c r="K203" s="31" t="str">
        <x:v>HYBRID</x:v>
      </x:c>
      <x:c r="L203" s="31" t="str">
        <x:v>B+</x:v>
      </x:c>
      <x:c r="M203" s="31" t="str">
        <x:v>Plus-money challenger to the sourced HRR market.</x:v>
      </x:c>
      <x:c r="N203" s="31" t="str">
        <x:v>N</x:v>
      </x:c>
      <x:c r="O203" s="31" t="str">
        <x:v>Loss</x:v>
      </x:c>
      <x:c r="P203" s="31" t="n">
        <x:v>0</x:v>
      </x:c>
      <x:c r="Q203" s="33" t="n">
        <x:v>1</x:v>
      </x:c>
      <x:c r="R203" s="33" t="n">
        <x:v>0</x:v>
      </x:c>
      <x:c r="S203" s="31" t="n">
        <x:v>-1</x:v>
      </x:c>
      <x:c r="T203" s="32" t="str"/>
      <x:c r="U203" s="31" t="str">
        <x:v>DK exact market supplied 13:51 ET.</x:v>
      </x:c>
      <x:c r="V203" s="31" t="str">
        <x:v>ALT_MARKET_TEST</x:v>
      </x:c>
      <x:c r="W203" s="31" t="str">
        <x:v>EXP-03</x:v>
      </x:c>
      <x:c r="X203" s="31" t="str">
        <x:v>TB ARM</x:v>
      </x:c>
      <x:c r="Y203" s="31" t="str">
        <x:v>P02-019</x:v>
      </x:c>
      <x:c r="Z203" s="31" t="str">
        <x:v>If the matchup is truly about hard contact, TB can beat HRR despite narrower paths.</x:v>
      </x:c>
      <x:c r="AA203" s="31" t="str">
        <x:v>Walk/run/RBI involvement clears HRR while TB remains below two.</x:v>
      </x:c>
      <x:c r="AB203" s="31" t="str">
        <x:v>Paredes had one single = 1 TB. Clean paired win for HRR over TB on this observation.</x:v>
      </x:c>
    </x:row>
    <x:row r="204">
      <x:c r="A204" s="79" t="str">
        <x:v>2026-09-02</x:v>
      </x:c>
      <x:c r="B204" s="31" t="str">
        <x:v>P02-021</x:v>
      </x:c>
      <x:c r="C204" s="31" t="str">
        <x:v>S02-R08</x:v>
      </x:c>
      <x:c r="D204" s="31" t="str">
        <x:v>PAPER</x:v>
      </x:c>
      <x:c r="E204" s="31" t="str">
        <x:v>MLB</x:v>
      </x:c>
      <x:c r="F204" s="31" t="str">
        <x:v>ATH @ TEX</x:v>
      </x:c>
      <x:c r="G204" s="31" t="str">
        <x:v>Lawrence Butler</x:v>
      </x:c>
      <x:c r="H204" s="31" t="str">
        <x:v>H+R+RBI</x:v>
      </x:c>
      <x:c r="I204" s="31" t="str">
        <x:v>2+ H+R+RBI</x:v>
      </x:c>
      <x:c r="J204" s="80" t="n">
        <x:v>108</x:v>
      </x:c>
      <x:c r="K204" s="31" t="str">
        <x:v>HYBRID</x:v>
      </x:c>
      <x:c r="L204" s="31" t="str">
        <x:v>A-</x:v>
      </x:c>
      <x:c r="M204" s="31" t="str">
        <x:v>Natural plus-money composite and source trend support.</x:v>
      </x:c>
      <x:c r="N204" s="31" t="str">
        <x:v>N</x:v>
      </x:c>
      <x:c r="O204" s="31" t="str">
        <x:v>Loss</x:v>
      </x:c>
      <x:c r="P204" s="31" t="n">
        <x:v>0</x:v>
      </x:c>
      <x:c r="Q204" s="33" t="n">
        <x:v>1</x:v>
      </x:c>
      <x:c r="R204" s="33" t="n">
        <x:v>0</x:v>
      </x:c>
      <x:c r="S204" s="31" t="n">
        <x:v>-1</x:v>
      </x:c>
      <x:c r="T204" s="32" t="str"/>
      <x:c r="U204" s="31" t="str">
        <x:v>DK exact market supplied 13:55 ET; game 2:35 ET.</x:v>
      </x:c>
      <x:c r="V204" s="31" t="str">
        <x:v>ALT_MARKET_TEST</x:v>
      </x:c>
      <x:c r="W204" s="31" t="str">
        <x:v>EXP-03</x:v>
      </x:c>
      <x:c r="X204" s="31" t="str">
        <x:v>HRR ARM</x:v>
      </x:c>
      <x:c r="Y204" s="31" t="str"/>
      <x:c r="Z204" s="31" t="str">
        <x:v>Broad involvement can monetize contact plus lineup context better than 2+ TB.</x:v>
      </x:c>
      <x:c r="AA204" s="31" t="str">
        <x:v>He gets two bases but no run/RBI, favoring TB.</x:v>
      </x:c>
      <x:c r="AB204" s="31" t="str">
        <x:v>Butler had 1 hit, 0 runs, 0 RBI = 1 HRR. Composite missed.</x:v>
      </x:c>
    </x:row>
    <x:row r="205">
      <x:c r="A205" s="79" t="str">
        <x:v>2026-09-02</x:v>
      </x:c>
      <x:c r="B205" s="31" t="str">
        <x:v>P02-022</x:v>
      </x:c>
      <x:c r="C205" s="31" t="str">
        <x:v>S02-R08</x:v>
      </x:c>
      <x:c r="D205" s="31" t="str">
        <x:v>PAPER</x:v>
      </x:c>
      <x:c r="E205" s="31" t="str">
        <x:v>MLB</x:v>
      </x:c>
      <x:c r="F205" s="31" t="str">
        <x:v>ATH @ TEX</x:v>
      </x:c>
      <x:c r="G205" s="31" t="str">
        <x:v>Lawrence Butler</x:v>
      </x:c>
      <x:c r="H205" s="31" t="str">
        <x:v>Total Bases</x:v>
      </x:c>
      <x:c r="I205" s="31" t="str">
        <x:v>2+ total bases</x:v>
      </x:c>
      <x:c r="J205" s="80" t="n">
        <x:v>153</x:v>
      </x:c>
      <x:c r="K205" s="31" t="str">
        <x:v>HYBRID</x:v>
      </x:c>
      <x:c r="L205" s="31" t="str">
        <x:v>B+</x:v>
      </x:c>
      <x:c r="M205" s="31" t="str">
        <x:v>Higher-payout TB challenger.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</x:v>
      </x:c>
      <x:c r="R205" s="33" t="n">
        <x:v>0</x:v>
      </x:c>
      <x:c r="S205" s="31" t="n">
        <x:v>-1</x:v>
      </x:c>
      <x:c r="T205" s="32" t="str"/>
      <x:c r="U205" s="31" t="str">
        <x:v>DK exact market supplied 13:55 ET.</x:v>
      </x:c>
      <x:c r="V205" s="31" t="str">
        <x:v>ALT_MARKET_TEST</x:v>
      </x:c>
      <x:c r="W205" s="31" t="str">
        <x:v>EXP-03</x:v>
      </x:c>
      <x:c r="X205" s="31" t="str">
        <x:v>TB ARM</x:v>
      </x:c>
      <x:c r="Y205" s="31" t="str">
        <x:v>P02-021</x:v>
      </x:c>
      <x:c r="Z205" s="31" t="str">
        <x:v>The contact matchup may be strong enough that plus-money TB outperforms HRR.</x:v>
      </x:c>
      <x:c r="AA205" s="31" t="str">
        <x:v>Single plus run/RBI clears HRR while TB misses.</x:v>
      </x:c>
      <x:c r="AB205" s="31" t="str">
        <x:v>Butler recorded one hit and no extra-base damage; 2+ TB lost.</x:v>
      </x:c>
    </x:row>
    <x:row r="206">
      <x:c r="A206" s="79" t="str">
        <x:v>2026-09-02</x:v>
      </x:c>
      <x:c r="B206" s="31" t="str">
        <x:v>P02-023</x:v>
      </x:c>
      <x:c r="C206" s="31" t="str">
        <x:v>S02-R09</x:v>
      </x:c>
      <x:c r="D206" s="31" t="str">
        <x:v>PAPER</x:v>
      </x:c>
      <x:c r="E206" s="31" t="str">
        <x:v>MLB</x:v>
      </x:c>
      <x:c r="F206" s="31" t="str">
        <x:v>DET @ MIN</x:v>
      </x:c>
      <x:c r="G206" s="31" t="str">
        <x:v>Gleyber Torres</x:v>
      </x:c>
      <x:c r="H206" s="31" t="str">
        <x:v>H+R+RBI</x:v>
      </x:c>
      <x:c r="I206" s="31" t="str">
        <x:v>2+ H+R+RBI</x:v>
      </x:c>
      <x:c r="J206" s="80" t="n">
        <x:v>-108</x:v>
      </x:c>
      <x:c r="K206" s="31" t="str">
        <x:v>HYBRID</x:v>
      </x:c>
      <x:c r="L206" s="31" t="str">
        <x:v>A-</x:v>
      </x:c>
      <x:c r="M206" s="31" t="str">
        <x:v>BvP/recent-form cluster with a multi-path price near even.</x:v>
      </x:c>
      <x:c r="N206" s="31" t="str">
        <x:v>N</x:v>
      </x:c>
      <x:c r="O206" s="31" t="str">
        <x:v>Void</x:v>
      </x:c>
      <x:c r="P206" s="31" t="str"/>
      <x:c r="Q206" s="33" t="str"/>
      <x:c r="R206" s="33" t="str"/>
      <x:c r="S206" s="31" t="n">
        <x:v>0</x:v>
      </x:c>
      <x:c r="T206" s="32" t="str"/>
      <x:c r="U206" s="31" t="str">
        <x:v>DK exact market supplied 13:53 ET.</x:v>
      </x:c>
      <x:c r="V206" s="31" t="str">
        <x:v>ALT_MARKET_TEST</x:v>
      </x:c>
      <x:c r="W206" s="31" t="str">
        <x:v>EXP-03</x:v>
      </x:c>
      <x:c r="X206" s="31" t="str">
        <x:v>HRR ARM</x:v>
      </x:c>
      <x:c r="Y206" s="31" t="str"/>
      <x:c r="Z206" s="31" t="str">
        <x:v>Composite should monetize broad matchup better than expensive hit or TB requirement.</x:v>
      </x:c>
      <x:c r="AA206" s="31" t="str">
        <x:v>Two total bases with no scoring context makes TB superior.</x:v>
      </x:c>
      <x:c r="AB206" s="31" t="str">
        <x:v>Gleyber Torres did not play. Paper proposition excluded from hit-rate/ROI sample.</x:v>
      </x:c>
    </x:row>
    <x:row r="207">
      <x:c r="A207" s="79" t="str">
        <x:v>2026-09-02</x:v>
      </x:c>
      <x:c r="B207" s="31" t="str">
        <x:v>P02-024</x:v>
      </x:c>
      <x:c r="C207" s="31" t="str">
        <x:v>S02-R09</x:v>
      </x:c>
      <x:c r="D207" s="31" t="str">
        <x:v>PAPER</x:v>
      </x:c>
      <x:c r="E207" s="31" t="str">
        <x:v>MLB</x:v>
      </x:c>
      <x:c r="F207" s="31" t="str">
        <x:v>DET @ MIN</x:v>
      </x:c>
      <x:c r="G207" s="31" t="str">
        <x:v>Gleyber Torres</x:v>
      </x:c>
      <x:c r="H207" s="31" t="str">
        <x:v>Total Bases</x:v>
      </x:c>
      <x:c r="I207" s="31" t="str">
        <x:v>2+ total bases</x:v>
      </x:c>
      <x:c r="J207" s="80" t="n">
        <x:v>146</x:v>
      </x:c>
      <x:c r="K207" s="31" t="str">
        <x:v>HYBRID</x:v>
      </x:c>
      <x:c r="L207" s="31" t="str">
        <x:v>B+</x:v>
      </x:c>
      <x:c r="M207" s="31" t="str">
        <x:v>Plus-money challenger to HRR -108.</x:v>
      </x:c>
      <x:c r="N207" s="31" t="str">
        <x:v>N</x:v>
      </x:c>
      <x:c r="O207" s="31" t="str">
        <x:v>Void</x:v>
      </x:c>
      <x:c r="P207" s="31" t="str"/>
      <x:c r="Q207" s="33" t="str"/>
      <x:c r="R207" s="33" t="str"/>
      <x:c r="S207" s="31" t="n">
        <x:v>0</x:v>
      </x:c>
      <x:c r="T207" s="32" t="str"/>
      <x:c r="U207" s="31" t="str">
        <x:v>DK exact market supplied 13:53 ET.</x:v>
      </x:c>
      <x:c r="V207" s="31" t="str">
        <x:v>ALT_MARKET_TEST</x:v>
      </x:c>
      <x:c r="W207" s="31" t="str">
        <x:v>EXP-03</x:v>
      </x:c>
      <x:c r="X207" s="31" t="str">
        <x:v>TB ARM</x:v>
      </x:c>
      <x:c r="Y207" s="31" t="str">
        <x:v>P02-023</x:v>
      </x:c>
      <x:c r="Z207" s="31" t="str">
        <x:v>BvP contact quality may translate specifically into bases rather than sequencing-dependent HRR.</x:v>
      </x:c>
      <x:c r="AA207" s="31" t="str">
        <x:v>One hit plus run/RBI clears HRR while TB misses.</x:v>
      </x:c>
      <x:c r="AB207" s="31" t="str">
        <x:v>Gleyber Torres did not play. Paper proposition excluded from hit-rate/ROI sample.</x:v>
      </x:c>
    </x:row>
    <x:row r="208">
      <x:c r="A208" s="79" t="str">
        <x:v>2026-09-02</x:v>
      </x:c>
      <x:c r="B208" s="31" t="str">
        <x:v>P02-025</x:v>
      </x:c>
      <x:c r="C208" s="31" t="str">
        <x:v>S02-R10</x:v>
      </x:c>
      <x:c r="D208" s="31" t="str">
        <x:v>PAPER</x:v>
      </x:c>
      <x:c r="E208" s="31" t="str">
        <x:v>MLB</x:v>
      </x:c>
      <x:c r="F208" s="31" t="str">
        <x:v>DET @ MIN</x:v>
      </x:c>
      <x:c r="G208" s="31" t="str">
        <x:v>Luke Keaschall</x:v>
      </x:c>
      <x:c r="H208" s="31" t="str">
        <x:v>Total Bases</x:v>
      </x:c>
      <x:c r="I208" s="31" t="str">
        <x:v>2+ total bases</x:v>
      </x:c>
      <x:c r="J208" s="80" t="n">
        <x:v>133</x:v>
      </x:c>
      <x:c r="K208" s="31" t="str">
        <x:v>HYBRID</x:v>
      </x:c>
      <x:c r="L208" s="31" t="str">
        <x:v>B+</x:v>
      </x:c>
      <x:c r="M208" s="31" t="str">
        <x:v>Recent TB trend gives direct market-specific motivation.</x:v>
      </x:c>
      <x:c r="N208" s="31" t="str">
        <x:v>N</x:v>
      </x:c>
      <x:c r="O208" s="31" t="str">
        <x:v>Loss</x:v>
      </x:c>
      <x:c r="P208" s="31" t="n">
        <x:v>0</x:v>
      </x:c>
      <x:c r="Q208" s="33" t="n">
        <x:v>1</x:v>
      </x:c>
      <x:c r="R208" s="33" t="n">
        <x:v>0</x:v>
      </x:c>
      <x:c r="S208" s="31" t="n">
        <x:v>-1</x:v>
      </x:c>
      <x:c r="T208" s="32" t="str"/>
      <x:c r="U208" s="31" t="str">
        <x:v>DK exact market supplied 13:53 ET.</x:v>
      </x:c>
      <x:c r="V208" s="31" t="str">
        <x:v>ALT_MARKET_TEST</x:v>
      </x:c>
      <x:c r="W208" s="31" t="str">
        <x:v>EXP-03</x:v>
      </x:c>
      <x:c r="X208" s="31" t="str">
        <x:v>TB ARM</x:v>
      </x:c>
      <x:c r="Y208" s="31" t="str"/>
      <x:c r="Z208" s="31" t="str">
        <x:v>Market-specific recent TB production can justify plus-money TB over broad composite.</x:v>
      </x:c>
      <x:c r="AA208" s="31" t="str">
        <x:v>He produces run/RBI involvement without two bases.</x:v>
      </x:c>
      <x:c r="AB208" s="31" t="str">
        <x:v>Keaschall had one RBI single = 1 TB, so 2+ TB lost.</x:v>
      </x:c>
    </x:row>
    <x:row r="209">
      <x:c r="A209" s="79" t="str">
        <x:v>2026-09-02</x:v>
      </x:c>
      <x:c r="B209" s="31" t="str">
        <x:v>P02-026</x:v>
      </x:c>
      <x:c r="C209" s="31" t="str">
        <x:v>S02-R10</x:v>
      </x:c>
      <x:c r="D209" s="31" t="str">
        <x:v>PAPER</x:v>
      </x:c>
      <x:c r="E209" s="31" t="str">
        <x:v>MLB</x:v>
      </x:c>
      <x:c r="F209" s="31" t="str">
        <x:v>DET @ MIN</x:v>
      </x:c>
      <x:c r="G209" s="31" t="str">
        <x:v>Luke Keaschall</x:v>
      </x:c>
      <x:c r="H209" s="31" t="str">
        <x:v>H+R+RBI</x:v>
      </x:c>
      <x:c r="I209" s="31" t="str">
        <x:v>2+ H+R+RBI</x:v>
      </x:c>
      <x:c r="J209" s="80" t="n">
        <x:v>-126</x:v>
      </x:c>
      <x:c r="K209" s="31" t="str">
        <x:v>HYBRID</x:v>
      </x:c>
      <x:c r="L209" s="31" t="str">
        <x:v>B+</x:v>
      </x:c>
      <x:c r="M209" s="31" t="str">
        <x:v>Safer composite control against TB +133.</x:v>
      </x:c>
      <x:c r="N209" s="31" t="str">
        <x:v>N</x:v>
      </x:c>
      <x:c r="O209" s="31" t="str">
        <x:v>Win</x:v>
      </x:c>
      <x:c r="P209" s="31" t="n">
        <x:v>1</x:v>
      </x:c>
      <x:c r="Q209" s="33" t="n">
        <x:v>2</x:v>
      </x:c>
      <x:c r="R209" s="33" t="n">
        <x:v>1.7936507936507935</x:v>
      </x:c>
      <x:c r="S209" s="31" t="n">
        <x:v>0.7936507936507935</x:v>
      </x:c>
      <x:c r="T209" s="32" t="str"/>
      <x:c r="U209" s="31" t="str">
        <x:v>DK exact market supplied 13:53 ET.</x:v>
      </x:c>
      <x:c r="V209" s="31" t="str">
        <x:v>ALT_MARKET_TEST</x:v>
      </x:c>
      <x:c r="W209" s="31" t="str">
        <x:v>EXP-03</x:v>
      </x:c>
      <x:c r="X209" s="31" t="str">
        <x:v>HRR ARM</x:v>
      </x:c>
      <x:c r="Y209" s="31" t="str">
        <x:v>P02-025</x:v>
      </x:c>
      <x:c r="Z209" s="31" t="str">
        <x:v>Broader paths may reduce threshold misses enough to justify the juice.</x:v>
      </x:c>
      <x:c r="AA209" s="31" t="str">
        <x:v>TB clears while composite stalls below two.</x:v>
      </x:c>
      <x:c r="AB209" s="31" t="str">
        <x:v>Keaschall had 1 hit + 1 RBI = 2 HRR. Another paired win for HRR over TB.</x:v>
      </x:c>
    </x:row>
    <x:row r="210">
      <x:c r="A210" s="79" t="str">
        <x:v>2026-09-02</x:v>
      </x:c>
      <x:c r="B210" s="31" t="str">
        <x:v>P02-027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Promo Control</x:v>
      </x:c>
      <x:c r="I210" s="31" t="str">
        <x:v>2+ total bases +101 (unboosted control)</x:v>
      </x:c>
      <x:c r="J210" s="80" t="n">
        <x:v>101</x:v>
      </x:c>
      <x:c r="K210" s="31" t="str">
        <x:v>HYBRID</x:v>
      </x:c>
      <x:c r="L210" s="31" t="str">
        <x:v>A</x:v>
      </x:c>
      <x:c r="M210" s="31" t="str">
        <x:v>Same real proposition without the 50% profit boost isolates promo contribution.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Real plan uses 50% any-sport boost if lineup/price hold.</x:v>
      </x:c>
      <x:c r="V210" s="31" t="str">
        <x:v>PROMO_CONTROL</x:v>
      </x:c>
      <x:c r="W210" s="31" t="str">
        <x:v>EXP-24</x:v>
      </x:c>
      <x:c r="X210" s="31" t="str">
        <x:v>UNBOOSTED NATURAL +100 ARM</x:v>
      </x:c>
      <x:c r="Y210" s="31" t="str">
        <x:v>S02-R03</x:v>
      </x:c>
      <x:c r="Z210" s="31" t="str">
        <x:v>A naturally qualifying +100 edge should retain positive economics before the boost; the promo should amplify rather than rescue it.</x:v>
      </x:c>
      <x:c r="AA210" s="31" t="str">
        <x:v>Unboosted economics are poor enough that only the boost creates apparent value.</x:v>
      </x:c>
      <x:c r="AB210" s="31" t="str">
        <x:v>Unboosted Caminero 2+ TB control lost with the real boosted version. Promo amplified payout only; it did not rescue the underlying proposition.</x:v>
      </x:c>
    </x:row>
    <x:row r="211">
      <x:c r="A211" s="79" t="str">
        <x:v>2026-09-02</x:v>
      </x:c>
      <x:c r="B211" s="31" t="str">
        <x:v>P02-028</x:v>
      </x:c>
      <x:c r="C211" s="31" t="str"/>
      <x:c r="D211" s="31" t="str">
        <x:v>PAPER</x:v>
      </x:c>
      <x:c r="E211" s="31" t="str">
        <x:v>MLB</x:v>
      </x:c>
      <x:c r="F211" s="31" t="str">
        <x:v>CHW @ HOU</x:v>
      </x:c>
      <x:c r="G211" s="31" t="str">
        <x:v>Yordan Alvarez</x:v>
      </x:c>
      <x:c r="H211" s="31" t="str">
        <x:v>Home Run</x:v>
      </x:c>
      <x:c r="I211" s="31" t="str">
        <x:v>1+ home run</x:v>
      </x:c>
      <x:c r="J211" s="80" t="n">
        <x:v>296</x:v>
      </x:c>
      <x:c r="K211" s="31" t="str">
        <x:v>HYBRID</x:v>
      </x:c>
      <x:c r="L211" s="31" t="str">
        <x:v>A-</x:v>
      </x:c>
      <x:c r="M211" s="31" t="str">
        <x:v>Top HR source/model candidate and potential Grand Slam qualifier.</x:v>
      </x:c>
      <x:c r="N211" s="31" t="str">
        <x:v>N</x:v>
      </x:c>
      <x:c r="O211" s="31" t="str">
        <x:v>Loss</x:v>
      </x:c>
      <x:c r="P211" s="31" t="n">
        <x:v>0</x:v>
      </x:c>
      <x:c r="Q211" s="33" t="n">
        <x:v>0</x:v>
      </x:c>
      <x:c r="R211" s="33" t="n">
        <x:v>0</x:v>
      </x:c>
      <x:c r="S211" s="31" t="n">
        <x:v>-1</x:v>
      </x:c>
      <x:c r="T211" s="32" t="str"/>
      <x:c r="U211" s="31" t="str">
        <x:v>DK exact HR price supplied 13:51 ET.</x:v>
      </x:c>
      <x:c r="V211" s="31" t="str">
        <x:v>PROMO_ECONOMICS_TEST</x:v>
      </x:c>
      <x:c r="W211" s="31" t="str">
        <x:v>EXP-25</x:v>
      </x:c>
      <x:c r="X211" s="31" t="str">
        <x:v>GRAND SLAM HR ARM</x:v>
      </x:c>
      <x:c r="Y211" s="31" t="str"/>
      <x:c r="Z211" s="31" t="str">
        <x:v>A Grand Slam qualifier should only be considered when the base HR bet independently grades well; Yordan is the cleanest current example.</x:v>
      </x:c>
      <x:c r="AA211" s="31" t="str">
        <x:v>The HR thesis is not strong enough at market price or bankroll cost overwhelms the uncertain jackpot overlay.</x:v>
      </x:c>
      <x:c r="AB211" s="31" t="str">
        <x:v>Yordan produced 3 TB but no HR. Good offensive thesis, wrong high-variance HR expression for this outcome.</x:v>
      </x:c>
    </x:row>
    <x:row r="212">
      <x:c r="A212" s="79" t="str">
        <x:v>2026-09-02</x:v>
      </x:c>
      <x:c r="B212" s="31" t="str">
        <x:v>P02-029</x:v>
      </x:c>
      <x:c r="C212" s="31" t="str"/>
      <x:c r="D212" s="31" t="str">
        <x:v>PAPER</x:v>
      </x:c>
      <x:c r="E212" s="31" t="str">
        <x:v>MLB</x:v>
      </x:c>
      <x:c r="F212" s="31" t="str">
        <x:v>SF @ PIT</x:v>
      </x:c>
      <x:c r="G212" s="31" t="str">
        <x:v>Rafael Devers</x:v>
      </x:c>
      <x:c r="H212" s="31" t="str">
        <x:v>Home Run</x:v>
      </x:c>
      <x:c r="I212" s="31" t="str">
        <x:v>1+ home run</x:v>
      </x:c>
      <x:c r="J212" s="80" t="n">
        <x:v>403</x:v>
      </x:c>
      <x:c r="K212" s="31" t="str">
        <x:v>HYBRID</x:v>
      </x:c>
      <x:c r="L212" s="31" t="str">
        <x:v>B+</x:v>
      </x:c>
      <x:c r="M212" s="31" t="str">
        <x:v>Multiple source signals plus long HR price; qualifier challenger.</x:v>
      </x:c>
      <x:c r="N212" s="31" t="str">
        <x:v>N</x:v>
      </x:c>
      <x:c r="O212" s="31" t="str">
        <x:v>Win</x:v>
      </x:c>
      <x:c r="P212" s="31" t="n">
        <x:v>1</x:v>
      </x:c>
      <x:c r="Q212" s="33" t="n">
        <x:v>1</x:v>
      </x:c>
      <x:c r="R212" s="33" t="n">
        <x:v>5.03</x:v>
      </x:c>
      <x:c r="S212" s="31" t="n">
        <x:v>4.03</x:v>
      </x:c>
      <x:c r="T212" s="32" t="str"/>
      <x:c r="U212" s="31" t="str">
        <x:v>DK exact HR price supplied 13:45 ET.</x:v>
      </x:c>
      <x:c r="V212" s="31" t="str">
        <x:v>PROMO_ECONOMICS_TEST</x:v>
      </x:c>
      <x:c r="W212" s="31" t="str">
        <x:v>EXP-25</x:v>
      </x:c>
      <x:c r="X212" s="31" t="str">
        <x:v>GRAND SLAM HR CHALLENGER</x:v>
      </x:c>
      <x:c r="Y212" s="31" t="str"/>
      <x:c r="Z212" s="31" t="str">
        <x:v>Longer HR price can improve base-bet economics if matchup power survives independent adjustment.</x:v>
      </x:c>
      <x:c r="AA212" s="31" t="str">
        <x:v>Underlying matchup does not justify the raw long-shot price.</x:v>
      </x:c>
      <x:c r="AB212" s="31" t="str">
        <x:v>Devers homered in the first inning. Base HR challenger won; however the homer was not a grand slam, so the Grand Slam promo still would not have paid.</x:v>
      </x:c>
    </x:row>
    <x:row r="213">
      <x:c r="A213" s="79" t="str">
        <x:v>2026-09-02</x:v>
      </x:c>
      <x:c r="B213" s="31" t="str">
        <x:v>P02-030</x:v>
      </x:c>
      <x:c r="C213" s="31" t="str"/>
      <x:c r="D213" s="31" t="str">
        <x:v>PAPER</x:v>
      </x:c>
      <x:c r="E213" s="31" t="str">
        <x:v>MLB</x:v>
      </x:c>
      <x:c r="F213" s="31" t="str">
        <x:v>MIL @ CHC</x:v>
      </x:c>
      <x:c r="G213" s="31" t="str">
        <x:v>Pete Crow-Armstrong</x:v>
      </x:c>
      <x:c r="H213" s="31" t="str">
        <x:v>Home Run</x:v>
      </x:c>
      <x:c r="I213" s="31" t="str">
        <x:v>1+ home run</x:v>
      </x:c>
      <x:c r="J213" s="80" t="n">
        <x:v>340</x:v>
      </x:c>
      <x:c r="K213" s="31" t="str">
        <x:v>SOURCED</x:v>
      </x:c>
      <x:c r="L213" s="31" t="str">
        <x:v>B</x:v>
      </x:c>
      <x:c r="M213" s="31" t="str">
        <x:v>HR source candidate but directly conflicts with Misiorowski dominance thesis.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PORTFOLIO_CONFLICT_TEST</x:v>
      </x:c>
      <x:c r="W213" s="31" t="str">
        <x:v>EXP-25</x:v>
      </x:c>
      <x:c r="X213" s="31" t="str">
        <x:v>CONFLICTING HR ARM</x:v>
      </x:c>
      <x:c r="Y213" s="31" t="str">
        <x:v>S02-R01</x:v>
      </x:c>
      <x:c r="Z213" s="31" t="str">
        <x:v>Even a qualified HR price should be downgraded when it directly opposes a higher-ranked pitcher thesis.</x:v>
      </x:c>
      <x:c r="AA213" s="31" t="str">
        <x:v>PCA HR wins while Misiorowski still clears outs, showing conflict may be less severe than assumed.</x:v>
      </x:c>
      <x:c r="AB213" s="31" t="str">
        <x:v>PCA did not homer. The portfolio-conflict arm lost while Misiorowski also lost; avoiding conflict did not matter to realized result.</x:v>
      </x:c>
    </x:row>
    <x:row r="214">
      <x:c r="A214" s="79" t="str">
        <x:v>2026-09-02</x:v>
      </x:c>
      <x:c r="B214" s="31" t="str">
        <x:v>P02-031</x:v>
      </x:c>
      <x:c r="C214" s="31" t="str">
        <x:v>S02-R01;S02-R02</x:v>
      </x:c>
      <x:c r="D214" s="31" t="str">
        <x:v>PAPER</x:v>
      </x:c>
      <x:c r="E214" s="31" t="str">
        <x:v>MLB</x:v>
      </x:c>
      <x:c r="F214" s="31" t="str">
        <x:v>2-game pair</x:v>
      </x:c>
      <x:c r="G214" s="31" t="str">
        <x:v>Misiorowski + Cease</x:v>
      </x:c>
      <x:c r="H214" s="31" t="str">
        <x:v>2-leg pitcher pair</x:v>
      </x:c>
      <x:c r="I214" s="31" t="str">
        <x:v>Misiorowski O17.5 outs + Cease 7+ K</x:v>
      </x:c>
      <x:c r="J214" s="80" t="str"/>
      <x:c r="K214" s="31" t="str">
        <x:v>HYBRID</x:v>
      </x:c>
      <x:c r="L214" s="31" t="str">
        <x:v>A</x:v>
      </x:c>
      <x:c r="M214" s="31" t="str">
        <x:v>Two top independently qualified pitcher singles packaged as a control.</x:v>
      </x:c>
      <x:c r="N214" s="31" t="str">
        <x:v>N</x:v>
      </x:c>
      <x:c r="O214" s="31" t="str">
        <x:v>Loss</x:v>
      </x:c>
      <x:c r="P214" s="31" t="n">
        <x:v>0</x:v>
      </x:c>
      <x:c r="Q214" s="33" t="str"/>
      <x:c r="R214" s="33" t="n">
        <x:v>0</x:v>
      </x:c>
      <x:c r="S214" s="31" t="str"/>
      <x:c r="T214" s="32" t="str"/>
      <x:c r="U214" s="31" t="str">
        <x:v>Combined price not captured; do not fabricate.</x:v>
      </x:c>
      <x:c r="V214" s="31" t="str">
        <x:v>CONSTRUCTION_TEST</x:v>
      </x:c>
      <x:c r="W214" s="31" t="str">
        <x:v>EXP-20</x:v>
      </x:c>
      <x:c r="X214" s="31" t="str">
        <x:v>2-LEG PAIR ARM</x:v>
      </x:c>
      <x:c r="Y214" s="31" t="str">
        <x:v>S02-R01;S02-R02</x:v>
      </x:c>
      <x:c r="Z214" s="31" t="str">
        <x:v>If both singles are truly A-tier, packaging them should not outperform the lower-variance standalone allocation over time.</x:v>
      </x:c>
      <x:c r="AA214" s="31" t="str">
        <x:v>One leg miss wipes ticket while the other single wins, reinforcing singles preference.</x:v>
      </x:c>
      <x:c r="AB214" s="31" t="str">
        <x:v>Two-leg Misiorowski outs + Cease 7+ K control lost because both real components lost.</x:v>
      </x:c>
    </x:row>
    <x:row r="215">
      <x:c r="A215" s="79" t="str">
        <x:v>2026-09-02</x:v>
      </x:c>
      <x:c r="B215" s="31" t="str">
        <x:v>P02-032</x:v>
      </x:c>
      <x:c r="C215" s="31" t="str">
        <x:v>S02-R01;S02-R02;S02-R03</x:v>
      </x:c>
      <x:c r="D215" s="31" t="str">
        <x:v>PAPER</x:v>
      </x:c>
      <x:c r="E215" s="31" t="str">
        <x:v>MLB</x:v>
      </x:c>
      <x:c r="F215" s="31" t="str">
        <x:v>3-game parlay</x:v>
      </x:c>
      <x:c r="G215" s="31" t="str">
        <x:v>Misiorowski + Cease + Caminero</x:v>
      </x:c>
      <x:c r="H215" s="31" t="str">
        <x:v>3-leg mixed parlay</x:v>
      </x:c>
      <x:c r="I215" s="31" t="str">
        <x:v>Misiorowski O17.5 outs + Cease 7+ K + Caminero 2+ TB</x:v>
      </x:c>
      <x:c r="J215" s="80" t="str"/>
      <x:c r="K215" s="31" t="str">
        <x:v>HYBRID</x:v>
      </x:c>
      <x:c r="L215" s="31" t="str">
        <x:v>A-</x:v>
      </x:c>
      <x:c r="M215" s="31" t="str">
        <x:v>Best current real candidates packaged strictly as a construction control.</x:v>
      </x:c>
      <x:c r="N215" s="31" t="str">
        <x:v>N</x:v>
      </x:c>
      <x:c r="O215" s="31" t="str">
        <x:v>Loss</x:v>
      </x:c>
      <x:c r="P215" s="31" t="n">
        <x:v>0</x:v>
      </x:c>
      <x:c r="Q215" s="33" t="str"/>
      <x:c r="R215" s="33" t="n">
        <x:v>0</x:v>
      </x:c>
      <x:c r="S215" s="31" t="str"/>
      <x:c r="T215" s="32" t="str"/>
      <x:c r="U215" s="31" t="str">
        <x:v>No real-money recommendation; combined odds not captured.</x:v>
      </x:c>
      <x:c r="V215" s="31" t="str">
        <x:v>CONSTRUCTION_TEST</x:v>
      </x:c>
      <x:c r="W215" s="31" t="str">
        <x:v>EXP-09</x:v>
      </x:c>
      <x:c r="X215" s="31" t="str">
        <x:v>3-LEG TOP-CANDIDATE ARM</x:v>
      </x:c>
      <x:c r="Y215" s="31" t="str">
        <x:v>P02-031</x:v>
      </x:c>
      <x:c r="Z215" s="31" t="str">
        <x:v>Even top legs may lose economic efficiency when forced into a 3-leg ticket.</x:v>
      </x:c>
      <x:c r="AA215" s="31" t="str">
        <x:v>Any single miss destroys ticket while standalone real card remains partially profitable.</x:v>
      </x:c>
      <x:c r="AB215" s="31" t="str">
        <x:v>Three-leg Misiorowski outs + Cease 7+ K + Caminero 2+ TB control went 0/3.</x:v>
      </x:c>
    </x:row>
    <x:row r="216">
      <x:c r="A216" s="79" t="str">
        <x:v>2026-09-02</x:v>
      </x:c>
      <x:c r="B216" s="31" t="str">
        <x:v>P02-033</x:v>
      </x:c>
      <x:c r="C216" s="31" t="str">
        <x:v>S02-R13</x:v>
      </x:c>
      <x:c r="D216" s="31" t="str">
        <x:v>PAPER</x:v>
      </x:c>
      <x:c r="E216" s="31" t="str">
        <x:v>MLB</x:v>
      </x:c>
      <x:c r="F216" s="31" t="str">
        <x:v>BAL @ COL</x:v>
      </x:c>
      <x:c r="G216" s="31" t="str">
        <x:v>Pete Alonso</x:v>
      </x:c>
      <x:c r="H216" s="31" t="str">
        <x:v>Home Run</x:v>
      </x:c>
      <x:c r="I216" s="31" t="str">
        <x:v>1+ home run — raw control</x:v>
      </x:c>
      <x:c r="J216" s="80" t="n">
        <x:v>251</x:v>
      </x:c>
      <x:c r="K216" s="31" t="str">
        <x:v>HYBRID</x:v>
      </x:c>
      <x:c r="L216" s="31" t="str">
        <x:v>A-</x:v>
      </x:c>
      <x:c r="M216" s="31" t="str">
        <x:v>Unboosted control isolates the incremental value of the 50% HR promo.</x:v>
      </x:c>
      <x:c r="N216" s="31" t="str">
        <x:v>Y</x:v>
      </x:c>
      <x:c r="O216" s="31" t="str">
        <x:v>Loss</x:v>
      </x:c>
      <x:c r="P216" s="31" t="n">
        <x:v>0</x:v>
      </x:c>
      <x:c r="Q216" s="33" t="n">
        <x:v>0</x:v>
      </x:c>
      <x:c r="R216" s="33" t="n">
        <x:v>0</x:v>
      </x:c>
      <x:c r="S216" s="31" t="n">
        <x:v>-1</x:v>
      </x:c>
      <x:c r="T216" s="32" t="str"/>
      <x:c r="U216" s="31" t="str">
        <x:v>Real ticket used +377 boosted price; raw market was +251.</x:v>
      </x:c>
      <x:c r="V216" s="31" t="str">
        <x:v>PROMO_CONTROL</x:v>
      </x:c>
      <x:c r="W216" s="31" t="str">
        <x:v>EXP-16</x:v>
      </x:c>
      <x:c r="X216" s="31" t="str">
        <x:v>UNBOOSTED HR ARM</x:v>
      </x:c>
      <x:c r="Y216" s="31" t="str">
        <x:v>S02-R13</x:v>
      </x:c>
      <x:c r="Z216" s="31" t="str">
        <x:v>If Alonso is a legitimate HR edge before the promo, raw +251 should remain defensible; boost should amplify rather than create the thesis.</x:v>
      </x:c>
      <x:c r="AA216" s="31" t="str">
        <x:v>If the raw matchup grade is weak relative to market, the promo is masking a poor underlying HR selection.</x:v>
      </x:c>
      <x:c r="AB216" s="31" t="str">
        <x:v>Alonso raw HR control lost. The 50% boost improved economics but the base HR proposition still failed.</x:v>
      </x:c>
    </x:row>
    <x:row r="217">
      <x:c r="A217" s="79" t="str">
        <x:v>2026-09-02</x:v>
      </x:c>
      <x:c r="B217" s="31" t="str">
        <x:v>P02-034</x:v>
      </x:c>
      <x:c r="C217" s="31" t="str"/>
      <x:c r="D217" s="31" t="str">
        <x:v>PAPER</x:v>
      </x:c>
      <x:c r="E217" s="31" t="str">
        <x:v>MLB</x:v>
      </x:c>
      <x:c r="F217" s="31" t="str">
        <x:v>BAL @ COL</x:v>
      </x:c>
      <x:c r="G217" s="31" t="str">
        <x:v>Hunter Goodman</x:v>
      </x:c>
      <x:c r="H217" s="31" t="str">
        <x:v>Home Run</x:v>
      </x:c>
      <x:c r="I217" s="31" t="str">
        <x:v>1+ home run</x:v>
      </x:c>
      <x:c r="J217" s="80" t="n">
        <x:v>273</x:v>
      </x:c>
      <x:c r="K217" s="31" t="str">
        <x:v>HYBRID</x:v>
      </x:c>
      <x:c r="L217" s="31" t="str">
        <x:v>A-</x:v>
      </x:c>
      <x:c r="M217" s="31" t="str">
        <x:v>Runner-up in eligible 2–4 PM HR audit; same Coors environment but different opponent/pitcher mechanism.</x:v>
      </x:c>
      <x:c r="N217" s="31" t="str">
        <x:v>N</x:v>
      </x:c>
      <x:c r="O217" s="31" t="str">
        <x:v>Loss</x:v>
      </x:c>
      <x:c r="P217" s="31" t="n">
        <x:v>0</x:v>
      </x:c>
      <x:c r="Q217" s="33" t="n">
        <x:v>0</x:v>
      </x:c>
      <x:c r="R217" s="33" t="n">
        <x:v>0</x:v>
      </x:c>
      <x:c r="S217" s="31" t="n">
        <x:v>-1</x:v>
      </x:c>
      <x:c r="T217" s="32" t="str"/>
      <x:c r="U217" s="31" t="str">
        <x:v>Exact DK +273 supplied 14:05 ET.</x:v>
      </x:c>
      <x:c r="V217" s="31" t="str">
        <x:v>PROMO_CHALLENGER</x:v>
      </x:c>
      <x:c r="W217" s="31" t="str">
        <x:v>EXP-16</x:v>
      </x:c>
      <x:c r="X217" s="31" t="str">
        <x:v>ELIGIBLE HR CHALLENGER</x:v>
      </x:c>
      <x:c r="Y217" s="31" t="str">
        <x:v>P02-033</x:v>
      </x:c>
      <x:c r="Z217" s="31" t="str">
        <x:v>Goodman's platoon/hard-contact setup may outperform the chosen Alonso HR despite slightly longer raw price.</x:v>
      </x:c>
      <x:c r="AA217" s="31" t="str">
        <x:v>Alonso clears while Goodman misses or Goodman matchup quality proves overstated relative to Rogers.</x:v>
      </x:c>
      <x:c r="AB217" s="31" t="str">
        <x:v>Goodman did not homer. Runner-up HR challenger also failed.</x:v>
      </x:c>
    </x:row>
    <x:row r="218">
      <x:c r="A218" s="79" t="str">
        <x:v>2026-09-02</x:v>
      </x:c>
      <x:c r="B218" s="31" t="str">
        <x:v>P02-035</x:v>
      </x:c>
      <x:c r="C218" s="31" t="str"/>
      <x:c r="D218" s="31" t="str">
        <x:v>PAPER</x:v>
      </x:c>
      <x:c r="E218" s="31" t="str">
        <x:v>MLB</x:v>
      </x:c>
      <x:c r="F218" s="31" t="str">
        <x:v>STL @ LAD</x:v>
      </x:c>
      <x:c r="G218" s="31" t="str">
        <x:v>Los Angeles Dodgers</x:v>
      </x:c>
      <x:c r="H218" s="31" t="str">
        <x:v>Moneyline</x:v>
      </x:c>
      <x:c r="I218" s="31" t="str">
        <x:v>LAD ML</x:v>
      </x:c>
      <x:c r="J218" s="80" t="str"/>
      <x:c r="K218" s="31" t="str">
        <x:v>SOURCED</x:v>
      </x:c>
      <x:c r="L218" s="31" t="str">
        <x:v>WATCH</x:v>
      </x:c>
      <x:c r="M218" s="31" t="str">
        <x:v>Source lists LAD as its top game pick at 67% win probability; prospectively test source calibration rather than treating 67% as fair odds.</x:v>
      </x:c>
      <x:c r="N218" s="31" t="str">
        <x:v>N</x:v>
      </x:c>
      <x:c r="O218" s="31" t="str">
        <x:v>Loss</x:v>
      </x:c>
      <x:c r="P218" s="31" t="n">
        <x:v>0</x:v>
      </x:c>
      <x:c r="Q218" s="33" t="str"/>
      <x:c r="R218" s="33" t="n">
        <x:v>0</x:v>
      </x:c>
      <x:c r="S218" s="31" t="str"/>
      <x:c r="T218" s="32" t="str"/>
      <x:c r="U218" s="31" t="str">
        <x:v>Source screenshot supplied 14:39 ET; exact DK price not provided.</x:v>
      </x:c>
      <x:c r="V218" s="31" t="str">
        <x:v>SOURCE_CALIBRATION_TEST</x:v>
      </x:c>
      <x:c r="W218" s="31" t="str">
        <x:v>EXP-27</x:v>
      </x:c>
      <x:c r="X218" s="31" t="str">
        <x:v>67% ML ARM</x:v>
      </x:c>
      <x:c r="Y218" s="31" t="str"/>
      <x:c r="Z218" s="31" t="str">
        <x:v>If the source probability ranking contains signal, the 67% top-ranked ML should win at a rate broadly consistent with its stated confidence and later show acceptable price-adjusted value.</x:v>
      </x:c>
      <x:c r="AA218" s="31" t="str">
        <x:v>Repeated misses or materially worse market-implied pricing than the source probability would weaken the signal.</x:v>
      </x:c>
      <x:c r="AB218" s="31" t="str">
        <x:v>Source 67% LAD ML lost 8-6 in 10 innings. One negative observation for source calibration.</x:v>
      </x:c>
    </x:row>
    <x:row r="219">
      <x:c r="A219" s="79" t="str">
        <x:v>2026-09-02</x:v>
      </x:c>
      <x:c r="B219" s="31" t="str">
        <x:v>P02-036</x:v>
      </x:c>
      <x:c r="C219" s="31" t="str"/>
      <x:c r="D219" s="31" t="str">
        <x:v>PAPER</x:v>
      </x:c>
      <x:c r="E219" s="31" t="str">
        <x:v>MLB</x:v>
      </x:c>
      <x:c r="F219" s="31" t="str">
        <x:v>MIL @ CHC</x:v>
      </x:c>
      <x:c r="G219" s="31" t="str">
        <x:v>Milwaukee Brewers</x:v>
      </x:c>
      <x:c r="H219" s="31" t="str">
        <x:v>Moneyline</x:v>
      </x:c>
      <x:c r="I219" s="31" t="str">
        <x:v>MIL ML</x:v>
      </x:c>
      <x:c r="J219" s="80" t="str"/>
      <x:c r="K219" s="31" t="str">
        <x:v>SOURCED</x:v>
      </x:c>
      <x:c r="L219" s="31" t="str">
        <x:v>WATCH</x:v>
      </x:c>
      <x:c r="M219" s="31" t="str">
        <x:v>Source lists MIL at 66%; preserve as a prospective source-only game-side observation for calibration.</x:v>
      </x:c>
      <x:c r="N219" s="31" t="str">
        <x:v>N</x:v>
      </x:c>
      <x:c r="O219" s="31" t="str">
        <x:v>Win</x:v>
      </x:c>
      <x:c r="P219" s="31" t="n">
        <x:v>1</x:v>
      </x:c>
      <x:c r="Q219" s="33" t="str"/>
      <x:c r="R219" s="33" t="str"/>
      <x:c r="S219" s="31" t="str"/>
      <x:c r="T219" s="32" t="str"/>
      <x:c r="U219" s="31" t="str">
        <x:v>Source screenshot supplied 14:39 ET; exact DK price not provided.</x:v>
      </x:c>
      <x:c r="V219" s="31" t="str">
        <x:v>SOURCE_CALIBRATION_TEST</x:v>
      </x:c>
      <x:c r="W219" s="31" t="str">
        <x:v>EXP-27</x:v>
      </x:c>
      <x:c r="X219" s="31" t="str">
        <x:v>66% ML ARM</x:v>
      </x:c>
      <x:c r="Y219" s="31" t="str"/>
      <x:c r="Z219" s="31" t="str">
        <x:v>A genuinely calibrated source should convert a 66% moneyline signal at roughly that frequency over a large sample and retain value once exact prices are added.</x:v>
      </x:c>
      <x:c r="AA219" s="31" t="str">
        <x:v>Poor hit-rate calibration or negative price-adjusted ROI after enough samples would falsify the usefulness of the source score.</x:v>
      </x:c>
      <x:c r="AB219" s="31" t="str">
        <x:v>Source 66% MIL ML won 9-5. Positive source-calibration observation.</x:v>
      </x:c>
    </x:row>
    <x:row r="220">
      <x:c r="A220" s="79" t="str">
        <x:v>2026-09-02</x:v>
      </x:c>
      <x:c r="B220" s="31" t="str">
        <x:v>P02-037</x:v>
      </x:c>
      <x:c r="C220" s="31" t="str"/>
      <x:c r="D220" s="31" t="str">
        <x:v>PAPER</x:v>
      </x:c>
      <x:c r="E220" s="31" t="str">
        <x:v>MLB</x:v>
      </x:c>
      <x:c r="F220" s="31" t="str">
        <x:v>PHI @ ARI</x:v>
      </x:c>
      <x:c r="G220" s="31" t="str">
        <x:v>Arizona Diamondbacks</x:v>
      </x:c>
      <x:c r="H220" s="31" t="str">
        <x:v>Moneyline</x:v>
      </x:c>
      <x:c r="I220" s="31" t="str">
        <x:v>ARI ML</x:v>
      </x:c>
      <x:c r="J220" s="80" t="str"/>
      <x:c r="K220" s="31" t="str">
        <x:v>SOURCED</x:v>
      </x:c>
      <x:c r="L220" s="31" t="str">
        <x:v>WATCH</x:v>
      </x:c>
      <x:c r="M220" s="31" t="str">
        <x:v>Source lists ARI at 65%; log before the 3:40 ET start as a prospective source-only paper trade.</x:v>
      </x:c>
      <x:c r="N220" s="31" t="str">
        <x:v>N</x:v>
      </x:c>
      <x:c r="O220" s="31" t="str">
        <x:v>Win</x:v>
      </x:c>
      <x:c r="P220" s="31" t="n">
        <x:v>1</x:v>
      </x:c>
      <x:c r="Q220" s="33" t="str"/>
      <x:c r="R220" s="33" t="str"/>
      <x:c r="S220" s="31" t="str"/>
      <x:c r="T220" s="32" t="str"/>
      <x:c r="U220" s="31" t="str">
        <x:v>Source screenshot supplied 14:39 ET; exact DK price not provided.</x:v>
      </x:c>
      <x:c r="V220" s="31" t="str">
        <x:v>SOURCE_CALIBRATION_TEST</x:v>
      </x:c>
      <x:c r="W220" s="31" t="str">
        <x:v>EXP-27</x:v>
      </x:c>
      <x:c r="X220" s="31" t="str">
        <x:v>65% ML ARM</x:v>
      </x:c>
      <x:c r="Y220" s="31" t="str"/>
      <x:c r="Z220" s="31" t="str">
        <x:v>If the model's game-level probabilities are useful, a 65% selection should contribute positively to calibration and later ROI when exact market price is captured.</x:v>
      </x:c>
      <x:c r="AA220" s="31" t="str">
        <x:v>A pattern of 60–69% selections underperforming their stated confidence or market baseline would weaken the hypothesis.</x:v>
      </x:c>
      <x:c r="AB220" s="31" t="str">
        <x:v>Source 65% ARI ML won 1-0. Source 60–69% bucket finished 2-1 on this first tiny cluster.</x:v>
      </x:c>
    </x:row>
    <x:row r="221">
      <x:c r="A221" s="79" t="str">
        <x:v>2026-09-10</x:v>
      </x:c>
      <x:c r="B221" s="31" t="str">
        <x:v>S10-P01</x:v>
      </x:c>
      <x:c r="C221" s="31" t="str">
        <x:v>S10-A04</x:v>
      </x:c>
      <x:c r="D221" s="31" t="str">
        <x:v>PAPER</x:v>
      </x:c>
      <x:c r="E221" s="31" t="str">
        <x:v>NCAAF</x:v>
      </x:c>
      <x:c r="F221" s="31" t="str">
        <x:v>FAMU @ MIA</x:v>
      </x:c>
      <x:c r="G221" s="31" t="str">
        <x:v>Florida A&amp;M at Miami</x:v>
      </x:c>
      <x:c r="H221" s="31" t="str">
        <x:v>First-half total</x:v>
      </x:c>
      <x:c r="I221" s="31" t="str">
        <x:v>Under 38.5</x:v>
      </x:c>
      <x:c r="J221" s="80" t="n">
        <x:v>-122</x:v>
      </x:c>
      <x:c r="K221" s="31" t="str">
        <x:v>DISCOVERED</x:v>
      </x:c>
      <x:c r="L221" s="31" t="str">
        <x:v>WATCH</x:v>
      </x:c>
      <x:c r="M221" s="31" t="str">
        <x:v>First-half control for the full-team-total under.</x:v>
      </x:c>
      <x:c r="N221" s="31" t="str">
        <x:v>N</x:v>
      </x:c>
      <x:c r="O221" s="31" t="str">
        <x:v>Loss</x:v>
      </x:c>
      <x:c r="P221" s="31" t="n">
        <x:v>0</x:v>
      </x:c>
      <x:c r="Q221" s="33" t="n">
        <x:v>0</x:v>
      </x:c>
      <x:c r="R221" s="33" t="n">
        <x:v>-1</x:v>
      </x:c>
      <x:c r="S221" s="31" t="str"/>
      <x:c r="T221" s="32" t="str"/>
      <x:c r="U221" s="31" t="str">
        <x:v>Miami scored 49 in the first half.</x:v>
      </x:c>
      <x:c r="V221" s="31" t="str">
        <x:v>MARKET_EXPRESSION_TEST</x:v>
      </x:c>
      <x:c r="W221" s="31" t="str">
        <x:v>EXP-39</x:v>
      </x:c>
      <x:c r="X221" s="31" t="str">
        <x:v>FIRST-HALF UNDER ARM</x:v>
      </x:c>
      <x:c r="Y221" s="31" t="str">
        <x:v>S10-T02</x:v>
      </x:c>
      <x:c r="Z221" s="31" t="str">
        <x:v>Rotation and game control may suppress late first-half scoring.</x:v>
      </x:c>
      <x:c r="AA221" s="31" t="str">
        <x:v>Miami scoring above 38.5 before halftime.</x:v>
      </x:c>
      <x:c r="AB221" s="31" t="str">
        <x:v>Lost decisively; rotation did not create scoring suppression.</x:v>
      </x:c>
    </x:row>
    <x:row r="222">
      <x:c r="A222" s="79" t="str">
        <x:v>2026-09-10</x:v>
      </x:c>
      <x:c r="B222" s="31" t="str">
        <x:v>S10-P02</x:v>
      </x:c>
      <x:c r="C222" s="31" t="str">
        <x:v>S10-A05</x:v>
      </x:c>
      <x:c r="D222" s="31" t="str">
        <x:v>PAPER</x:v>
      </x:c>
      <x:c r="E222" s="31" t="str">
        <x:v>MLB</x:v>
      </x:c>
      <x:c r="F222" s="31" t="str">
        <x:v>COL @ NYY</x:v>
      </x:c>
      <x:c r="G222" s="31" t="str">
        <x:v>Luis García Jr.</x:v>
      </x:c>
      <x:c r="H222" s="31" t="str">
        <x:v>2+ Total Bases</x:v>
      </x:c>
      <x:c r="I222" s="31" t="str">
        <x:v>2+ total bases</x:v>
      </x:c>
      <x:c r="J222" s="80" t="n">
        <x:v>103</x:v>
      </x:c>
      <x:c r="K222" s="31" t="str">
        <x:v>DISCOVERED</x:v>
      </x:c>
      <x:c r="L222" s="31" t="str">
        <x:v>WATCH</x:v>
      </x:c>
      <x:c r="M222" s="31" t="str">
        <x:v>Hitter-specific control inside the broad Feltner fade.</x:v>
      </x:c>
      <x:c r="N222" s="31" t="str">
        <x:v>N</x:v>
      </x:c>
      <x:c r="O222" s="31" t="str">
        <x:v>Win</x:v>
      </x:c>
      <x:c r="P222" s="31" t="n">
        <x:v>1</x:v>
      </x:c>
      <x:c r="Q222" s="33" t="n">
        <x:v>2.03</x:v>
      </x:c>
      <x:c r="R222" s="33" t="n">
        <x:v>1.03</x:v>
      </x:c>
      <x:c r="S222" s="31" t="str"/>
      <x:c r="T222" s="32" t="str"/>
      <x:c r="U222" s="31" t="str">
        <x:v>Official MLB box score: four total bases on a home run.</x:v>
      </x:c>
      <x:c r="V222" s="31" t="str">
        <x:v>MARKET_EXPRESSION_TEST</x:v>
      </x:c>
      <x:c r="W222" s="31" t="str">
        <x:v>EXP-26</x:v>
      </x:c>
      <x:c r="X222" s="31" t="str">
        <x:v>HITTER TB ARM</x:v>
      </x:c>
      <x:c r="Y222" s="31" t="str">
        <x:v>S10-T04</x:v>
      </x:c>
      <x:c r="Z222" s="31" t="str">
        <x:v>A selected hitter may capture the same pitcher-fade thesis.</x:v>
      </x:c>
      <x:c r="AA222" s="31" t="str">
        <x:v>The broad team market wins while the hitter misses.</x:v>
      </x:c>
      <x:c r="AB222" s="31" t="str">
        <x:v>Won; both the hitter arm and broad team expression converted.</x:v>
      </x:c>
    </x:row>
    <x:row r="223">
      <x:c r="A223" s="79" t="str">
        <x:v>2026-09-10</x:v>
      </x:c>
      <x:c r="B223" s="31" t="str">
        <x:v>S10-P03</x:v>
      </x:c>
      <x:c r="C223" s="31" t="str">
        <x:v>S10-A05</x:v>
      </x:c>
      <x:c r="D223" s="31" t="str">
        <x:v>PAPER</x:v>
      </x:c>
      <x:c r="E223" s="31" t="str">
        <x:v>MLB</x:v>
      </x:c>
      <x:c r="F223" s="31" t="str">
        <x:v>COL @ NYY</x:v>
      </x:c>
      <x:c r="G223" s="31" t="str">
        <x:v>Ben Rice</x:v>
      </x:c>
      <x:c r="H223" s="31" t="str">
        <x:v>2+ Total Bases</x:v>
      </x:c>
      <x:c r="I223" s="31" t="str">
        <x:v>2+ total bases</x:v>
      </x:c>
      <x:c r="J223" s="80" t="n">
        <x:v>-105</x:v>
      </x:c>
      <x:c r="K223" s="31" t="str">
        <x:v>DISCOVERED</x:v>
      </x:c>
      <x:c r="L223" s="31" t="str">
        <x:v>WATCH</x:v>
      </x:c>
      <x:c r="M223" s="31" t="str">
        <x:v>Second hitter control inside the broad Feltner fade.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-1</x:v>
      </x:c>
      <x:c r="S223" s="31" t="str"/>
      <x:c r="T223" s="32" t="str"/>
      <x:c r="U223" s="31" t="str">
        <x:v>Official MLB box score: one total base.</x:v>
      </x:c>
      <x:c r="V223" s="31" t="str">
        <x:v>MARKET_EXPRESSION_TEST</x:v>
      </x:c>
      <x:c r="W223" s="31" t="str">
        <x:v>EXP-26</x:v>
      </x:c>
      <x:c r="X223" s="31" t="str">
        <x:v>HITTER TB ARM</x:v>
      </x:c>
      <x:c r="Y223" s="31" t="str">
        <x:v>S10-T04</x:v>
      </x:c>
      <x:c r="Z223" s="31" t="str">
        <x:v>A selected hitter may capture the same pitcher-fade thesis.</x:v>
      </x:c>
      <x:c r="AA223" s="31" t="str">
        <x:v>The broad team market wins while Rice misses.</x:v>
      </x:c>
      <x:c r="AB223" s="31" t="str">
        <x:v>Lost while the broad Yankees team total won, supporting broad-market-first.</x:v>
      </x:c>
    </x:row>
    <x:row r="224">
      <x:c r="A224" s="79" t="str">
        <x:v>2026-09-10</x:v>
      </x:c>
      <x:c r="B224" s="31" t="str">
        <x:v>S10-P04</x:v>
      </x:c>
      <x:c r="C224" s="31" t="str">
        <x:v>S10-A05</x:v>
      </x:c>
      <x:c r="D224" s="31" t="str">
        <x:v>PAPER</x:v>
      </x:c>
      <x:c r="E224" s="31" t="str">
        <x:v>MLB</x:v>
      </x:c>
      <x:c r="F224" s="31" t="str">
        <x:v>COL @ NYY</x:v>
      </x:c>
      <x:c r="G224" s="31" t="str">
        <x:v>Ben Rice</x:v>
      </x:c>
      <x:c r="H224" s="31" t="str">
        <x:v>Home Run</x:v>
      </x:c>
      <x:c r="I224" s="31" t="str">
        <x:v>1+ home run</x:v>
      </x:c>
      <x:c r="J224" s="80" t="n">
        <x:v>272</x:v>
      </x:c>
      <x:c r="K224" s="31" t="str">
        <x:v>DISCOVERED</x:v>
      </x:c>
      <x:c r="L224" s="31" t="str">
        <x:v>WATCH</x:v>
      </x:c>
      <x:c r="M224" s="31" t="str">
        <x:v>High-variance satellite in the same Rice/Feltner cluster.</x:v>
      </x:c>
      <x:c r="N224" s="31" t="str">
        <x:v>N</x:v>
      </x:c>
      <x:c r="O224" s="31" t="str">
        <x:v>Loss</x:v>
      </x:c>
      <x:c r="P224" s="31" t="n">
        <x:v>0</x:v>
      </x:c>
      <x:c r="Q224" s="33" t="n">
        <x:v>0</x:v>
      </x:c>
      <x:c r="R224" s="33" t="n">
        <x:v>-1</x:v>
      </x:c>
      <x:c r="S224" s="31" t="str"/>
      <x:c r="T224" s="32" t="str"/>
      <x:c r="U224" s="31" t="str">
        <x:v>Rice did not homer; correlated with S10-P03, not independent N.</x:v>
      </x:c>
      <x:c r="V224" s="31" t="str">
        <x:v>HR_SATELLITE</x:v>
      </x:c>
      <x:c r="W224" s="31" t="str">
        <x:v>EXP-16</x:v>
      </x:c>
      <x:c r="X224" s="31" t="str">
        <x:v>CORRELATED HR ARM</x:v>
      </x:c>
      <x:c r="Y224" s="31" t="str">
        <x:v>S10-P03</x:v>
      </x:c>
      <x:c r="Z224" s="31" t="str">
        <x:v>Rice may convert the pitcher fade through power.</x:v>
      </x:c>
      <x:c r="AA224" s="31" t="str">
        <x:v>No home run.</x:v>
      </x:c>
      <x:c r="AB224" s="31" t="str">
        <x:v>Lost; do not count separately from the Rice TB cluster for independent sample size.</x:v>
      </x:c>
    </x:row>
    <x:row r="225">
      <x:c r="A225" s="79" t="str">
        <x:v>2026-09-10</x:v>
      </x:c>
      <x:c r="B225" s="31" t="str">
        <x:v>S10-P05</x:v>
      </x:c>
      <x:c r="C225" s="31" t="str">
        <x:v>S10-A01</x:v>
      </x:c>
      <x:c r="D225" s="31" t="str">
        <x:v>PAPER</x:v>
      </x:c>
      <x:c r="E225" s="31" t="str">
        <x:v>MLB</x:v>
      </x:c>
      <x:c r="F225" s="31" t="str">
        <x:v>PIT @ CWS</x:v>
      </x:c>
      <x:c r="G225" s="31" t="str">
        <x:v>Jared Jones</x:v>
      </x:c>
      <x:c r="H225" s="31" t="str">
        <x:v>Pitcher Strikeouts</x:v>
      </x:c>
      <x:c r="I225" s="31" t="str">
        <x:v>7+ strikeouts</x:v>
      </x:c>
      <x:c r="J225" s="80" t="n">
        <x:v>126</x:v>
      </x:c>
      <x:c r="K225" s="31" t="str">
        <x:v>DISCOVERED</x:v>
      </x:c>
      <x:c r="L225" s="31" t="str">
        <x:v>WATCH</x:v>
      </x:c>
      <x:c r="M225" s="31" t="str">
        <x:v>Strikeout counterfactual to the real workload-sensitive outs under.</x:v>
      </x:c>
      <x:c r="N225" s="31" t="str">
        <x:v>N</x:v>
      </x:c>
      <x:c r="O225" s="31" t="str">
        <x:v>Win</x:v>
      </x:c>
      <x:c r="P225" s="31" t="n">
        <x:v>1</x:v>
      </x:c>
      <x:c r="Q225" s="33" t="n">
        <x:v>2.26</x:v>
      </x:c>
      <x:c r="R225" s="33" t="n">
        <x:v>1.26</x:v>
      </x:c>
      <x:c r="S225" s="31" t="str"/>
      <x:c r="T225" s="32" t="str"/>
      <x:c r="U225" s="31" t="str">
        <x:v>Official MLB box score: eight strikeouts in seven innings.</x:v>
      </x:c>
      <x:c r="V225" s="31" t="str">
        <x:v>MARKET_EXPRESSION_TEST</x:v>
      </x:c>
      <x:c r="W225" s="31" t="str">
        <x:v>EXP-06</x:v>
      </x:c>
      <x:c r="X225" s="31" t="str">
        <x:v>STRIKEOUT ARM</x:v>
      </x:c>
      <x:c r="Y225" s="31" t="str">
        <x:v>S10-T03</x:v>
      </x:c>
      <x:c r="Z225" s="31" t="str">
        <x:v>Jones quality may be better expressed through strikeouts than an outs under.</x:v>
      </x:c>
      <x:c r="AA225" s="31" t="str">
        <x:v>Jones fails to reach seven strikeouts.</x:v>
      </x:c>
      <x:c r="AB225" s="31" t="str">
        <x:v>Won while the real outs under lost; talent read survived but workload regime did not.</x:v>
      </x:c>
    </x:row>
    <x:row r="226">
      <x:c r="A226" s="79" t="str">
        <x:v>2026-09-10</x:v>
      </x:c>
      <x:c r="B226" s="31" t="str">
        <x:v>S10-P06</x:v>
      </x:c>
      <x:c r="C226" s="31" t="str"/>
      <x:c r="D226" s="31" t="str">
        <x:v>PAPER</x:v>
      </x:c>
      <x:c r="E226" s="31" t="str">
        <x:v>MLB</x:v>
      </x:c>
      <x:c r="F226" s="31" t="str">
        <x:v>TEX @ SEA</x:v>
      </x:c>
      <x:c r="G226" s="31" t="str">
        <x:v>Jacob deGrom</x:v>
      </x:c>
      <x:c r="H226" s="31" t="str">
        <x:v>Pitcher Strikeouts</x:v>
      </x:c>
      <x:c r="I226" s="31" t="str">
        <x:v>7+ strikeouts</x:v>
      </x:c>
      <x:c r="J226" s="80" t="n">
        <x:v>-138</x:v>
      </x:c>
      <x:c r="K226" s="31" t="str">
        <x:v>HYBRID</x:v>
      </x:c>
      <x:c r="L226" s="31" t="str">
        <x:v>WATCH</x:v>
      </x:c>
      <x:c r="M226" s="31" t="str">
        <x:v>Price-rejected real candidate retained for price sensitivity.</x:v>
      </x:c>
      <x:c r="N226" s="31" t="str">
        <x:v>N</x:v>
      </x:c>
      <x:c r="O226" s="31" t="str">
        <x:v>Win</x:v>
      </x:c>
      <x:c r="P226" s="31" t="n">
        <x:v>1</x:v>
      </x:c>
      <x:c r="Q226" s="33" t="n">
        <x:v>1.72</x:v>
      </x:c>
      <x:c r="R226" s="33" t="n">
        <x:v>0.72</x:v>
      </x:c>
      <x:c r="S226" s="31" t="str"/>
      <x:c r="T226" s="32" t="str"/>
      <x:c r="U226" s="31" t="str">
        <x:v>Official MLB box score: 12 strikeouts in six innings.</x:v>
      </x:c>
      <x:c r="V226" s="31" t="str">
        <x:v>PRICE_SENSITIVITY_TEST</x:v>
      </x:c>
      <x:c r="W226" s="31" t="str">
        <x:v>EXP-05</x:v>
      </x:c>
      <x:c r="X226" s="31" t="str">
        <x:v>REJECTED PRICE ARM</x:v>
      </x:c>
      <x:c r="Y226" s="31" t="str"/>
      <x:c r="Z226" s="31" t="str">
        <x:v>The threshold can clear even when the real-card price is rejected.</x:v>
      </x:c>
      <x:c r="AA226" s="31" t="str">
        <x:v>Failure to clear seven strikeouts.</x:v>
      </x:c>
      <x:c r="AB226" s="31" t="str">
        <x:v>Outcome won; price-quality and result must remain separate evaluations.</x:v>
      </x:c>
    </x:row>
    <x:row r="227">
      <x:c r="A227" s="79" t="str">
        <x:v>2026-09-11</x:v>
      </x:c>
      <x:c r="B227" s="31" t="str">
        <x:v>S11-P01</x:v>
      </x:c>
      <x:c r="C227" s="31" t="str"/>
      <x:c r="D227" s="31" t="str">
        <x:v>PAPER</x:v>
      </x:c>
      <x:c r="E227" s="31" t="str">
        <x:v>MLB</x:v>
      </x:c>
      <x:c r="F227" s="31" t="str">
        <x:v>KC @ BOS</x:v>
      </x:c>
      <x:c r="G227" s="31" t="str">
        <x:v>Sonny Gray</x:v>
      </x:c>
      <x:c r="H227" s="31" t="str">
        <x:v>Pitcher Hits Allowed</x:v>
      </x:c>
      <x:c r="I227" s="31" t="str">
        <x:v>Under 5.5 hits allowed</x:v>
      </x:c>
      <x:c r="J227" s="80" t="str"/>
      <x:c r="K227" s="31" t="str">
        <x:v>SOURCED</x:v>
      </x:c>
      <x:c r="L227" s="31" t="str">
        <x:v>WATCH</x:v>
      </x:c>
      <x:c r="M227" s="31" t="str">
        <x:v>Paired market-expression test against the independent Gray pitching-outs thesis.</x:v>
      </x:c>
      <x:c r="N227" s="31" t="str">
        <x:v>N</x:v>
      </x:c>
      <x:c r="O227" s="31" t="str">
        <x:v>Pending</x:v>
      </x:c>
      <x:c r="P227" s="31" t="str"/>
      <x:c r="Q227" s="33" t="str"/>
      <x:c r="R227" s="33" t="str"/>
      <x:c r="S227" s="31" t="str"/>
      <x:c r="T227" s="32" t="str"/>
      <x:c r="U227" s="31" t="str">
        <x:v>Exact DraftKings price unavailable.</x:v>
      </x:c>
      <x:c r="V227" s="31" t="str">
        <x:v>MARKET_EXPRESSION_TEST</x:v>
      </x:c>
      <x:c r="W227" s="31" t="str">
        <x:v>EXP-01</x:v>
      </x:c>
      <x:c r="X227" s="31" t="str">
        <x:v>HITS-ALLOWED ARM</x:v>
      </x:c>
      <x:c r="Y227" s="31" t="str"/>
      <x:c r="Z227" s="31" t="str">
        <x:v>Hits allowed may express the source’s Gray thesis differently from pitching outs.</x:v>
      </x:c>
      <x:c r="AA227" s="31" t="str">
        <x:v>The hits arm misses while the workload-based outs read is directionally stronger.</x:v>
      </x:c>
      <x:c r="AB227" s="31" t="str">
        <x:v>Pending.</x:v>
      </x:c>
    </x:row>
    <x:row r="228">
      <x:c r="A228" s="79" t="str">
        <x:v>2026-09-11</x:v>
      </x:c>
      <x:c r="B228" s="31" t="str">
        <x:v>S11-P02</x:v>
      </x:c>
      <x:c r="C228" s="31" t="str">
        <x:v>S11-A17</x:v>
      </x:c>
      <x:c r="D228" s="31" t="str">
        <x:v>PAPER</x:v>
      </x:c>
      <x:c r="E228" s="31" t="str">
        <x:v>MLB</x:v>
      </x:c>
      <x:c r="F228" s="31" t="str">
        <x:v>PHI @ ATL</x:v>
      </x:c>
      <x:c r="G228" s="31" t="str">
        <x:v>Aaron Nola</x:v>
      </x:c>
      <x:c r="H228" s="31" t="str">
        <x:v>Pitcher Outs</x:v>
      </x:c>
      <x:c r="I228" s="31" t="str">
        <x:v>Over 16.5 pitching outs</x:v>
      </x:c>
      <x:c r="J228" s="80" t="str"/>
      <x:c r="K228" s="31" t="str">
        <x:v>SOURCED</x:v>
      </x:c>
      <x:c r="L228" s="31" t="str">
        <x:v>WATCH</x:v>
      </x:c>
      <x:c r="M228" s="31" t="str">
        <x:v>Workload control against the Olson HR thesis; the outcomes can coexist.</x:v>
      </x:c>
      <x:c r="N228" s="31" t="str">
        <x:v>N</x:v>
      </x:c>
      <x:c r="O228" s="31" t="str">
        <x:v>Pending</x:v>
      </x:c>
      <x:c r="P228" s="31" t="str"/>
      <x:c r="Q228" s="33" t="str"/>
      <x:c r="R228" s="33" t="str"/>
      <x:c r="S228" s="31" t="str"/>
      <x:c r="T228" s="32" t="str"/>
      <x:c r="U228" s="31" t="str">
        <x:v>Exact DraftKings price unavailable.</x:v>
      </x:c>
      <x:c r="V228" s="31" t="str">
        <x:v>CONFLICT_CLUSTER</x:v>
      </x:c>
      <x:c r="W228" s="31" t="str">
        <x:v>EXP-01</x:v>
      </x:c>
      <x:c r="X228" s="31" t="str">
        <x:v>NOLA OUTS ARM</x:v>
      </x:c>
      <x:c r="Y228" s="31" t="str">
        <x:v>S11-A17</x:v>
      </x:c>
      <x:c r="Z228" s="31" t="str">
        <x:v>Nola can work six innings even if Atlanta produces a home run.</x:v>
      </x:c>
      <x:c r="AA228" s="31" t="str">
        <x:v>An early exit below 18 outs.</x:v>
      </x:c>
      <x:c r="AB228" s="31" t="str">
        <x:v>Pending.</x:v>
      </x:c>
    </x:row>
    <x:row r="229">
      <x:c r="A229" s="79" t="str">
        <x:v>2026-09-11</x:v>
      </x:c>
      <x:c r="B229" s="31" t="str">
        <x:v>S11-P03</x:v>
      </x:c>
      <x:c r="C229" s="31" t="str"/>
      <x:c r="D229" s="31" t="str">
        <x:v>PAPER</x:v>
      </x:c>
      <x:c r="E229" s="31" t="str">
        <x:v>MLB</x:v>
      </x:c>
      <x:c r="F229" s="31" t="str">
        <x:v>SEA @ ATH</x:v>
      </x:c>
      <x:c r="G229" s="31" t="str">
        <x:v>George Kirby</x:v>
      </x:c>
      <x:c r="H229" s="31" t="str">
        <x:v>Pitcher Strikeouts</x:v>
      </x:c>
      <x:c r="I229" s="31" t="str">
        <x:v>Over 4.5 strikeouts</x:v>
      </x:c>
      <x:c r="J229" s="80" t="str"/>
      <x:c r="K229" s="31" t="str">
        <x:v>SOURCED</x:v>
      </x:c>
      <x:c r="L229" s="31" t="str">
        <x:v>WATCH</x:v>
      </x:c>
      <x:c r="M229" s="31" t="str">
        <x:v>Preserve the external strikeout-model output without promoting it to cash exposure.</x:v>
      </x:c>
      <x:c r="N229" s="31" t="str">
        <x:v>N</x:v>
      </x:c>
      <x:c r="O229" s="31" t="str">
        <x:v>Pending</x:v>
      </x:c>
      <x:c r="P229" s="31" t="str"/>
      <x:c r="Q229" s="33" t="str"/>
      <x:c r="R229" s="33" t="str"/>
      <x:c r="S229" s="31" t="str"/>
      <x:c r="T229" s="32" t="str"/>
      <x:c r="U229" s="31" t="str">
        <x:v>Recent strikeout distribution remains mixed; exact DraftKings price unavailable.</x:v>
      </x:c>
      <x:c r="V229" s="31" t="str">
        <x:v>SOURCE_CALIBRATION_TEST</x:v>
      </x:c>
      <x:c r="W229" s="31" t="str">
        <x:v>EXP-02</x:v>
      </x:c>
      <x:c r="X229" s="31" t="str">
        <x:v>KIRBY K-OVER ARM</x:v>
      </x:c>
      <x:c r="Y229" s="31" t="str"/>
      <x:c r="Z229" s="31" t="str">
        <x:v>The source’s matchup model adds value beyond the recent strikeout distribution.</x:v>
      </x:c>
      <x:c r="AA229" s="31" t="str">
        <x:v>Kirby finishes below five strikeouts or the mechanism remains unexplained.</x:v>
      </x:c>
      <x:c r="AB229" s="31" t="str">
        <x:v>Pending.</x:v>
      </x:c>
    </x:row>
    <x:row r="230">
      <x:c r="A230" s="79" t="str">
        <x:v>2026-09-11</x:v>
      </x:c>
      <x:c r="B230" s="31" t="str">
        <x:v>S11-P04</x:v>
      </x:c>
      <x:c r="C230" s="31" t="str">
        <x:v>S11-A07</x:v>
      </x:c>
      <x:c r="D230" s="31" t="str">
        <x:v>PAPER</x:v>
      </x:c>
      <x:c r="E230" s="31" t="str">
        <x:v>MLB</x:v>
      </x:c>
      <x:c r="F230" s="31" t="str">
        <x:v>CWS @ STL</x:v>
      </x:c>
      <x:c r="G230" s="31" t="str">
        <x:v>Matthew Liberatore</x:v>
      </x:c>
      <x:c r="H230" s="31" t="str">
        <x:v>Pitcher Strikeouts</x:v>
      </x:c>
      <x:c r="I230" s="31" t="str">
        <x:v>Under 5.5 strikeouts</x:v>
      </x:c>
      <x:c r="J230" s="80" t="str"/>
      <x:c r="K230" s="31" t="str">
        <x:v>SOURCED</x:v>
      </x:c>
      <x:c r="L230" s="31" t="str">
        <x:v>REJECT</x:v>
      </x:c>
      <x:c r="M230" s="31" t="str">
        <x:v>Rejected real-money source arm retained solely for source-model evaluation.</x:v>
      </x:c>
      <x:c r="N230" s="31" t="str">
        <x:v>N</x:v>
      </x:c>
      <x:c r="O230" s="31" t="str">
        <x:v>Pending</x:v>
      </x:c>
      <x:c r="P230" s="31" t="str"/>
      <x:c r="Q230" s="33" t="str"/>
      <x:c r="R230" s="33" t="str"/>
      <x:c r="S230" s="31" t="str"/>
      <x:c r="T230" s="32" t="str"/>
      <x:c r="U230" s="31" t="str">
        <x:v>Recent strikeout results directly oppose the under; exact DraftKings price unavailable.</x:v>
      </x:c>
      <x:c r="V230" s="31" t="str">
        <x:v>REJECTED_SOURCE_TEST</x:v>
      </x:c>
      <x:c r="W230" s="31" t="str">
        <x:v>EXP-02</x:v>
      </x:c>
      <x:c r="X230" s="31" t="str">
        <x:v>LIBERATORE K-UNDER ARM</x:v>
      </x:c>
      <x:c r="Y230" s="31" t="str"/>
      <x:c r="Z230" s="31" t="str">
        <x:v>The source matchup model can overcome Liberatore’s recent strikeout production.</x:v>
      </x:c>
      <x:c r="AA230" s="31" t="str">
        <x:v>Six or more strikeouts.</x:v>
      </x:c>
      <x:c r="AB230" s="31" t="str">
        <x:v>Pending.</x:v>
      </x:c>
    </x:row>
    <x:row r="231">
      <x:c r="A231" s="79" t="str">
        <x:v>2026-09-11</x:v>
      </x:c>
      <x:c r="B231" s="31" t="str">
        <x:v>S11-P05</x:v>
      </x:c>
      <x:c r="C231" s="31" t="str"/>
      <x:c r="D231" s="31" t="str">
        <x:v>PAPER</x:v>
      </x:c>
      <x:c r="E231" s="31" t="str">
        <x:v>MLB</x:v>
      </x:c>
      <x:c r="F231" s="31" t="str">
        <x:v>CIN @ MIL</x:v>
      </x:c>
      <x:c r="G231" s="31" t="str">
        <x:v>Dustin May</x:v>
      </x:c>
      <x:c r="H231" s="31" t="str">
        <x:v>Pitcher Strikeouts</x:v>
      </x:c>
      <x:c r="I231" s="31" t="str">
        <x:v>Over 5.5 strikeouts</x:v>
      </x:c>
      <x:c r="J231" s="80" t="str"/>
      <x:c r="K231" s="31" t="str">
        <x:v>SOURCED</x:v>
      </x:c>
      <x:c r="L231" s="31" t="str">
        <x:v>WATCH</x:v>
      </x:c>
      <x:c r="M231" s="31" t="str">
        <x:v>Source arm retained behind a starter data-quality gate.</x:v>
      </x:c>
      <x:c r="N231" s="31" t="str">
        <x:v>N</x:v>
      </x:c>
      <x:c r="O231" s="31" t="str">
        <x:v>Pending</x:v>
      </x:c>
      <x:c r="P231" s="31" t="str"/>
      <x:c r="Q231" s="33" t="str"/>
      <x:c r="R231" s="33" t="str"/>
      <x:c r="S231" s="31" t="str"/>
      <x:c r="T231" s="32" t="str"/>
      <x:c r="U231" s="31" t="str">
        <x:v>Morning sources conflicted on Milwaukee’s starter; exact DraftKings price unavailable.</x:v>
      </x:c>
      <x:c r="V231" s="31" t="str">
        <x:v>DATA_QUALITY_TEST</x:v>
      </x:c>
      <x:c r="W231" s="31" t="str">
        <x:v>EXP-02</x:v>
      </x:c>
      <x:c r="X231" s="31" t="str">
        <x:v>MAY K-OVER ARM</x:v>
      </x:c>
      <x:c r="Y231" s="31" t="str"/>
      <x:c r="Z231" s="31" t="str">
        <x:v>The source strikeout thesis remains valid after starter and role verification.</x:v>
      </x:c>
      <x:c r="AA231" s="31" t="str">
        <x:v>Starter information remains unresolved or May records fewer than six strikeouts.</x:v>
      </x:c>
      <x:c r="AB231" s="31" t="str">
        <x:v>Pending.</x:v>
      </x:c>
    </x:row>
    <x:row r="232">
      <x:c r="A232" s="79" t="str">
        <x:v>2026-09-11</x:v>
      </x:c>
      <x:c r="B232" s="31" t="str">
        <x:v>S11-P06</x:v>
      </x:c>
      <x:c r="C232" s="31" t="str">
        <x:v>S11-A19</x:v>
      </x:c>
      <x:c r="D232" s="31" t="str">
        <x:v>PAPER</x:v>
      </x:c>
      <x:c r="E232" s="31" t="str">
        <x:v>MLB</x:v>
      </x:c>
      <x:c r="F232" s="31" t="str">
        <x:v>MULTI</x:v>
      </x:c>
      <x:c r="G232" s="31" t="str">
        <x:v>Pete Crow-Armstrong + Teoscar Hernández + Elly De La Cruz</x:v>
      </x:c>
      <x:c r="H232" s="31" t="str">
        <x:v>Hit Parlay</x:v>
      </x:c>
      <x:c r="I232" s="31" t="str">
        <x:v>Each player 1+ hit</x:v>
      </x:c>
      <x:c r="J232" s="80" t="str"/>
      <x:c r="K232" s="31" t="str">
        <x:v>SOURCED</x:v>
      </x:c>
      <x:c r="L232" s="31" t="str">
        <x:v>WATCH</x:v>
      </x:c>
      <x:c r="M232" s="31" t="str">
        <x:v>Preserve the external original construction without treating it as a final candidate universe.</x:v>
      </x:c>
      <x:c r="N232" s="31" t="str">
        <x:v>N</x:v>
      </x:c>
      <x:c r="O232" s="31" t="str">
        <x:v>Pending</x:v>
      </x:c>
      <x:c r="P232" s="31" t="str"/>
      <x:c r="Q232" s="33" t="str"/>
      <x:c r="R232" s="33" t="str"/>
      <x:c r="S232" s="31" t="str"/>
      <x:c r="T232" s="32" t="str"/>
      <x:c r="U232" s="31" t="str">
        <x:v>Source price unavailable; exact three-leg construction retained.</x:v>
      </x:c>
      <x:c r="V232" s="31" t="str">
        <x:v>EXT_ORIGINAL</x:v>
      </x:c>
      <x:c r="W232" s="31" t="str">
        <x:v>EXP-20</x:v>
      </x:c>
      <x:c r="X232" s="31" t="str">
        <x:v>THREE-HITTER PARLAY</x:v>
      </x:c>
      <x:c r="Y232" s="31" t="str"/>
      <x:c r="Z232" s="31" t="str">
        <x:v>All three source-selected hitters can clear one hit without hidden weak-leg contamination.</x:v>
      </x:c>
      <x:c r="AA232" s="31" t="str">
        <x:v>Any leg fails or one component lacked standalone qualification.</x:v>
      </x:c>
      <x:c r="AB232" s="31" t="str">
        <x:v>Pending.</x:v>
      </x:c>
    </x:row>
    <x:row r="233">
      <x:c r="A233" s="79" t="str">
        <x:v>2026-09-11</x:v>
      </x:c>
      <x:c r="B233" s="31" t="str">
        <x:v>S11-P07</x:v>
      </x:c>
      <x:c r="C233" s="31" t="str"/>
      <x:c r="D233" s="31" t="str">
        <x:v>PAPER</x:v>
      </x:c>
      <x:c r="E233" s="31" t="str">
        <x:v>MLB</x:v>
      </x:c>
      <x:c r="F233" s="31" t="str">
        <x:v>MULTI</x:v>
      </x:c>
      <x:c r="G233" s="31" t="str">
        <x:v>Three-game NRFI source card</x:v>
      </x:c>
      <x:c r="H233" s="31" t="str">
        <x:v>NRFI Parlay</x:v>
      </x:c>
      <x:c r="I233" s="31" t="str">
        <x:v>Three-leg NRFI parlay</x:v>
      </x:c>
      <x:c r="J233" s="80" t="str"/>
      <x:c r="K233" s="31" t="str">
        <x:v>SOURCED</x:v>
      </x:c>
      <x:c r="L233" s="31" t="str">
        <x:v>WATCH</x:v>
      </x:c>
      <x:c r="M233" s="31" t="str">
        <x:v>Preserve the external original NRFI construction for settlement and construction testing.</x:v>
      </x:c>
      <x:c r="N233" s="31" t="str">
        <x:v>N</x:v>
      </x:c>
      <x:c r="O233" s="31" t="str">
        <x:v>Pending</x:v>
      </x:c>
      <x:c r="P233" s="31" t="str"/>
      <x:c r="Q233" s="33" t="str"/>
      <x:c r="R233" s="33" t="str"/>
      <x:c r="S233" s="31" t="str"/>
      <x:c r="T233" s="32" t="str"/>
      <x:c r="U233" s="31" t="str">
        <x:v>Exact component games and source price were not preserved in the readable chat extract.</x:v>
      </x:c>
      <x:c r="V233" s="31" t="str">
        <x:v>EXT_ORIGINAL</x:v>
      </x:c>
      <x:c r="W233" s="31" t="str">
        <x:v>EXP-10</x:v>
      </x:c>
      <x:c r="X233" s="31" t="str">
        <x:v>THREE-NRFI PARLAY</x:v>
      </x:c>
      <x:c r="Y233" s="31" t="str"/>
      <x:c r="Z233" s="31" t="str">
        <x:v>The external three-leg NRFI construction can clear without one weak leg dominating failure risk.</x:v>
      </x:c>
      <x:c r="AA233" s="31" t="str">
        <x:v>Any NRFI component loses or lacks independent qualification.</x:v>
      </x:c>
      <x:c r="AB233" s="31" t="str">
        <x:v>Pending.</x:v>
      </x:c>
    </x:row>
    <x:row r="234">
      <x:c r="A234" s="79" t="str">
        <x:v>2026-09-11</x:v>
      </x:c>
      <x:c r="B234" s="31" t="str">
        <x:v>S11-P08</x:v>
      </x:c>
      <x:c r="C234" s="31" t="str">
        <x:v>S11-A09</x:v>
      </x:c>
      <x:c r="D234" s="31" t="str">
        <x:v>PAPER</x:v>
      </x:c>
      <x:c r="E234" s="31" t="str">
        <x:v>NCAAF</x:v>
      </x:c>
      <x:c r="F234" s="31" t="str">
        <x:v>MIZ @ KU</x:v>
      </x:c>
      <x:c r="G234" s="31" t="str">
        <x:v>Kansas Jayhawks + game under</x:v>
      </x:c>
      <x:c r="H234" s="31" t="str">
        <x:v>Spread / Total</x:v>
      </x:c>
      <x:c r="I234" s="31" t="str">
        <x:v>Kansas +5.5 / under 50.5</x:v>
      </x:c>
      <x:c r="J234" s="80" t="str"/>
      <x:c r="K234" s="31" t="str">
        <x:v>SOURCED</x:v>
      </x:c>
      <x:c r="L234" s="31" t="str">
        <x:v>WATCH</x:v>
      </x:c>
      <x:c r="M234" s="31" t="str">
        <x:v>One side of a direct source-disagreement cluster in the same game.</x:v>
      </x:c>
      <x:c r="N234" s="31" t="str">
        <x:v>N</x:v>
      </x:c>
      <x:c r="O234" s="31" t="str">
        <x:v>Pending</x:v>
      </x:c>
      <x:c r="P234" s="31" t="str"/>
      <x:c r="Q234" s="33" t="str"/>
      <x:c r="R234" s="33" t="str"/>
      <x:c r="S234" s="31" t="str"/>
      <x:c r="T234" s="32" t="str"/>
      <x:c r="U234" s="31" t="str">
        <x:v>Source prices unavailable; preserve both thresholds exactly.</x:v>
      </x:c>
      <x:c r="V234" s="31" t="str">
        <x:v>CONFLICT_CLUSTER</x:v>
      </x:c>
      <x:c r="W234" s="31" t="str">
        <x:v>EXP-23</x:v>
      </x:c>
      <x:c r="X234" s="31" t="str">
        <x:v>KANSAS PLUS UNDER ARM</x:v>
      </x:c>
      <x:c r="Y234" s="31" t="str">
        <x:v>S11-P09</x:v>
      </x:c>
      <x:c r="Z234" s="31" t="str">
        <x:v>Kansas stays within 5.5 in a game finishing below 50.5.</x:v>
      </x:c>
      <x:c r="AA234" s="31" t="str">
        <x:v>Kansas fails to cover or the total exceeds 50.5.</x:v>
      </x:c>
      <x:c r="AB234" s="31" t="str">
        <x:v>Pending.</x:v>
      </x:c>
    </x:row>
    <x:row r="235">
      <x:c r="A235" s="79" t="str">
        <x:v>2026-09-11</x:v>
      </x:c>
      <x:c r="B235" s="31" t="str">
        <x:v>S11-P09</x:v>
      </x:c>
      <x:c r="C235" s="31" t="str">
        <x:v>S11-A09</x:v>
      </x:c>
      <x:c r="D235" s="31" t="str">
        <x:v>PAPER</x:v>
      </x:c>
      <x:c r="E235" s="31" t="str">
        <x:v>NCAAF</x:v>
      </x:c>
      <x:c r="F235" s="31" t="str">
        <x:v>MIZ @ KU</x:v>
      </x:c>
      <x:c r="G235" s="31" t="str">
        <x:v>Austin Simmons + Nik McMillan</x:v>
      </x:c>
      <x:c r="H235" s="31" t="str">
        <x:v>Player Prop Parlay</x:v>
      </x:c>
      <x:c r="I235" s="31" t="str">
        <x:v>Simmons over 1.5 pass TD + McMillan over 49.5 receiving yards</x:v>
      </x:c>
      <x:c r="J235" s="80" t="str"/>
      <x:c r="K235" s="31" t="str">
        <x:v>SOURCED</x:v>
      </x:c>
      <x:c r="L235" s="31" t="str">
        <x:v>WATCH</x:v>
      </x:c>
      <x:c r="M235" s="31" t="str">
        <x:v>Opposing side of the direct source-disagreement cluster.</x:v>
      </x:c>
      <x:c r="N235" s="31" t="str">
        <x:v>N</x:v>
      </x:c>
      <x:c r="O235" s="31" t="str">
        <x:v>Pending</x:v>
      </x:c>
      <x:c r="P235" s="31" t="str"/>
      <x:c r="Q235" s="33" t="str"/>
      <x:c r="R235" s="33" t="str"/>
      <x:c r="S235" s="31" t="str"/>
      <x:c r="T235" s="32" t="str"/>
      <x:c r="U235" s="31" t="str">
        <x:v>Source price unavailable; the opener came against a much weaker opponent.</x:v>
      </x:c>
      <x:c r="V235" s="31" t="str">
        <x:v>CONFLICT_CLUSTER</x:v>
      </x:c>
      <x:c r="W235" s="31" t="str">
        <x:v>EXP-23</x:v>
      </x:c>
      <x:c r="X235" s="31" t="str">
        <x:v>MISSOURI PASSING ARM</x:v>
      </x:c>
      <x:c r="Y235" s="31" t="str">
        <x:v>S11-P08</x:v>
      </x:c>
      <x:c r="Z235" s="31" t="str">
        <x:v>Missouri passing production clears both supplied player thresholds.</x:v>
      </x:c>
      <x:c r="AA235" s="31" t="str">
        <x:v>Either player threshold misses or the opener proves non-transferable.</x:v>
      </x:c>
      <x:c r="AB235" s="31" t="str">
        <x:v>Pending.</x:v>
      </x:c>
    </x:row>
    <x:row r="236">
      <x:c r="A236" s="79" t="str">
        <x:v>2026-09-11</x:v>
      </x:c>
      <x:c r="B236" s="31" t="str">
        <x:v>S11-P10</x:v>
      </x:c>
      <x:c r="C236" s="31" t="str">
        <x:v>S11-A16</x:v>
      </x:c>
      <x:c r="D236" s="31" t="str">
        <x:v>PAPER</x:v>
      </x:c>
      <x:c r="E236" s="31" t="str">
        <x:v>MLB</x:v>
      </x:c>
      <x:c r="F236" s="31" t="str">
        <x:v>NYM @ NYY</x:v>
      </x:c>
      <x:c r="G236" s="31" t="str">
        <x:v>Nolan McLean</x:v>
      </x:c>
      <x:c r="H236" s="31" t="str">
        <x:v>Pitcher Outs</x:v>
      </x:c>
      <x:c r="I236" s="31" t="str">
        <x:v>Under 17.5 pitching outs</x:v>
      </x:c>
      <x:c r="J236" s="80" t="str"/>
      <x:c r="K236" s="31" t="str">
        <x:v>SOURCED</x:v>
      </x:c>
      <x:c r="L236" s="31" t="str">
        <x:v>WATCH</x:v>
      </x:c>
      <x:c r="M236" s="31" t="str">
        <x:v>Direct opposing-side control for the independent over 17.5 workload thesis.</x:v>
      </x:c>
      <x:c r="N236" s="31" t="str">
        <x:v>N</x:v>
      </x:c>
      <x:c r="O236" s="31" t="str">
        <x:v>Pending</x:v>
      </x:c>
      <x:c r="P236" s="31" t="str"/>
      <x:c r="Q236" s="33" t="str"/>
      <x:c r="R236" s="33" t="str"/>
      <x:c r="S236" s="31" t="str"/>
      <x:c r="T236" s="32" t="str"/>
      <x:c r="U236" s="31" t="str">
        <x:v>External optimizer price unavailable.</x:v>
      </x:c>
      <x:c r="V236" s="31" t="str">
        <x:v>CONFLICT_CLUSTER</x:v>
      </x:c>
      <x:c r="W236" s="31" t="str">
        <x:v>EXP-01</x:v>
      </x:c>
      <x:c r="X236" s="31" t="str">
        <x:v>MCLEAN OUTS UNDER ARM</x:v>
      </x:c>
      <x:c r="Y236" s="31" t="str">
        <x:v>S11-A16</x:v>
      </x:c>
      <x:c r="Z236" s="31" t="str">
        <x:v>The source’s under signal defeats the recent six-inning workload regime.</x:v>
      </x:c>
      <x:c r="AA236" s="31" t="str">
        <x:v>McLean records 18 or more outs.</x:v>
      </x:c>
      <x:c r="AB236" s="31" t="str">
        <x:v>Pending.</x:v>
      </x:c>
    </x:row>
    <x:row r="237">
      <x:c r="A237" s="79" t="str">
        <x:v>2026-09-11</x:v>
      </x:c>
      <x:c r="B237" s="31" t="str">
        <x:v>S11-P11</x:v>
      </x:c>
      <x:c r="C237" s="31" t="str">
        <x:v>S11-A17</x:v>
      </x:c>
      <x:c r="D237" s="31" t="str">
        <x:v>PAPER</x:v>
      </x:c>
      <x:c r="E237" s="31" t="str">
        <x:v>MLB</x:v>
      </x:c>
      <x:c r="F237" s="31" t="str">
        <x:v>PHI @ ATL</x:v>
      </x:c>
      <x:c r="G237" s="31" t="str">
        <x:v>Austin Riley</x:v>
      </x:c>
      <x:c r="H237" s="31" t="str">
        <x:v>Home Run</x:v>
      </x:c>
      <x:c r="I237" s="31" t="str">
        <x:v>1+ home run</x:v>
      </x:c>
      <x:c r="J237" s="80" t="n">
        <x:v>490</x:v>
      </x:c>
      <x:c r="K237" s="31" t="str">
        <x:v>SOURCED</x:v>
      </x:c>
      <x:c r="L237" s="31" t="str">
        <x:v>WATCH</x:v>
      </x:c>
      <x:c r="M237" s="31" t="str">
        <x:v>Corrected BvP evidence supports a Paper HR challenger, but current power quality trails Olson.</x:v>
      </x:c>
      <x:c r="N237" s="31" t="str">
        <x:v>N</x:v>
      </x:c>
      <x:c r="O237" s="31" t="str">
        <x:v>Pending</x:v>
      </x:c>
      <x:c r="P237" s="31" t="str"/>
      <x:c r="Q237" s="33" t="str"/>
      <x:c r="R237" s="33" t="str"/>
      <x:c r="S237" s="31" t="str"/>
      <x:c r="T237" s="32" t="str"/>
      <x:c r="U237" s="31" t="str">
        <x:v>The source BvP counts were stale; price requires current recheck.</x:v>
      </x:c>
      <x:c r="V237" s="31" t="str">
        <x:v>HR_SATELLITE</x:v>
      </x:c>
      <x:c r="W237" s="31" t="str">
        <x:v>EXP-16</x:v>
      </x:c>
      <x:c r="X237" s="31" t="str">
        <x:v>RILEY HR ARM</x:v>
      </x:c>
      <x:c r="Y237" s="31" t="str">
        <x:v>S11-A17</x:v>
      </x:c>
      <x:c r="Z237" s="31" t="str">
        <x:v>Riley’s corrected historical matchup can overcome weaker current power quality.</x:v>
      </x:c>
      <x:c r="AA237" s="31" t="str">
        <x:v>No home run or materially worse current contact than the source implied.</x:v>
      </x:c>
      <x:c r="AB237" s="31" t="str">
        <x:v>Pending.</x:v>
      </x:c>
    </x:row>
    <x:row r="238">
      <x:c r="A238" s="79" t="str">
        <x:v>2026-09-11</x:v>
      </x:c>
      <x:c r="B238" s="31" t="str">
        <x:v>S11-P12</x:v>
      </x:c>
      <x:c r="C238" s="31" t="str"/>
      <x:c r="D238" s="31" t="str">
        <x:v>PAPER</x:v>
      </x:c>
      <x:c r="E238" s="31" t="str">
        <x:v>MLB</x:v>
      </x:c>
      <x:c r="F238" s="31" t="str">
        <x:v>LAD @ MIA</x:v>
      </x:c>
      <x:c r="G238" s="31" t="str">
        <x:v>Blake Snell</x:v>
      </x:c>
      <x:c r="H238" s="31" t="str">
        <x:v>Pitcher Strikeouts</x:v>
      </x:c>
      <x:c r="I238" s="31" t="str">
        <x:v>Under 7.5 strikeouts</x:v>
      </x:c>
      <x:c r="J238" s="80" t="str"/>
      <x:c r="K238" s="31" t="str">
        <x:v>SOURCED</x:v>
      </x:c>
      <x:c r="L238" s="31" t="str">
        <x:v>WATCH</x:v>
      </x:c>
      <x:c r="M238" s="31" t="str">
        <x:v>Source optimizer challenger awaiting a complete workload and whiff audit.</x:v>
      </x:c>
      <x:c r="N238" s="31" t="str">
        <x:v>N</x:v>
      </x:c>
      <x:c r="O238" s="31" t="str">
        <x:v>Pending</x:v>
      </x:c>
      <x:c r="P238" s="31" t="str"/>
      <x:c r="Q238" s="33" t="str"/>
      <x:c r="R238" s="33" t="str"/>
      <x:c r="S238" s="31" t="str"/>
      <x:c r="T238" s="32" t="str"/>
      <x:c r="U238" s="31" t="str">
        <x:v>Exact DraftKings price unavailable.</x:v>
      </x:c>
      <x:c r="V238" s="31" t="str">
        <x:v>SOURCE_CALIBRATION_TEST</x:v>
      </x:c>
      <x:c r="W238" s="31" t="str">
        <x:v>EXP-02</x:v>
      </x:c>
      <x:c r="X238" s="31" t="str">
        <x:v>SNELL K-UNDER ARM</x:v>
      </x:c>
      <x:c r="Y238" s="31" t="str"/>
      <x:c r="Z238" s="31" t="str">
        <x:v>The supplied under signal adds value beyond Miami’s baseline strikeout profile.</x:v>
      </x:c>
      <x:c r="AA238" s="31" t="str">
        <x:v>Snell records eight or more strikeouts or the source mechanism remains unsupported.</x:v>
      </x:c>
      <x:c r="AB238" s="31" t="str">
        <x:v>Pending.</x:v>
      </x:c>
    </x:row>
    <x:row r="239">
      <x:c r="A239" s="79" t="str">
        <x:v>2026-09-11</x:v>
      </x:c>
      <x:c r="B239" s="31" t="str">
        <x:v>S11-P13</x:v>
      </x:c>
      <x:c r="C239" s="31" t="str">
        <x:v>S11-A18</x:v>
      </x:c>
      <x:c r="D239" s="31" t="str">
        <x:v>PAPER</x:v>
      </x:c>
      <x:c r="E239" s="31" t="str">
        <x:v>MLB</x:v>
      </x:c>
      <x:c r="F239" s="31" t="str">
        <x:v>BAL @ TOR</x:v>
      </x:c>
      <x:c r="G239" s="31" t="str">
        <x:v>Chris Bassitt</x:v>
      </x:c>
      <x:c r="H239" s="31" t="str">
        <x:v>Pitcher Strikeouts</x:v>
      </x:c>
      <x:c r="I239" s="31" t="str">
        <x:v>4+ / over 3.5 strikeouts</x:v>
      </x:c>
      <x:c r="J239" s="80" t="n">
        <x:v>118</x:v>
      </x:c>
      <x:c r="K239" s="31" t="str">
        <x:v>SOURCED</x:v>
      </x:c>
      <x:c r="L239" s="31" t="str">
        <x:v>WATCH</x:v>
      </x:c>
      <x:c r="M239" s="31" t="str">
        <x:v>Strikeout-expression control against the Bassitt outs-under thesis.</x:v>
      </x:c>
      <x:c r="N239" s="31" t="str">
        <x:v>N</x:v>
      </x:c>
      <x:c r="O239" s="31" t="str">
        <x:v>Pending</x:v>
      </x:c>
      <x:c r="P239" s="31" t="str"/>
      <x:c r="Q239" s="33" t="str"/>
      <x:c r="R239" s="33" t="str"/>
      <x:c r="S239" s="31" t="str"/>
      <x:c r="T239" s="32" t="str"/>
      <x:c r="U239" s="31" t="str">
        <x:v>External +118 source price; exact DraftKings price unavailable.</x:v>
      </x:c>
      <x:c r="V239" s="31" t="str">
        <x:v>MARKET_EXPRESSION_TEST</x:v>
      </x:c>
      <x:c r="W239" s="31" t="str">
        <x:v>EXP-01</x:v>
      </x:c>
      <x:c r="X239" s="31" t="str">
        <x:v>BASSITT K ARM</x:v>
      </x:c>
      <x:c r="Y239" s="31" t="str">
        <x:v>S11-A18</x:v>
      </x:c>
      <x:c r="Z239" s="31" t="str">
        <x:v>Bassitt’s strikeout threshold is a better expression than the deteriorated outs under.</x:v>
      </x:c>
      <x:c r="AA239" s="31" t="str">
        <x:v>Bassitt finishes below four strikeouts.</x:v>
      </x:c>
      <x:c r="AB239" s="31" t="str">
        <x:v>Pending.</x:v>
      </x:c>
    </x:row>
    <x:row r="240">
      <x:c r="A240" s="79" t="str">
        <x:v>2026-09-11</x:v>
      </x:c>
      <x:c r="B240" s="31" t="str">
        <x:v>S11-P14</x:v>
      </x:c>
      <x:c r="C240" s="31" t="str">
        <x:v>S11-A10</x:v>
      </x:c>
      <x:c r="D240" s="31" t="str">
        <x:v>PAPER</x:v>
      </x:c>
      <x:c r="E240" s="31" t="str">
        <x:v>NCAAF</x:v>
      </x:c>
      <x:c r="F240" s="31" t="str">
        <x:v>VILL @ LOU</x:v>
      </x:c>
      <x:c r="G240" s="31" t="str">
        <x:v>Louisville Cardinals</x:v>
      </x:c>
      <x:c r="H240" s="31" t="str">
        <x:v>First-Half Spread</x:v>
      </x:c>
      <x:c r="I240" s="31" t="str">
        <x:v>Louisville -23.5 first half</x:v>
      </x:c>
      <x:c r="J240" s="80" t="n">
        <x:v>-108</x:v>
      </x:c>
      <x:c r="K240" s="31" t="str">
        <x:v>DISCOVERED</x:v>
      </x:c>
      <x:c r="L240" s="31" t="str">
        <x:v>PASS</x:v>
      </x:c>
      <x:c r="M240" s="31" t="str">
        <x:v>The mismatch thesis survived, but the exact threshold failed the cash gate.</x:v>
      </x:c>
      <x:c r="N240" s="31" t="str">
        <x:v>N</x:v>
      </x:c>
      <x:c r="O240" s="31" t="str">
        <x:v>Pending</x:v>
      </x:c>
      <x:c r="P240" s="31" t="str"/>
      <x:c r="Q240" s="33" t="str"/>
      <x:c r="R240" s="33" t="str"/>
      <x:c r="S240" s="31" t="str"/>
      <x:c r="T240" s="32" t="str"/>
      <x:c r="U240" s="31" t="str">
        <x:v>DraftKings required a 24-point halftime lead.</x:v>
      </x:c>
      <x:c r="V240" s="31" t="str">
        <x:v>THRESHOLD_TEST</x:v>
      </x:c>
      <x:c r="W240" s="31" t="str">
        <x:v>EXP-22</x:v>
      </x:c>
      <x:c r="X240" s="31" t="str">
        <x:v>LOUISVILLE 1H -23.5 ARM</x:v>
      </x:c>
      <x:c r="Y240" s="31" t="str"/>
      <x:c r="Z240" s="31" t="str">
        <x:v>Louisville’s starters create a four-touchdown halftime margin.</x:v>
      </x:c>
      <x:c r="AA240" s="31" t="str">
        <x:v>Louisville leads by fewer than 24 at halftime.</x:v>
      </x:c>
      <x:c r="AB240" s="31" t="str">
        <x:v>Pending.</x:v>
      </x:c>
    </x:row>
    <x:row r="241">
      <x:c r="A241" s="79" t="str">
        <x:v>2026-09-11</x:v>
      </x:c>
      <x:c r="B241" s="31" t="str">
        <x:v>S11-P15</x:v>
      </x:c>
      <x:c r="C241" s="31" t="str"/>
      <x:c r="D241" s="31" t="str">
        <x:v>PAPER</x:v>
      </x:c>
      <x:c r="E241" s="31" t="str">
        <x:v>MLB</x:v>
      </x:c>
      <x:c r="F241" s="31" t="str">
        <x:v>SD @ SF</x:v>
      </x:c>
      <x:c r="G241" s="31" t="str">
        <x:v>Rejected Rafael Devers source row</x:v>
      </x:c>
      <x:c r="H241" s="31" t="str">
        <x:v>Source Data Quality</x:v>
      </x:c>
      <x:c r="I241" s="31" t="str">
        <x:v>Source claimed Devers 2+ total bases versus teammate Robbie Ray</x:v>
      </x:c>
      <x:c r="J241" s="80" t="str"/>
      <x:c r="K241" s="31" t="str">
        <x:v>SOURCED</x:v>
      </x:c>
      <x:c r="L241" s="31" t="str">
        <x:v>REJECT</x:v>
      </x:c>
      <x:c r="M241" s="31" t="str">
        <x:v>Preserve a hard factual-integrity failure without allowing it into candidate performance.</x:v>
      </x:c>
      <x:c r="N241" s="31" t="str">
        <x:v>N</x:v>
      </x:c>
      <x:c r="O241" s="31" t="str">
        <x:v>N/A</x:v>
      </x:c>
      <x:c r="P241" s="31" t="str"/>
      <x:c r="Q241" s="33" t="str"/>
      <x:c r="R241" s="33" t="str"/>
      <x:c r="S241" s="31" t="str"/>
      <x:c r="T241" s="32" t="str"/>
      <x:c r="U241" s="31" t="str">
        <x:v>Devers and Ray are teammates; the described batter-versus-pitcher matchup cannot occur.</x:v>
      </x:c>
      <x:c r="V241" s="31" t="str">
        <x:v>SOURCE_DATA_QUALITY</x:v>
      </x:c>
      <x:c r="W241" s="31" t="str">
        <x:v>EXP-07</x:v>
      </x:c>
      <x:c r="X241" s="31" t="str">
        <x:v>IMPOSSIBLE MATCHUP ERROR</x:v>
      </x:c>
      <x:c r="Y241" s="31" t="str"/>
      <x:c r="Z241" s="31" t="str">
        <x:v>Source rows must survive identity and matchup validation before use.</x:v>
      </x:c>
      <x:c r="AA241" s="31" t="str">
        <x:v>A verified active roster and matchup showed the source row was possible.</x:v>
      </x:c>
      <x:c r="AB241" s="31" t="str">
        <x:v>Rejected before use; excluded from performance results.</x:v>
      </x:c>
    </x:row>
    <x:row r="242">
      <x:c r="A242" s="79" t="str">
        <x:v>2026-09-12</x:v>
      </x:c>
      <x:c r="B242" s="31" t="str">
        <x:v>S12-P01</x:v>
      </x:c>
      <x:c r="C242" s="31" t="str"/>
      <x:c r="D242" s="31" t="str">
        <x:v>PAPER</x:v>
      </x:c>
      <x:c r="E242" s="31" t="str">
        <x:v>NCAAF</x:v>
      </x:c>
      <x:c r="F242" s="31" t="str">
        <x:v>OSU @ TEX</x:v>
      </x:c>
      <x:c r="G242" s="31" t="str">
        <x:v>Ohio State Buckeyes</x:v>
      </x:c>
      <x:c r="H242" s="31" t="str">
        <x:v>Spread / moneyline</x:v>
      </x:c>
      <x:c r="I242" s="31" t="str">
        <x:v>Ohio State +1.5 / ML -102</x:v>
      </x:c>
      <x:c r="J242" s="80" t="n">
        <x:v>-102</x:v>
      </x:c>
      <x:c r="K242" s="31" t="str">
        <x:v>SOURCED</x:v>
      </x:c>
      <x:c r="L242" s="31" t="str">
        <x:v>WATCH</x:v>
      </x:c>
      <x:c r="M242" s="31" t="str">
        <x:v>Source-disagreement cluster versus a Texas -1.5 independent source view; treat spread and ML as one correlated hypothesis.</x:v>
      </x:c>
      <x:c r="N242" s="31" t="str">
        <x:v>N</x:v>
      </x:c>
      <x:c r="O242" s="31" t="str">
        <x:v>Pending</x:v>
      </x:c>
      <x:c r="P242" s="31" t="str"/>
      <x:c r="Q242" s="33" t="str"/>
      <x:c r="R242" s="33" t="str"/>
      <x:c r="S242" s="31" t="str"/>
      <x:c r="T242" s="32" t="str"/>
      <x:c r="U242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2" s="31" t="str">
        <x:v>CONFLICT_CLUSTER</x:v>
      </x:c>
      <x:c r="W242" s="31" t="str">
        <x:v>EXP-23</x:v>
      </x:c>
      <x:c r="X242" s="31" t="str">
        <x:v>OHIO STATE +1.5 / ML -102</x:v>
      </x:c>
      <x:c r="Y242" s="31" t="str"/>
      <x:c r="Z242" s="31" t="str">
        <x:v>Source-disagreement cluster versus a Texas -1.5 independent source view; treat spread and ML as one correlated hypothesis.</x:v>
      </x:c>
      <x:c r="AA242" s="31" t="str">
        <x:v>The proposition loses, the role/event is invalid, or price verification removes the claimed edge.</x:v>
      </x:c>
      <x:c r="AB242" s="31" t="str">
        <x:v>Pending.</x:v>
      </x:c>
    </x:row>
    <x:row r="243">
      <x:c r="A243" s="79" t="str">
        <x:v>2026-09-12</x:v>
      </x:c>
      <x:c r="B243" s="31" t="str">
        <x:v>S12-P02</x:v>
      </x:c>
      <x:c r="C243" s="31" t="str"/>
      <x:c r="D243" s="31" t="str">
        <x:v>PAPER</x:v>
      </x:c>
      <x:c r="E243" s="31" t="str">
        <x:v>NCAAF</x:v>
      </x:c>
      <x:c r="F243" s="31" t="str">
        <x:v>OSU @ TEX</x:v>
      </x:c>
      <x:c r="G243" s="31" t="str">
        <x:v>Ohio State–Texas</x:v>
      </x:c>
      <x:c r="H243" s="31" t="str">
        <x:v>Game total</x:v>
      </x:c>
      <x:c r="I243" s="31" t="str">
        <x:v>Under 50 / Over 54.5</x:v>
      </x:c>
      <x:c r="J243" s="80" t="str"/>
      <x:c r="K243" s="31" t="str">
        <x:v>SOURCED</x:v>
      </x:c>
      <x:c r="L243" s="31" t="str">
        <x:v>WATCH</x:v>
      </x:c>
      <x:c r="M243" s="31" t="str">
        <x:v>Directional total disagreement retained as paired Paper arms, not independent observations.</x:v>
      </x:c>
      <x:c r="N243" s="31" t="str">
        <x:v>N</x:v>
      </x:c>
      <x:c r="O243" s="31" t="str">
        <x:v>Pending</x:v>
      </x:c>
      <x:c r="P243" s="31" t="str"/>
      <x:c r="Q243" s="33" t="str"/>
      <x:c r="R243" s="33" t="str"/>
      <x:c r="S243" s="31" t="str"/>
      <x:c r="T243" s="32" t="str"/>
      <x:c r="U24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3" s="31" t="str">
        <x:v>CONFLICT_CLUSTER</x:v>
      </x:c>
      <x:c r="W243" s="31" t="str">
        <x:v>EXP-23</x:v>
      </x:c>
      <x:c r="X243" s="31" t="str">
        <x:v>UNDER 50 / OVER 54.5</x:v>
      </x:c>
      <x:c r="Y243" s="31" t="str"/>
      <x:c r="Z243" s="31" t="str">
        <x:v>Directional total disagreement retained as paired Paper arms, not independent observations.</x:v>
      </x:c>
      <x:c r="AA243" s="31" t="str">
        <x:v>The proposition loses, the role/event is invalid, or price verification removes the claimed edge.</x:v>
      </x:c>
      <x:c r="AB243" s="31" t="str">
        <x:v>Pending.</x:v>
      </x:c>
    </x:row>
    <x:row r="244">
      <x:c r="A244" s="79" t="str">
        <x:v>2026-09-12</x:v>
      </x:c>
      <x:c r="B244" s="31" t="str">
        <x:v>S12-P03</x:v>
      </x:c>
      <x:c r="C244" s="31" t="str"/>
      <x:c r="D244" s="31" t="str">
        <x:v>PAPER</x:v>
      </x:c>
      <x:c r="E244" s="31" t="str">
        <x:v>NCAAF</x:v>
      </x:c>
      <x:c r="F244" s="31" t="str">
        <x:v>ODU @ VT</x:v>
      </x:c>
      <x:c r="G244" s="31" t="str">
        <x:v>Old Dominion Monarchs</x:v>
      </x:c>
      <x:c r="H244" s="31" t="str">
        <x:v>Spread</x:v>
      </x:c>
      <x:c r="I244" s="31" t="str">
        <x:v>Old Dominion +19</x:v>
      </x:c>
      <x:c r="J244" s="80" t="str"/>
      <x:c r="K244" s="31" t="str">
        <x:v>SOURCED</x:v>
      </x:c>
      <x:c r="L244" s="31" t="str">
        <x:v>WATCH</x:v>
      </x:c>
      <x:c r="M244" s="31" t="str">
        <x:v>Source-led large-underdog spread requiring independent matchup and price verification.</x:v>
      </x:c>
      <x:c r="N244" s="31" t="str">
        <x:v>N</x:v>
      </x:c>
      <x:c r="O244" s="31" t="str">
        <x:v>Pending</x:v>
      </x:c>
      <x:c r="P244" s="31" t="str"/>
      <x:c r="Q244" s="33" t="str"/>
      <x:c r="R244" s="33" t="str"/>
      <x:c r="S244" s="31" t="str"/>
      <x:c r="T244" s="32" t="str"/>
      <x:c r="U244" s="31" t="str">
        <x:v>Source-led Paper row from CFB Late Refresh; official event schedule: https://www.espn.com/college-football/game/_/gameId/401858221/old-dominion-virginia-tech. Exact DraftKings price is blank unless explicitly shown in the source text.</x:v>
      </x:c>
      <x:c r="V244" s="31" t="str">
        <x:v>REPLICATION</x:v>
      </x:c>
      <x:c r="W244" s="31" t="str">
        <x:v>EXP-43</x:v>
      </x:c>
      <x:c r="X244" s="31" t="str">
        <x:v>OLD DOMINION +19</x:v>
      </x:c>
      <x:c r="Y244" s="31" t="str"/>
      <x:c r="Z244" s="31" t="str">
        <x:v>Source-led large-underdog spread requiring independent matchup and price verification.</x:v>
      </x:c>
      <x:c r="AA244" s="31" t="str">
        <x:v>The proposition loses, the role/event is invalid, or price verification removes the claimed edge.</x:v>
      </x:c>
      <x:c r="AB244" s="31" t="str">
        <x:v>Pending.</x:v>
      </x:c>
    </x:row>
    <x:row r="245">
      <x:c r="A245" s="79" t="str">
        <x:v>2026-09-12</x:v>
      </x:c>
      <x:c r="B245" s="31" t="str">
        <x:v>S12-P04</x:v>
      </x:c>
      <x:c r="C245" s="31" t="str"/>
      <x:c r="D245" s="31" t="str">
        <x:v>PAPER</x:v>
      </x:c>
      <x:c r="E245" s="31" t="str">
        <x:v>NCAAF</x:v>
      </x:c>
      <x:c r="F245" s="31" t="str">
        <x:v>EMU @ MSU</x:v>
      </x:c>
      <x:c r="G245" s="31" t="str">
        <x:v>Eastern Michigan Eagles</x:v>
      </x:c>
      <x:c r="H245" s="31" t="str">
        <x:v>Spread / moneyline</x:v>
      </x:c>
      <x:c r="I245" s="31" t="str">
        <x:v>Eastern Michigan +17.5 / ML +600</x:v>
      </x:c>
      <x:c r="J245" s="80" t="n">
        <x:v>600</x:v>
      </x:c>
      <x:c r="K245" s="31" t="str">
        <x:v>SOURCED</x:v>
      </x:c>
      <x:c r="L245" s="31" t="str">
        <x:v>WATCH</x:v>
      </x:c>
      <x:c r="M245" s="31" t="str">
        <x:v>Paired competitive-underdog and upset expressions; one correlated source-led cluster.</x:v>
      </x:c>
      <x:c r="N245" s="31" t="str">
        <x:v>N</x:v>
      </x:c>
      <x:c r="O245" s="31" t="str">
        <x:v>Pending</x:v>
      </x:c>
      <x:c r="P245" s="31" t="str"/>
      <x:c r="Q245" s="33" t="str"/>
      <x:c r="R245" s="33" t="str"/>
      <x:c r="S245" s="31" t="str"/>
      <x:c r="T245" s="32" t="str"/>
      <x:c r="U245" s="31" t="str">
        <x:v>Source-led Paper row from CFB Late Refresh; official event schedule: https://www.espn.com/college-football/game/_/gameId/401858440/e-michigan-michigan-st. Exact DraftKings price is blank unless explicitly shown in the source text.</x:v>
      </x:c>
      <x:c r="V245" s="31" t="str">
        <x:v>CONFLICT_CLUSTER</x:v>
      </x:c>
      <x:c r="W245" s="31" t="str">
        <x:v>EXP-23</x:v>
      </x:c>
      <x:c r="X245" s="31" t="str">
        <x:v>EASTERN MICHIGAN +17.5 / ML +600</x:v>
      </x:c>
      <x:c r="Y245" s="31" t="str"/>
      <x:c r="Z245" s="31" t="str">
        <x:v>Paired competitive-underdog and upset expressions; one correlated source-led cluster.</x:v>
      </x:c>
      <x:c r="AA245" s="31" t="str">
        <x:v>The proposition loses, the role/event is invalid, or price verification removes the claimed edge.</x:v>
      </x:c>
      <x:c r="AB245" s="31" t="str">
        <x:v>Pending.</x:v>
      </x:c>
    </x:row>
    <x:row r="246">
      <x:c r="A246" s="79" t="str">
        <x:v>2026-09-12</x:v>
      </x:c>
      <x:c r="B246" s="31" t="str">
        <x:v>S12-P05</x:v>
      </x:c>
      <x:c r="C246" s="31" t="str"/>
      <x:c r="D246" s="31" t="str">
        <x:v>PAPER</x:v>
      </x:c>
      <x:c r="E246" s="31" t="str">
        <x:v>NCAAF</x:v>
      </x:c>
      <x:c r="F246" s="31" t="str">
        <x:v>MD @ CONN</x:v>
      </x:c>
      <x:c r="G246" s="31" t="str">
        <x:v>UConn Huskies</x:v>
      </x:c>
      <x:c r="H246" s="31" t="str">
        <x:v>Spread / moneyline</x:v>
      </x:c>
      <x:c r="I246" s="31" t="str">
        <x:v>UConn +12.5 / ML +350</x:v>
      </x:c>
      <x:c r="J246" s="80" t="n">
        <x:v>350</x:v>
      </x:c>
      <x:c r="K246" s="31" t="str">
        <x:v>SOURCED</x:v>
      </x:c>
      <x:c r="L246" s="31" t="str">
        <x:v>WATCH</x:v>
      </x:c>
      <x:c r="M246" s="31" t="str">
        <x:v>Paired competitive-underdog and upset expressions; one correlated source-led cluster.</x:v>
      </x:c>
      <x:c r="N246" s="31" t="str">
        <x:v>N</x:v>
      </x:c>
      <x:c r="O246" s="31" t="str">
        <x:v>Pending</x:v>
      </x:c>
      <x:c r="P246" s="31" t="str"/>
      <x:c r="Q246" s="33" t="str"/>
      <x:c r="R246" s="33" t="str"/>
      <x:c r="S246" s="31" t="str"/>
      <x:c r="T246" s="32" t="str"/>
      <x:c r="U246" s="31" t="str">
        <x:v>Source-led Paper row from CFB Late Refresh; official event schedule: https://www.espn.com/college-football/game/_/gameId/401858444/maryland-uconn. Exact DraftKings price is blank unless explicitly shown in the source text.</x:v>
      </x:c>
      <x:c r="V246" s="31" t="str">
        <x:v>CONFLICT_CLUSTER</x:v>
      </x:c>
      <x:c r="W246" s="31" t="str">
        <x:v>EXP-23</x:v>
      </x:c>
      <x:c r="X246" s="31" t="str">
        <x:v>UCONN +12.5 / ML +350</x:v>
      </x:c>
      <x:c r="Y246" s="31" t="str"/>
      <x:c r="Z246" s="31" t="str">
        <x:v>Paired competitive-underdog and upset expressions; one correlated source-led cluster.</x:v>
      </x:c>
      <x:c r="AA246" s="31" t="str">
        <x:v>The proposition loses, the role/event is invalid, or price verification removes the claimed edge.</x:v>
      </x:c>
      <x:c r="AB246" s="31" t="str">
        <x:v>Pending.</x:v>
      </x:c>
    </x:row>
    <x:row r="247">
      <x:c r="A247" s="79" t="str">
        <x:v>2026-09-12</x:v>
      </x:c>
      <x:c r="B247" s="31" t="str">
        <x:v>S12-P06</x:v>
      </x:c>
      <x:c r="C247" s="31" t="str"/>
      <x:c r="D247" s="31" t="str">
        <x:v>PAPER</x:v>
      </x:c>
      <x:c r="E247" s="31" t="str">
        <x:v>NCAAF</x:v>
      </x:c>
      <x:c r="F247" s="31" t="str">
        <x:v>SAC @ FRES</x:v>
      </x:c>
      <x:c r="G247" s="31" t="str">
        <x:v>Sacramento State Hornets</x:v>
      </x:c>
      <x:c r="H247" s="31" t="str">
        <x:v>Spread</x:v>
      </x:c>
      <x:c r="I247" s="31" t="str">
        <x:v>Sacramento State +18.5</x:v>
      </x:c>
      <x:c r="J247" s="80" t="str"/>
      <x:c r="K247" s="31" t="str">
        <x:v>SOURCED</x:v>
      </x:c>
      <x:c r="L247" s="31" t="str">
        <x:v>WATCH</x:v>
      </x:c>
      <x:c r="M247" s="31" t="str">
        <x:v>Source-led large-underdog spread requiring independent matchup and price verification.</x:v>
      </x:c>
      <x:c r="N247" s="31" t="str">
        <x:v>N</x:v>
      </x:c>
      <x:c r="O247" s="31" t="str">
        <x:v>Pending</x:v>
      </x:c>
      <x:c r="P247" s="31" t="str"/>
      <x:c r="Q247" s="33" t="str"/>
      <x:c r="R247" s="33" t="str"/>
      <x:c r="S247" s="31" t="str"/>
      <x:c r="T247" s="32" t="str"/>
      <x:c r="U247" s="31" t="str">
        <x:v>Source-led Paper row from CFB Late Refresh; official event schedule: https://www.espn.com/college-football/game/_/gameId/401860883/sacramento-st-fresno-st. Exact DraftKings price is blank unless explicitly shown in the source text.</x:v>
      </x:c>
      <x:c r="V247" s="31" t="str">
        <x:v>REPLICATION</x:v>
      </x:c>
      <x:c r="W247" s="31" t="str">
        <x:v>EXP-43</x:v>
      </x:c>
      <x:c r="X247" s="31" t="str">
        <x:v>SACRAMENTO STATE +18.5</x:v>
      </x:c>
      <x:c r="Y247" s="31" t="str"/>
      <x:c r="Z247" s="31" t="str">
        <x:v>Source-led large-underdog spread requiring independent matchup and price verification.</x:v>
      </x:c>
      <x:c r="AA247" s="31" t="str">
        <x:v>The proposition loses, the role/event is invalid, or price verification removes the claimed edge.</x:v>
      </x:c>
      <x:c r="AB247" s="31" t="str">
        <x:v>Pending.</x:v>
      </x:c>
    </x:row>
    <x:row r="248">
      <x:c r="A248" s="79" t="str">
        <x:v>2026-09-12</x:v>
      </x:c>
      <x:c r="B248" s="31" t="str">
        <x:v>S12-P07</x:v>
      </x:c>
      <x:c r="C248" s="31" t="str"/>
      <x:c r="D248" s="31" t="str">
        <x:v>PAPER</x:v>
      </x:c>
      <x:c r="E248" s="31" t="str">
        <x:v>MLB</x:v>
      </x:c>
      <x:c r="F248" s="31" t="str">
        <x:v>LAD @ MIA</x:v>
      </x:c>
      <x:c r="G248" s="31" t="str">
        <x:v>Tyler Phillips</x:v>
      </x:c>
      <x:c r="H248" s="31" t="str">
        <x:v>Pitcher strikeouts</x:v>
      </x:c>
      <x:c r="I248" s="31" t="str">
        <x:v>Over 3.5 strikeouts</x:v>
      </x:c>
      <x:c r="J248" s="80" t="str"/>
      <x:c r="K248" s="31" t="str">
        <x:v>SOURCED</x:v>
      </x:c>
      <x:c r="L248" s="31" t="str">
        <x:v>WATCH</x:v>
      </x:c>
      <x:c r="M248" s="31" t="str">
        <x:v>External optimizer reports an 8.0% edge, but exact DraftKings price and independent current-regime audit are unavailable.</x:v>
      </x:c>
      <x:c r="N248" s="31" t="str">
        <x:v>N</x:v>
      </x:c>
      <x:c r="O248" s="31" t="str">
        <x:v>Pending</x:v>
      </x:c>
      <x:c r="P248" s="31" t="str"/>
      <x:c r="Q248" s="33" t="str"/>
      <x:c r="R248" s="33" t="str"/>
      <x:c r="S248" s="31" t="str"/>
      <x:c r="T248" s="32" t="str"/>
      <x:c r="U248" s="31" t="str">
        <x:v>Source-led Paper row from CFB Late Refresh; official event schedule: https://www.mlb.com/gameday/823819. Exact DraftKings price is blank unless explicitly shown in the source text.</x:v>
      </x:c>
      <x:c r="V248" s="31" t="str">
        <x:v>CHALLENGER</x:v>
      </x:c>
      <x:c r="W248" s="31" t="str">
        <x:v>EXP-43</x:v>
      </x:c>
      <x:c r="X248" s="31" t="str">
        <x:v>OVER 3.5 STRIKEOUTS</x:v>
      </x:c>
      <x:c r="Y248" s="31" t="str"/>
      <x:c r="Z248" s="31" t="str">
        <x:v>External optimizer reports an 8.0% edge, but exact DraftKings price and independent current-regime audit are unavailable.</x:v>
      </x:c>
      <x:c r="AA248" s="31" t="str">
        <x:v>The proposition loses, the role/event is invalid, or price verification removes the claimed edge.</x:v>
      </x:c>
      <x:c r="AB248" s="31" t="str">
        <x:v>Pending.</x:v>
      </x:c>
    </x:row>
    <x:row r="249">
      <x:c r="A249" s="79" t="str">
        <x:v>2026-09-12</x:v>
      </x:c>
      <x:c r="B249" s="31" t="str">
        <x:v>S12-P08</x:v>
      </x:c>
      <x:c r="C249" s="31" t="str"/>
      <x:c r="D249" s="31" t="str">
        <x:v>PAPER</x:v>
      </x:c>
      <x:c r="E249" s="31" t="str">
        <x:v>MLB</x:v>
      </x:c>
      <x:c r="F249" s="31" t="str">
        <x:v>BAL @ TOR</x:v>
      </x:c>
      <x:c r="G249" s="31" t="str">
        <x:v>Kyle Bradish</x:v>
      </x:c>
      <x:c r="H249" s="31" t="str">
        <x:v>Pitcher outs</x:v>
      </x:c>
      <x:c r="I249" s="31" t="str">
        <x:v>Over 16.5 pitching outs</x:v>
      </x:c>
      <x:c r="J249" s="80" t="str"/>
      <x:c r="K249" s="31" t="str">
        <x:v>SOURCED</x:v>
      </x:c>
      <x:c r="L249" s="31" t="str">
        <x:v>WATCH</x:v>
      </x:c>
      <x:c r="M249" s="31" t="str">
        <x:v>External optimizer reports a 5.2% edge; compare with the independently reviewed hits and walks expressions as one correlated thesis.</x:v>
      </x:c>
      <x:c r="N249" s="31" t="str">
        <x:v>N</x:v>
      </x:c>
      <x:c r="O249" s="31" t="str">
        <x:v>Pending</x:v>
      </x:c>
      <x:c r="P249" s="31" t="str"/>
      <x:c r="Q249" s="33" t="str"/>
      <x:c r="R249" s="33" t="str"/>
      <x:c r="S249" s="31" t="str"/>
      <x:c r="T249" s="32" t="str"/>
      <x:c r="U249" s="31" t="str">
        <x:v>Source-led Paper row from CFB Late Refresh; official event schedule: https://www.mlb.com/gameday/822768. Exact DraftKings price is blank unless explicitly shown in the source text.</x:v>
      </x:c>
      <x:c r="V249" s="31" t="str">
        <x:v>CHALLENGER</x:v>
      </x:c>
      <x:c r="W249" s="31" t="str">
        <x:v>EXP-43</x:v>
      </x:c>
      <x:c r="X249" s="31" t="str">
        <x:v>OVER 16.5 PITCHING OUTS</x:v>
      </x:c>
      <x:c r="Y249" s="31" t="str"/>
      <x:c r="Z249" s="31" t="str">
        <x:v>External optimizer reports a 5.2% edge; compare with the independently reviewed hits and walks expressions as one correlated thesis.</x:v>
      </x:c>
      <x:c r="AA249" s="31" t="str">
        <x:v>The proposition loses, the role/event is invalid, or price verification removes the claimed edge.</x:v>
      </x:c>
      <x:c r="AB249" s="31" t="str">
        <x:v>Pending.</x:v>
      </x:c>
    </x:row>
    <x:row r="250">
      <x:c r="A250" s="79" t="str">
        <x:v>2026-09-12</x:v>
      </x:c>
      <x:c r="B250" s="31" t="str">
        <x:v>S12-P09</x:v>
      </x:c>
      <x:c r="C250" s="31" t="str"/>
      <x:c r="D250" s="31" t="str">
        <x:v>PAPER</x:v>
      </x:c>
      <x:c r="E250" s="31" t="str">
        <x:v>MLB</x:v>
      </x:c>
      <x:c r="F250" s="31" t="str">
        <x:v>KC @ BOS</x:v>
      </x:c>
      <x:c r="G250" s="31" t="str">
        <x:v>Ranger Suárez</x:v>
      </x:c>
      <x:c r="H250" s="31" t="str">
        <x:v>Pitcher outs</x:v>
      </x:c>
      <x:c r="I250" s="31" t="str">
        <x:v>Over 17.5 pitching outs</x:v>
      </x:c>
      <x:c r="J250" s="80" t="str"/>
      <x:c r="K250" s="31" t="str">
        <x:v>SOURCED</x:v>
      </x:c>
      <x:c r="L250" s="31" t="str">
        <x:v>WATCH</x:v>
      </x:c>
      <x:c r="M250" s="31" t="str">
        <x:v>External optimizer reports a 4.7% edge; exact price and recent workload re-audit remain required.</x:v>
      </x:c>
      <x:c r="N250" s="31" t="str">
        <x:v>N</x:v>
      </x:c>
      <x:c r="O250" s="31" t="str">
        <x:v>Pending</x:v>
      </x:c>
      <x:c r="P250" s="31" t="str"/>
      <x:c r="Q250" s="33" t="str"/>
      <x:c r="R250" s="33" t="str"/>
      <x:c r="S250" s="31" t="str"/>
      <x:c r="T250" s="32" t="str"/>
      <x:c r="U250" s="31" t="str">
        <x:v>Source-led Paper row from CFB Late Refresh; official event schedule: https://www.mlb.com/gameday/824712. Exact DraftKings price is blank unless explicitly shown in the source text.</x:v>
      </x:c>
      <x:c r="V250" s="31" t="str">
        <x:v>CHALLENGER</x:v>
      </x:c>
      <x:c r="W250" s="31" t="str">
        <x:v>EXP-43</x:v>
      </x:c>
      <x:c r="X250" s="31" t="str">
        <x:v>OVER 17.5 PITCHING OUTS</x:v>
      </x:c>
      <x:c r="Y250" s="31" t="str"/>
      <x:c r="Z250" s="31" t="str">
        <x:v>External optimizer reports a 4.7% edge; exact price and recent workload re-audit remain required.</x:v>
      </x:c>
      <x:c r="AA250" s="31" t="str">
        <x:v>The proposition loses, the role/event is invalid, or price verification removes the claimed edge.</x:v>
      </x:c>
      <x:c r="AB250" s="31" t="str">
        <x:v>Pending.</x:v>
      </x:c>
    </x:row>
    <x:row r="251">
      <x:c r="A251" s="79" t="str">
        <x:v>2026-09-12</x:v>
      </x:c>
      <x:c r="B251" s="31" t="str">
        <x:v>S12-P10</x:v>
      </x:c>
      <x:c r="C251" s="31" t="str"/>
      <x:c r="D251" s="31" t="str">
        <x:v>PAPER</x:v>
      </x:c>
      <x:c r="E251" s="31" t="str">
        <x:v>MLB</x:v>
      </x:c>
      <x:c r="F251" s="31" t="str">
        <x:v>LAA @ WSH</x:v>
      </x:c>
      <x:c r="G251" s="31" t="str">
        <x:v>Walbert Ureña</x:v>
      </x:c>
      <x:c r="H251" s="31" t="str">
        <x:v>Pitcher strikeouts</x:v>
      </x:c>
      <x:c r="I251" s="31" t="str">
        <x:v>Over 4.5 strikeouts</x:v>
      </x:c>
      <x:c r="J251" s="80" t="str"/>
      <x:c r="K251" s="31" t="str">
        <x:v>SOURCED</x:v>
      </x:c>
      <x:c r="L251" s="31" t="str">
        <x:v>WATCH</x:v>
      </x:c>
      <x:c r="M251" s="31" t="str">
        <x:v>External optimizer reports a 4.6% edge; compare with the independently surfaced workload and command expressions.</x:v>
      </x:c>
      <x:c r="N251" s="31" t="str">
        <x:v>N</x:v>
      </x:c>
      <x:c r="O251" s="31" t="str">
        <x:v>Pending</x:v>
      </x:c>
      <x:c r="P251" s="31" t="str"/>
      <x:c r="Q251" s="33" t="str"/>
      <x:c r="R251" s="33" t="str"/>
      <x:c r="S251" s="31" t="str"/>
      <x:c r="T251" s="32" t="str"/>
      <x:c r="U251" s="31" t="str">
        <x:v>Source-led Paper row from CFB Late Refresh; official event schedule: https://www.mlb.com/gameday/822685. Exact DraftKings price is blank unless explicitly shown in the source text.</x:v>
      </x:c>
      <x:c r="V251" s="31" t="str">
        <x:v>CHALLENGER</x:v>
      </x:c>
      <x:c r="W251" s="31" t="str">
        <x:v>EXP-43</x:v>
      </x:c>
      <x:c r="X251" s="31" t="str">
        <x:v>OVER 4.5 STRIKEOUTS</x:v>
      </x:c>
      <x:c r="Y251" s="31" t="str"/>
      <x:c r="Z251" s="31" t="str">
        <x:v>External optimizer reports a 4.6% edge; compare with the independently surfaced workload and command expressions.</x:v>
      </x:c>
      <x:c r="AA251" s="31" t="str">
        <x:v>The proposition loses, the role/event is invalid, or price verification removes the claimed edge.</x:v>
      </x:c>
      <x:c r="AB251" s="31" t="str">
        <x:v>Pending.</x:v>
      </x:c>
    </x:row>
    <x:row r="252">
      <x:c r="A252" s="79" t="str">
        <x:v>2026-09-12</x:v>
      </x:c>
      <x:c r="B252" s="31" t="str">
        <x:v>S12-P11</x:v>
      </x:c>
      <x:c r="C252" s="31" t="str"/>
      <x:c r="D252" s="31" t="str">
        <x:v>PAPER</x:v>
      </x:c>
      <x:c r="E252" s="31" t="str">
        <x:v>MLB</x:v>
      </x:c>
      <x:c r="F252" s="31" t="str">
        <x:v>PHI @ ATL</x:v>
      </x:c>
      <x:c r="G252" s="31" t="str">
        <x:v>Tyler Mahle</x:v>
      </x:c>
      <x:c r="H252" s="31" t="str">
        <x:v>Pitcher outs</x:v>
      </x:c>
      <x:c r="I252" s="31" t="str">
        <x:v>Under 16.5 pitching outs</x:v>
      </x:c>
      <x:c r="J252" s="80" t="str"/>
      <x:c r="K252" s="31" t="str">
        <x:v>SOURCED</x:v>
      </x:c>
      <x:c r="L252" s="31" t="str">
        <x:v>WATCH</x:v>
      </x:c>
      <x:c r="M252" s="31" t="str">
        <x:v>External optimizer reports a 5.0% edge; exact price and independent workload audit remain unavailable.</x:v>
      </x:c>
      <x:c r="N252" s="31" t="str">
        <x:v>N</x:v>
      </x:c>
      <x:c r="O252" s="31" t="str">
        <x:v>Pending</x:v>
      </x:c>
      <x:c r="P252" s="31" t="str"/>
      <x:c r="Q252" s="33" t="str"/>
      <x:c r="R252" s="33" t="str"/>
      <x:c r="S252" s="31" t="str"/>
      <x:c r="T252" s="32" t="str"/>
      <x:c r="U252" s="31" t="str">
        <x:v>Source-led Paper row from CFB Late Refresh; official event schedule: https://www.mlb.com/gameday/824870. Exact DraftKings price is blank unless explicitly shown in the source text.</x:v>
      </x:c>
      <x:c r="V252" s="31" t="str">
        <x:v>REPLICATION</x:v>
      </x:c>
      <x:c r="W252" s="31" t="str">
        <x:v>EXP-43</x:v>
      </x:c>
      <x:c r="X252" s="31" t="str">
        <x:v>UNDER 16.5 PITCHING OUTS</x:v>
      </x:c>
      <x:c r="Y252" s="31" t="str"/>
      <x:c r="Z252" s="31" t="str">
        <x:v>External optimizer reports a 5.0% edge; exact price and independent workload audit remain unavailable.</x:v>
      </x:c>
      <x:c r="AA252" s="31" t="str">
        <x:v>The proposition loses, the role/event is invalid, or price verification removes the claimed edge.</x:v>
      </x:c>
      <x:c r="AB252" s="31" t="str">
        <x:v>Pending.</x:v>
      </x:c>
    </x:row>
    <x:row r="253">
      <x:c r="A253" s="79" t="str">
        <x:v>2026-09-12</x:v>
      </x:c>
      <x:c r="B253" s="31" t="str">
        <x:v>S12-P12</x:v>
      </x:c>
      <x:c r="C253" s="31" t="str"/>
      <x:c r="D253" s="31" t="str">
        <x:v>PAPER</x:v>
      </x:c>
      <x:c r="E253" s="31" t="str">
        <x:v>NCAAF</x:v>
      </x:c>
      <x:c r="F253" s="31" t="str">
        <x:v>OSU @ TEX</x:v>
      </x:c>
      <x:c r="G253" s="31" t="str">
        <x:v>Cam Coleman</x:v>
      </x:c>
      <x:c r="H253" s="31" t="str">
        <x:v>Receptions</x:v>
      </x:c>
      <x:c r="I253" s="31" t="str">
        <x:v>Over 4.5 receptions</x:v>
      </x:c>
      <x:c r="J253" s="80" t="str"/>
      <x:c r="K253" s="31" t="str">
        <x:v>SOURCED</x:v>
      </x:c>
      <x:c r="L253" s="31" t="str">
        <x:v>WATCH</x:v>
      </x:c>
      <x:c r="M253" s="31" t="str">
        <x:v>External optimizer reports 6.0% EV; role, lineup, threshold price and opponent matchup have not been independently verified.</x:v>
      </x:c>
      <x:c r="N253" s="31" t="str">
        <x:v>N</x:v>
      </x:c>
      <x:c r="O253" s="31" t="str">
        <x:v>Pending</x:v>
      </x:c>
      <x:c r="P253" s="31" t="str"/>
      <x:c r="Q253" s="33" t="str"/>
      <x:c r="R253" s="33" t="str"/>
      <x:c r="S253" s="31" t="str"/>
      <x:c r="T253" s="32" t="str"/>
      <x:c r="U25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53" s="31" t="str">
        <x:v>SOURCE_PROP</x:v>
      </x:c>
      <x:c r="W253" s="31" t="str">
        <x:v>EXP-42</x:v>
      </x:c>
      <x:c r="X253" s="31" t="str">
        <x:v>OVER 4.5 RECEPTIONS</x:v>
      </x:c>
      <x:c r="Y253" s="31" t="str"/>
      <x:c r="Z253" s="31" t="str">
        <x:v>External optimizer reports 6.0% EV; role, lineup, threshold price and opponent matchup have not been independently verified.</x:v>
      </x:c>
      <x:c r="AA253" s="31" t="str">
        <x:v>The proposition loses, the role/event is invalid, or price verification removes the claimed edge.</x:v>
      </x:c>
      <x:c r="AB253" s="31" t="str">
        <x:v>Pending.</x:v>
      </x:c>
    </x:row>
    <x:row r="254">
      <x:c r="A254" s="79" t="str">
        <x:v>2026-09-12</x:v>
      </x:c>
      <x:c r="B254" s="31" t="str">
        <x:v>S12-P13</x:v>
      </x:c>
      <x:c r="C254" s="31" t="str"/>
      <x:c r="D254" s="31" t="str">
        <x:v>PAPER</x:v>
      </x:c>
      <x:c r="E254" s="31" t="str">
        <x:v>NCAAF</x:v>
      </x:c>
      <x:c r="F254" s="31" t="str">
        <x:v>ARK @ UTAH</x:v>
      </x:c>
      <x:c r="G254" s="31" t="str">
        <x:v>CJ Brown</x:v>
      </x:c>
      <x:c r="H254" s="31" t="str">
        <x:v>Receiving yards</x:v>
      </x:c>
      <x:c r="I254" s="31" t="str">
        <x:v>Over 33.5 receiving yards</x:v>
      </x:c>
      <x:c r="J254" s="80" t="str"/>
      <x:c r="K254" s="31" t="str">
        <x:v>SOURCED</x:v>
      </x:c>
      <x:c r="L254" s="31" t="str">
        <x:v>WATCH</x:v>
      </x:c>
      <x:c r="M254" s="31" t="str">
        <x:v>External optimizer reports 5.8% EV; role, lineup, threshold price and opponent matchup have not been independently verified.</x:v>
      </x:c>
      <x:c r="N254" s="31" t="str">
        <x:v>N</x:v>
      </x:c>
      <x:c r="O254" s="31" t="str">
        <x:v>Pending</x:v>
      </x:c>
      <x:c r="P254" s="31" t="str"/>
      <x:c r="Q254" s="33" t="str"/>
      <x:c r="R254" s="33" t="str"/>
      <x:c r="S254" s="31" t="str"/>
      <x:c r="T254" s="32" t="str"/>
      <x:c r="U254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4" s="31" t="str">
        <x:v>SOURCE_PROP</x:v>
      </x:c>
      <x:c r="W254" s="31" t="str">
        <x:v>EXP-42</x:v>
      </x:c>
      <x:c r="X254" s="31" t="str">
        <x:v>OVER 33.5 RECEIVING YARDS</x:v>
      </x:c>
      <x:c r="Y254" s="31" t="str"/>
      <x:c r="Z254" s="31" t="str">
        <x:v>External optimizer reports 5.8% EV; role, lineup, threshold price and opponent matchup have not been independently verified.</x:v>
      </x:c>
      <x:c r="AA254" s="31" t="str">
        <x:v>The proposition loses, the role/event is invalid, or price verification removes the claimed edge.</x:v>
      </x:c>
      <x:c r="AB254" s="31" t="str">
        <x:v>Pending.</x:v>
      </x:c>
    </x:row>
    <x:row r="255">
      <x:c r="A255" s="79" t="str">
        <x:v>2026-09-12</x:v>
      </x:c>
      <x:c r="B255" s="31" t="str">
        <x:v>S12-P14</x:v>
      </x:c>
      <x:c r="C255" s="31" t="str"/>
      <x:c r="D255" s="31" t="str">
        <x:v>PAPER</x:v>
      </x:c>
      <x:c r="E255" s="31" t="str">
        <x:v>NCAAF</x:v>
      </x:c>
      <x:c r="F255" s="31" t="str">
        <x:v>ARK @ UTAH</x:v>
      </x:c>
      <x:c r="G255" s="31" t="str">
        <x:v>Sutton Smith</x:v>
      </x:c>
      <x:c r="H255" s="31" t="str">
        <x:v>Receptions</x:v>
      </x:c>
      <x:c r="I255" s="31" t="str">
        <x:v>Under 2.5 receptions</x:v>
      </x:c>
      <x:c r="J255" s="80" t="str"/>
      <x:c r="K255" s="31" t="str">
        <x:v>SOURCED</x:v>
      </x:c>
      <x:c r="L255" s="31" t="str">
        <x:v>WATCH</x:v>
      </x:c>
      <x:c r="M255" s="31" t="str">
        <x:v>External optimizer reports 4.8% EV; role, lineup, threshold price and opponent matchup have not been independently verified.</x:v>
      </x:c>
      <x:c r="N255" s="31" t="str">
        <x:v>N</x:v>
      </x:c>
      <x:c r="O255" s="31" t="str">
        <x:v>Pending</x:v>
      </x:c>
      <x:c r="P255" s="31" t="str"/>
      <x:c r="Q255" s="33" t="str"/>
      <x:c r="R255" s="33" t="str"/>
      <x:c r="S255" s="31" t="str"/>
      <x:c r="T255" s="32" t="str"/>
      <x:c r="U255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5" s="31" t="str">
        <x:v>SOURCE_PROP</x:v>
      </x:c>
      <x:c r="W255" s="31" t="str">
        <x:v>EXP-42</x:v>
      </x:c>
      <x:c r="X255" s="31" t="str">
        <x:v>UNDER 2.5 RECEPTIONS</x:v>
      </x:c>
      <x:c r="Y255" s="31" t="str"/>
      <x:c r="Z255" s="31" t="str">
        <x:v>External optimizer reports 4.8% EV; role, lineup, threshold price and opponent matchup have not been independently verified.</x:v>
      </x:c>
      <x:c r="AA255" s="31" t="str">
        <x:v>The proposition loses, the role/event is invalid, or price verification removes the claimed edge.</x:v>
      </x:c>
      <x:c r="AB255" s="31" t="str">
        <x:v>Pending.</x:v>
      </x:c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80"/>
      <x:c r="K256" s="31"/>
      <x:c r="L256" s="31"/>
      <x:c r="M256" s="31"/>
      <x:c r="N256" s="31"/>
      <x:c r="O256" s="31"/>
      <x:c r="P256" s="31"/>
      <x:c r="Q256" s="33"/>
      <x:c r="R256" s="33"/>
      <x:c r="S256" s="31"/>
      <x:c r="T256" s="32"/>
      <x:c r="U256" s="31"/>
      <x:c r="V256" s="31"/>
      <x:c r="W256" s="31"/>
      <x:c r="X256" s="31"/>
      <x:c r="Y256" s="31"/>
      <x:c r="Z256" s="31"/>
      <x:c r="AA256" s="31"/>
      <x:c r="AB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80"/>
      <x:c r="K257" s="31"/>
      <x:c r="L257" s="31"/>
      <x:c r="M257" s="31"/>
      <x:c r="N257" s="31"/>
      <x:c r="O257" s="31"/>
      <x:c r="P257" s="31"/>
      <x:c r="Q257" s="33"/>
      <x:c r="R257" s="33"/>
      <x:c r="S257" s="31"/>
      <x:c r="T257" s="32"/>
      <x:c r="U257" s="31"/>
      <x:c r="V257" s="31"/>
      <x:c r="W257" s="31"/>
      <x:c r="X257" s="31"/>
      <x:c r="Y257" s="31"/>
      <x:c r="Z257" s="31"/>
      <x:c r="AA257" s="31"/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/>
      <x:c r="Q258" s="33"/>
      <x:c r="R258" s="33"/>
      <x:c r="S258" s="31"/>
      <x:c r="T258" s="32"/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/>
      <x:c r="Q259" s="33"/>
      <x:c r="R259" s="33"/>
      <x:c r="S259" s="31"/>
      <x:c r="T259" s="32"/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/>
      <x:c r="Q260" s="33"/>
      <x:c r="R260" s="33"/>
      <x:c r="S260" s="31"/>
      <x:c r="T260" s="32"/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/>
      <x:c r="Q261" s="33"/>
      <x:c r="R261" s="33"/>
      <x:c r="S261" s="31"/>
      <x:c r="T261" s="32"/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/>
      <x:c r="Q262" s="33"/>
      <x:c r="R262" s="33"/>
      <x:c r="S262" s="31"/>
      <x:c r="T262" s="32"/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/>
      <x:c r="Q263" s="33"/>
      <x:c r="R263" s="33"/>
      <x:c r="S263" s="31"/>
      <x:c r="T263" s="32"/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/>
      <x:c r="Q264" s="33"/>
      <x:c r="R264" s="33"/>
      <x:c r="S264" s="31"/>
      <x:c r="T264" s="32"/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/>
      <x:c r="Q265" s="33"/>
      <x:c r="R265" s="33"/>
      <x:c r="S265" s="31"/>
      <x:c r="T265" s="32"/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/>
      <x:c r="Q266" s="33"/>
      <x:c r="R266" s="33"/>
      <x:c r="S266" s="31"/>
      <x:c r="T266" s="32"/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/>
      <x:c r="Q267" s="33"/>
      <x:c r="R267" s="33"/>
      <x:c r="S267" s="31"/>
      <x:c r="T267" s="32"/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/>
      <x:c r="Q268" s="33"/>
      <x:c r="R268" s="33"/>
      <x:c r="S268" s="31"/>
      <x:c r="T268" s="32"/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/>
      <x:c r="Q269" s="33"/>
      <x:c r="R269" s="33"/>
      <x:c r="S269" s="31"/>
      <x:c r="T269" s="32"/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/>
      <x:c r="Q270" s="33"/>
      <x:c r="R270" s="33"/>
      <x:c r="S270" s="31"/>
      <x:c r="T270" s="32"/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/>
      <x:c r="Q271" s="33"/>
      <x:c r="R271" s="33"/>
      <x:c r="S271" s="31"/>
      <x:c r="T271" s="32"/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/>
      <x:c r="Q272" s="33"/>
      <x:c r="R272" s="33"/>
      <x:c r="S272" s="31"/>
      <x:c r="T272" s="32"/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/>
      <x:c r="Q273" s="33"/>
      <x:c r="R273" s="33"/>
      <x:c r="S273" s="31"/>
      <x:c r="T273" s="32"/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/>
      <x:c r="Q274" s="33"/>
      <x:c r="R274" s="33"/>
      <x:c r="S274" s="31"/>
      <x:c r="T274" s="32"/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/>
      <x:c r="Q275" s="33"/>
      <x:c r="R275" s="33"/>
      <x:c r="S275" s="31"/>
      <x:c r="T275" s="32"/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/>
      <x:c r="Q276" s="33"/>
      <x:c r="R276" s="33"/>
      <x:c r="S276" s="31"/>
      <x:c r="T276" s="32"/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/>
      <x:c r="Q277" s="33"/>
      <x:c r="R277" s="33"/>
      <x:c r="S277" s="31"/>
      <x:c r="T277" s="32"/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/>
      <x:c r="Q278" s="33"/>
      <x:c r="R278" s="33"/>
      <x:c r="S278" s="31"/>
      <x:c r="T278" s="32"/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/>
      <x:c r="Q279" s="33"/>
      <x:c r="R279" s="33"/>
      <x:c r="S279" s="31"/>
      <x:c r="T279" s="32"/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/>
      <x:c r="Q280" s="33"/>
      <x:c r="R280" s="33"/>
      <x:c r="S280" s="31"/>
      <x:c r="T280" s="32"/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/>
      <x:c r="Q281" s="33"/>
      <x:c r="R281" s="33"/>
      <x:c r="S281" s="31"/>
      <x:c r="T281" s="32"/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/>
      <x:c r="Q282" s="33"/>
      <x:c r="R282" s="33"/>
      <x:c r="S282" s="31"/>
      <x:c r="T282" s="32"/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/>
      <x:c r="Q283" s="33"/>
      <x:c r="R283" s="33"/>
      <x:c r="S283" s="31"/>
      <x:c r="T283" s="32"/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/>
      <x:c r="Q284" s="33"/>
      <x:c r="R284" s="33"/>
      <x:c r="S284" s="31"/>
      <x:c r="T284" s="32"/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/>
      <x:c r="Q285" s="33"/>
      <x:c r="R285" s="33"/>
      <x:c r="S285" s="31"/>
      <x:c r="T285" s="32"/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/>
      <x:c r="Q286" s="33"/>
      <x:c r="R286" s="33"/>
      <x:c r="S286" s="31"/>
      <x:c r="T286" s="32"/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/>
      <x:c r="Q287" s="33"/>
      <x:c r="R287" s="33"/>
      <x:c r="S287" s="31"/>
      <x:c r="T287" s="32"/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/>
      <x:c r="Q288" s="33"/>
      <x:c r="R288" s="33"/>
      <x:c r="S288" s="31"/>
      <x:c r="T288" s="32"/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/>
      <x:c r="Q289" s="33"/>
      <x:c r="R289" s="33"/>
      <x:c r="S289" s="31"/>
      <x:c r="T289" s="32"/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/>
      <x:c r="Q290" s="33"/>
      <x:c r="R290" s="33"/>
      <x:c r="S290" s="31"/>
      <x:c r="T290" s="32"/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/>
      <x:c r="Q291" s="33"/>
      <x:c r="R291" s="33"/>
      <x:c r="S291" s="31"/>
      <x:c r="T291" s="32"/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/>
      <x:c r="Q292" s="33"/>
      <x:c r="R292" s="33"/>
      <x:c r="S292" s="31"/>
      <x:c r="T292" s="32"/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/>
      <x:c r="Q293" s="33"/>
      <x:c r="R293" s="33"/>
      <x:c r="S293" s="31"/>
      <x:c r="T293" s="32"/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/>
      <x:c r="Q294" s="33"/>
      <x:c r="R294" s="33"/>
      <x:c r="S294" s="31"/>
      <x:c r="T294" s="32"/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/>
      <x:c r="Q295" s="33"/>
      <x:c r="R295" s="33"/>
      <x:c r="S295" s="31"/>
      <x:c r="T295" s="32"/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/>
      <x:c r="Q296" s="33"/>
      <x:c r="R296" s="33"/>
      <x:c r="S296" s="31"/>
      <x:c r="T296" s="32"/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/>
      <x:c r="Q297" s="33"/>
      <x:c r="R297" s="33"/>
      <x:c r="S297" s="31"/>
      <x:c r="T297" s="32"/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/>
      <x:c r="Q298" s="33"/>
      <x:c r="R298" s="33"/>
      <x:c r="S298" s="31"/>
      <x:c r="T298" s="32"/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/>
      <x:c r="Q299" s="33"/>
      <x:c r="R299" s="33"/>
      <x:c r="S299" s="31"/>
      <x:c r="T299" s="32"/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/>
      <x:c r="Q300" s="33"/>
      <x:c r="R300" s="33"/>
      <x:c r="S300" s="31"/>
      <x:c r="T300" s="32"/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/>
      <x:c r="Q301" s="33"/>
      <x:c r="R301" s="33"/>
      <x:c r="S301" s="31"/>
      <x:c r="T301" s="32"/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/>
      <x:c r="Q302" s="33"/>
      <x:c r="R302" s="33"/>
      <x:c r="S302" s="31"/>
      <x:c r="T302" s="32"/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/>
      <x:c r="Q303" s="33"/>
      <x:c r="R303" s="33"/>
      <x:c r="S303" s="31"/>
      <x:c r="T303" s="32"/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/>
      <x:c r="Q304" s="33"/>
      <x:c r="R304" s="33"/>
      <x:c r="S304" s="31"/>
      <x:c r="T304" s="32"/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/>
      <x:c r="Q305" s="33"/>
      <x:c r="R305" s="33"/>
      <x:c r="S305" s="31"/>
      <x:c r="T305" s="32"/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/>
      <x:c r="Q306" s="33"/>
      <x:c r="R306" s="33"/>
      <x:c r="S306" s="31"/>
      <x:c r="T306" s="32"/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/>
      <x:c r="Q307" s="33"/>
      <x:c r="R307" s="33"/>
      <x:c r="S307" s="31"/>
      <x:c r="T307" s="32"/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/>
      <x:c r="Q308" s="33"/>
      <x:c r="R308" s="33"/>
      <x:c r="S308" s="31"/>
      <x:c r="T308" s="32"/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/>
      <x:c r="Q309" s="33"/>
      <x:c r="R309" s="33"/>
      <x:c r="S309" s="31"/>
      <x:c r="T309" s="32"/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/>
      <x:c r="Q310" s="33"/>
      <x:c r="R310" s="33"/>
      <x:c r="S310" s="31"/>
      <x:c r="T310" s="32"/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/>
      <x:c r="Q311" s="33"/>
      <x:c r="R311" s="33"/>
      <x:c r="S311" s="31"/>
      <x:c r="T311" s="32"/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/>
      <x:c r="Q312" s="33"/>
      <x:c r="R312" s="33"/>
      <x:c r="S312" s="31"/>
      <x:c r="T312" s="32"/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/>
      <x:c r="Q313" s="33"/>
      <x:c r="R313" s="33"/>
      <x:c r="S313" s="31"/>
      <x:c r="T313" s="32"/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/>
      <x:c r="Q314" s="33"/>
      <x:c r="R314" s="33"/>
      <x:c r="S314" s="31"/>
      <x:c r="T314" s="32"/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/>
      <x:c r="Q315" s="33"/>
      <x:c r="R315" s="33"/>
      <x:c r="S315" s="31"/>
      <x:c r="T315" s="32"/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/>
      <x:c r="Q316" s="33"/>
      <x:c r="R316" s="33"/>
      <x:c r="S316" s="31"/>
      <x:c r="T316" s="32"/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/>
      <x:c r="Q317" s="33"/>
      <x:c r="R317" s="33"/>
      <x:c r="S317" s="31"/>
      <x:c r="T317" s="32"/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/>
      <x:c r="Q318" s="33"/>
      <x:c r="R318" s="33"/>
      <x:c r="S318" s="31"/>
      <x:c r="T318" s="32"/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/>
      <x:c r="Q319" s="33"/>
      <x:c r="R319" s="33"/>
      <x:c r="S319" s="31"/>
      <x:c r="T319" s="32"/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/>
      <x:c r="Q320" s="33"/>
      <x:c r="R320" s="33"/>
      <x:c r="S320" s="31"/>
      <x:c r="T320" s="32"/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/>
      <x:c r="Q321" s="33"/>
      <x:c r="R321" s="33"/>
      <x:c r="S321" s="31"/>
      <x:c r="T321" s="32"/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/>
      <x:c r="Q322" s="33"/>
      <x:c r="R322" s="33"/>
      <x:c r="S322" s="31"/>
      <x:c r="T322" s="32"/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/>
      <x:c r="Q323" s="33"/>
      <x:c r="R323" s="33"/>
      <x:c r="S323" s="31"/>
      <x:c r="T323" s="32"/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/>
      <x:c r="Q324" s="33"/>
      <x:c r="R324" s="33"/>
      <x:c r="S324" s="31"/>
      <x:c r="T324" s="32"/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/>
      <x:c r="Q325" s="33"/>
      <x:c r="R325" s="33"/>
      <x:c r="S325" s="31"/>
      <x:c r="T325" s="32"/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/>
      <x:c r="Q326" s="33"/>
      <x:c r="R326" s="33"/>
      <x:c r="S326" s="31"/>
      <x:c r="T326" s="32"/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/>
      <x:c r="Q327" s="33"/>
      <x:c r="R327" s="33"/>
      <x:c r="S327" s="31"/>
      <x:c r="T327" s="32"/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/>
      <x:c r="Q328" s="33"/>
      <x:c r="R328" s="33"/>
      <x:c r="S328" s="31"/>
      <x:c r="T328" s="32"/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/>
      <x:c r="Q329" s="33"/>
      <x:c r="R329" s="33"/>
      <x:c r="S329" s="31"/>
      <x:c r="T329" s="32"/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/>
      <x:c r="Q330" s="33"/>
      <x:c r="R330" s="33"/>
      <x:c r="S330" s="31"/>
      <x:c r="T330" s="32"/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/>
      <x:c r="Q331" s="33"/>
      <x:c r="R331" s="33"/>
      <x:c r="S331" s="31"/>
      <x:c r="T331" s="32"/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/>
      <x:c r="Q332" s="33"/>
      <x:c r="R332" s="33"/>
      <x:c r="S332" s="31"/>
      <x:c r="T332" s="32"/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/>
      <x:c r="Q333" s="33"/>
      <x:c r="R333" s="33"/>
      <x:c r="S333" s="31"/>
      <x:c r="T333" s="32"/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/>
      <x:c r="Q334" s="33"/>
      <x:c r="R334" s="33"/>
      <x:c r="S334" s="31"/>
      <x:c r="T334" s="32"/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/>
      <x:c r="Q335" s="33"/>
      <x:c r="R335" s="33"/>
      <x:c r="S335" s="31"/>
      <x:c r="T335" s="32"/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/>
      <x:c r="Q336" s="33"/>
      <x:c r="R336" s="33"/>
      <x:c r="S336" s="31"/>
      <x:c r="T336" s="32"/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/>
      <x:c r="Q337" s="33"/>
      <x:c r="R337" s="33"/>
      <x:c r="S337" s="31"/>
      <x:c r="T337" s="32"/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/>
      <x:c r="Q338" s="33"/>
      <x:c r="R338" s="33"/>
      <x:c r="S338" s="31"/>
      <x:c r="T338" s="32"/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/>
      <x:c r="Q339" s="33"/>
      <x:c r="R339" s="33"/>
      <x:c r="S339" s="31"/>
      <x:c r="T339" s="32"/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/>
      <x:c r="Q340" s="33"/>
      <x:c r="R340" s="33"/>
      <x:c r="S340" s="31"/>
      <x:c r="T340" s="32"/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/>
      <x:c r="Q341" s="33"/>
      <x:c r="R341" s="33"/>
      <x:c r="S341" s="31"/>
      <x:c r="T341" s="32"/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/>
      <x:c r="Q342" s="33"/>
      <x:c r="R342" s="33"/>
      <x:c r="S342" s="31"/>
      <x:c r="T342" s="32"/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/>
      <x:c r="Q343" s="33"/>
      <x:c r="R343" s="33"/>
      <x:c r="S343" s="31"/>
      <x:c r="T343" s="32"/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/>
      <x:c r="Q344" s="33"/>
      <x:c r="R344" s="33"/>
      <x:c r="S344" s="31"/>
      <x:c r="T344" s="32"/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/>
      <x:c r="Q345" s="33"/>
      <x:c r="R345" s="33"/>
      <x:c r="S345" s="31"/>
      <x:c r="T345" s="32"/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/>
      <x:c r="Q346" s="33"/>
      <x:c r="R346" s="33"/>
      <x:c r="S346" s="31"/>
      <x:c r="T346" s="32"/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/>
      <x:c r="Q347" s="33"/>
      <x:c r="R347" s="33"/>
      <x:c r="S347" s="31"/>
      <x:c r="T347" s="32"/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/>
      <x:c r="Q348" s="33"/>
      <x:c r="R348" s="33"/>
      <x:c r="S348" s="31"/>
      <x:c r="T348" s="32"/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/>
      <x:c r="Q349" s="33"/>
      <x:c r="R349" s="33"/>
      <x:c r="S349" s="31"/>
      <x:c r="T349" s="32"/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/>
      <x:c r="Q350" s="33"/>
      <x:c r="R350" s="33"/>
      <x:c r="S350" s="31"/>
      <x:c r="T350" s="32"/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/>
      <x:c r="Q351" s="33"/>
      <x:c r="R351" s="33"/>
      <x:c r="S351" s="31"/>
      <x:c r="T351" s="32"/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/>
      <x:c r="Q352" s="33"/>
      <x:c r="R352" s="33"/>
      <x:c r="S352" s="31"/>
      <x:c r="T352" s="32"/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/>
      <x:c r="Q353" s="33"/>
      <x:c r="R353" s="33"/>
      <x:c r="S353" s="31"/>
      <x:c r="T353" s="32"/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/>
      <x:c r="Q354" s="33"/>
      <x:c r="R354" s="33"/>
      <x:c r="S354" s="31"/>
      <x:c r="T354" s="32"/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/>
      <x:c r="Q355" s="33"/>
      <x:c r="R355" s="33"/>
      <x:c r="S355" s="31"/>
      <x:c r="T355" s="32"/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/>
      <x:c r="Q356" s="33"/>
      <x:c r="R356" s="33"/>
      <x:c r="S356" s="31"/>
      <x:c r="T356" s="32"/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/>
      <x:c r="Q357" s="33"/>
      <x:c r="R357" s="33"/>
      <x:c r="S357" s="31"/>
      <x:c r="T357" s="32"/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/>
      <x:c r="Q358" s="33"/>
      <x:c r="R358" s="33"/>
      <x:c r="S358" s="31"/>
      <x:c r="T358" s="32"/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/>
      <x:c r="Q359" s="33"/>
      <x:c r="R359" s="33"/>
      <x:c r="S359" s="31"/>
      <x:c r="T359" s="32"/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/>
      <x:c r="Q360" s="33"/>
      <x:c r="R360" s="33"/>
      <x:c r="S360" s="31"/>
      <x:c r="T360" s="32"/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/>
      <x:c r="Q361" s="33"/>
      <x:c r="R361" s="33"/>
      <x:c r="S361" s="31"/>
      <x:c r="T361" s="32"/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/>
      <x:c r="Q362" s="33"/>
      <x:c r="R362" s="33"/>
      <x:c r="S362" s="31"/>
      <x:c r="T362" s="32"/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/>
      <x:c r="Q363" s="33"/>
      <x:c r="R363" s="33"/>
      <x:c r="S363" s="31"/>
      <x:c r="T363" s="32"/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/>
      <x:c r="Q364" s="33"/>
      <x:c r="R364" s="33"/>
      <x:c r="S364" s="31"/>
      <x:c r="T364" s="32"/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/>
      <x:c r="Q365" s="33"/>
      <x:c r="R365" s="33"/>
      <x:c r="S365" s="31"/>
      <x:c r="T365" s="32"/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/>
      <x:c r="Q366" s="33"/>
      <x:c r="R366" s="33"/>
      <x:c r="S366" s="31"/>
      <x:c r="T366" s="32"/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/>
      <x:c r="Q367" s="33"/>
      <x:c r="R367" s="33"/>
      <x:c r="S367" s="31"/>
      <x:c r="T367" s="32"/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/>
      <x:c r="Q368" s="33"/>
      <x:c r="R368" s="33"/>
      <x:c r="S368" s="31"/>
      <x:c r="T368" s="32"/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/>
      <x:c r="Q369" s="33"/>
      <x:c r="R369" s="33"/>
      <x:c r="S369" s="31"/>
      <x:c r="T369" s="32"/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/>
      <x:c r="Q370" s="33"/>
      <x:c r="R370" s="33"/>
      <x:c r="S370" s="31"/>
      <x:c r="T370" s="32"/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/>
      <x:c r="Q371" s="33"/>
      <x:c r="R371" s="33"/>
      <x:c r="S371" s="31"/>
      <x:c r="T371" s="32"/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/>
      <x:c r="Q372" s="33"/>
      <x:c r="R372" s="33"/>
      <x:c r="S372" s="31"/>
      <x:c r="T372" s="32"/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/>
      <x:c r="Q373" s="33"/>
      <x:c r="R373" s="33"/>
      <x:c r="S373" s="31"/>
      <x:c r="T373" s="32"/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/>
      <x:c r="Q374" s="33"/>
      <x:c r="R374" s="33"/>
      <x:c r="S374" s="31"/>
      <x:c r="T374" s="32"/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/>
      <x:c r="Q375" s="33"/>
      <x:c r="R375" s="33"/>
      <x:c r="S375" s="31"/>
      <x:c r="T375" s="32"/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/>
      <x:c r="Q376" s="33"/>
      <x:c r="R376" s="33"/>
      <x:c r="S376" s="31"/>
      <x:c r="T376" s="32"/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/>
      <x:c r="Q377" s="33"/>
      <x:c r="R377" s="33"/>
      <x:c r="S377" s="31"/>
      <x:c r="T377" s="32"/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/>
      <x:c r="Q378" s="33"/>
      <x:c r="R378" s="33"/>
      <x:c r="S378" s="31"/>
      <x:c r="T378" s="32"/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/>
      <x:c r="Q379" s="33"/>
      <x:c r="R379" s="33"/>
      <x:c r="S379" s="31"/>
      <x:c r="T379" s="32"/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/>
      <x:c r="Q380" s="33"/>
      <x:c r="R380" s="33"/>
      <x:c r="S380" s="31"/>
      <x:c r="T380" s="32"/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/>
      <x:c r="Q381" s="33"/>
      <x:c r="R381" s="33"/>
      <x:c r="S381" s="31"/>
      <x:c r="T381" s="32"/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/>
      <x:c r="Q382" s="33"/>
      <x:c r="R382" s="33"/>
      <x:c r="S382" s="31"/>
      <x:c r="T382" s="32"/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/>
      <x:c r="Q383" s="33"/>
      <x:c r="R383" s="33"/>
      <x:c r="S383" s="31"/>
      <x:c r="T383" s="32"/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/>
      <x:c r="Q384" s="33"/>
      <x:c r="R384" s="33"/>
      <x:c r="S384" s="31"/>
      <x:c r="T384" s="32"/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/>
      <x:c r="Q385" s="33"/>
      <x:c r="R385" s="33"/>
      <x:c r="S385" s="31"/>
      <x:c r="T385" s="32"/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/>
      <x:c r="Q386" s="33"/>
      <x:c r="R386" s="33"/>
      <x:c r="S386" s="31"/>
      <x:c r="T386" s="32"/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/>
      <x:c r="Q387" s="33"/>
      <x:c r="R387" s="33"/>
      <x:c r="S387" s="31"/>
      <x:c r="T387" s="32"/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/>
      <x:c r="Q388" s="33"/>
      <x:c r="R388" s="33"/>
      <x:c r="S388" s="31"/>
      <x:c r="T388" s="32"/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/>
      <x:c r="Q389" s="33"/>
      <x:c r="R389" s="33"/>
      <x:c r="S389" s="31"/>
      <x:c r="T389" s="32"/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/>
      <x:c r="Q390" s="33"/>
      <x:c r="R390" s="33"/>
      <x:c r="S390" s="31"/>
      <x:c r="T390" s="32"/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/>
      <x:c r="Q391" s="33"/>
      <x:c r="R391" s="33"/>
      <x:c r="S391" s="31"/>
      <x:c r="T391" s="32"/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/>
      <x:c r="Q392" s="33"/>
      <x:c r="R392" s="33"/>
      <x:c r="S392" s="31"/>
      <x:c r="T392" s="32"/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/>
      <x:c r="Q393" s="33"/>
      <x:c r="R393" s="33"/>
      <x:c r="S393" s="31"/>
      <x:c r="T393" s="32"/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/>
      <x:c r="Q394" s="33"/>
      <x:c r="R394" s="33"/>
      <x:c r="S394" s="31"/>
      <x:c r="T394" s="32"/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/>
      <x:c r="Q395" s="33"/>
      <x:c r="R395" s="33"/>
      <x:c r="S395" s="31"/>
      <x:c r="T395" s="32"/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/>
      <x:c r="Q396" s="33"/>
      <x:c r="R396" s="33"/>
      <x:c r="S396" s="31"/>
      <x:c r="T396" s="32"/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/>
      <x:c r="Q397" s="33"/>
      <x:c r="R397" s="33"/>
      <x:c r="S397" s="31"/>
      <x:c r="T397" s="32"/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/>
      <x:c r="Q398" s="33"/>
      <x:c r="R398" s="33"/>
      <x:c r="S398" s="31"/>
      <x:c r="T398" s="32"/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/>
      <x:c r="Q399" s="33"/>
      <x:c r="R399" s="33"/>
      <x:c r="S399" s="31"/>
      <x:c r="T399" s="32"/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/>
      <x:c r="Q400" s="33"/>
      <x:c r="R400" s="33"/>
      <x:c r="S400" s="31"/>
      <x:c r="T400" s="32"/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/>
      <x:c r="Q401" s="33"/>
      <x:c r="R401" s="33"/>
      <x:c r="S401" s="31"/>
      <x:c r="T401" s="32"/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/>
      <x:c r="Q402" s="33"/>
      <x:c r="R402" s="33"/>
      <x:c r="S402" s="31"/>
      <x:c r="T402" s="32"/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/>
      <x:c r="Q403" s="33"/>
      <x:c r="R403" s="33"/>
      <x:c r="S403" s="31"/>
      <x:c r="T403" s="32"/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/>
      <x:c r="Q404" s="33"/>
      <x:c r="R404" s="33"/>
      <x:c r="S404" s="31"/>
      <x:c r="T404" s="32"/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/>
      <x:c r="Q405" s="33"/>
      <x:c r="R405" s="33"/>
      <x:c r="S405" s="31"/>
      <x:c r="T405" s="32"/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/>
      <x:c r="Q406" s="33"/>
      <x:c r="R406" s="33"/>
      <x:c r="S406" s="31"/>
      <x:c r="T406" s="32"/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/>
      <x:c r="Q407" s="33"/>
      <x:c r="R407" s="33"/>
      <x:c r="S407" s="31"/>
      <x:c r="T407" s="32"/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/>
      <x:c r="Q408" s="33"/>
      <x:c r="R408" s="33"/>
      <x:c r="S408" s="31"/>
      <x:c r="T408" s="32"/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/>
      <x:c r="Q409" s="33"/>
      <x:c r="R409" s="33"/>
      <x:c r="S409" s="31"/>
      <x:c r="T409" s="32"/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/>
      <x:c r="Q410" s="33"/>
      <x:c r="R410" s="33"/>
      <x:c r="S410" s="31"/>
      <x:c r="T410" s="32"/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/>
      <x:c r="Q411" s="33"/>
      <x:c r="R411" s="33"/>
      <x:c r="S411" s="31"/>
      <x:c r="T411" s="32"/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/>
      <x:c r="Q412" s="33"/>
      <x:c r="R412" s="33"/>
      <x:c r="S412" s="31"/>
      <x:c r="T412" s="32"/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/>
      <x:c r="Q413" s="33"/>
      <x:c r="R413" s="33"/>
      <x:c r="S413" s="31"/>
      <x:c r="T413" s="32"/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/>
      <x:c r="Q414" s="33"/>
      <x:c r="R414" s="33"/>
      <x:c r="S414" s="31"/>
      <x:c r="T414" s="32"/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/>
      <x:c r="Q415" s="33"/>
      <x:c r="R415" s="33"/>
      <x:c r="S415" s="31"/>
      <x:c r="T415" s="32"/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/>
      <x:c r="Q416" s="33"/>
      <x:c r="R416" s="33"/>
      <x:c r="S416" s="31"/>
      <x:c r="T416" s="32"/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/>
      <x:c r="Q417" s="33"/>
      <x:c r="R417" s="33"/>
      <x:c r="S417" s="31"/>
      <x:c r="T417" s="32"/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/>
      <x:c r="Q418" s="33"/>
      <x:c r="R418" s="33"/>
      <x:c r="S418" s="31"/>
      <x:c r="T418" s="32"/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/>
      <x:c r="Q419" s="33"/>
      <x:c r="R419" s="33"/>
      <x:c r="S419" s="31"/>
      <x:c r="T419" s="32"/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/>
      <x:c r="Q420" s="33"/>
      <x:c r="R420" s="33"/>
      <x:c r="S420" s="31"/>
      <x:c r="T420" s="32"/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/>
      <x:c r="Q421" s="33"/>
      <x:c r="R421" s="33"/>
      <x:c r="S421" s="31"/>
      <x:c r="T421" s="32"/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/>
      <x:c r="Q422" s="33"/>
      <x:c r="R422" s="33"/>
      <x:c r="S422" s="31"/>
      <x:c r="T422" s="32"/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/>
      <x:c r="Q423" s="33"/>
      <x:c r="R423" s="33"/>
      <x:c r="S423" s="31"/>
      <x:c r="T423" s="32"/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/>
      <x:c r="Q424" s="33"/>
      <x:c r="R424" s="33"/>
      <x:c r="S424" s="31"/>
      <x:c r="T424" s="32"/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/>
      <x:c r="Q425" s="33"/>
      <x:c r="R425" s="33"/>
      <x:c r="S425" s="31"/>
      <x:c r="T425" s="32"/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/>
      <x:c r="Q426" s="33"/>
      <x:c r="R426" s="33"/>
      <x:c r="S426" s="31"/>
      <x:c r="T426" s="32"/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/>
      <x:c r="Q427" s="33"/>
      <x:c r="R427" s="33"/>
      <x:c r="S427" s="31"/>
      <x:c r="T427" s="32"/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/>
      <x:c r="Q428" s="33"/>
      <x:c r="R428" s="33"/>
      <x:c r="S428" s="31"/>
      <x:c r="T428" s="32"/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/>
      <x:c r="Q429" s="33"/>
      <x:c r="R429" s="33"/>
      <x:c r="S429" s="31"/>
      <x:c r="T429" s="32"/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/>
      <x:c r="Q430" s="33"/>
      <x:c r="R430" s="33"/>
      <x:c r="S430" s="31"/>
      <x:c r="T430" s="32"/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/>
      <x:c r="Q431" s="33"/>
      <x:c r="R431" s="33"/>
      <x:c r="S431" s="31"/>
      <x:c r="T431" s="32"/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/>
      <x:c r="Q432" s="33"/>
      <x:c r="R432" s="33"/>
      <x:c r="S432" s="31"/>
      <x:c r="T432" s="32"/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/>
      <x:c r="Q433" s="33"/>
      <x:c r="R433" s="33"/>
      <x:c r="S433" s="31"/>
      <x:c r="T433" s="32"/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/>
      <x:c r="Q434" s="33"/>
      <x:c r="R434" s="33"/>
      <x:c r="S434" s="31"/>
      <x:c r="T434" s="32"/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/>
      <x:c r="Q435" s="33"/>
      <x:c r="R435" s="33"/>
      <x:c r="S435" s="31"/>
      <x:c r="T435" s="32"/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/>
      <x:c r="Q436" s="33"/>
      <x:c r="R436" s="33"/>
      <x:c r="S436" s="31"/>
      <x:c r="T436" s="32"/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/>
      <x:c r="Q437" s="33"/>
      <x:c r="R437" s="33"/>
      <x:c r="S437" s="31"/>
      <x:c r="T437" s="32"/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/>
      <x:c r="Q438" s="33"/>
      <x:c r="R438" s="33"/>
      <x:c r="S438" s="31"/>
      <x:c r="T438" s="32"/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/>
      <x:c r="Q439" s="33"/>
      <x:c r="R439" s="33"/>
      <x:c r="S439" s="31"/>
      <x:c r="T439" s="32"/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/>
      <x:c r="Q440" s="33"/>
      <x:c r="R440" s="33"/>
      <x:c r="S440" s="31"/>
      <x:c r="T440" s="32"/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/>
      <x:c r="Q441" s="33"/>
      <x:c r="R441" s="33"/>
      <x:c r="S441" s="31"/>
      <x:c r="T441" s="32"/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/>
      <x:c r="Q442" s="33"/>
      <x:c r="R442" s="33"/>
      <x:c r="S442" s="31"/>
      <x:c r="T442" s="32"/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/>
      <x:c r="Q443" s="33"/>
      <x:c r="R443" s="33"/>
      <x:c r="S443" s="31"/>
      <x:c r="T443" s="32"/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/>
      <x:c r="Q444" s="33"/>
      <x:c r="R444" s="33"/>
      <x:c r="S444" s="31"/>
      <x:c r="T444" s="32"/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/>
      <x:c r="Q445" s="33"/>
      <x:c r="R445" s="33"/>
      <x:c r="S445" s="31"/>
      <x:c r="T445" s="32"/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/>
      <x:c r="Q446" s="33"/>
      <x:c r="R446" s="33"/>
      <x:c r="S446" s="31"/>
      <x:c r="T446" s="32"/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/>
      <x:c r="Q447" s="33"/>
      <x:c r="R447" s="33"/>
      <x:c r="S447" s="31"/>
      <x:c r="T447" s="32"/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/>
      <x:c r="Q448" s="33"/>
      <x:c r="R448" s="33"/>
      <x:c r="S448" s="31"/>
      <x:c r="T448" s="32"/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/>
      <x:c r="Q449" s="33"/>
      <x:c r="R449" s="33"/>
      <x:c r="S449" s="31"/>
      <x:c r="T449" s="32"/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/>
      <x:c r="Q450" s="33"/>
      <x:c r="R450" s="33"/>
      <x:c r="S450" s="31"/>
      <x:c r="T450" s="32"/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/>
      <x:c r="Q451" s="33"/>
      <x:c r="R451" s="33"/>
      <x:c r="S451" s="31"/>
      <x:c r="T451" s="32"/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/>
      <x:c r="Q452" s="33"/>
      <x:c r="R452" s="33"/>
      <x:c r="S452" s="31"/>
      <x:c r="T452" s="32"/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/>
      <x:c r="Q453" s="33"/>
      <x:c r="R453" s="33"/>
      <x:c r="S453" s="31"/>
      <x:c r="T453" s="32"/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/>
      <x:c r="Q454" s="33"/>
      <x:c r="R454" s="33"/>
      <x:c r="S454" s="31"/>
      <x:c r="T454" s="32"/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/>
      <x:c r="Q455" s="33"/>
      <x:c r="R455" s="33"/>
      <x:c r="S455" s="31"/>
      <x:c r="T455" s="32"/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/>
      <x:c r="Q456" s="33"/>
      <x:c r="R456" s="33"/>
      <x:c r="S456" s="31"/>
      <x:c r="T456" s="32"/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/>
      <x:c r="Q457" s="33"/>
      <x:c r="R457" s="33"/>
      <x:c r="S457" s="31"/>
      <x:c r="T457" s="32"/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/>
      <x:c r="Q458" s="33"/>
      <x:c r="R458" s="33"/>
      <x:c r="S458" s="31"/>
      <x:c r="T458" s="32"/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/>
      <x:c r="Q459" s="33"/>
      <x:c r="R459" s="33"/>
      <x:c r="S459" s="31"/>
      <x:c r="T459" s="32"/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/>
      <x:c r="Q460" s="33"/>
      <x:c r="R460" s="33"/>
      <x:c r="S460" s="31"/>
      <x:c r="T460" s="32"/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/>
      <x:c r="Q461" s="33"/>
      <x:c r="R461" s="33"/>
      <x:c r="S461" s="31"/>
      <x:c r="T461" s="32"/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/>
      <x:c r="Q462" s="33"/>
      <x:c r="R462" s="33"/>
      <x:c r="S462" s="31"/>
      <x:c r="T462" s="32"/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/>
      <x:c r="Q463" s="33"/>
      <x:c r="R463" s="33"/>
      <x:c r="S463" s="31"/>
      <x:c r="T463" s="32"/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/>
      <x:c r="Q464" s="33"/>
      <x:c r="R464" s="33"/>
      <x:c r="S464" s="31"/>
      <x:c r="T464" s="32"/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/>
      <x:c r="Q465" s="33"/>
      <x:c r="R465" s="33"/>
      <x:c r="S465" s="31"/>
      <x:c r="T465" s="32"/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/>
      <x:c r="Q466" s="33"/>
      <x:c r="R466" s="33"/>
      <x:c r="S466" s="31"/>
      <x:c r="T466" s="32"/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/>
      <x:c r="Q467" s="33"/>
      <x:c r="R467" s="33"/>
      <x:c r="S467" s="31"/>
      <x:c r="T467" s="32"/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/>
      <x:c r="Q468" s="33"/>
      <x:c r="R468" s="33"/>
      <x:c r="S468" s="31"/>
      <x:c r="T468" s="32"/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/>
      <x:c r="Q469" s="33"/>
      <x:c r="R469" s="33"/>
      <x:c r="S469" s="31"/>
      <x:c r="T469" s="32"/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/>
      <x:c r="Q470" s="33"/>
      <x:c r="R470" s="33"/>
      <x:c r="S470" s="31"/>
      <x:c r="T470" s="32"/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/>
      <x:c r="Q471" s="33"/>
      <x:c r="R471" s="33"/>
      <x:c r="S471" s="31"/>
      <x:c r="T471" s="32"/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/>
      <x:c r="Q472" s="33"/>
      <x:c r="R472" s="33"/>
      <x:c r="S472" s="31"/>
      <x:c r="T472" s="32"/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/>
      <x:c r="Q473" s="33"/>
      <x:c r="R473" s="33"/>
      <x:c r="S473" s="31"/>
      <x:c r="T473" s="32"/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/>
      <x:c r="Q474" s="33"/>
      <x:c r="R474" s="33"/>
      <x:c r="S474" s="31"/>
      <x:c r="T474" s="32"/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/>
      <x:c r="Q475" s="33"/>
      <x:c r="R475" s="33"/>
      <x:c r="S475" s="31"/>
      <x:c r="T475" s="32"/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/>
      <x:c r="Q476" s="33"/>
      <x:c r="R476" s="33"/>
      <x:c r="S476" s="31"/>
      <x:c r="T476" s="32"/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/>
      <x:c r="Q477" s="33"/>
      <x:c r="R477" s="33"/>
      <x:c r="S477" s="31"/>
      <x:c r="T477" s="32"/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/>
      <x:c r="Q478" s="33"/>
      <x:c r="R478" s="33"/>
      <x:c r="S478" s="31"/>
      <x:c r="T478" s="32"/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/>
      <x:c r="Q479" s="33"/>
      <x:c r="R479" s="33"/>
      <x:c r="S479" s="31"/>
      <x:c r="T479" s="32"/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/>
      <x:c r="Q480" s="33"/>
      <x:c r="R480" s="33"/>
      <x:c r="S480" s="31"/>
      <x:c r="T480" s="32"/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/>
      <x:c r="Q481" s="33"/>
      <x:c r="R481" s="33"/>
      <x:c r="S481" s="31"/>
      <x:c r="T481" s="32"/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/>
      <x:c r="Q482" s="33"/>
      <x:c r="R482" s="33"/>
      <x:c r="S482" s="31"/>
      <x:c r="T482" s="32"/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/>
      <x:c r="Q483" s="33"/>
      <x:c r="R483" s="33"/>
      <x:c r="S483" s="31"/>
      <x:c r="T483" s="32"/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/>
      <x:c r="Q484" s="33"/>
      <x:c r="R484" s="33"/>
      <x:c r="S484" s="31"/>
      <x:c r="T484" s="32"/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/>
      <x:c r="Q485" s="33"/>
      <x:c r="R485" s="33"/>
      <x:c r="S485" s="31"/>
      <x:c r="T485" s="32"/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/>
      <x:c r="Q486" s="33"/>
      <x:c r="R486" s="33"/>
      <x:c r="S486" s="31"/>
      <x:c r="T486" s="32"/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/>
      <x:c r="Q487" s="33"/>
      <x:c r="R487" s="33"/>
      <x:c r="S487" s="31"/>
      <x:c r="T487" s="32"/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/>
      <x:c r="Q488" s="33"/>
      <x:c r="R488" s="33"/>
      <x:c r="S488" s="31"/>
      <x:c r="T488" s="32"/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/>
      <x:c r="Q489" s="33"/>
      <x:c r="R489" s="33"/>
      <x:c r="S489" s="31"/>
      <x:c r="T489" s="32"/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/>
      <x:c r="Q490" s="33"/>
      <x:c r="R490" s="33"/>
      <x:c r="S490" s="31"/>
      <x:c r="T490" s="32"/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/>
      <x:c r="Q491" s="33"/>
      <x:c r="R491" s="33"/>
      <x:c r="S491" s="31"/>
      <x:c r="T491" s="32"/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/>
      <x:c r="Q492" s="33"/>
      <x:c r="R492" s="33"/>
      <x:c r="S492" s="31"/>
      <x:c r="T492" s="32"/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/>
      <x:c r="Q493" s="33"/>
      <x:c r="R493" s="33"/>
      <x:c r="S493" s="31"/>
      <x:c r="T493" s="32"/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/>
      <x:c r="Q494" s="33"/>
      <x:c r="R494" s="33"/>
      <x:c r="S494" s="31"/>
      <x:c r="T494" s="32"/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/>
      <x:c r="Q495" s="33"/>
      <x:c r="R495" s="33"/>
      <x:c r="S495" s="31"/>
      <x:c r="T495" s="32"/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/>
      <x:c r="Q496" s="33"/>
      <x:c r="R496" s="33"/>
      <x:c r="S496" s="31"/>
      <x:c r="T496" s="32"/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/>
      <x:c r="Q497" s="33"/>
      <x:c r="R497" s="33"/>
      <x:c r="S497" s="31"/>
      <x:c r="T497" s="32"/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/>
      <x:c r="Q498" s="33"/>
      <x:c r="R498" s="33"/>
      <x:c r="S498" s="31"/>
      <x:c r="T498" s="32"/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/>
      <x:c r="Q499" s="33"/>
      <x:c r="R499" s="33"/>
      <x:c r="S499" s="31"/>
      <x:c r="T499" s="32"/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/>
      <x:c r="Q500" s="33"/>
      <x:c r="R500" s="33"/>
      <x:c r="S500" s="31"/>
      <x:c r="T500" s="32"/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91</x:v>
      </x:c>
      <x:c r="C18" t="n">
        <x:f>COUNTIFS('Paper Portfolio'!$K:$K,A18,'Paper Portfolio'!$O:$O,"Win")</x:f>
        <x:v>32</x:v>
      </x:c>
      <x:c r="D18" s="24" t="n">
        <x:f>IFERROR(C18/B18,0)</x:f>
        <x:v>0.3516483516483517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23</x:v>
      </x:c>
      <x:c r="C19" t="n">
        <x:f>COUNTIFS('Paper Portfolio'!$K:$K,A19,'Paper Portfolio'!$O:$O,"Win")</x:f>
        <x:v>8</x:v>
      </x:c>
      <x:c r="D19" s="24" t="n">
        <x:f>IFERROR(C19/B19,0)</x:f>
        <x:v>0.34782608695652173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6</x:v>
      </x:c>
      <x:c r="C24" t="n">
        <x:f>COUNTIFS('Paper Portfolio'!$W:$W,A24,'Paper Portfolio'!$O:$O,"Win")</x:f>
        <x:v>1</x:v>
      </x:c>
      <x:c r="D24" s="24" t="n">
        <x:f>IFERROR(C24/B24,0)</x:f>
        <x:v>0.16666666666666666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10</x:v>
      </x:c>
      <x:c r="C27" t="n">
        <x:f>COUNTIFS('Paper Portfolio'!$W:$W,A27,'Paper Portfolio'!$O:$O,"Win")</x:f>
        <x:v>1</x:v>
      </x:c>
      <x:c r="D27" s="24" t="n">
        <x:f>IFERROR(C27/B27,0)</x:f>
        <x:v>0.1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23</x:v>
      </x:c>
      <x:c r="C18" s="31" t="n">
        <x:f>COUNTIFS('Paper Portfolio'!$W$2:$W$220,$A18,'Paper Portfolio'!$O$2:$O$220,"Win")</x:f>
        <x:v>10</x:v>
      </x:c>
      <x:c r="D18" s="31" t="n">
        <x:f>COUNTIFS('Paper Portfolio'!$W$2:$W$220,$A18,'Paper Portfolio'!$O$2:$O$220,"Loss")</x:f>
        <x:v>13</x:v>
      </x:c>
      <x:c r="E18" s="32" t="n">
        <x:f>IF(B18=0,"",C18/B18)</x:f>
        <x:v>0.43478260869565216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28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22</x:v>
      </x:c>
      <x:c r="E19" s="32" t="n">
        <x:f>IF(B19=0,"",C19/B19)</x:f>
        <x:v>0.21428571428571427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14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7</x:v>
      </x:c>
      <x:c r="E22" s="32" t="n">
        <x:f>IF(B22=0,"",C22/B22)</x:f>
        <x:v>0.5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9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8</x:v>
      </x:c>
      <x:c r="E24" s="32" t="n">
        <x:f>IF(B24=0,"",C24/B24)</x:f>
        <x:v>0.1111111111111111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2026-09-20</x:v>
      </x:c>
      <x:c r="C2" s="394" t="str">
        <x:v>Last verified</x:v>
      </x:c>
      <x:c r="D2" s="395" t="str">
        <x:v>2026-09-20 18:12Z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active</x:v>
      </x:c>
      <x:c r="D5" s="398" t="n">
        <x:v>15</x:v>
      </x:c>
      <x:c r="E5" s="398" t="n">
        <x:v>0</x:v>
      </x:c>
      <x:c r="F5" s="398" t="n">
        <x:v>7</x:v>
      </x:c>
      <x:c r="G5" s="398" t="n">
        <x:v>8</x:v>
      </x:c>
      <x:c r="H5" s="397" t="str">
        <x:v>1:10 PM EDT</x:v>
      </x:c>
      <x:c r="I5" s="397" t="str">
        <x:v>MLB Stats API</x:v>
      </x:c>
      <x:c r="J5" s="397" t="str">
        <x:v>https://www.mlb.com/schedule/2026-09-20</x:v>
      </x:c>
      <x:c r="K5" s="397" t="str">
        <x:v>https://statsapi.mlb.com/api/v1/schedule?sportId=1&amp;date=2026-09-20&amp;hydrate=probablePitcher,team,venue</x:v>
      </x:c>
      <x:c r="L5" s="397" t="str">
        <x:v>UTC 2026-09-20T18:12:07.818Z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no_slate</x:v>
      </x:c>
      <x:c r="D6" s="400" t="n">
        <x:v>0</x:v>
      </x:c>
      <x:c r="E6" s="400" t="n">
        <x:v>0</x:v>
      </x:c>
      <x:c r="F6" s="400" t="n">
        <x:v>0</x:v>
      </x:c>
      <x:c r="G6" s="400" t="n">
        <x:v>0</x:v>
      </x:c>
      <x:c r="H6" s="399" t="str"/>
      <x:c r="I6" s="399" t="str">
        <x:v>ESPN Scoreboard API</x:v>
      </x:c>
      <x:c r="J6" s="399" t="str">
        <x:v>https://www.espn.com/college-football/scoreboard/_/date/20260920</x:v>
      </x:c>
      <x:c r="K6" s="399" t="str">
        <x:v>https://site.api.espn.com/apis/site/v2/sports/football/college-football/scoreboard?dates=20260920&amp;limit=200</x:v>
      </x:c>
      <x:c r="L6" s="399" t="str">
        <x:v>UTC 2026-09-20T18:12:07.818Z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active</x:v>
      </x:c>
      <x:c r="D7" s="398" t="n">
        <x:v>14</x:v>
      </x:c>
      <x:c r="E7" s="398" t="n">
        <x:v>0</x:v>
      </x:c>
      <x:c r="F7" s="398" t="n">
        <x:v>8</x:v>
      </x:c>
      <x:c r="G7" s="398" t="n">
        <x:v>6</x:v>
      </x:c>
      <x:c r="H7" s="397" t="str">
        <x:v>1:00 PM EDT</x:v>
      </x:c>
      <x:c r="I7" s="397" t="str">
        <x:v>ESPN Scoreboard API</x:v>
      </x:c>
      <x:c r="J7" s="397" t="str">
        <x:v>https://www.espn.com/nfl/scoreboard/_/date/20260920</x:v>
      </x:c>
      <x:c r="K7" s="397" t="str">
        <x:v>https://site.api.espn.com/apis/site/v2/sports/football/nfl/scoreboard?dates=20260920&amp;limit=200</x:v>
      </x:c>
      <x:c r="L7" s="397" t="str">
        <x:v>UTC 2026-09-20T18:12:07.818Z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active</x:v>
      </x:c>
      <x:c r="D8" s="400" t="n">
        <x:v>5</x:v>
      </x:c>
      <x:c r="E8" s="400" t="n">
        <x:v>0</x:v>
      </x:c>
      <x:c r="F8" s="400" t="n">
        <x:v>1</x:v>
      </x:c>
      <x:c r="G8" s="400" t="n">
        <x:v>4</x:v>
      </x:c>
      <x:c r="H8" s="399" t="str">
        <x:v>1:00 PM EDT</x:v>
      </x:c>
      <x:c r="I8" s="399" t="str">
        <x:v>ESPN Scoreboard API</x:v>
      </x:c>
      <x:c r="J8" s="399" t="str">
        <x:v>https://www.espn.com/wnba/scoreboard/_/date/20260920</x:v>
      </x:c>
      <x:c r="K8" s="399" t="str">
        <x:v>https://site.api.espn.com/apis/site/v2/sports/basketball/wnba/scoreboard?dates=20260920&amp;limit=200</x:v>
      </x:c>
      <x:c r="L8" s="399" t="str">
        <x:v>UTC 2026-09-20T18:12:07.818Z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no_slate</x:v>
      </x:c>
      <x:c r="D9" s="398" t="n">
        <x:v>0</x:v>
      </x:c>
      <x:c r="E9" s="398" t="n">
        <x:v>0</x:v>
      </x:c>
      <x:c r="F9" s="398" t="n">
        <x:v>0</x:v>
      </x:c>
      <x:c r="G9" s="398" t="n">
        <x:v>0</x:v>
      </x:c>
      <x:c r="H9" s="397" t="str"/>
      <x:c r="I9" s="397" t="str">
        <x:v>ESPN Scoreboard API</x:v>
      </x:c>
      <x:c r="J9" s="397" t="str">
        <x:v>https://www.espn.com/nba/scoreboard/_/date/20260920</x:v>
      </x:c>
      <x:c r="K9" s="397" t="str">
        <x:v>https://site.api.espn.com/apis/site/v2/sports/basketball/nba/scoreboard?dates=20260920&amp;limit=200</x:v>
      </x:c>
      <x:c r="L9" s="397" t="str">
        <x:v>UTC 2026-09-20T18:12:07.818Z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active</x:v>
      </x:c>
      <x:c r="D10" s="400" t="n">
        <x:v>7</x:v>
      </x:c>
      <x:c r="E10" s="400" t="n">
        <x:v>0</x:v>
      </x:c>
      <x:c r="F10" s="400" t="n">
        <x:v>1</x:v>
      </x:c>
      <x:c r="G10" s="400" t="n">
        <x:v>6</x:v>
      </x:c>
      <x:c r="H10" s="399" t="str">
        <x:v>1:00 PM EDT</x:v>
      </x:c>
      <x:c r="I10" s="399" t="str">
        <x:v>ESPN Scoreboard API</x:v>
      </x:c>
      <x:c r="J10" s="399" t="str">
        <x:v>https://www.espn.com/nhl/scoreboard/_/date/20260920</x:v>
      </x:c>
      <x:c r="K10" s="399" t="str">
        <x:v>https://site.api.espn.com/apis/site/v2/sports/hockey/nhl/scoreboard?dates=20260920&amp;limit=200</x:v>
      </x:c>
      <x:c r="L10" s="399" t="str">
        <x:v>UTC 2026-09-20T18:12:07.818Z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active</x:v>
      </x:c>
      <x:c r="D11" s="398" t="n">
        <x:v>4</x:v>
      </x:c>
      <x:c r="E11" s="398" t="n">
        <x:v>4</x:v>
      </x:c>
      <x:c r="F11" s="398" t="n">
        <x:v>0</x:v>
      </x:c>
      <x:c r="G11" s="398" t="n">
        <x:v>0</x:v>
      </x:c>
      <x:c r="H11" s="397" t="str">
        <x:v>9:00 AM EDT</x:v>
      </x:c>
      <x:c r="I11" s="397" t="str">
        <x:v>ESPN Scoreboard API</x:v>
      </x:c>
      <x:c r="J11" s="397" t="str">
        <x:v>https://www.espn.com/soccer/scoreboard/_/league/eng.1/date/20260920</x:v>
      </x:c>
      <x:c r="K11" s="397" t="str">
        <x:v>https://site.api.espn.com/apis/site/v2/sports/soccer/eng.1/scoreboard?dates=20260920&amp;limit=200</x:v>
      </x:c>
      <x:c r="L11" s="397" t="str">
        <x:v>UTC 2026-09-20T18:12:07.818Z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active</x:v>
      </x:c>
      <x:c r="D12" s="400" t="n">
        <x:v>5</x:v>
      </x:c>
      <x:c r="E12" s="400" t="n">
        <x:v>2</x:v>
      </x:c>
      <x:c r="F12" s="400" t="n">
        <x:v>2</x:v>
      </x:c>
      <x:c r="G12" s="400" t="n">
        <x:v>1</x:v>
      </x:c>
      <x:c r="H12" s="399" t="str">
        <x:v>8:00 AM EDT</x:v>
      </x:c>
      <x:c r="I12" s="399" t="str">
        <x:v>ESPN Scoreboard API</x:v>
      </x:c>
      <x:c r="J12" s="399" t="str">
        <x:v>https://www.espn.com/soccer/scoreboard/_/league/esp.1/date/20260920</x:v>
      </x:c>
      <x:c r="K12" s="399" t="str">
        <x:v>https://site.api.espn.com/apis/site/v2/sports/soccer/esp.1/scoreboard?dates=20260920&amp;limit=200</x:v>
      </x:c>
      <x:c r="L12" s="399" t="str">
        <x:v>UTC 2026-09-20T18:12:07.818Z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active</x:v>
      </x:c>
      <x:c r="D13" s="398" t="n">
        <x:v>3</x:v>
      </x:c>
      <x:c r="E13" s="398" t="n">
        <x:v>2</x:v>
      </x:c>
      <x:c r="F13" s="398" t="n">
        <x:v>1</x:v>
      </x:c>
      <x:c r="G13" s="398" t="n">
        <x:v>0</x:v>
      </x:c>
      <x:c r="H13" s="397" t="str">
        <x:v>9:30 AM EDT</x:v>
      </x:c>
      <x:c r="I13" s="397" t="str">
        <x:v>ESPN Scoreboard API</x:v>
      </x:c>
      <x:c r="J13" s="397" t="str">
        <x:v>https://www.espn.com/soccer/scoreboard/_/league/ger.1/date/20260920</x:v>
      </x:c>
      <x:c r="K13" s="397" t="str">
        <x:v>https://site.api.espn.com/apis/site/v2/sports/soccer/ger.1/scoreboard?dates=20260920&amp;limit=200</x:v>
      </x:c>
      <x:c r="L13" s="397" t="str">
        <x:v>UTC 2026-09-20T18:12:07.818Z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active</x:v>
      </x:c>
      <x:c r="D14" s="400" t="n">
        <x:v>5</x:v>
      </x:c>
      <x:c r="E14" s="400" t="n">
        <x:v>4</x:v>
      </x:c>
      <x:c r="F14" s="400" t="n">
        <x:v>0</x:v>
      </x:c>
      <x:c r="G14" s="400" t="n">
        <x:v>1</x:v>
      </x:c>
      <x:c r="H14" s="399" t="str">
        <x:v>6:30 AM EDT</x:v>
      </x:c>
      <x:c r="I14" s="399" t="str">
        <x:v>ESPN Scoreboard API</x:v>
      </x:c>
      <x:c r="J14" s="399" t="str">
        <x:v>https://www.espn.com/soccer/scoreboard/_/league/ita.1/date/20260920</x:v>
      </x:c>
      <x:c r="K14" s="399" t="str">
        <x:v>https://site.api.espn.com/apis/site/v2/sports/soccer/ita.1/scoreboard?dates=20260920&amp;limit=200</x:v>
      </x:c>
      <x:c r="L14" s="399" t="str">
        <x:v>UTC 2026-09-20T18:12:07.818Z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active</x:v>
      </x:c>
      <x:c r="D15" s="398" t="n">
        <x:v>3</x:v>
      </x:c>
      <x:c r="E15" s="398" t="n">
        <x:v>2</x:v>
      </x:c>
      <x:c r="F15" s="398" t="n">
        <x:v>0</x:v>
      </x:c>
      <x:c r="G15" s="398" t="n">
        <x:v>1</x:v>
      </x:c>
      <x:c r="H15" s="397" t="str">
        <x:v>9:00 AM EDT</x:v>
      </x:c>
      <x:c r="I15" s="397" t="str">
        <x:v>ESPN Scoreboard API</x:v>
      </x:c>
      <x:c r="J15" s="397" t="str">
        <x:v>https://www.espn.com/soccer/scoreboard/_/league/fra.1/date/20260920</x:v>
      </x:c>
      <x:c r="K15" s="397" t="str">
        <x:v>https://site.api.espn.com/apis/site/v2/sports/soccer/fra.1/scoreboard?dates=20260920&amp;limit=200</x:v>
      </x:c>
      <x:c r="L15" s="397" t="str">
        <x:v>UTC 2026-09-20T18:12:07.818Z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no_slate</x:v>
      </x:c>
      <x:c r="D16" s="400" t="n">
        <x:v>0</x:v>
      </x:c>
      <x:c r="E16" s="400" t="n">
        <x:v>0</x:v>
      </x:c>
      <x:c r="F16" s="400" t="n">
        <x:v>0</x:v>
      </x:c>
      <x:c r="G16" s="400" t="n">
        <x:v>0</x:v>
      </x:c>
      <x:c r="H16" s="399" t="str"/>
      <x:c r="I16" s="399" t="str">
        <x:v>ESPN Scoreboard API</x:v>
      </x:c>
      <x:c r="J16" s="399" t="str">
        <x:v>https://www.espn.com/soccer/scoreboard/_/league/uefa.champions/date/20260920</x:v>
      </x:c>
      <x:c r="K16" s="399" t="str">
        <x:v>https://site.api.espn.com/apis/site/v2/sports/soccer/uefa.champions/scoreboard?dates=20260920&amp;limit=200</x:v>
      </x:c>
      <x:c r="L16" s="399" t="str">
        <x:v>UTC 2026-09-20T18:12:07.818Z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https://www.espn.com/soccer/scoreboard/_/league/uefa.europa/date/20260920</x:v>
      </x:c>
      <x:c r="K17" s="397" t="str">
        <x:v>https://site.api.espn.com/apis/site/v2/sports/soccer/uefa.europa/scoreboard?dates=20260920&amp;limit=200</x:v>
      </x:c>
      <x:c r="L17" s="397" t="str">
        <x:v>UTC 2026-09-20T18:12:07.818Z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0" t="str">
        <x:v>2026-09-12</x:v>
      </x:c>
      <x:c r="B5" s="0" t="str">
        <x:v>Football</x:v>
      </x:c>
      <x:c r="C5" s="0" t="str">
        <x:v>Bundesliga</x:v>
      </x:c>
      <x:c r="D5" s="0" t="str">
        <x:v>Serhou Guirassy 2+ shots on target</x:v>
      </x:c>
      <x:c r="E5" s="0" t="str">
        <x:v>PLACED_USER_CONFIRMED</x:v>
      </x:c>
      <x:c r="F5" s="0" t="str">
        <x:v>Serhou Guirassy</x:v>
      </x:c>
      <x:c r="G5" s="0" t="str">
        <x:v>SC Paderborn 07 at Borussia Dortmund</x:v>
      </x:c>
      <x:c r="H5" s="0" t="str">
        <x:v>Player shots on target</x:v>
      </x:c>
      <x:c r="I5" s="0" t="str">
        <x:v>2+</x:v>
      </x:c>
      <x:c r="J5" s="0" t="str">
        <x:v>Over</x:v>
      </x:c>
      <x:c r="K5" s="0" t="str">
        <x:v>-170</x:v>
      </x:c>
      <x:c r="L5" s="0" t="str">
        <x:v>DraftKings</x:v>
      </x:c>
      <x:c r="M5" s="0" t="str">
        <x:v>INDEPENDENT</x:v>
      </x:c>
      <x:c r="N5" s="0" t="str">
        <x:v>VERIFIED</x:v>
      </x:c>
      <x:c r="O5" s="0" t="str">
        <x:v>Sports betting handoff update</x:v>
      </x:c>
      <x:c r="P5" s="0" t="str">
        <x:v>The independent soccer pass qualified Guirassy’s confirmed starting role and recent shot-on-target volume. The user confirmed this and the Isak single as placed.</x:v>
      </x:c>
      <x:c r="Q5" s="0" t="str">
        <x:v>The user said “both of those are placed” immediately after the Guirassy and Isak recommendations.</x:v>
      </x:c>
    </x:row>
    <x:row r="6" ht="42" customHeight="1">
      <x:c r="A6" s="0" t="str">
        <x:v>2026-09-12</x:v>
      </x:c>
      <x:c r="B6" s="0" t="str">
        <x:v>Football</x:v>
      </x:c>
      <x:c r="C6" s="0" t="str">
        <x:v>Premier League</x:v>
      </x:c>
      <x:c r="D6" s="0" t="str">
        <x:v>Alexander Isak 2+ shots on target</x:v>
      </x:c>
      <x:c r="E6" s="0" t="str">
        <x:v>PLACED_USER_CONFIRMED</x:v>
      </x:c>
      <x:c r="F6" s="0" t="str">
        <x:v>Alexander Isak</x:v>
      </x:c>
      <x:c r="G6" s="0" t="str">
        <x:v>Fulham at Liverpool</x:v>
      </x:c>
      <x:c r="H6" s="0" t="str">
        <x:v>Player shots on target</x:v>
      </x:c>
      <x:c r="I6" s="0" t="str">
        <x:v>2+</x:v>
      </x:c>
      <x:c r="J6" s="0" t="str">
        <x:v>Over</x:v>
      </x:c>
      <x:c r="K6" s="0" t="str">
        <x:v>+110</x:v>
      </x:c>
      <x:c r="L6" s="0" t="str">
        <x:v>DraftKings</x:v>
      </x:c>
      <x:c r="M6" s="0" t="str">
        <x:v>INDEPENDENT</x:v>
      </x:c>
      <x:c r="N6" s="0" t="str">
        <x:v>VERIFIED</x:v>
      </x:c>
      <x:c r="O6" s="0" t="str">
        <x:v>Sports betting handoff update</x:v>
      </x:c>
      <x:c r="P6" s="0" t="str">
        <x:v>The independent soccer pass preferred Isak’s 2+ shots-on-target threshold at plus money. The user confirmed this and the Guirassy single as placed.</x:v>
      </x:c>
      <x:c r="Q6" s="0" t="str">
        <x:v>The user said “both of those are placed” immediately after the Guirassy and Isak recommendations.</x:v>
      </x:c>
    </x:row>
    <x:row r="7" ht="42" customHeight="1">
      <x:c r="A7" s="0" t="str">
        <x:v>2026-09-12</x:v>
      </x:c>
      <x:c r="B7" s="0" t="str">
        <x:v>Football</x:v>
      </x:c>
      <x:c r="C7" s="0" t="str">
        <x:v>Bundesliga</x:v>
      </x:c>
      <x:c r="D7" s="0" t="str">
        <x:v>Patrik Schick 2+ shots on target</x:v>
      </x:c>
      <x:c r="E7" s="0" t="str">
        <x:v>PLACED_USER_CONFIRMED</x:v>
      </x:c>
      <x:c r="F7" s="0" t="str">
        <x:v>Patrik Schick</x:v>
      </x:c>
      <x:c r="G7" s="0" t="str">
        <x:v>Bayer Leverkusen at FC Augsburg</x:v>
      </x:c>
      <x:c r="H7" s="0" t="str">
        <x:v>Player shots on target</x:v>
      </x:c>
      <x:c r="I7" s="0" t="str">
        <x:v>2+</x:v>
      </x:c>
      <x:c r="J7" s="0" t="str">
        <x:v>Over</x:v>
      </x:c>
      <x:c r="K7" s="0" t="str">
        <x:v>+115</x:v>
      </x:c>
      <x:c r="L7" s="0" t="str">
        <x:v>DraftKings</x:v>
      </x:c>
      <x:c r="M7" s="0" t="str">
        <x:v>INDEPENDENT</x:v>
      </x:c>
      <x:c r="N7" s="0" t="str">
        <x:v>VERIFIED</x:v>
      </x:c>
      <x:c r="O7" s="0" t="str">
        <x:v>Sports betting handoff update</x:v>
      </x:c>
      <x:c r="P7" s="0" t="str">
        <x:v>The independent review preferred Schick’s player-volume market over heavily priced Leverkusen team totals. The user immediately confirmed placement.</x:v>
      </x:c>
      <x:c r="Q7" s="0" t="str">
        <x:v>The user replied “Placed” immediately after the direct Schick instruction.</x:v>
      </x:c>
    </x:row>
    <x:row r="8" ht="42" customHeight="1">
      <x:c r="A8" s="0" t="str">
        <x:v>2026-09-12</x:v>
      </x:c>
      <x:c r="B8" s="0" t="str">
        <x:v>Football</x:v>
      </x:c>
      <x:c r="C8" s="0" t="str">
        <x:v>NCAAF</x:v>
      </x:c>
      <x:c r="D8" s="0" t="str">
        <x:v>Nate Sheppard 24+ rushing attempts</x:v>
      </x:c>
      <x:c r="E8" s="0" t="str">
        <x:v>PLACED_USER_CONFIRMED</x:v>
      </x:c>
      <x:c r="F8" s="0" t="str">
        <x:v>Nate Sheppard</x:v>
      </x:c>
      <x:c r="G8" s="0" t="str">
        <x:v>Duke Blue Devils at Illinois Fighting Illini</x:v>
      </x:c>
      <x:c r="H8" s="0" t="str">
        <x:v>Rushing attempts</x:v>
      </x:c>
      <x:c r="I8" s="0" t="str">
        <x:v>24+</x:v>
      </x:c>
      <x:c r="J8" s="0" t="str">
        <x:v>Over</x:v>
      </x:c>
      <x:c r="K8" s="0" t="str">
        <x:v>-123 before boost</x:v>
      </x:c>
      <x:c r="L8" s="0" t="str">
        <x:v>DraftKings</x:v>
      </x:c>
      <x:c r="M8" s="0" t="str">
        <x:v>INDEPENDENT</x:v>
      </x:c>
      <x:c r="N8" s="0" t="str">
        <x:v>PARTIALLY_VERIFIED</x:v>
      </x:c>
      <x:c r="O8" s="0" t="str">
        <x:v>Sports betting handoff update</x:v>
      </x:c>
      <x:c r="P8" s="0" t="str">
        <x:v>The independent role audit selected rushing attempts over rushing yards to express expected workload directly. The final boosted display price was not captured.</x:v>
      </x:c>
      <x:c r="Q8" s="0" t="str">
        <x:v>The user said “Placed both” immediately after the exact Sheppard and McAfee instructions.</x:v>
      </x:c>
    </x:row>
    <x:row r="9" ht="42" customHeight="1">
      <x:c r="A9" s="0" t="str">
        <x:v>2026-09-12</x:v>
      </x:c>
      <x:c r="B9" s="0" t="str">
        <x:v>Football</x:v>
      </x:c>
      <x:c r="C9" s="0" t="str">
        <x:v>NCAAF</x:v>
      </x:c>
      <x:c r="D9" s="0" t="str">
        <x:v>McAfee Tailgate Overs</x:v>
      </x:c>
      <x:c r="E9" s="0" t="str">
        <x:v>PLACED_USER_CONFIRMED</x:v>
      </x:c>
      <x:c r="F9" s="0" t="str">
        <x:v>Mississippi State at Minnesota</x:v>
      </x:c>
      <x:c r="G9" s="0" t="str">
        <x:v>Mississippi State Bulldogs at Minnesota Golden Gophers</x:v>
      </x:c>
      <x:c r="H9" s="0" t="str">
        <x:v>Game total</x:v>
      </x:c>
      <x:c r="I9" s="0" t="str">
        <x:v>50.5</x:v>
      </x:c>
      <x:c r="J9" s="0" t="str">
        <x:v>Over</x:v>
      </x:c>
      <x:c r="K9" s="0" t="str"/>
      <x:c r="L9" s="0" t="str">
        <x:v>DraftKings</x:v>
      </x:c>
      <x:c r="M9" s="0" t="str">
        <x:v>INDEPENDENT</x:v>
      </x:c>
      <x:c r="N9" s="0" t="str">
        <x:v>PARTIALLY_VERIFIED</x:v>
      </x:c>
      <x:c r="O9" s="0" t="str">
        <x:v>Sports betting handoff update</x:v>
      </x:c>
      <x:c r="P9" s="0" t="str">
        <x:v>The independent audit treated this as one fixed sportsbook proposition, not three independent selections. The user explicitly confirmed it as placed.</x:v>
      </x:c>
      <x:c r="Q9" s="0" t="str">
        <x:v>The user said “Placed both” immediately after the exact Sheppard and McAfee instructions.</x:v>
      </x:c>
    </x:row>
    <x:row r="10" ht="42" customHeight="1">
      <x:c r="A10" s="0" t="str">
        <x:v>2026-09-12</x:v>
      </x:c>
      <x:c r="B10" s="0" t="str">
        <x:v>Football</x:v>
      </x:c>
      <x:c r="C10" s="0" t="str">
        <x:v>NCAAF</x:v>
      </x:c>
      <x:c r="D10" s="0" t="str">
        <x:v>McAfee Tailgate Overs</x:v>
      </x:c>
      <x:c r="E10" s="0" t="str">
        <x:v>PLACED_USER_CONFIRMED</x:v>
      </x:c>
      <x:c r="F10" s="0" t="str">
        <x:v>Tennessee at Georgia Tech</x:v>
      </x:c>
      <x:c r="G10" s="0" t="str">
        <x:v>Tennessee Volunteers at Georgia Tech Yellow Jackets</x:v>
      </x:c>
      <x:c r="H10" s="0" t="str">
        <x:v>Game total</x:v>
      </x:c>
      <x:c r="I10" s="0" t="str">
        <x:v>50.5</x:v>
      </x:c>
      <x:c r="J10" s="0" t="str">
        <x:v>Over</x:v>
      </x:c>
      <x:c r="K10" s="0" t="str"/>
      <x:c r="L10" s="0" t="str">
        <x:v>DraftKings</x:v>
      </x:c>
      <x:c r="M10" s="0" t="str">
        <x:v>INDEPENDENT</x:v>
      </x:c>
      <x:c r="N10" s="0" t="str">
        <x:v>PARTIALLY_VERIFIED</x:v>
      </x:c>
      <x:c r="O10" s="0" t="str">
        <x:v>Sports betting handoff update</x:v>
      </x:c>
      <x:c r="P10" s="0" t="str">
        <x:v>The independent audit treated this as one fixed sportsbook proposition, not three independent selections. The user explicitly confirmed it as placed.</x:v>
      </x:c>
      <x:c r="Q10" s="0" t="str">
        <x:v>The user said “Placed both” immediately after the exact Sheppard and McAfee instructions.</x:v>
      </x:c>
    </x:row>
    <x:row r="11" ht="42" customHeight="1">
      <x:c r="A11" s="0" t="str">
        <x:v>2026-09-12</x:v>
      </x:c>
      <x:c r="B11" s="0" t="str">
        <x:v>Football</x:v>
      </x:c>
      <x:c r="C11" s="0" t="str">
        <x:v>NCAAF</x:v>
      </x:c>
      <x:c r="D11" s="0" t="str">
        <x:v>McAfee Tailgate Overs</x:v>
      </x:c>
      <x:c r="E11" s="0" t="str">
        <x:v>PLACED_USER_CONFIRMED</x:v>
      </x:c>
      <x:c r="F11" s="0" t="str">
        <x:v>Arizona State at Texas A&amp;M</x:v>
      </x:c>
      <x:c r="G11" s="0" t="str">
        <x:v>Arizona State Sun Devils at Texas A&amp;M Aggies</x:v>
      </x:c>
      <x:c r="H11" s="0" t="str">
        <x:v>Game total</x:v>
      </x:c>
      <x:c r="I11" s="0" t="str">
        <x:v>45.5</x:v>
      </x:c>
      <x:c r="J11" s="0" t="str">
        <x:v>Over</x:v>
      </x:c>
      <x:c r="K11" s="0" t="str"/>
      <x:c r="L11" s="0" t="str">
        <x:v>DraftKings</x:v>
      </x:c>
      <x:c r="M11" s="0" t="str">
        <x:v>INDEPENDENT</x:v>
      </x:c>
      <x:c r="N11" s="0" t="str">
        <x:v>PARTIALLY_VERIFIED</x:v>
      </x:c>
      <x:c r="O11" s="0" t="str">
        <x:v>Sports betting handoff update</x:v>
      </x:c>
      <x:c r="P11" s="0" t="str">
        <x:v>The independent audit treated this as one fixed sportsbook proposition, not three independent selections. The user explicitly confirmed it as placed.</x:v>
      </x:c>
      <x:c r="Q11" s="0" t="str">
        <x:v>The user said “Placed both” immediately after the exact Sheppard and McAfee instructions.</x:v>
      </x:c>
    </x:row>
    <x:row r="12" ht="42" customHeight="1">
      <x:c r="A12" s="0" t="str">
        <x:v>2026-09-12</x:v>
      </x:c>
      <x:c r="B12" s="0" t="str">
        <x:v>Football</x:v>
      </x:c>
      <x:c r="C12" s="0" t="str">
        <x:v>La Liga</x:v>
      </x:c>
      <x:c r="D12" s="0" t="str">
        <x:v>Athletic Bilbao first-half moneyline</x:v>
      </x:c>
      <x:c r="E12" s="0" t="str">
        <x:v>PLACED_USER_CONFIRMED</x:v>
      </x:c>
      <x:c r="F12" s="0" t="str">
        <x:v>Athletic Bilbao</x:v>
      </x:c>
      <x:c r="G12" s="0" t="str">
        <x:v>Elche at Athletic Club</x:v>
      </x:c>
      <x:c r="H12" s="0" t="str">
        <x:v>First-half moneyline</x:v>
      </x:c>
      <x:c r="I12" s="0" t="str">
        <x:v>Moneyline</x:v>
      </x:c>
      <x:c r="J12" s="0" t="str">
        <x:v>Athletic Bilbao</x:v>
      </x:c>
      <x:c r="K12" s="0" t="str">
        <x:v>-125</x:v>
      </x:c>
      <x:c r="L12" s="0" t="str">
        <x:v>DraftKings</x:v>
      </x:c>
      <x:c r="M12" s="0" t="str">
        <x:v>INDEPENDENT</x:v>
      </x:c>
      <x:c r="N12" s="0" t="str">
        <x:v>VERIFIED</x:v>
      </x:c>
      <x:c r="O12" s="0" t="str">
        <x:v>Sports betting handoff update</x:v>
      </x:c>
      <x:c r="P12" s="0" t="str">
        <x:v>The independent lineup and early-game review preferred Athletic’s first-half moneyline to expensive team totals and player-shot ladders. The user immediately confirmed placement.</x:v>
      </x:c>
      <x:c r="Q12" s="0" t="str">
        <x:v>The user replied “Placed” immediately after the direct Athletic Bilbao instruction.</x:v>
      </x:c>
    </x:row>
    <x:row r="13" ht="42" customHeight="1">
      <x:c r="A13" s="0" t="str">
        <x:v>2026-09-12</x:v>
      </x:c>
      <x:c r="B13" s="0" t="str">
        <x:v>Football</x:v>
      </x:c>
      <x:c r="C13" s="0" t="str">
        <x:v>NCAAF</x:v>
      </x:c>
      <x:c r="D13" s="0" t="str">
        <x:v>Oregon Ducks first-half team total over 21.5</x:v>
      </x:c>
      <x:c r="E13" s="0" t="str">
        <x:v>PLACED_USER_CONFIRMED</x:v>
      </x:c>
      <x:c r="F13" s="0" t="str">
        <x:v>Oregon Ducks</x:v>
      </x:c>
      <x:c r="G13" s="0" t="str">
        <x:v>Oregon Ducks at Oklahoma State Cowboys</x:v>
      </x:c>
      <x:c r="H13" s="0" t="str">
        <x:v>First-half team total</x:v>
      </x:c>
      <x:c r="I13" s="0" t="str">
        <x:v>21.5</x:v>
      </x:c>
      <x:c r="J13" s="0" t="str">
        <x:v>Over</x:v>
      </x:c>
      <x:c r="K13" s="0" t="str">
        <x:v>+100</x:v>
      </x:c>
      <x:c r="L13" s="0" t="str">
        <x:v>DraftKings</x:v>
      </x:c>
      <x:c r="M13" s="0" t="str">
        <x:v>BOTH</x:v>
      </x:c>
      <x:c r="N13" s="0" t="str">
        <x:v>VERIFIED</x:v>
      </x:c>
      <x:c r="O13" s="0" t="str">
        <x:v>Sports betting handoff update</x:v>
      </x:c>
      <x:c r="P13" s="0" t="str">
        <x:v>The source-blind morning scan identified the game for first-half/team-total comparison. A later price gate selected over 21.5 at +100, and the user confirmed placement.</x:v>
      </x:c>
      <x:c r="Q13" s="0" t="str">
        <x:v>The user said “Placed” immediately after the exact Oregon first-half team-total instruction, then asked about the separate live boost.</x:v>
      </x:c>
    </x:row>
    <x:row r="14" ht="42" customHeight="1">
      <x:c r="A14" s="0" t="str">
        <x:v>2026-09-12</x:v>
      </x:c>
      <x:c r="B14" s="0" t="str">
        <x:v>Baseball</x:v>
      </x:c>
      <x:c r="C14" s="0" t="str">
        <x:v>MLB</x:v>
      </x:c>
      <x:c r="D14" s="0" t="str">
        <x:v>Zac Thornton over 4.5 hits allowed</x:v>
      </x:c>
      <x:c r="E14" s="0" t="str">
        <x:v>PLACED_USER_CONFIRMED</x:v>
      </x:c>
      <x:c r="F14" s="0" t="str">
        <x:v>Zac Thornton</x:v>
      </x:c>
      <x:c r="G14" s="0" t="str">
        <x:v>New York Mets at New York Yankees</x:v>
      </x:c>
      <x:c r="H14" s="0" t="str">
        <x:v>Pitcher hits allowed</x:v>
      </x:c>
      <x:c r="I14" s="0" t="str">
        <x:v>4.5</x:v>
      </x:c>
      <x:c r="J14" s="0" t="str">
        <x:v>Over</x:v>
      </x:c>
      <x:c r="K14" s="0" t="str">
        <x:v>-158</x:v>
      </x:c>
      <x:c r="L14" s="0" t="str">
        <x:v>DraftKings</x:v>
      </x:c>
      <x:c r="M14" s="0" t="str">
        <x:v>BOTH</x:v>
      </x:c>
      <x:c r="N14" s="0" t="str">
        <x:v>PARTIALLY_VERIFIED</x:v>
      </x:c>
      <x:c r="O14" s="0" t="str">
        <x:v>Sports betting handoff update</x:v>
      </x:c>
      <x:c r="P14" s="0" t="str">
        <x:v>The frozen system decision was Thornton over 5.5 hits at a plus price. The user’s DraftKings execution used the lower 4.5 threshold at -158; system decision and user execution remain separate.</x:v>
      </x:c>
      <x:c r="Q14" s="0" t="str">
        <x:v>The user supplied the placed DraftKings ticket and the chat explicitly reconciled the actual 4.5 threshold and -158 price.</x:v>
      </x:c>
    </x:row>
    <x:row r="15" ht="42" customHeight="1">
      <x:c r="A15" s="0" t="str">
        <x:v>2026-09-12</x:v>
      </x:c>
      <x:c r="B15" s="0" t="str">
        <x:v>Football</x:v>
      </x:c>
      <x:c r="C15" s="0" t="str">
        <x:v>NCAAF</x:v>
      </x:c>
      <x:c r="D15" s="0" t="str">
        <x:v>Michigan live spread -4.5</x:v>
      </x:c>
      <x:c r="E15" s="0" t="str">
        <x:v>PLACED_USER_CONFIRMED</x:v>
      </x:c>
      <x:c r="F15" s="0" t="str">
        <x:v>Michigan</x:v>
      </x:c>
      <x:c r="G15" s="0" t="str">
        <x:v>Oklahoma Sooners at Michigan Wolverines</x:v>
      </x:c>
      <x:c r="H15" s="0" t="str">
        <x:v>Live spread</x:v>
      </x:c>
      <x:c r="I15" s="0" t="str">
        <x:v>-4.5</x:v>
      </x:c>
      <x:c r="J15" s="0" t="str">
        <x:v>Michigan</x:v>
      </x:c>
      <x:c r="K15" s="0" t="str">
        <x:v>-114 before boost</x:v>
      </x:c>
      <x:c r="L15" s="0" t="str">
        <x:v>DraftKings</x:v>
      </x:c>
      <x:c r="M15" s="0" t="str">
        <x:v>INDEPENDENT</x:v>
      </x:c>
      <x:c r="N15" s="0" t="str">
        <x:v>PARTIALLY_VERIFIED</x:v>
      </x:c>
      <x:c r="O15" s="0" t="str">
        <x:v>Sports betting handoff update</x:v>
      </x:c>
      <x:c r="P15" s="0" t="str">
        <x:v>The live state was requalified independently before execution. The user confirmed Michigan -4.5 at -114 with the 50% live CFB boost; the exact final boosted display price was not captured.</x:v>
      </x:c>
      <x:c r="Q15" s="0" t="str">
        <x:v>The user replied “Ok placed” immediately after the exact live Michigan placement instruction.</x:v>
      </x:c>
    </x:row>
    <x:row r="16" ht="42" customHeight="1">
      <x:c r="A16" s="0" t="str">
        <x:v>2026-09-12</x:v>
      </x:c>
      <x:c r="B16" s="0" t="str">
        <x:v>Baseball</x:v>
      </x:c>
      <x:c r="C16" s="0" t="str">
        <x:v>MLB</x:v>
      </x:c>
      <x:c r="D16" s="0" t="str">
        <x:v>Kyle Bradish over 2.5 walks allowed</x:v>
      </x:c>
      <x:c r="E16" s="0" t="str">
        <x:v>PLACED_USER_CONFIRMED</x:v>
      </x:c>
      <x:c r="F16" s="0" t="str">
        <x:v>Kyle Bradish</x:v>
      </x:c>
      <x:c r="G16" s="0" t="str">
        <x:v>Baltimore Orioles at Toronto Blue Jays</x:v>
      </x:c>
      <x:c r="H16" s="0" t="str">
        <x:v>Pitcher walks allowed</x:v>
      </x:c>
      <x:c r="I16" s="0" t="str">
        <x:v>2.5</x:v>
      </x:c>
      <x:c r="J16" s="0" t="str">
        <x:v>Over</x:v>
      </x:c>
      <x:c r="K16" s="0" t="str">
        <x:v>+145</x:v>
      </x:c>
      <x:c r="L16" s="0" t="str">
        <x:v>DraftKings</x:v>
      </x:c>
      <x:c r="M16" s="0" t="str">
        <x:v>BOTH</x:v>
      </x:c>
      <x:c r="N16" s="0" t="str">
        <x:v>PARTIALLY_VERIFIED</x:v>
      </x:c>
      <x:c r="O16" s="0" t="str">
        <x:v>Sports betting handoff update</x:v>
      </x:c>
      <x:c r="P16" s="0" t="str">
        <x:v>A live-before-first-pitch requalification selected the higher 2.5-walk threshold at plus money over the hits market. The user confirmed this and Ureña as placed.</x:v>
      </x:c>
      <x:c r="Q16" s="0" t="str">
        <x:v>The user said “Okay both placed” after the exact Bradish and Ureña instructions.</x:v>
      </x:c>
    </x:row>
    <x:row r="17" ht="42" customHeight="1">
      <x:c r="A17" s="0" t="str">
        <x:v>2026-09-12</x:v>
      </x:c>
      <x:c r="B17" s="0" t="str">
        <x:v>Baseball</x:v>
      </x:c>
      <x:c r="C17" s="0" t="str">
        <x:v>MLB</x:v>
      </x:c>
      <x:c r="D17" s="0" t="str">
        <x:v>Walbert Ureña over 16.5 pitching outs</x:v>
      </x:c>
      <x:c r="E17" s="0" t="str">
        <x:v>PLACED_USER_CONFIRMED</x:v>
      </x:c>
      <x:c r="F17" s="0" t="str">
        <x:v>Walbert Ureña</x:v>
      </x:c>
      <x:c r="G17" s="0" t="str">
        <x:v>Los Angeles Angels at Washington Nationals</x:v>
      </x:c>
      <x:c r="H17" s="0" t="str">
        <x:v>Pitching outs</x:v>
      </x:c>
      <x:c r="I17" s="0" t="str">
        <x:v>16.5</x:v>
      </x:c>
      <x:c r="J17" s="0" t="str">
        <x:v>Over</x:v>
      </x:c>
      <x:c r="K17" s="0" t="str">
        <x:v>-115</x:v>
      </x:c>
      <x:c r="L17" s="0" t="str">
        <x:v>DraftKings</x:v>
      </x:c>
      <x:c r="M17" s="0" t="str">
        <x:v>BOTH</x:v>
      </x:c>
      <x:c r="N17" s="0" t="str">
        <x:v>PARTIALLY_VERIFIED</x:v>
      </x:c>
      <x:c r="O17" s="0" t="str">
        <x:v>Sports betting handoff update</x:v>
      </x:c>
      <x:c r="P17" s="0" t="str">
        <x:v>The independent workload audit preferred the improved 16.5-outs threshold over the earlier 17.5 line and alternate strikeout markets. The user confirmed this and Bradish as placed.</x:v>
      </x:c>
      <x:c r="Q17" s="0" t="str">
        <x:v>The user said “Okay both placed” after the exact Bradish and Ureña instructions.</x:v>
      </x:c>
    </x:row>
    <x:row r="18" ht="42" customHeight="1">
      <x:c r="A18" s="0" t="str">
        <x:v>2026-09-12</x:v>
      </x:c>
      <x:c r="B18" s="0" t="str">
        <x:v>Football</x:v>
      </x:c>
      <x:c r="C18" s="0" t="str">
        <x:v>NCAAF</x:v>
      </x:c>
      <x:c r="D18" s="0" t="str">
        <x:v>Arizona +7.5 / Kentucky +10.5 / UConn +12.5 parlay</x:v>
      </x:c>
      <x:c r="E18" s="0" t="str">
        <x:v>PLACED_USER_CONFIRMED</x:v>
      </x:c>
      <x:c r="F18" s="0" t="str">
        <x:v>Arizona</x:v>
      </x:c>
      <x:c r="G18" s="0" t="str">
        <x:v>Arizona Wildcats at BYU Cougars</x:v>
      </x:c>
      <x:c r="H18" s="0" t="str">
        <x:v>Game spread</x:v>
      </x:c>
      <x:c r="I18" s="0" t="str">
        <x:v>+7.5</x:v>
      </x:c>
      <x:c r="J18" s="0" t="str">
        <x:v>Arizona</x:v>
      </x:c>
      <x:c r="K18" s="0" t="str"/>
      <x:c r="L18" s="0" t="str">
        <x:v>DraftKings</x:v>
      </x:c>
      <x:c r="M18" s="0" t="str">
        <x:v>INDEPENDENT</x:v>
      </x:c>
      <x:c r="N18" s="0" t="str">
        <x:v>PARTIALLY_VERIFIED</x:v>
      </x:c>
      <x:c r="O18" s="0" t="str">
        <x:v>Sports betting handoff update</x:v>
      </x:c>
      <x:c r="P18" s="0" t="str">
        <x:v>The 3:30 CFB audit qualified each spread before packaging. The user confirmed the exact three-leg, $1, 50%-boosted construction after a final confidence check.</x:v>
      </x:c>
      <x:c r="Q18" s="0" t="str">
        <x:v>The user replied “Okay done” immediately after the exact three-leg boosted parlay instruction.</x:v>
      </x:c>
    </x:row>
    <x:row r="19" ht="42" customHeight="1">
      <x:c r="A19" s="0" t="str">
        <x:v>2026-09-12</x:v>
      </x:c>
      <x:c r="B19" s="0" t="str">
        <x:v>Football</x:v>
      </x:c>
      <x:c r="C19" s="0" t="str">
        <x:v>NCAAF</x:v>
      </x:c>
      <x:c r="D19" s="0" t="str">
        <x:v>Arizona +7.5 / Kentucky +10.5 / UConn +12.5 parlay</x:v>
      </x:c>
      <x:c r="E19" s="0" t="str">
        <x:v>PLACED_USER_CONFIRMED</x:v>
      </x:c>
      <x:c r="F19" s="0" t="str">
        <x:v>Kentucky</x:v>
      </x:c>
      <x:c r="G19" s="0" t="str">
        <x:v>Alabama Crimson Tide at Kentucky Wildcats</x:v>
      </x:c>
      <x:c r="H19" s="0" t="str">
        <x:v>Game spread</x:v>
      </x:c>
      <x:c r="I19" s="0" t="str">
        <x:v>+10.5</x:v>
      </x:c>
      <x:c r="J19" s="0" t="str">
        <x:v>Kentucky</x:v>
      </x:c>
      <x:c r="K19" s="0" t="str"/>
      <x:c r="L19" s="0" t="str">
        <x:v>DraftKings</x:v>
      </x:c>
      <x:c r="M19" s="0" t="str">
        <x:v>INDEPENDENT</x:v>
      </x:c>
      <x:c r="N19" s="0" t="str">
        <x:v>PARTIALLY_VERIFIED</x:v>
      </x:c>
      <x:c r="O19" s="0" t="str">
        <x:v>Sports betting handoff update</x:v>
      </x:c>
      <x:c r="P19" s="0" t="str">
        <x:v>The 3:30 CFB audit qualified each spread before packaging. The user confirmed the exact three-leg, $1, 50%-boosted construction after a final confidence check.</x:v>
      </x:c>
      <x:c r="Q19" s="0" t="str">
        <x:v>The user replied “Okay done” immediately after the exact three-leg boosted parlay instruction.</x:v>
      </x:c>
    </x:row>
    <x:row r="20" ht="42" customHeight="1">
      <x:c r="A20" s="0" t="str">
        <x:v>2026-09-12</x:v>
      </x:c>
      <x:c r="B20" s="0" t="str">
        <x:v>Football</x:v>
      </x:c>
      <x:c r="C20" s="0" t="str">
        <x:v>NCAAF</x:v>
      </x:c>
      <x:c r="D20" s="0" t="str">
        <x:v>Arizona +7.5 / Kentucky +10.5 / UConn +12.5 parlay</x:v>
      </x:c>
      <x:c r="E20" s="0" t="str">
        <x:v>PLACED_USER_CONFIRMED</x:v>
      </x:c>
      <x:c r="F20" s="0" t="str">
        <x:v>UConn</x:v>
      </x:c>
      <x:c r="G20" s="0" t="str">
        <x:v>Maryland Terrapins at UConn Huskies</x:v>
      </x:c>
      <x:c r="H20" s="0" t="str">
        <x:v>Game spread</x:v>
      </x:c>
      <x:c r="I20" s="0" t="str">
        <x:v>+12.5</x:v>
      </x:c>
      <x:c r="J20" s="0" t="str">
        <x:v>UConn</x:v>
      </x:c>
      <x:c r="K20" s="0" t="str"/>
      <x:c r="L20" s="0" t="str">
        <x:v>DraftKings</x:v>
      </x:c>
      <x:c r="M20" s="0" t="str">
        <x:v>INDEPENDENT</x:v>
      </x:c>
      <x:c r="N20" s="0" t="str">
        <x:v>PARTIALLY_VERIFIED</x:v>
      </x:c>
      <x:c r="O20" s="0" t="str">
        <x:v>Sports betting handoff update</x:v>
      </x:c>
      <x:c r="P20" s="0" t="str">
        <x:v>The 3:30 CFB audit qualified each spread before packaging. The user confirmed the exact three-leg, $1, 50%-boosted construction after a final confidence check.</x:v>
      </x:c>
      <x:c r="Q20" s="0" t="str">
        <x:v>The user replied “Okay done” immediately after the exact three-leg boosted parlay instruction.</x:v>
      </x:c>
    </x:row>
    <x:row r="21" ht="42" customHeight="1">
      <x:c r="A21" s="0" t="str">
        <x:v>2026-09-12</x:v>
      </x:c>
      <x:c r="B21" s="0" t="str">
        <x:v>Football</x:v>
      </x:c>
      <x:c r="C21" s="0" t="str">
        <x:v>NCAAF</x:v>
      </x:c>
      <x:c r="D21" s="0" t="str">
        <x:v>Keelon Russell 50+ rushing yards</x:v>
      </x:c>
      <x:c r="E21" s="0" t="str">
        <x:v>PLACED_USER_CONFIRMED</x:v>
      </x:c>
      <x:c r="F21" s="0" t="str">
        <x:v>Keelon Russell</x:v>
      </x:c>
      <x:c r="G21" s="0" t="str">
        <x:v>Alabama Crimson Tide at Kentucky Wildcats</x:v>
      </x:c>
      <x:c r="H21" s="0" t="str">
        <x:v>Rushing yards</x:v>
      </x:c>
      <x:c r="I21" s="0" t="str">
        <x:v>50+</x:v>
      </x:c>
      <x:c r="J21" s="0" t="str">
        <x:v>Over</x:v>
      </x:c>
      <x:c r="K21" s="0" t="str">
        <x:v>-107</x:v>
      </x:c>
      <x:c r="L21" s="0" t="str">
        <x:v>DraftKings</x:v>
      </x:c>
      <x:c r="M21" s="0" t="str">
        <x:v>INDEPENDENT</x:v>
      </x:c>
      <x:c r="N21" s="0" t="str">
        <x:v>PARTIALLY_VERIFIED</x:v>
      </x:c>
      <x:c r="O21" s="0" t="str">
        <x:v>Sports betting handoff update</x:v>
      </x:c>
      <x:c r="P21" s="0" t="str">
        <x:v>The player-board audit preferred a lower 50+ threshold at a better price than the previously evaluated 53+ line. The user immediately confirmed placement.</x:v>
      </x:c>
      <x:c r="Q21" s="0" t="str">
        <x:v>The user replied “Placed.” immediately after the exact Russell 50+ rushing-yards instruction.</x:v>
      </x:c>
    </x:row>
    <x:row r="22" ht="42" customHeight="1">
      <x:c r="A22" s="0" t="str">
        <x:v>2026-09-12</x:v>
      </x:c>
      <x:c r="B22" s="0" t="str">
        <x:v>Football</x:v>
      </x:c>
      <x:c r="C22" s="0" t="str">
        <x:v>NCAAF</x:v>
      </x:c>
      <x:c r="D22" s="0" t="str">
        <x:v>Ryan Wingo 60+ receiving yards</x:v>
      </x:c>
      <x:c r="E22" s="0" t="str">
        <x:v>PLACED_USER_CONFIRMED</x:v>
      </x:c>
      <x:c r="F22" s="0" t="str">
        <x:v>Ryan Wingo</x:v>
      </x:c>
      <x:c r="G22" s="0" t="str">
        <x:v>Ohio State Buckeyes at Texas Longhorns</x:v>
      </x:c>
      <x:c r="H22" s="0" t="str">
        <x:v>Receiving yards</x:v>
      </x:c>
      <x:c r="I22" s="0" t="str">
        <x:v>60+</x:v>
      </x:c>
      <x:c r="J22" s="0" t="str">
        <x:v>Over</x:v>
      </x:c>
      <x:c r="K22" s="0" t="str">
        <x:v>+120 before boost</x:v>
      </x:c>
      <x:c r="L22" s="0" t="str">
        <x:v>DraftKings</x:v>
      </x:c>
      <x:c r="M22" s="0" t="str">
        <x:v>INDEPENDENT</x:v>
      </x:c>
      <x:c r="N22" s="0" t="str">
        <x:v>PARTIALLY_VERIFIED</x:v>
      </x:c>
      <x:c r="O22" s="0" t="str">
        <x:v>Sports betting handoff update</x:v>
      </x:c>
      <x:c r="P22" s="0" t="str">
        <x:v>The independent evening audit preferred Wingo's 60+ receiving-yards threshold over the supplied Jeremiah Smith markets. The displayed +120 price qualified before the dedicated boost.</x:v>
      </x:c>
      <x:c r="Q22" s="0" t="str">
        <x:v>The user said “Placed it” immediately after the exact Wingo 60+ receiving-yards instruction.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2026-09-12</x:v>
      </x:c>
      <x:c r="B5" s="425" t="str">
        <x:v>Baseball</x:v>
      </x:c>
      <x:c r="C5" s="425" t="str">
        <x:v>MLB</x:v>
      </x:c>
      <x:c r="D5" s="425" t="str">
        <x:v>Colorado Rockies at Detroit Tigers</x:v>
      </x:c>
      <x:c r="E5" s="425" t="str">
        <x:v>2026-09-12T17:10:00Z</x:v>
      </x:c>
      <x:c r="F5" s="425" t="str">
        <x:v>PROSPECTIVE</x:v>
      </x:c>
      <x:c r="G5" s="425" t="str">
        <x:v>Tanner Gordon</x:v>
      </x:c>
      <x:c r="H5" s="425" t="str">
        <x:v>Probable away starting pitcher</x:v>
      </x:c>
      <x:c r="I5" s="425" t="str">
        <x:v>Official MLB probable starter and 2026 season line: 9 GS, 93.3 IP, 5.40 ERA, 1.43 WHIP, 7.33 K/9, 1.64 BB/9, 11.19 H/9 and 1.64 HR/9.</x:v>
      </x:c>
      <x:c r="J5" s="425" t="str"/>
      <x:c r="K5" s="425" t="str"/>
      <x:c r="L5" s="425" t="str">
        <x:v>https://www.mlb.com/gameday/824224</x:v>
      </x:c>
    </x:row>
    <x:row r="6" ht="38" customHeight="1">
      <x:c r="A6" s="425" t="str">
        <x:v>2026-09-12</x:v>
      </x:c>
      <x:c r="B6" s="425" t="str">
        <x:v>Baseball</x:v>
      </x:c>
      <x:c r="C6" s="425" t="str">
        <x:v>MLB</x:v>
      </x:c>
      <x:c r="D6" s="425" t="str">
        <x:v>Colorado Rockies at Detroit Tigers</x:v>
      </x:c>
      <x:c r="E6" s="425" t="str">
        <x:v>2026-09-12T17:10:00Z</x:v>
      </x:c>
      <x:c r="F6" s="425" t="str">
        <x:v>PROSPECTIVE</x:v>
      </x:c>
      <x:c r="G6" s="425" t="str">
        <x:v>Andrew Sears</x:v>
      </x:c>
      <x:c r="H6" s="425" t="str">
        <x:v>Probable home starting pitcher</x:v>
      </x:c>
      <x:c r="I6" s="425" t="str">
        <x:v>Official MLB probable starter and 2026 season line: 1 GS, 12.3 IP, 4.38 ERA, 1.22 WHIP, 5.84 K/9, 2.19 BB/9, 8.76 H/9 and 0.73 HR/9.</x:v>
      </x:c>
      <x:c r="J6" s="425" t="str"/>
      <x:c r="K6" s="425" t="str"/>
      <x:c r="L6" s="425" t="str">
        <x:v>https://www.mlb.com/gameday/824224</x:v>
      </x:c>
    </x:row>
    <x:row r="7" ht="38" customHeight="1">
      <x:c r="A7" s="425" t="str">
        <x:v>2026-09-12</x:v>
      </x:c>
      <x:c r="B7" s="425" t="str">
        <x:v>Baseball</x:v>
      </x:c>
      <x:c r="C7" s="425" t="str">
        <x:v>MLB</x:v>
      </x:c>
      <x:c r="D7" s="425" t="str">
        <x:v>New York Mets at New York Yankees</x:v>
      </x:c>
      <x:c r="E7" s="425" t="str">
        <x:v>2026-09-12T17:35:00Z</x:v>
      </x:c>
      <x:c r="F7" s="425" t="str">
        <x:v>PROSPECTIVE</x:v>
      </x:c>
      <x:c r="G7" s="425" t="str">
        <x:v>Zac Thornton</x:v>
      </x:c>
      <x:c r="H7" s="425" t="str">
        <x:v>Probable away starting pitcher</x:v>
      </x:c>
      <x:c r="I7" s="425" t="str">
        <x:v>Official MLB probable starter and 2026 season line: 12 GS, 66.3 IP, 3.53 ERA, 1.19 WHIP, 6.92 K/9, 2.04 BB/9, 8.68 H/9 and 1.49 HR/9.</x:v>
      </x:c>
      <x:c r="J7" s="425" t="str"/>
      <x:c r="K7" s="425" t="str"/>
      <x:c r="L7" s="425" t="str">
        <x:v>https://www.mlb.com/gameday/823496</x:v>
      </x:c>
    </x:row>
    <x:row r="8" ht="38" customHeight="1">
      <x:c r="A8" s="425" t="str">
        <x:v>2026-09-12</x:v>
      </x:c>
      <x:c r="B8" s="425" t="str">
        <x:v>Baseball</x:v>
      </x:c>
      <x:c r="C8" s="425" t="str">
        <x:v>MLB</x:v>
      </x:c>
      <x:c r="D8" s="425" t="str">
        <x:v>New York Mets at New York Yankees</x:v>
      </x:c>
      <x:c r="E8" s="425" t="str">
        <x:v>2026-09-12T17:35:00Z</x:v>
      </x:c>
      <x:c r="F8" s="425" t="str">
        <x:v>PROSPECTIVE</x:v>
      </x:c>
      <x:c r="G8" s="425" t="str">
        <x:v>Gerrit Cole</x:v>
      </x:c>
      <x:c r="H8" s="425" t="str">
        <x:v>Probable home starting pitcher</x:v>
      </x:c>
      <x:c r="I8" s="425" t="str">
        <x:v>Official MLB probable starter and 2026 season line: 19 GS, 111.0 IP, 3.41 ERA, 1.09 WHIP, 9.16 K/9, 1.78 BB/9, 8.03 H/9 and 1.38 HR/9.</x:v>
      </x:c>
      <x:c r="J8" s="425" t="str"/>
      <x:c r="K8" s="425" t="str"/>
      <x:c r="L8" s="425" t="str">
        <x:v>https://www.mlb.com/gameday/823496</x:v>
      </x:c>
    </x:row>
    <x:row r="9" ht="38" customHeight="1">
      <x:c r="A9" s="425" t="str">
        <x:v>2026-09-12</x:v>
      </x:c>
      <x:c r="B9" s="425" t="str">
        <x:v>Baseball</x:v>
      </x:c>
      <x:c r="C9" s="425" t="str">
        <x:v>MLB</x:v>
      </x:c>
      <x:c r="D9" s="425" t="str">
        <x:v>Pittsburgh Pirates at Chicago Cubs</x:v>
      </x:c>
      <x:c r="E9" s="425" t="str">
        <x:v>2026-09-12T18:20:00Z</x:v>
      </x:c>
      <x:c r="F9" s="425" t="str">
        <x:v>PROSPECTIVE</x:v>
      </x:c>
      <x:c r="G9" s="425" t="str">
        <x:v>Paul Skenes</x:v>
      </x:c>
      <x:c r="H9" s="425" t="str">
        <x:v>Probable away starting pitcher</x:v>
      </x:c>
      <x:c r="I9" s="425" t="str">
        <x:v>Official MLB probable starter and 2026 season line: 29 GS, 155.0 IP, 3.83 ERA, 1.15 WHIP, 10.51 K/9, 2.61 BB/9, 7.72 H/9 and 0.87 HR/9.</x:v>
      </x:c>
      <x:c r="J9" s="425" t="str"/>
      <x:c r="K9" s="425" t="str"/>
      <x:c r="L9" s="425" t="str">
        <x:v>https://www.mlb.com/gameday/824630</x:v>
      </x:c>
    </x:row>
    <x:row r="10" ht="38" customHeight="1">
      <x:c r="A10" s="425" t="str">
        <x:v>2026-09-12</x:v>
      </x:c>
      <x:c r="B10" s="425" t="str">
        <x:v>Baseball</x:v>
      </x:c>
      <x:c r="C10" s="425" t="str">
        <x:v>MLB</x:v>
      </x:c>
      <x:c r="D10" s="425" t="str">
        <x:v>Pittsburgh Pirates at Chicago Cubs</x:v>
      </x:c>
      <x:c r="E10" s="425" t="str">
        <x:v>2026-09-12T18:20:00Z</x:v>
      </x:c>
      <x:c r="F10" s="425" t="str">
        <x:v>PROSPECTIVE</x:v>
      </x:c>
      <x:c r="G10" s="425" t="str">
        <x:v>Clay Holmes</x:v>
      </x:c>
      <x:c r="H10" s="425" t="str">
        <x:v>Probable home starting pitcher</x:v>
      </x:c>
      <x:c r="I10" s="425" t="str">
        <x:v>Official MLB probable starter and 2026 season line: 15 GS, 86.0 IP, 2.83 ERA, 1.12 WHIP, 6.80 K/9, 3.14 BB/9, 6.91 H/9 and 0.52 HR/9.</x:v>
      </x:c>
      <x:c r="J10" s="425" t="str"/>
      <x:c r="K10" s="425" t="str"/>
      <x:c r="L10" s="425" t="str">
        <x:v>https://www.mlb.com/gameday/824630</x:v>
      </x:c>
    </x:row>
    <x:row r="11" ht="38" customHeight="1">
      <x:c r="A11" s="425" t="str">
        <x:v>2026-09-12</x:v>
      </x:c>
      <x:c r="B11" s="425" t="str">
        <x:v>Baseball</x:v>
      </x:c>
      <x:c r="C11" s="425" t="str">
        <x:v>MLB</x:v>
      </x:c>
      <x:c r="D11" s="425" t="str">
        <x:v>Baltimore Orioles at Toronto Blue Jays</x:v>
      </x:c>
      <x:c r="E11" s="425" t="str">
        <x:v>2026-09-12T19:07:00Z</x:v>
      </x:c>
      <x:c r="F11" s="425" t="str">
        <x:v>PROSPECTIVE</x:v>
      </x:c>
      <x:c r="G11" s="425" t="str">
        <x:v>Kyle Bradish</x:v>
      </x:c>
      <x:c r="H11" s="425" t="str">
        <x:v>Probable away starting pitcher</x:v>
      </x:c>
      <x:c r="I11" s="425" t="str">
        <x:v>Official MLB probable starter and 2026 season line: 28 GS, 152.0 IP, 3.91 ERA, 1.42 WHIP, 8.29 K/9, 4.03 BB/9, 8.76 H/9 and 1.07 HR/9.</x:v>
      </x:c>
      <x:c r="J11" s="425" t="str"/>
      <x:c r="K11" s="425" t="str"/>
      <x:c r="L11" s="425" t="str">
        <x:v>https://www.mlb.com/gameday/822768</x:v>
      </x:c>
    </x:row>
    <x:row r="12" ht="38" customHeight="1">
      <x:c r="A12" s="425" t="str">
        <x:v>2026-09-12</x:v>
      </x:c>
      <x:c r="B12" s="425" t="str">
        <x:v>Baseball</x:v>
      </x:c>
      <x:c r="C12" s="425" t="str">
        <x:v>MLB</x:v>
      </x:c>
      <x:c r="D12" s="425" t="str">
        <x:v>Baltimore Orioles at Toronto Blue Jays</x:v>
      </x:c>
      <x:c r="E12" s="425" t="str">
        <x:v>2026-09-12T19:07:00Z</x:v>
      </x:c>
      <x:c r="F12" s="425" t="str">
        <x:v>PROSPECTIVE</x:v>
      </x:c>
      <x:c r="G12" s="425" t="str">
        <x:v>Spencer Miles</x:v>
      </x:c>
      <x:c r="H12" s="425" t="str">
        <x:v>Probable home starting pitcher</x:v>
      </x:c>
      <x:c r="I12" s="425" t="str">
        <x:v>Official MLB probable starter and 2026 season line: 6 GS, 87.7 IP, 2.77 ERA, 1.05 WHIP, 8.32 K/9, 2.16 BB/9, 7.29 H/9 and 0.51 HR/9.</x:v>
      </x:c>
      <x:c r="J12" s="425" t="str"/>
      <x:c r="K12" s="425" t="str"/>
      <x:c r="L12" s="425" t="str">
        <x:v>https://www.mlb.com/gameday/822768</x:v>
      </x:c>
    </x:row>
    <x:row r="13" ht="38" customHeight="1">
      <x:c r="A13" s="425" t="str">
        <x:v>2026-09-12</x:v>
      </x:c>
      <x:c r="B13" s="425" t="str">
        <x:v>Baseball</x:v>
      </x:c>
      <x:c r="C13" s="425" t="str">
        <x:v>MLB</x:v>
      </x:c>
      <x:c r="D13" s="425" t="str">
        <x:v>Los Angeles Angels at Washington Nationals</x:v>
      </x:c>
      <x:c r="E13" s="425" t="str">
        <x:v>2026-09-12T20:05:00Z</x:v>
      </x:c>
      <x:c r="F13" s="425" t="str">
        <x:v>PROSPECTIVE</x:v>
      </x:c>
      <x:c r="G13" s="425" t="str">
        <x:v>Walbert Ureña</x:v>
      </x:c>
      <x:c r="H13" s="425" t="str">
        <x:v>Probable away starting pitcher</x:v>
      </x:c>
      <x:c r="I13" s="425" t="str">
        <x:v>Official MLB probable starter and 2026 season line: 24 GS, 131.3 IP, 2.74 ERA, 1.21 WHIP, 8.50 K/9, 4.45 BB/9, 6.44 H/9 and 0.62 HR/9.</x:v>
      </x:c>
      <x:c r="J13" s="425" t="str"/>
      <x:c r="K13" s="425" t="str"/>
      <x:c r="L13" s="425" t="str">
        <x:v>https://www.mlb.com/gameday/822685</x:v>
      </x:c>
    </x:row>
    <x:row r="14" ht="38" customHeight="1">
      <x:c r="A14" s="425" t="str">
        <x:v>2026-09-12</x:v>
      </x:c>
      <x:c r="B14" s="425" t="str">
        <x:v>Baseball</x:v>
      </x:c>
      <x:c r="C14" s="425" t="str">
        <x:v>MLB</x:v>
      </x:c>
      <x:c r="D14" s="425" t="str">
        <x:v>Los Angeles Angels at Washington Nationals</x:v>
      </x:c>
      <x:c r="E14" s="425" t="str">
        <x:v>2026-09-12T20:05:00Z</x:v>
      </x:c>
      <x:c r="F14" s="425" t="str">
        <x:v>PROSPECTIVE</x:v>
      </x:c>
      <x:c r="G14" s="425" t="str">
        <x:v>Andrew Alvarez</x:v>
      </x:c>
      <x:c r="H14" s="425" t="str">
        <x:v>Probable home starting pitcher</x:v>
      </x:c>
      <x:c r="I14" s="425" t="str">
        <x:v>Official MLB probable starter and 2026 season line: 14 GS, 95.0 IP, 3.60 ERA, 1.32 WHIP, 8.62 K/9, 4.07 BB/9, 7.77 H/9 and 0.47 HR/9.</x:v>
      </x:c>
      <x:c r="J14" s="425" t="str"/>
      <x:c r="K14" s="425" t="str"/>
      <x:c r="L14" s="425" t="str">
        <x:v>https://www.mlb.com/gameday/822685</x:v>
      </x:c>
    </x:row>
    <x:row r="15" ht="38" customHeight="1">
      <x:c r="A15" s="425" t="str">
        <x:v>2026-09-12</x:v>
      </x:c>
      <x:c r="B15" s="425" t="str">
        <x:v>Baseball</x:v>
      </x:c>
      <x:c r="C15" s="425" t="str">
        <x:v>MLB</x:v>
      </x:c>
      <x:c r="D15" s="425" t="str">
        <x:v>San Diego Padres at San Francisco Giants</x:v>
      </x:c>
      <x:c r="E15" s="425" t="str">
        <x:v>2026-09-12T20:05:00Z</x:v>
      </x:c>
      <x:c r="F15" s="425" t="str">
        <x:v>PROSPECTIVE</x:v>
      </x:c>
      <x:c r="G15" s="425" t="str">
        <x:v>Michael King</x:v>
      </x:c>
      <x:c r="H15" s="425" t="str">
        <x:v>Probable away starting pitcher</x:v>
      </x:c>
      <x:c r="I15" s="425" t="str">
        <x:v>Official MLB probable starter and 2026 season line: 29 GS, 168.0 IP, 3.00 ERA, 1.17 WHIP, 7.71 K/9, 3.54 BB/9, 6.96 H/9 and 0.96 HR/9.</x:v>
      </x:c>
      <x:c r="J15" s="425" t="str"/>
      <x:c r="K15" s="425" t="str"/>
      <x:c r="L15" s="425" t="str">
        <x:v>https://www.mlb.com/gameday/823170</x:v>
      </x:c>
    </x:row>
    <x:row r="16" ht="38" customHeight="1">
      <x:c r="A16" s="425" t="str">
        <x:v>2026-09-12</x:v>
      </x:c>
      <x:c r="B16" s="425" t="str">
        <x:v>Baseball</x:v>
      </x:c>
      <x:c r="C16" s="425" t="str">
        <x:v>MLB</x:v>
      </x:c>
      <x:c r="D16" s="425" t="str">
        <x:v>San Diego Padres at San Francisco Giants</x:v>
      </x:c>
      <x:c r="E16" s="425" t="str">
        <x:v>2026-09-12T20:05:00Z</x:v>
      </x:c>
      <x:c r="F16" s="425" t="str">
        <x:v>PROSPECTIVE</x:v>
      </x:c>
      <x:c r="G16" s="425" t="str">
        <x:v>Cesar Perdomo</x:v>
      </x:c>
      <x:c r="H16" s="425" t="str">
        <x:v>Probable home starting pitcher</x:v>
      </x:c>
      <x:c r="I16" s="425" t="str">
        <x:v>Official MLB probable starter and 2026 season line: 1 GS, 10.0 IP, 0.90 ERA, 0.80 WHIP, 7.20 K/9, 1.80 BB/9, 5.40 H/9 and 0.90 HR/9.</x:v>
      </x:c>
      <x:c r="J16" s="425" t="str"/>
      <x:c r="K16" s="425" t="str"/>
      <x:c r="L16" s="425" t="str">
        <x:v>https://www.mlb.com/gameday/823170</x:v>
      </x:c>
    </x:row>
    <x:row r="17" ht="38" customHeight="1">
      <x:c r="A17" s="425" t="str">
        <x:v>2026-09-12</x:v>
      </x:c>
      <x:c r="B17" s="425" t="str">
        <x:v>Baseball</x:v>
      </x:c>
      <x:c r="C17" s="425" t="str">
        <x:v>MLB</x:v>
      </x:c>
      <x:c r="D17" s="425" t="str">
        <x:v>Kansas City Royals at Boston Red Sox</x:v>
      </x:c>
      <x:c r="E17" s="425" t="str">
        <x:v>2026-09-12T20:10:00Z</x:v>
      </x:c>
      <x:c r="F17" s="425" t="str">
        <x:v>PROSPECTIVE</x:v>
      </x:c>
      <x:c r="G17" s="425" t="str">
        <x:v>Randy Dobnak</x:v>
      </x:c>
      <x:c r="H17" s="425" t="str">
        <x:v>Probable away starting pitcher</x:v>
      </x:c>
      <x:c r="I17" s="425" t="str">
        <x:v>Official MLB probable starter and 2026 season line: 10 GS, 63.7 IP, 2.54 ERA, 1.32 WHIP, 6.08 K/9, 3.25 BB/9, 8.62 H/9 and 0.85 HR/9.</x:v>
      </x:c>
      <x:c r="J17" s="425" t="str"/>
      <x:c r="K17" s="425" t="str"/>
      <x:c r="L17" s="425" t="str">
        <x:v>https://www.mlb.com/gameday/824712</x:v>
      </x:c>
    </x:row>
    <x:row r="18" ht="38" customHeight="1">
      <x:c r="A18" s="425" t="str">
        <x:v>2026-09-12</x:v>
      </x:c>
      <x:c r="B18" s="425" t="str">
        <x:v>Baseball</x:v>
      </x:c>
      <x:c r="C18" s="425" t="str">
        <x:v>MLB</x:v>
      </x:c>
      <x:c r="D18" s="425" t="str">
        <x:v>Kansas City Royals at Boston Red Sox</x:v>
      </x:c>
      <x:c r="E18" s="425" t="str">
        <x:v>2026-09-12T20:10:00Z</x:v>
      </x:c>
      <x:c r="F18" s="425" t="str">
        <x:v>PROSPECTIVE</x:v>
      </x:c>
      <x:c r="G18" s="425" t="str">
        <x:v>Ranger Suarez</x:v>
      </x:c>
      <x:c r="H18" s="425" t="str">
        <x:v>Probable home starting pitcher</x:v>
      </x:c>
      <x:c r="I18" s="425" t="str">
        <x:v>Official MLB probable starter and 2026 season line: 25 GS, 130.7 IP, 3.44 ERA, 1.22 WHIP, 8.40 K/9, 2.76 BB/9, 8.20 H/9 and 0.55 HR/9.</x:v>
      </x:c>
      <x:c r="J18" s="425" t="str"/>
      <x:c r="K18" s="425" t="str"/>
      <x:c r="L18" s="425" t="str">
        <x:v>https://www.mlb.com/gameday/824712</x:v>
      </x:c>
    </x:row>
    <x:row r="19" ht="38" customHeight="1">
      <x:c r="A19" s="425" t="str">
        <x:v>2026-09-12</x:v>
      </x:c>
      <x:c r="B19" s="425" t="str">
        <x:v>Baseball</x:v>
      </x:c>
      <x:c r="C19" s="425" t="str">
        <x:v>MLB</x:v>
      </x:c>
      <x:c r="D19" s="425" t="str">
        <x:v>Cleveland Guardians at Minnesota Twins</x:v>
      </x:c>
      <x:c r="E19" s="425" t="str">
        <x:v>2026-09-12T20:10:00Z</x:v>
      </x:c>
      <x:c r="F19" s="425" t="str">
        <x:v>PROSPECTIVE</x:v>
      </x:c>
      <x:c r="G19" s="425" t="str">
        <x:v>Daniel Espino</x:v>
      </x:c>
      <x:c r="H19" s="425" t="str">
        <x:v>Probable away starting pitcher</x:v>
      </x:c>
      <x:c r="I19" s="425" t="str">
        <x:v>Official MLB probable starter and 2026 season line: 0 GS, 10.0 IP, 2.70 ERA, 1.30 WHIP, 16.20 K/9, 3.60 BB/9, 8.10 H/9 and 0.90 HR/9.</x:v>
      </x:c>
      <x:c r="J19" s="425" t="str"/>
      <x:c r="K19" s="425" t="str"/>
      <x:c r="L19" s="425" t="str">
        <x:v>https://www.mlb.com/gameday/823657</x:v>
      </x:c>
    </x:row>
    <x:row r="20" ht="38" customHeight="1">
      <x:c r="A20" s="425" t="str">
        <x:v>2026-09-12</x:v>
      </x:c>
      <x:c r="B20" s="425" t="str">
        <x:v>Baseball</x:v>
      </x:c>
      <x:c r="C20" s="425" t="str">
        <x:v>MLB</x:v>
      </x:c>
      <x:c r="D20" s="425" t="str">
        <x:v>Cleveland Guardians at Minnesota Twins</x:v>
      </x:c>
      <x:c r="E20" s="425" t="str">
        <x:v>2026-09-12T20:10:00Z</x:v>
      </x:c>
      <x:c r="F20" s="425" t="str">
        <x:v>PROSPECTIVE</x:v>
      </x:c>
      <x:c r="G20" s="425" t="str">
        <x:v>Connor Prielipp</x:v>
      </x:c>
      <x:c r="H20" s="425" t="str">
        <x:v>Probable home starting pitcher</x:v>
      </x:c>
      <x:c r="I20" s="425" t="str">
        <x:v>Official MLB probable starter and 2026 season line: 19 GS, 108.0 IP, 5.25 ERA, 1.36 WHIP, 9.67 K/9, 3.33 BB/9, 8.92 H/9 and 1.17 HR/9.</x:v>
      </x:c>
      <x:c r="J20" s="425" t="str"/>
      <x:c r="K20" s="425" t="str"/>
      <x:c r="L20" s="425" t="str">
        <x:v>https://www.mlb.com/gameday/823657</x:v>
      </x:c>
    </x:row>
    <x:row r="21" ht="38" customHeight="1">
      <x:c r="A21" s="425" t="str">
        <x:v>2026-09-12</x:v>
      </x:c>
      <x:c r="B21" s="425" t="str">
        <x:v>Baseball</x:v>
      </x:c>
      <x:c r="C21" s="425" t="str">
        <x:v>MLB</x:v>
      </x:c>
      <x:c r="D21" s="425" t="str">
        <x:v>Los Angeles Dodgers at Miami Marlins</x:v>
      </x:c>
      <x:c r="E21" s="425" t="str">
        <x:v>2026-09-12T20:10:00Z</x:v>
      </x:c>
      <x:c r="F21" s="425" t="str">
        <x:v>PROSPECTIVE</x:v>
      </x:c>
      <x:c r="G21" s="425" t="str">
        <x:v>Tyler Glasnow</x:v>
      </x:c>
      <x:c r="H21" s="425" t="str">
        <x:v>Probable away starting pitcher</x:v>
      </x:c>
      <x:c r="I21" s="425" t="str">
        <x:v>Official MLB probable starter and 2026 season line: 10 GS, 57.7 IP, 3.12 ERA, 0.88 WHIP, 10.92 K/9, 2.65 BB/9, 5.31 H/9 and 0.78 HR/9.</x:v>
      </x:c>
      <x:c r="J21" s="425" t="str"/>
      <x:c r="K21" s="425" t="str"/>
      <x:c r="L21" s="425" t="str">
        <x:v>https://www.mlb.com/gameday/823819</x:v>
      </x:c>
    </x:row>
    <x:row r="22" ht="38" customHeight="1">
      <x:c r="A22" s="425" t="str">
        <x:v>2026-09-12</x:v>
      </x:c>
      <x:c r="B22" s="425" t="str">
        <x:v>Baseball</x:v>
      </x:c>
      <x:c r="C22" s="425" t="str">
        <x:v>MLB</x:v>
      </x:c>
      <x:c r="D22" s="425" t="str">
        <x:v>Los Angeles Dodgers at Miami Marlins</x:v>
      </x:c>
      <x:c r="E22" s="425" t="str">
        <x:v>2026-09-12T20:10:00Z</x:v>
      </x:c>
      <x:c r="F22" s="425" t="str">
        <x:v>PROSPECTIVE</x:v>
      </x:c>
      <x:c r="G22" s="425" t="str">
        <x:v>Tyler Phillips</x:v>
      </x:c>
      <x:c r="H22" s="425" t="str">
        <x:v>Probable home starting pitcher</x:v>
      </x:c>
      <x:c r="I22" s="425" t="str">
        <x:v>Official MLB probable starter and 2026 season line: 17 GS, 115.3 IP, 3.51 ERA, 1.33 WHIP, 7.26 K/9, 3.75 BB/9, 8.19 H/9 and 1.17 HR/9.</x:v>
      </x:c>
      <x:c r="J22" s="425" t="str"/>
      <x:c r="K22" s="425" t="str"/>
      <x:c r="L22" s="425" t="str">
        <x:v>https://www.mlb.com/gameday/823819</x:v>
      </x:c>
    </x:row>
    <x:row r="23" ht="38" customHeight="1">
      <x:c r="A23" s="425" t="str">
        <x:v>2026-09-12</x:v>
      </x:c>
      <x:c r="B23" s="425" t="str">
        <x:v>Baseball</x:v>
      </x:c>
      <x:c r="C23" s="425" t="str">
        <x:v>MLB</x:v>
      </x:c>
      <x:c r="D23" s="425" t="str">
        <x:v>Houston Astros at Tampa Bay Rays</x:v>
      </x:c>
      <x:c r="E23" s="425" t="str">
        <x:v>2026-09-12T22:10:00Z</x:v>
      </x:c>
      <x:c r="F23" s="425" t="str">
        <x:v>PROSPECTIVE</x:v>
      </x:c>
      <x:c r="G23" s="425" t="str">
        <x:v>Peter Lambert</x:v>
      </x:c>
      <x:c r="H23" s="425" t="str">
        <x:v>Probable away starting pitcher</x:v>
      </x:c>
      <x:c r="I23" s="425" t="str">
        <x:v>Official MLB probable starter and 2026 season line: 25 GS, 139.7 IP, 3.67 ERA, 1.23 WHIP, 8.83 K/9, 3.61 BB/9, 7.47 H/9 and 0.90 HR/9.</x:v>
      </x:c>
      <x:c r="J23" s="425" t="str"/>
      <x:c r="K23" s="425" t="str"/>
      <x:c r="L23" s="425" t="str">
        <x:v>https://www.mlb.com/gameday/822927</x:v>
      </x:c>
    </x:row>
    <x:row r="24" ht="38" customHeight="1">
      <x:c r="A24" s="425" t="str">
        <x:v>2026-09-12</x:v>
      </x:c>
      <x:c r="B24" s="425" t="str">
        <x:v>Baseball</x:v>
      </x:c>
      <x:c r="C24" s="425" t="str">
        <x:v>MLB</x:v>
      </x:c>
      <x:c r="D24" s="425" t="str">
        <x:v>Houston Astros at Tampa Bay Rays</x:v>
      </x:c>
      <x:c r="E24" s="425" t="str">
        <x:v>2026-09-12T22:10:00Z</x:v>
      </x:c>
      <x:c r="F24" s="425" t="str">
        <x:v>PROSPECTIVE</x:v>
      </x:c>
      <x:c r="G24" s="425" t="str">
        <x:v>Ian Seymour</x:v>
      </x:c>
      <x:c r="H24" s="425" t="str">
        <x:v>Probable home starting pitcher</x:v>
      </x:c>
      <x:c r="I24" s="425" t="str">
        <x:v>Official MLB probable starter and 2026 season line: 13 GS, 116.3 IP, 4.33 ERA, 1.16 WHIP, 10.83 K/9, 2.55 BB/9, 7.89 H/9 and 1.70 HR/9.</x:v>
      </x:c>
      <x:c r="J24" s="425" t="str"/>
      <x:c r="K24" s="425" t="str"/>
      <x:c r="L24" s="425" t="str">
        <x:v>https://www.mlb.com/gameday/822927</x:v>
      </x:c>
    </x:row>
    <x:row r="25" ht="38" customHeight="1">
      <x:c r="A25" s="425" t="str">
        <x:v>2026-09-12</x:v>
      </x:c>
      <x:c r="B25" s="425" t="str">
        <x:v>Baseball</x:v>
      </x:c>
      <x:c r="C25" s="425" t="str">
        <x:v>MLB</x:v>
      </x:c>
      <x:c r="D25" s="425" t="str">
        <x:v>Cincinnati Reds at Milwaukee Brewers</x:v>
      </x:c>
      <x:c r="E25" s="425" t="str">
        <x:v>2026-09-12T23:10:00Z</x:v>
      </x:c>
      <x:c r="F25" s="425" t="str">
        <x:v>PROSPECTIVE</x:v>
      </x:c>
      <x:c r="G25" s="425" t="str">
        <x:v>Brady Singer</x:v>
      </x:c>
      <x:c r="H25" s="425" t="str">
        <x:v>Probable away starting pitcher</x:v>
      </x:c>
      <x:c r="I25" s="425" t="str">
        <x:v>Official MLB probable starter and 2026 season line: 28 GS, 146.7 IP, 5.03 ERA, 1.47 WHIP, 7.36 K/9, 3.13 BB/9, 10.06 H/9 and 1.66 HR/9.</x:v>
      </x:c>
      <x:c r="J25" s="425" t="str"/>
      <x:c r="K25" s="425" t="str"/>
      <x:c r="L25" s="425" t="str">
        <x:v>https://www.mlb.com/gameday/823737</x:v>
      </x:c>
    </x:row>
    <x:row r="26" ht="38" customHeight="1">
      <x:c r="A26" s="425" t="str">
        <x:v>2026-09-12</x:v>
      </x:c>
      <x:c r="B26" s="425" t="str">
        <x:v>Baseball</x:v>
      </x:c>
      <x:c r="C26" s="425" t="str">
        <x:v>MLB</x:v>
      </x:c>
      <x:c r="D26" s="425" t="str">
        <x:v>Philadelphia Phillies at Atlanta Braves</x:v>
      </x:c>
      <x:c r="E26" s="425" t="str">
        <x:v>2026-09-12T23:15:00Z</x:v>
      </x:c>
      <x:c r="F26" s="425" t="str">
        <x:v>PROSPECTIVE</x:v>
      </x:c>
      <x:c r="G26" s="425" t="str">
        <x:v>Tyler Mahle</x:v>
      </x:c>
      <x:c r="H26" s="425" t="str">
        <x:v>Probable home starting pitcher</x:v>
      </x:c>
      <x:c r="I26" s="425" t="str">
        <x:v>Official MLB probable starter and 2026 season line: 24 GS, 131.0 IP, 4.05 ERA, 1.27 WHIP, 8.52 K/9, 2.95 BB/9, 8.45 H/9 and 1.17 HR/9.</x:v>
      </x:c>
      <x:c r="J26" s="425" t="str"/>
      <x:c r="K26" s="425" t="str"/>
      <x:c r="L26" s="425" t="str">
        <x:v>https://www.mlb.com/gameday/824870</x:v>
      </x:c>
    </x:row>
    <x:row r="27" ht="38" customHeight="1">
      <x:c r="A27" s="425" t="str">
        <x:v>2026-09-12</x:v>
      </x:c>
      <x:c r="B27" s="425" t="str">
        <x:v>Baseball</x:v>
      </x:c>
      <x:c r="C27" s="425" t="str">
        <x:v>MLB</x:v>
      </x:c>
      <x:c r="D27" s="425" t="str">
        <x:v>Chicago White Sox at St. Louis Cardinals</x:v>
      </x:c>
      <x:c r="E27" s="425" t="str">
        <x:v>2026-09-12T23:15:00Z</x:v>
      </x:c>
      <x:c r="F27" s="425" t="str">
        <x:v>PROSPECTIVE</x:v>
      </x:c>
      <x:c r="G27" s="425" t="str">
        <x:v>Sean Newcomb</x:v>
      </x:c>
      <x:c r="H27" s="425" t="str">
        <x:v>Probable away starting pitcher</x:v>
      </x:c>
      <x:c r="I27" s="425" t="str">
        <x:v>Official MLB probable starter and 2026 season line: 4 GS, 83.0 IP, 2.71 ERA, 1.13 WHIP, 8.02 K/9, 3.14 BB/9, 7.05 H/9 and 0.22 HR/9.</x:v>
      </x:c>
      <x:c r="J27" s="425" t="str"/>
      <x:c r="K27" s="425" t="str"/>
      <x:c r="L27" s="425" t="str">
        <x:v>https://www.mlb.com/gameday/823009</x:v>
      </x:c>
    </x:row>
    <x:row r="28" ht="38" customHeight="1">
      <x:c r="A28" s="425" t="str">
        <x:v>2026-09-12</x:v>
      </x:c>
      <x:c r="B28" s="425" t="str">
        <x:v>Baseball</x:v>
      </x:c>
      <x:c r="C28" s="425" t="str">
        <x:v>MLB</x:v>
      </x:c>
      <x:c r="D28" s="425" t="str">
        <x:v>Chicago White Sox at St. Louis Cardinals</x:v>
      </x:c>
      <x:c r="E28" s="425" t="str">
        <x:v>2026-09-12T23:15:00Z</x:v>
      </x:c>
      <x:c r="F28" s="425" t="str">
        <x:v>PROSPECTIVE</x:v>
      </x:c>
      <x:c r="G28" s="425" t="str">
        <x:v>Kyle Leahy</x:v>
      </x:c>
      <x:c r="H28" s="425" t="str">
        <x:v>Probable home starting pitcher</x:v>
      </x:c>
      <x:c r="I28" s="425" t="str">
        <x:v>Official MLB probable starter and 2026 season line: 27 GS, 132.0 IP, 3.41 ERA, 1.33 WHIP, 8.45 K/9, 2.59 BB/9, 9.34 H/9 and 0.95 HR/9.</x:v>
      </x:c>
      <x:c r="J28" s="425" t="str"/>
      <x:c r="K28" s="425" t="str"/>
      <x:c r="L28" s="425" t="str">
        <x:v>https://www.mlb.com/gameday/823009</x:v>
      </x:c>
    </x:row>
    <x:row r="29" ht="38" customHeight="1">
      <x:c r="A29" s="425" t="str">
        <x:v>2026-09-12</x:v>
      </x:c>
      <x:c r="B29" s="425" t="str">
        <x:v>Baseball</x:v>
      </x:c>
      <x:c r="C29" s="425" t="str">
        <x:v>MLB</x:v>
      </x:c>
      <x:c r="D29" s="425" t="str">
        <x:v>Texas Rangers at Arizona Diamondbacks</x:v>
      </x:c>
      <x:c r="E29" s="425" t="str">
        <x:v>2026-09-13T00:10:00Z</x:v>
      </x:c>
      <x:c r="F29" s="425" t="str">
        <x:v>PROSPECTIVE</x:v>
      </x:c>
      <x:c r="G29" s="425" t="str">
        <x:v>Kumar Rocker</x:v>
      </x:c>
      <x:c r="H29" s="425" t="str">
        <x:v>Probable away starting pitcher</x:v>
      </x:c>
      <x:c r="I29" s="425" t="str">
        <x:v>Official MLB probable starter and 2026 season line: 24 GS, 134.7 IP, 4.61 ERA, 1.44 WHIP, 8.49 K/9, 3.68 BB/9, 9.29 H/9 and 1.34 HR/9.</x:v>
      </x:c>
      <x:c r="J29" s="425" t="str"/>
      <x:c r="K29" s="425" t="str"/>
      <x:c r="L29" s="425" t="str">
        <x:v>https://www.mlb.com/gameday/825035</x:v>
      </x:c>
    </x:row>
    <x:row r="30" ht="38" customHeight="1">
      <x:c r="A30" s="425" t="str">
        <x:v>2026-09-12</x:v>
      </x:c>
      <x:c r="B30" s="425" t="str">
        <x:v>Baseball</x:v>
      </x:c>
      <x:c r="C30" s="425" t="str">
        <x:v>MLB</x:v>
      </x:c>
      <x:c r="D30" s="425" t="str">
        <x:v>Texas Rangers at Arizona Diamondbacks</x:v>
      </x:c>
      <x:c r="E30" s="425" t="str">
        <x:v>2026-09-13T00:10:00Z</x:v>
      </x:c>
      <x:c r="F30" s="425" t="str">
        <x:v>PROSPECTIVE</x:v>
      </x:c>
      <x:c r="G30" s="425" t="str">
        <x:v>Brandon Pfaadt</x:v>
      </x:c>
      <x:c r="H30" s="425" t="str">
        <x:v>Probable home starting pitcher</x:v>
      </x:c>
      <x:c r="I30" s="425" t="str">
        <x:v>Official MLB probable starter and 2026 season line: 16 GS, 117.3 IP, 3.53 ERA, 1.15 WHIP, 5.91 K/9, 2.22 BB/9, 8.13 H/9 and 1.00 HR/9.</x:v>
      </x:c>
      <x:c r="J30" s="425" t="str"/>
      <x:c r="K30" s="425" t="str"/>
      <x:c r="L30" s="425" t="str">
        <x:v>https://www.mlb.com/gameday/825035</x:v>
      </x:c>
    </x:row>
    <x:row r="31" ht="38" customHeight="1">
      <x:c r="A31" s="425" t="str">
        <x:v>2026-09-12</x:v>
      </x:c>
      <x:c r="B31" s="425" t="str">
        <x:v>Baseball</x:v>
      </x:c>
      <x:c r="C31" s="425" t="str">
        <x:v>MLB</x:v>
      </x:c>
      <x:c r="D31" s="425" t="str">
        <x:v>Seattle Mariners at Athletics</x:v>
      </x:c>
      <x:c r="E31" s="425" t="str">
        <x:v>2026-09-13T01:40:00Z</x:v>
      </x:c>
      <x:c r="F31" s="425" t="str">
        <x:v>PROSPECTIVE</x:v>
      </x:c>
      <x:c r="G31" s="425" t="str">
        <x:v>Bryan Woo</x:v>
      </x:c>
      <x:c r="H31" s="425" t="str">
        <x:v>Probable away starting pitcher</x:v>
      </x:c>
      <x:c r="I31" s="425" t="str">
        <x:v>Official MLB probable starter and 2026 season line: 27 GS, 156.3 IP, 4.03 ERA, 1.06 WHIP, 9.10 K/9, 1.90 BB/9, 7.60 H/9 and 1.04 HR/9.</x:v>
      </x:c>
      <x:c r="J31" s="425" t="str"/>
      <x:c r="K31" s="425" t="str"/>
      <x:c r="L31" s="425" t="str">
        <x:v>https://www.mlb.com/gameday/824955</x:v>
      </x:c>
    </x:row>
    <x:row r="32" ht="38" customHeight="1">
      <x:c r="A32" s="425" t="str">
        <x:v>2026-09-12</x:v>
      </x:c>
      <x:c r="B32" s="425" t="str">
        <x:v>Baseball</x:v>
      </x:c>
      <x:c r="C32" s="425" t="str">
        <x:v>MLB</x:v>
      </x:c>
      <x:c r="D32" s="425" t="str">
        <x:v>Seattle Mariners at Athletics</x:v>
      </x:c>
      <x:c r="E32" s="425" t="str">
        <x:v>2026-09-13T01:40:00Z</x:v>
      </x:c>
      <x:c r="F32" s="425" t="str">
        <x:v>PROSPECTIVE</x:v>
      </x:c>
      <x:c r="G32" s="425" t="str">
        <x:v>Gage Jump</x:v>
      </x:c>
      <x:c r="H32" s="425" t="str">
        <x:v>Probable home starting pitcher</x:v>
      </x:c>
      <x:c r="I32" s="425" t="str">
        <x:v>Official MLB probable starter and 2026 season line: 19 GS, 96.7 IP, 5.12 ERA, 1.49 WHIP, 9.87 K/9, 4.19 BB/9, 9.22 H/9 and 0.93 HR/9.</x:v>
      </x:c>
      <x:c r="J32" s="425" t="str"/>
      <x:c r="K32" s="425" t="str"/>
      <x:c r="L32" s="425" t="str">
        <x:v>https://www.mlb.com/gameday/824955</x:v>
      </x:c>
    </x:row>
    <x:row r="33" ht="38" customHeight="1">
      <x:c r="A33" s="425" t="str">
        <x:v>2026-09-12</x:v>
      </x:c>
      <x:c r="B33" s="425" t="str">
        <x:v>NCAAF</x:v>
      </x:c>
      <x:c r="C33" s="425" t="str">
        <x:v>CFB</x:v>
      </x:c>
      <x:c r="D33" s="425" t="str">
        <x:v>Howard Bison at Indiana Hoosiers</x:v>
      </x:c>
      <x:c r="E33" s="425" t="str">
        <x:v>2026-09-12T16:00Z</x:v>
      </x:c>
      <x:c r="F33" s="425" t="str">
        <x:v>PROSPECTIVE</x:v>
      </x:c>
      <x:c r="G33" s="425" t="str">
        <x:v>Indiana Hoosiers</x:v>
      </x:c>
      <x:c r="H33" s="425" t="str">
        <x:v>Scheduled team; player lineup and specialist roles unconfirmed</x:v>
      </x:c>
      <x:c r="I33" s="425" t="str">
        <x:v>Official ESPN schedule lists Indiana Hoosiers at 1-0. Current starters, depth-chart usage, injuries and specialist roles require later confirmation.</x:v>
      </x:c>
      <x:c r="J33" s="425" t="str"/>
      <x:c r="K33" s="425" t="str"/>
      <x:c r="L33" s="425" t="str">
        <x:v>https://www.espn.com/college-football/game/_/gameId/401858439/howard-indiana</x:v>
      </x:c>
    </x:row>
    <x:row r="34" ht="38" customHeight="1">
      <x:c r="A34" s="425" t="str">
        <x:v>2026-09-12</x:v>
      </x:c>
      <x:c r="B34" s="425" t="str">
        <x:v>NCAAF</x:v>
      </x:c>
      <x:c r="C34" s="425" t="str">
        <x:v>CFB</x:v>
      </x:c>
      <x:c r="D34" s="425" t="str">
        <x:v>Howard Bison at Indiana Hoosiers</x:v>
      </x:c>
      <x:c r="E34" s="425" t="str">
        <x:v>2026-09-12T16:00Z</x:v>
      </x:c>
      <x:c r="F34" s="425" t="str">
        <x:v>PROSPECTIVE</x:v>
      </x:c>
      <x:c r="G34" s="425" t="str">
        <x:v>Howard Bison</x:v>
      </x:c>
      <x:c r="H34" s="425" t="str">
        <x:v>Scheduled team; player lineup and specialist roles unconfirmed</x:v>
      </x:c>
      <x:c r="I34" s="425" t="str">
        <x:v>Official ESPN schedule lists Howard Bison at 1-1. Current starters, depth-chart usage, injuries and specialist roles require later confirmation.</x:v>
      </x:c>
      <x:c r="J34" s="425" t="str"/>
      <x:c r="K34" s="425" t="str"/>
      <x:c r="L34" s="425" t="str">
        <x:v>https://www.espn.com/college-football/game/_/gameId/401858439/howard-indiana</x:v>
      </x:c>
    </x:row>
    <x:row r="35" ht="38" customHeight="1">
      <x:c r="A35" s="425" t="str">
        <x:v>2026-09-12</x:v>
      </x:c>
      <x:c r="B35" s="425" t="str">
        <x:v>NCAAF</x:v>
      </x:c>
      <x:c r="C35" s="425" t="str">
        <x:v>CFB</x:v>
      </x:c>
      <x:c r="D35" s="425" t="str">
        <x:v>Oregon Ducks at Oklahoma State Cowboys</x:v>
      </x:c>
      <x:c r="E35" s="425" t="str">
        <x:v>2026-09-12T16:00Z</x:v>
      </x:c>
      <x:c r="F35" s="425" t="str">
        <x:v>PROSPECTIVE</x:v>
      </x:c>
      <x:c r="G35" s="425" t="str">
        <x:v>Oklahoma State Cowboys</x:v>
      </x:c>
      <x:c r="H35" s="425" t="str">
        <x:v>Scheduled team; player lineup and specialist roles unconfirmed</x:v>
      </x:c>
      <x:c r="I35" s="425" t="str">
        <x:v>Official ESPN schedule lists Oklahoma State Cowboys at 0-1. Current starters, depth-chart usage, injuries and specialist roles require later confirmation.</x:v>
      </x:c>
      <x:c r="J35" s="425" t="str"/>
      <x:c r="K35" s="425" t="str"/>
      <x:c r="L35" s="425" t="str">
        <x:v>https://www.espn.com/college-football/game/_/gameId/401856782/oregon-oklahoma-st</x:v>
      </x:c>
    </x:row>
    <x:row r="36" ht="38" customHeight="1">
      <x:c r="A36" s="425" t="str">
        <x:v>2026-09-12</x:v>
      </x:c>
      <x:c r="B36" s="425" t="str">
        <x:v>NCAAF</x:v>
      </x:c>
      <x:c r="C36" s="425" t="str">
        <x:v>CFB</x:v>
      </x:c>
      <x:c r="D36" s="425" t="str">
        <x:v>Oregon Ducks at Oklahoma State Cowboys</x:v>
      </x:c>
      <x:c r="E36" s="425" t="str">
        <x:v>2026-09-12T16:00Z</x:v>
      </x:c>
      <x:c r="F36" s="425" t="str">
        <x:v>PROSPECTIVE</x:v>
      </x:c>
      <x:c r="G36" s="425" t="str">
        <x:v>Oregon Ducks</x:v>
      </x:c>
      <x:c r="H36" s="425" t="str">
        <x:v>Scheduled team; player lineup and specialist roles unconfirmed</x:v>
      </x:c>
      <x:c r="I36" s="425" t="str">
        <x:v>Official ESPN schedule lists Oregon Ducks at 1-0. Current starters, depth-chart usage, injuries and specialist roles require later confirmation.</x:v>
      </x:c>
      <x:c r="J36" s="425" t="str"/>
      <x:c r="K36" s="425" t="str"/>
      <x:c r="L36" s="425" t="str">
        <x:v>https://www.espn.com/college-football/game/_/gameId/401856782/oregon-oklahoma-st</x:v>
      </x:c>
    </x:row>
    <x:row r="37" ht="38" customHeight="1">
      <x:c r="A37" s="425" t="str">
        <x:v>2026-09-12</x:v>
      </x:c>
      <x:c r="B37" s="425" t="str">
        <x:v>Football</x:v>
      </x:c>
      <x:c r="C37" s="425" t="str">
        <x:v>CFB</x:v>
      </x:c>
      <x:c r="D37" s="425" t="str">
        <x:v>Arizona State Sun Devils at Texas A&amp;M Aggies</x:v>
      </x:c>
      <x:c r="E37" s="425" t="str">
        <x:v>2026-09-12T16:00Z</x:v>
      </x:c>
      <x:c r="F37" s="425" t="str">
        <x:v>PROSPECTIVE</x:v>
      </x:c>
      <x:c r="G37" s="425" t="str">
        <x:v>Texas A&amp;M Aggies</x:v>
      </x:c>
      <x:c r="H37" s="425" t="str">
        <x:v>Scheduled team; player lineup and specialist roles unconfirmed</x:v>
      </x:c>
      <x:c r="I37" s="425" t="str">
        <x:v>Official ESPN schedule lists Texas A&amp;M Aggies at 1-0. Current starters, depth-chart usage, injuries and specialist roles require later confirmation.</x:v>
      </x:c>
      <x:c r="J37" s="425" t="str"/>
      <x:c r="K37" s="425" t="str"/>
      <x:c r="L37" s="425" t="str">
        <x:v>https://www.espn.com/college-football/game/_/gameId/401856683/arizona-st-texas-am</x:v>
      </x:c>
    </x:row>
    <x:row r="38" ht="38" customHeight="1">
      <x:c r="A38" s="425" t="str">
        <x:v>2026-09-12</x:v>
      </x:c>
      <x:c r="B38" s="425" t="str">
        <x:v>Football</x:v>
      </x:c>
      <x:c r="C38" s="425" t="str">
        <x:v>CFB</x:v>
      </x:c>
      <x:c r="D38" s="425" t="str">
        <x:v>Arizona State Sun Devils at Texas A&amp;M Aggies</x:v>
      </x:c>
      <x:c r="E38" s="425" t="str">
        <x:v>2026-09-12T16:00Z</x:v>
      </x:c>
      <x:c r="F38" s="425" t="str">
        <x:v>PROSPECTIVE</x:v>
      </x:c>
      <x:c r="G38" s="425" t="str">
        <x:v>Arizona State Sun Devils</x:v>
      </x:c>
      <x:c r="H38" s="425" t="str">
        <x:v>Scheduled team; player lineup and specialist roles unconfirmed</x:v>
      </x:c>
      <x:c r="I38" s="425" t="str">
        <x:v>Official ESPN schedule lists Arizona State Sun Devils at 1-0. Current starters, depth-chart usage, injuries and specialist roles require later confirmation.</x:v>
      </x:c>
      <x:c r="J38" s="425" t="str"/>
      <x:c r="K38" s="425" t="str"/>
      <x:c r="L38" s="425" t="str">
        <x:v>https://www.espn.com/college-football/game/_/gameId/401856683/arizona-st-texas-am</x:v>
      </x:c>
    </x:row>
    <x:row r="39" ht="38" customHeight="1">
      <x:c r="A39" s="425" t="str">
        <x:v>2026-09-12</x:v>
      </x:c>
      <x:c r="B39" s="425" t="str">
        <x:v>Football</x:v>
      </x:c>
      <x:c r="C39" s="425" t="str">
        <x:v>CFB</x:v>
      </x:c>
      <x:c r="D39" s="425" t="str">
        <x:v>Oklahoma Sooners at Michigan Wolverines</x:v>
      </x:c>
      <x:c r="E39" s="425" t="str">
        <x:v>2026-09-12T16:00Z</x:v>
      </x:c>
      <x:c r="F39" s="425" t="str">
        <x:v>PROSPECTIVE</x:v>
      </x:c>
      <x:c r="G39" s="425" t="str">
        <x:v>Michigan Wolverines</x:v>
      </x:c>
      <x:c r="H39" s="425" t="str">
        <x:v>Scheduled team; player lineup and specialist roles unconfirmed</x:v>
      </x:c>
      <x:c r="I39" s="425" t="str">
        <x:v>Official ESPN schedule lists Michigan Wolverines at 1-0. Current starters, depth-chart usage, injuries and specialist roles require later confirmation.</x:v>
      </x:c>
      <x:c r="J39" s="425" t="str"/>
      <x:c r="K39" s="425" t="str"/>
      <x:c r="L39" s="425" t="str">
        <x:v>https://www.espn.com/college-football/game/_/gameId/401856679/oklahoma-michigan</x:v>
      </x:c>
    </x:row>
    <x:row r="40" ht="38" customHeight="1">
      <x:c r="A40" s="425" t="str">
        <x:v>2026-09-12</x:v>
      </x:c>
      <x:c r="B40" s="425" t="str">
        <x:v>Football</x:v>
      </x:c>
      <x:c r="C40" s="425" t="str">
        <x:v>CFB</x:v>
      </x:c>
      <x:c r="D40" s="425" t="str">
        <x:v>Oklahoma Sooners at Michigan Wolverines</x:v>
      </x:c>
      <x:c r="E40" s="425" t="str">
        <x:v>2026-09-12T16:00Z</x:v>
      </x:c>
      <x:c r="F40" s="425" t="str">
        <x:v>PROSPECTIVE</x:v>
      </x:c>
      <x:c r="G40" s="425" t="str">
        <x:v>Oklahoma Sooners</x:v>
      </x:c>
      <x:c r="H40" s="425" t="str">
        <x:v>Scheduled team; player lineup and specialist roles unconfirmed</x:v>
      </x:c>
      <x:c r="I40" s="425" t="str">
        <x:v>Official ESPN schedule lists Oklahoma Sooners at 1-0. Current starters, depth-chart usage, injuries and specialist roles require later confirmation.</x:v>
      </x:c>
      <x:c r="J40" s="425" t="str"/>
      <x:c r="K40" s="425" t="str"/>
      <x:c r="L40" s="425" t="str">
        <x:v>https://www.espn.com/college-football/game/_/gameId/401856679/oklahoma-michigan</x:v>
      </x:c>
    </x:row>
    <x:row r="41" ht="38" customHeight="1">
      <x:c r="A41" s="425" t="str">
        <x:v>2026-09-12</x:v>
      </x:c>
      <x:c r="B41" s="425" t="str">
        <x:v>Football</x:v>
      </x:c>
      <x:c r="C41" s="425" t="str">
        <x:v>CFB</x:v>
      </x:c>
      <x:c r="D41" s="425" t="str">
        <x:v>Penn State Nittany Lions at Temple Owls</x:v>
      </x:c>
      <x:c r="E41" s="425" t="str">
        <x:v>2026-09-12T16:00Z</x:v>
      </x:c>
      <x:c r="F41" s="425" t="str">
        <x:v>PROSPECTIVE</x:v>
      </x:c>
      <x:c r="G41" s="425" t="str">
        <x:v>Temple Owls</x:v>
      </x:c>
      <x:c r="H41" s="425" t="str">
        <x:v>Scheduled team; player lineup and specialist roles unconfirmed</x:v>
      </x:c>
      <x:c r="I41" s="425" t="str">
        <x:v>Official ESPN schedule lists Temple Owls at 1-0. Current starters, depth-chart usage, injuries and specialist roles require later confirmation.</x:v>
      </x:c>
      <x:c r="J41" s="425" t="str"/>
      <x:c r="K41" s="425" t="str"/>
      <x:c r="L41" s="425" t="str">
        <x:v>https://www.espn.com/college-football/game/_/gameId/401858442/penn-state-temple</x:v>
      </x:c>
    </x:row>
    <x:row r="42" ht="38" customHeight="1">
      <x:c r="A42" s="425" t="str">
        <x:v>2026-09-12</x:v>
      </x:c>
      <x:c r="B42" s="425" t="str">
        <x:v>Football</x:v>
      </x:c>
      <x:c r="C42" s="425" t="str">
        <x:v>CFB</x:v>
      </x:c>
      <x:c r="D42" s="425" t="str">
        <x:v>Penn State Nittany Lions at Temple Owls</x:v>
      </x:c>
      <x:c r="E42" s="425" t="str">
        <x:v>2026-09-12T16:00Z</x:v>
      </x:c>
      <x:c r="F42" s="425" t="str">
        <x:v>PROSPECTIVE</x:v>
      </x:c>
      <x:c r="G42" s="425" t="str">
        <x:v>Penn State Nittany Lions</x:v>
      </x:c>
      <x:c r="H42" s="425" t="str">
        <x:v>Scheduled team; player lineup and specialist roles unconfirmed</x:v>
      </x:c>
      <x:c r="I42" s="425" t="str">
        <x:v>Official ESPN schedule lists Penn State Nittany Lions at 1-0. Current starters, depth-chart usage, injuries and specialist roles require later confirmation.</x:v>
      </x:c>
      <x:c r="J42" s="425" t="str"/>
      <x:c r="K42" s="425" t="str"/>
      <x:c r="L42" s="425" t="str">
        <x:v>https://www.espn.com/college-football/game/_/gameId/401858442/penn-state-temple</x:v>
      </x:c>
    </x:row>
    <x:row r="43" ht="38" customHeight="1">
      <x:c r="A43" s="425" t="str">
        <x:v>2026-09-12</x:v>
      </x:c>
      <x:c r="B43" s="425" t="str">
        <x:v>Football</x:v>
      </x:c>
      <x:c r="C43" s="425" t="str">
        <x:v>CFB</x:v>
      </x:c>
      <x:c r="D43" s="425" t="str">
        <x:v>Washington State Cougars at Kansas State Wildcats</x:v>
      </x:c>
      <x:c r="E43" s="425" t="str">
        <x:v>2026-09-12T16:00Z</x:v>
      </x:c>
      <x:c r="F43" s="425" t="str">
        <x:v>PROSPECTIVE</x:v>
      </x:c>
      <x:c r="G43" s="425" t="str">
        <x:v>Kansas State Wildcats</x:v>
      </x:c>
      <x:c r="H43" s="425" t="str">
        <x:v>Scheduled team; player lineup and specialist roles unconfirmed</x:v>
      </x:c>
      <x:c r="I43" s="425" t="str">
        <x:v>Official ESPN schedule lists Kansas State Wildcats at 1-0. Current starters, depth-chart usage, injuries and specialist roles require later confirmation.</x:v>
      </x:c>
      <x:c r="J43" s="425" t="str"/>
      <x:c r="K43" s="425" t="str"/>
      <x:c r="L43" s="425" t="str">
        <x:v>https://www.espn.com/college-football/game/_/gameId/401856781/washington-st-kansas-st</x:v>
      </x:c>
    </x:row>
    <x:row r="44" ht="38" customHeight="1">
      <x:c r="A44" s="425" t="str">
        <x:v>2026-09-12</x:v>
      </x:c>
      <x:c r="B44" s="425" t="str">
        <x:v>Football</x:v>
      </x:c>
      <x:c r="C44" s="425" t="str">
        <x:v>CFB</x:v>
      </x:c>
      <x:c r="D44" s="425" t="str">
        <x:v>Washington State Cougars at Kansas State Wildcats</x:v>
      </x:c>
      <x:c r="E44" s="425" t="str">
        <x:v>2026-09-12T16:00Z</x:v>
      </x:c>
      <x:c r="F44" s="425" t="str">
        <x:v>PROSPECTIVE</x:v>
      </x:c>
      <x:c r="G44" s="425" t="str">
        <x:v>Washington State Cougars</x:v>
      </x:c>
      <x:c r="H44" s="425" t="str">
        <x:v>Scheduled team; player lineup and specialist roles unconfirmed</x:v>
      </x:c>
      <x:c r="I44" s="425" t="str">
        <x:v>Official ESPN schedule lists Washington State Cougars at 0-1. Current starters, depth-chart usage, injuries and specialist roles require later confirmation.</x:v>
      </x:c>
      <x:c r="J44" s="425" t="str"/>
      <x:c r="K44" s="425" t="str"/>
      <x:c r="L44" s="425" t="str">
        <x:v>https://www.espn.com/college-football/game/_/gameId/401856781/washington-st-kansas-st</x:v>
      </x:c>
    </x:row>
    <x:row r="45" ht="38" customHeight="1">
      <x:c r="A45" s="425" t="str">
        <x:v>2026-09-12</x:v>
      </x:c>
      <x:c r="B45" s="425" t="str">
        <x:v>Football</x:v>
      </x:c>
      <x:c r="C45" s="425" t="str">
        <x:v>CFB</x:v>
      </x:c>
      <x:c r="D45" s="425" t="str">
        <x:v>East Tennessee State Buccaneers at North Carolina Tar Heels</x:v>
      </x:c>
      <x:c r="E45" s="425" t="str">
        <x:v>2026-09-12T16:00Z</x:v>
      </x:c>
      <x:c r="F45" s="425" t="str">
        <x:v>PROSPECTIVE</x:v>
      </x:c>
      <x:c r="G45" s="425" t="str">
        <x:v>North Carolina Tar Heels</x:v>
      </x:c>
      <x:c r="H45" s="425" t="str">
        <x:v>Scheduled team; player lineup and specialist roles unconfirmed</x:v>
      </x:c>
      <x:c r="I45" s="425" t="str">
        <x:v>Official ESPN schedule lists North Carolina Tar Heels at 1-0. Current starters, depth-chart usage, injuries and specialist roles require later confirmation.</x:v>
      </x:c>
      <x:c r="J45" s="425" t="str"/>
      <x:c r="K45" s="425" t="str"/>
      <x:c r="L45" s="425" t="str">
        <x:v>https://www.espn.com/college-football/game/_/gameId/401858218/etsu-north-carolina</x:v>
      </x:c>
    </x:row>
    <x:row r="46" ht="38" customHeight="1">
      <x:c r="A46" s="425" t="str">
        <x:v>2026-09-12</x:v>
      </x:c>
      <x:c r="B46" s="425" t="str">
        <x:v>Football</x:v>
      </x:c>
      <x:c r="C46" s="425" t="str">
        <x:v>CFB</x:v>
      </x:c>
      <x:c r="D46" s="425" t="str">
        <x:v>East Tennessee State Buccaneers at North Carolina Tar Heels</x:v>
      </x:c>
      <x:c r="E46" s="425" t="str">
        <x:v>2026-09-12T16:00Z</x:v>
      </x:c>
      <x:c r="F46" s="425" t="str">
        <x:v>PROSPECTIVE</x:v>
      </x:c>
      <x:c r="G46" s="425" t="str">
        <x:v>East Tennessee State Buccaneers</x:v>
      </x:c>
      <x:c r="H46" s="425" t="str">
        <x:v>Scheduled team; player lineup and specialist roles unconfirmed</x:v>
      </x:c>
      <x:c r="I46" s="425" t="str">
        <x:v>Official ESPN schedule lists East Tennessee State Buccaneers at 1-1. Current starters, depth-chart usage, injuries and specialist roles require later confirmation.</x:v>
      </x:c>
      <x:c r="J46" s="425" t="str"/>
      <x:c r="K46" s="425" t="str"/>
      <x:c r="L46" s="425" t="str">
        <x:v>https://www.espn.com/college-football/game/_/gameId/401858218/etsu-north-carolina</x:v>
      </x:c>
    </x:row>
    <x:row r="47" ht="38" customHeight="1">
      <x:c r="A47" s="425" t="str">
        <x:v>2026-09-12</x:v>
      </x:c>
      <x:c r="B47" s="425" t="str">
        <x:v>Football</x:v>
      </x:c>
      <x:c r="C47" s="425" t="str">
        <x:v>CFB</x:v>
      </x:c>
      <x:c r="D47" s="425" t="str">
        <x:v>Old Dominion Monarchs at Virginia Tech Hokies</x:v>
      </x:c>
      <x:c r="E47" s="425" t="str">
        <x:v>2026-09-12T16:00Z</x:v>
      </x:c>
      <x:c r="F47" s="425" t="str">
        <x:v>PROSPECTIVE</x:v>
      </x:c>
      <x:c r="G47" s="425" t="str">
        <x:v>Virginia Tech Hokies</x:v>
      </x:c>
      <x:c r="H47" s="425" t="str">
        <x:v>Scheduled team; player lineup and specialist roles unconfirmed</x:v>
      </x:c>
      <x:c r="I47" s="425" t="str">
        <x:v>Official ESPN schedule lists Virginia Tech Hokies at 1-0. Current starters, depth-chart usage, injuries and specialist roles require later confirmation.</x:v>
      </x:c>
      <x:c r="J47" s="425" t="str"/>
      <x:c r="K47" s="425" t="str"/>
      <x:c r="L47" s="425" t="str">
        <x:v>https://www.espn.com/college-football/game/_/gameId/401858221/old-dominion-virginia-tech</x:v>
      </x:c>
    </x:row>
    <x:row r="48" ht="38" customHeight="1">
      <x:c r="A48" s="425" t="str">
        <x:v>2026-09-12</x:v>
      </x:c>
      <x:c r="B48" s="425" t="str">
        <x:v>Football</x:v>
      </x:c>
      <x:c r="C48" s="425" t="str">
        <x:v>CFB</x:v>
      </x:c>
      <x:c r="D48" s="425" t="str">
        <x:v>Old Dominion Monarchs at Virginia Tech Hokies</x:v>
      </x:c>
      <x:c r="E48" s="425" t="str">
        <x:v>2026-09-12T16:00Z</x:v>
      </x:c>
      <x:c r="F48" s="425" t="str">
        <x:v>PROSPECTIVE</x:v>
      </x:c>
      <x:c r="G48" s="425" t="str">
        <x:v>Old Dominion Monarchs</x:v>
      </x:c>
      <x:c r="H48" s="425" t="str">
        <x:v>Scheduled team; player lineup and specialist roles unconfirmed</x:v>
      </x:c>
      <x:c r="I48" s="425" t="str">
        <x:v>Official ESPN schedule lists Old Dominion Monarchs at 1-0. Current starters, depth-chart usage, injuries and specialist roles require later confirmation.</x:v>
      </x:c>
      <x:c r="J48" s="425" t="str"/>
      <x:c r="K48" s="425" t="str"/>
      <x:c r="L48" s="425" t="str">
        <x:v>https://www.espn.com/college-football/game/_/gameId/401858221/old-dominion-virginia-tech</x:v>
      </x:c>
    </x:row>
    <x:row r="49" ht="38" customHeight="1">
      <x:c r="A49" s="425" t="str">
        <x:v>2026-09-12</x:v>
      </x:c>
      <x:c r="B49" s="425" t="str">
        <x:v>Football</x:v>
      </x:c>
      <x:c r="C49" s="425" t="str">
        <x:v>CFB</x:v>
      </x:c>
      <x:c r="D49" s="425" t="str">
        <x:v>Wake Forest Demon Deacons at Purdue Boilermakers</x:v>
      </x:c>
      <x:c r="E49" s="425" t="str">
        <x:v>2026-09-12T16:00Z</x:v>
      </x:c>
      <x:c r="F49" s="425" t="str">
        <x:v>PROSPECTIVE</x:v>
      </x:c>
      <x:c r="G49" s="425" t="str">
        <x:v>Purdue Boilermakers</x:v>
      </x:c>
      <x:c r="H49" s="425" t="str">
        <x:v>Scheduled team; player lineup and specialist roles unconfirmed</x:v>
      </x:c>
      <x:c r="I49" s="425" t="str">
        <x:v>Official ESPN schedule lists Purdue Boilermakers at 1-0. Current starters, depth-chart usage, injuries and specialist roles require later confirmation.</x:v>
      </x:c>
      <x:c r="J49" s="425" t="str"/>
      <x:c r="K49" s="425" t="str"/>
      <x:c r="L49" s="425" t="str">
        <x:v>https://www.espn.com/college-football/game/_/gameId/401858224/wake-forest-purdue</x:v>
      </x:c>
    </x:row>
    <x:row r="50" ht="38" customHeight="1">
      <x:c r="A50" s="425" t="str">
        <x:v>2026-09-12</x:v>
      </x:c>
      <x:c r="B50" s="425" t="str">
        <x:v>Football</x:v>
      </x:c>
      <x:c r="C50" s="425" t="str">
        <x:v>CFB</x:v>
      </x:c>
      <x:c r="D50" s="425" t="str">
        <x:v>Wake Forest Demon Deacons at Purdue Boilermakers</x:v>
      </x:c>
      <x:c r="E50" s="425" t="str">
        <x:v>2026-09-12T16:00Z</x:v>
      </x:c>
      <x:c r="F50" s="425" t="str">
        <x:v>PROSPECTIVE</x:v>
      </x:c>
      <x:c r="G50" s="425" t="str">
        <x:v>Wake Forest Demon Deacons</x:v>
      </x:c>
      <x:c r="H50" s="425" t="str">
        <x:v>Scheduled team; player lineup and specialist roles unconfirmed</x:v>
      </x:c>
      <x:c r="I50" s="425" t="str">
        <x:v>Official ESPN schedule lists Wake Forest Demon Deacons at 1-0. Current starters, depth-chart usage, injuries and specialist roles require later confirmation.</x:v>
      </x:c>
      <x:c r="J50" s="425" t="str"/>
      <x:c r="K50" s="425" t="str"/>
      <x:c r="L50" s="425" t="str">
        <x:v>https://www.espn.com/college-football/game/_/gameId/401858224/wake-forest-purdue</x:v>
      </x:c>
    </x:row>
    <x:row r="51" ht="38" customHeight="1">
      <x:c r="A51" s="425" t="str">
        <x:v>2026-09-12</x:v>
      </x:c>
      <x:c r="B51" s="425" t="str">
        <x:v>Football</x:v>
      </x:c>
      <x:c r="C51" s="425" t="str">
        <x:v>CFB</x:v>
      </x:c>
      <x:c r="D51" s="425" t="str">
        <x:v>South Florida Bulls at Army Black Knights</x:v>
      </x:c>
      <x:c r="E51" s="425" t="str">
        <x:v>2026-09-12T16:00Z</x:v>
      </x:c>
      <x:c r="F51" s="425" t="str">
        <x:v>PROSPECTIVE</x:v>
      </x:c>
      <x:c r="G51" s="425" t="str">
        <x:v>Army Black Knights</x:v>
      </x:c>
      <x:c r="H51" s="425" t="str">
        <x:v>Scheduled team; player lineup and specialist roles unconfirmed</x:v>
      </x:c>
      <x:c r="I51" s="425" t="str">
        <x:v>Official ESPN schedule lists Army Black Knights at 1-0. Current starters, depth-chart usage, injuries and specialist roles require later confirmation.</x:v>
      </x:c>
      <x:c r="J51" s="425" t="str"/>
      <x:c r="K51" s="425" t="str"/>
      <x:c r="L51" s="425" t="str">
        <x:v>https://www.espn.com/college-football/game/_/gameId/401862702/south-florida-army</x:v>
      </x:c>
    </x:row>
    <x:row r="52" ht="38" customHeight="1">
      <x:c r="A52" s="425" t="str">
        <x:v>2026-09-12</x:v>
      </x:c>
      <x:c r="B52" s="425" t="str">
        <x:v>Football</x:v>
      </x:c>
      <x:c r="C52" s="425" t="str">
        <x:v>CFB</x:v>
      </x:c>
      <x:c r="D52" s="425" t="str">
        <x:v>South Florida Bulls at Army Black Knights</x:v>
      </x:c>
      <x:c r="E52" s="425" t="str">
        <x:v>2026-09-12T16:00Z</x:v>
      </x:c>
      <x:c r="F52" s="425" t="str">
        <x:v>PROSPECTIVE</x:v>
      </x:c>
      <x:c r="G52" s="425" t="str">
        <x:v>South Florida Bulls</x:v>
      </x:c>
      <x:c r="H52" s="425" t="str">
        <x:v>Scheduled team; player lineup and specialist roles unconfirmed</x:v>
      </x:c>
      <x:c r="I52" s="425" t="str">
        <x:v>Official ESPN schedule lists South Florida Bulls at 1-0. Current starters, depth-chart usage, injuries and specialist roles require later confirmation.</x:v>
      </x:c>
      <x:c r="J52" s="425" t="str"/>
      <x:c r="K52" s="425" t="str"/>
      <x:c r="L52" s="425" t="str">
        <x:v>https://www.espn.com/college-football/game/_/gameId/401862702/south-florida-army</x:v>
      </x:c>
    </x:row>
    <x:row r="53" ht="38" customHeight="1">
      <x:c r="A53" s="425" t="str">
        <x:v>2026-09-12</x:v>
      </x:c>
      <x:c r="B53" s="425" t="str">
        <x:v>Football</x:v>
      </x:c>
      <x:c r="C53" s="425" t="str">
        <x:v>CFB</x:v>
      </x:c>
      <x:c r="D53" s="425" t="str">
        <x:v>App State Mountaineers at East Carolina Pirates</x:v>
      </x:c>
      <x:c r="E53" s="425" t="str">
        <x:v>2026-09-12T16:00Z</x:v>
      </x:c>
      <x:c r="F53" s="425" t="str">
        <x:v>PROSPECTIVE</x:v>
      </x:c>
      <x:c r="G53" s="425" t="str">
        <x:v>East Carolina Pirates</x:v>
      </x:c>
      <x:c r="H53" s="425" t="str">
        <x:v>Scheduled team; player lineup and specialist roles unconfirmed</x:v>
      </x:c>
      <x:c r="I53" s="425" t="str">
        <x:v>Official ESPN schedule lists East Carolina Pirates at 0-1. Current starters, depth-chart usage, injuries and specialist roles require later confirmation.</x:v>
      </x:c>
      <x:c r="J53" s="425" t="str"/>
      <x:c r="K53" s="425" t="str"/>
      <x:c r="L53" s="425" t="str">
        <x:v>https://www.espn.com/college-football/game/_/gameId/401864571/app-state-east-carolina</x:v>
      </x:c>
    </x:row>
    <x:row r="54" ht="38" customHeight="1">
      <x:c r="A54" s="425" t="str">
        <x:v>2026-09-12</x:v>
      </x:c>
      <x:c r="B54" s="425" t="str">
        <x:v>Football</x:v>
      </x:c>
      <x:c r="C54" s="425" t="str">
        <x:v>CFB</x:v>
      </x:c>
      <x:c r="D54" s="425" t="str">
        <x:v>App State Mountaineers at East Carolina Pirates</x:v>
      </x:c>
      <x:c r="E54" s="425" t="str">
        <x:v>2026-09-12T16:00Z</x:v>
      </x:c>
      <x:c r="F54" s="425" t="str">
        <x:v>PROSPECTIVE</x:v>
      </x:c>
      <x:c r="G54" s="425" t="str">
        <x:v>App State Mountaineers</x:v>
      </x:c>
      <x:c r="H54" s="425" t="str">
        <x:v>Scheduled team; player lineup and specialist roles unconfirmed</x:v>
      </x:c>
      <x:c r="I54" s="425" t="str">
        <x:v>Official ESPN schedule lists App State Mountaineers at 1-0. Current starters, depth-chart usage, injuries and specialist roles require later confirmation.</x:v>
      </x:c>
      <x:c r="J54" s="425" t="str"/>
      <x:c r="K54" s="425" t="str"/>
      <x:c r="L54" s="425" t="str">
        <x:v>https://www.espn.com/college-football/game/_/gameId/401864571/app-state-east-carolina</x:v>
      </x:c>
    </x:row>
    <x:row r="55" ht="38" customHeight="1">
      <x:c r="A55" s="425" t="str">
        <x:v>2026-09-12</x:v>
      </x:c>
      <x:c r="B55" s="425" t="str">
        <x:v>Football</x:v>
      </x:c>
      <x:c r="C55" s="425" t="str">
        <x:v>CFB</x:v>
      </x:c>
      <x:c r="D55" s="425" t="str">
        <x:v>Wofford Terriers at Kent State Golden Flashes</x:v>
      </x:c>
      <x:c r="E55" s="425" t="str">
        <x:v>2026-09-12T16:00Z</x:v>
      </x:c>
      <x:c r="F55" s="425" t="str">
        <x:v>PROSPECTIVE</x:v>
      </x:c>
      <x:c r="G55" s="425" t="str">
        <x:v>Kent State Golden Flashes</x:v>
      </x:c>
      <x:c r="H55" s="425" t="str">
        <x:v>Scheduled team; player lineup and specialist roles unconfirmed</x:v>
      </x:c>
      <x:c r="I55" s="425" t="str">
        <x:v>Official ESPN schedule lists Kent State Golden Flashes at 0-1. Current starters, depth-chart usage, injuries and specialist roles require later confirmation.</x:v>
      </x:c>
      <x:c r="J55" s="425" t="str"/>
      <x:c r="K55" s="425" t="str"/>
      <x:c r="L55" s="425" t="str">
        <x:v>https://www.espn.com/college-football/game/_/gameId/401866416/wofford-kent-state</x:v>
      </x:c>
    </x:row>
    <x:row r="56" ht="38" customHeight="1">
      <x:c r="A56" s="425" t="str">
        <x:v>2026-09-12</x:v>
      </x:c>
      <x:c r="B56" s="425" t="str">
        <x:v>Football</x:v>
      </x:c>
      <x:c r="C56" s="425" t="str">
        <x:v>CFB</x:v>
      </x:c>
      <x:c r="D56" s="425" t="str">
        <x:v>Wofford Terriers at Kent State Golden Flashes</x:v>
      </x:c>
      <x:c r="E56" s="425" t="str">
        <x:v>2026-09-12T16:00Z</x:v>
      </x:c>
      <x:c r="F56" s="425" t="str">
        <x:v>PROSPECTIVE</x:v>
      </x:c>
      <x:c r="G56" s="425" t="str">
        <x:v>Wofford Terriers</x:v>
      </x:c>
      <x:c r="H56" s="425" t="str">
        <x:v>Scheduled team; player lineup and specialist roles unconfirmed</x:v>
      </x:c>
      <x:c r="I56" s="425" t="str">
        <x:v>Official ESPN schedule lists Wofford Terriers at 2-0. Current starters, depth-chart usage, injuries and specialist roles require later confirmation.</x:v>
      </x:c>
      <x:c r="J56" s="425" t="str"/>
      <x:c r="K56" s="425" t="str"/>
      <x:c r="L56" s="425" t="str">
        <x:v>https://www.espn.com/college-football/game/_/gameId/401866416/wofford-kent-state</x:v>
      </x:c>
    </x:row>
    <x:row r="57" ht="38" customHeight="1">
      <x:c r="A57" s="425" t="str">
        <x:v>2026-09-12</x:v>
      </x:c>
      <x:c r="B57" s="425" t="str">
        <x:v>Football</x:v>
      </x:c>
      <x:c r="C57" s="425" t="str">
        <x:v>CFB</x:v>
      </x:c>
      <x:c r="D57" s="425" t="str">
        <x:v>Wagner Seahawks at James Madison Dukes</x:v>
      </x:c>
      <x:c r="E57" s="425" t="str">
        <x:v>2026-09-12T16:00Z</x:v>
      </x:c>
      <x:c r="F57" s="425" t="str">
        <x:v>PROSPECTIVE</x:v>
      </x:c>
      <x:c r="G57" s="425" t="str">
        <x:v>James Madison Dukes</x:v>
      </x:c>
      <x:c r="H57" s="425" t="str">
        <x:v>Scheduled team; player lineup and specialist roles unconfirmed</x:v>
      </x:c>
      <x:c r="I57" s="425" t="str">
        <x:v>Official ESPN schedule lists James Madison Dukes at 1-0. Current starters, depth-chart usage, injuries and specialist roles require later confirmation.</x:v>
      </x:c>
      <x:c r="J57" s="425" t="str"/>
      <x:c r="K57" s="425" t="str"/>
      <x:c r="L57" s="425" t="str">
        <x:v>https://www.espn.com/college-football/game/_/gameId/401867929/wagner-james-madison</x:v>
      </x:c>
    </x:row>
    <x:row r="58" ht="38" customHeight="1">
      <x:c r="A58" s="425" t="str">
        <x:v>2026-09-12</x:v>
      </x:c>
      <x:c r="B58" s="425" t="str">
        <x:v>Football</x:v>
      </x:c>
      <x:c r="C58" s="425" t="str">
        <x:v>CFB</x:v>
      </x:c>
      <x:c r="D58" s="425" t="str">
        <x:v>Wagner Seahawks at James Madison Dukes</x:v>
      </x:c>
      <x:c r="E58" s="425" t="str">
        <x:v>2026-09-12T16:00Z</x:v>
      </x:c>
      <x:c r="F58" s="425" t="str">
        <x:v>PROSPECTIVE</x:v>
      </x:c>
      <x:c r="G58" s="425" t="str">
        <x:v>Wagner Seahawks</x:v>
      </x:c>
      <x:c r="H58" s="425" t="str">
        <x:v>Scheduled team; player lineup and specialist roles unconfirmed</x:v>
      </x:c>
      <x:c r="I58" s="425" t="str">
        <x:v>Official ESPN schedule lists Wagner Seahawks at 1-1. Current starters, depth-chart usage, injuries and specialist roles require later confirmation.</x:v>
      </x:c>
      <x:c r="J58" s="425" t="str"/>
      <x:c r="K58" s="425" t="str"/>
      <x:c r="L58" s="425" t="str">
        <x:v>https://www.espn.com/college-football/game/_/gameId/401867929/wagner-james-madison</x:v>
      </x:c>
    </x:row>
    <x:row r="59" ht="38" customHeight="1">
      <x:c r="A59" s="425" t="str">
        <x:v>2026-09-12</x:v>
      </x:c>
      <x:c r="B59" s="425" t="str">
        <x:v>Football</x:v>
      </x:c>
      <x:c r="C59" s="425" t="str">
        <x:v>CFB</x:v>
      </x:c>
      <x:c r="D59" s="425" t="str">
        <x:v>Gardner-Webb Runnin' Bulldogs at Liberty Flames</x:v>
      </x:c>
      <x:c r="E59" s="425" t="str">
        <x:v>2026-09-12T16:00Z</x:v>
      </x:c>
      <x:c r="F59" s="425" t="str">
        <x:v>PROSPECTIVE</x:v>
      </x:c>
      <x:c r="G59" s="425" t="str">
        <x:v>Liberty Flames</x:v>
      </x:c>
      <x:c r="H59" s="425" t="str">
        <x:v>Scheduled team; player lineup and specialist roles unconfirmed</x:v>
      </x:c>
      <x:c r="I59" s="425" t="str">
        <x:v>Official ESPN schedule lists Liberty Flames at 0-1. Current starters, depth-chart usage, injuries and specialist roles require later confirmation.</x:v>
      </x:c>
      <x:c r="J59" s="425" t="str"/>
      <x:c r="K59" s="425" t="str"/>
      <x:c r="L59" s="425" t="str">
        <x:v>https://www.espn.com/college-football/game/_/gameId/401868187/gardner-webb-liberty</x:v>
      </x:c>
    </x:row>
    <x:row r="60" ht="38" customHeight="1">
      <x:c r="A60" s="425" t="str">
        <x:v>2026-09-12</x:v>
      </x:c>
      <x:c r="B60" s="425" t="str">
        <x:v>Football</x:v>
      </x:c>
      <x:c r="C60" s="425" t="str">
        <x:v>CFB</x:v>
      </x:c>
      <x:c r="D60" s="425" t="str">
        <x:v>Gardner-Webb Runnin' Bulldogs at Liberty Flames</x:v>
      </x:c>
      <x:c r="E60" s="425" t="str">
        <x:v>2026-09-12T16:00Z</x:v>
      </x:c>
      <x:c r="F60" s="425" t="str">
        <x:v>PROSPECTIVE</x:v>
      </x:c>
      <x:c r="G60" s="425" t="str">
        <x:v>Gardner-Webb Runnin' Bulldogs</x:v>
      </x:c>
      <x:c r="H60" s="425" t="str">
        <x:v>Scheduled team; player lineup and specialist roles unconfirmed</x:v>
      </x:c>
      <x:c r="I60" s="425" t="str">
        <x:v>Official ESPN schedule lists Gardner-Webb Runnin' Bulldogs at 0-2. Current starters, depth-chart usage, injuries and specialist roles require later confirmation.</x:v>
      </x:c>
      <x:c r="J60" s="425" t="str"/>
      <x:c r="K60" s="425" t="str"/>
      <x:c r="L60" s="425" t="str">
        <x:v>https://www.espn.com/college-football/game/_/gameId/401868187/gardner-webb-liberty</x:v>
      </x:c>
    </x:row>
    <x:row r="61" ht="38" customHeight="1">
      <x:c r="A61" s="425" t="str">
        <x:v>2026-09-12</x:v>
      </x:c>
      <x:c r="B61" s="425" t="str">
        <x:v>Football</x:v>
      </x:c>
      <x:c r="C61" s="425" t="str">
        <x:v>CFB</x:v>
      </x:c>
      <x:c r="D61" s="425" t="str">
        <x:v>Western Kentucky Hilltoppers at Georgia Bulldogs</x:v>
      </x:c>
      <x:c r="E61" s="425" t="str">
        <x:v>2026-09-12T16:45Z</x:v>
      </x:c>
      <x:c r="F61" s="425" t="str">
        <x:v>PROSPECTIVE</x:v>
      </x:c>
      <x:c r="G61" s="425" t="str">
        <x:v>Georgia Bulldogs</x:v>
      </x:c>
      <x:c r="H61" s="425" t="str">
        <x:v>Scheduled team; player lineup and specialist roles unconfirmed</x:v>
      </x:c>
      <x:c r="I61" s="425" t="str">
        <x:v>Official ESPN schedule lists Georgia Bulldogs at 1-0. Current starters, depth-chart usage, injuries and specialist roles require later confirmation.</x:v>
      </x:c>
      <x:c r="J61" s="425" t="str"/>
      <x:c r="K61" s="425" t="str"/>
      <x:c r="L61" s="425" t="str">
        <x:v>https://www.espn.com/college-football/game/_/gameId/401856673/western-ky-georgia</x:v>
      </x:c>
    </x:row>
    <x:row r="62" ht="38" customHeight="1">
      <x:c r="A62" s="425" t="str">
        <x:v>2026-09-12</x:v>
      </x:c>
      <x:c r="B62" s="425" t="str">
        <x:v>Football</x:v>
      </x:c>
      <x:c r="C62" s="425" t="str">
        <x:v>CFB</x:v>
      </x:c>
      <x:c r="D62" s="425" t="str">
        <x:v>Western Kentucky Hilltoppers at Georgia Bulldogs</x:v>
      </x:c>
      <x:c r="E62" s="425" t="str">
        <x:v>2026-09-12T16:45Z</x:v>
      </x:c>
      <x:c r="F62" s="425" t="str">
        <x:v>PROSPECTIVE</x:v>
      </x:c>
      <x:c r="G62" s="425" t="str">
        <x:v>Western Kentucky Hilltoppers</x:v>
      </x:c>
      <x:c r="H62" s="425" t="str">
        <x:v>Scheduled team; player lineup and specialist roles unconfirmed</x:v>
      </x:c>
      <x:c r="I62" s="425" t="str">
        <x:v>Official ESPN schedule lists Western Kentucky Hilltoppers at 0-1. Current starters, depth-chart usage, injuries and specialist roles require later confirmation.</x:v>
      </x:c>
      <x:c r="J62" s="425" t="str"/>
      <x:c r="K62" s="425" t="str"/>
      <x:c r="L62" s="425" t="str">
        <x:v>https://www.espn.com/college-football/game/_/gameId/401856673/western-ky-georgia</x:v>
      </x:c>
    </x:row>
    <x:row r="63" ht="38" customHeight="1">
      <x:c r="A63" s="425" t="str">
        <x:v>2026-09-12</x:v>
      </x:c>
      <x:c r="B63" s="425" t="str">
        <x:v>Football</x:v>
      </x:c>
      <x:c r="C63" s="425" t="str">
        <x:v>CFB</x:v>
      </x:c>
      <x:c r="D63" s="425" t="str">
        <x:v>UT Martin Skyhawks at West Virginia Mountaineers</x:v>
      </x:c>
      <x:c r="E63" s="425" t="str">
        <x:v>2026-09-12T17:00Z</x:v>
      </x:c>
      <x:c r="F63" s="425" t="str">
        <x:v>PROSPECTIVE</x:v>
      </x:c>
      <x:c r="G63" s="425" t="str">
        <x:v>West Virginia Mountaineers</x:v>
      </x:c>
      <x:c r="H63" s="425" t="str">
        <x:v>Scheduled team; player lineup and specialist roles unconfirmed</x:v>
      </x:c>
      <x:c r="I63" s="425" t="str">
        <x:v>Official ESPN schedule lists West Virginia Mountaineers at 1-0. Current starters, depth-chart usage, injuries and specialist roles require later confirmation.</x:v>
      </x:c>
      <x:c r="J63" s="425" t="str"/>
      <x:c r="K63" s="425" t="str"/>
      <x:c r="L63" s="425" t="str">
        <x:v>https://www.espn.com/college-football/game/_/gameId/401856791/ut-martin-west-virginia</x:v>
      </x:c>
    </x:row>
    <x:row r="64" ht="38" customHeight="1">
      <x:c r="A64" s="425" t="str">
        <x:v>2026-09-12</x:v>
      </x:c>
      <x:c r="B64" s="425" t="str">
        <x:v>Football</x:v>
      </x:c>
      <x:c r="C64" s="425" t="str">
        <x:v>CFB</x:v>
      </x:c>
      <x:c r="D64" s="425" t="str">
        <x:v>UT Martin Skyhawks at West Virginia Mountaineers</x:v>
      </x:c>
      <x:c r="E64" s="425" t="str">
        <x:v>2026-09-12T17:00Z</x:v>
      </x:c>
      <x:c r="F64" s="425" t="str">
        <x:v>PROSPECTIVE</x:v>
      </x:c>
      <x:c r="G64" s="425" t="str">
        <x:v>UT Martin Skyhawks</x:v>
      </x:c>
      <x:c r="H64" s="425" t="str">
        <x:v>Scheduled team; player lineup and specialist roles unconfirmed</x:v>
      </x:c>
      <x:c r="I64" s="425" t="str">
        <x:v>Official ESPN schedule lists UT Martin Skyhawks at 1-1. Current starters, depth-chart usage, injuries and specialist roles require later confirmation.</x:v>
      </x:c>
      <x:c r="J64" s="425" t="str"/>
      <x:c r="K64" s="425" t="str"/>
      <x:c r="L64" s="425" t="str">
        <x:v>https://www.espn.com/college-football/game/_/gameId/401856791/ut-martin-west-virginia</x:v>
      </x:c>
    </x:row>
    <x:row r="65" ht="38" customHeight="1">
      <x:c r="A65" s="425" t="str">
        <x:v>2026-09-12</x:v>
      </x:c>
      <x:c r="B65" s="425" t="str">
        <x:v>Football</x:v>
      </x:c>
      <x:c r="C65" s="425" t="str">
        <x:v>CFB</x:v>
      </x:c>
      <x:c r="D65" s="425" t="str">
        <x:v>Colgate Raiders at Central Michigan Chippewas</x:v>
      </x:c>
      <x:c r="E65" s="425" t="str">
        <x:v>2026-09-12T17:00Z</x:v>
      </x:c>
      <x:c r="F65" s="425" t="str">
        <x:v>PROSPECTIVE</x:v>
      </x:c>
      <x:c r="G65" s="425" t="str">
        <x:v>Central Michigan Chippewas</x:v>
      </x:c>
      <x:c r="H65" s="425" t="str">
        <x:v>Scheduled team; player lineup and specialist roles unconfirmed</x:v>
      </x:c>
      <x:c r="I65" s="425" t="str">
        <x:v>Official ESPN schedule lists Central Michigan Chippewas at 0-1. Current starters, depth-chart usage, injuries and specialist roles require later confirmation.</x:v>
      </x:c>
      <x:c r="J65" s="425" t="str"/>
      <x:c r="K65" s="425" t="str"/>
      <x:c r="L65" s="425" t="str">
        <x:v>https://www.espn.com/college-football/game/_/gameId/401866415/colgate-c-michigan</x:v>
      </x:c>
    </x:row>
    <x:row r="66" ht="38" customHeight="1">
      <x:c r="A66" s="425" t="str">
        <x:v>2026-09-12</x:v>
      </x:c>
      <x:c r="B66" s="425" t="str">
        <x:v>Football</x:v>
      </x:c>
      <x:c r="C66" s="425" t="str">
        <x:v>CFB</x:v>
      </x:c>
      <x:c r="D66" s="425" t="str">
        <x:v>Colgate Raiders at Central Michigan Chippewas</x:v>
      </x:c>
      <x:c r="E66" s="425" t="str">
        <x:v>2026-09-12T17:00Z</x:v>
      </x:c>
      <x:c r="F66" s="425" t="str">
        <x:v>PROSPECTIVE</x:v>
      </x:c>
      <x:c r="G66" s="425" t="str">
        <x:v>Colgate Raiders</x:v>
      </x:c>
      <x:c r="H66" s="425" t="str">
        <x:v>Scheduled team; player lineup and specialist roles unconfirmed</x:v>
      </x:c>
      <x:c r="I66" s="425" t="str">
        <x:v>Official ESPN schedule lists Colgate Raiders at 2-0. Current starters, depth-chart usage, injuries and specialist roles require later confirmation.</x:v>
      </x:c>
      <x:c r="J66" s="425" t="str"/>
      <x:c r="K66" s="425" t="str"/>
      <x:c r="L66" s="425" t="str">
        <x:v>https://www.espn.com/college-football/game/_/gameId/401866415/colgate-c-michigan</x:v>
      </x:c>
    </x:row>
    <x:row r="67" ht="38" customHeight="1">
      <x:c r="A67" s="425" t="str">
        <x:v>2026-09-12</x:v>
      </x:c>
      <x:c r="B67" s="425" t="str">
        <x:v>Football</x:v>
      </x:c>
      <x:c r="C67" s="425" t="str">
        <x:v>CFB</x:v>
      </x:c>
      <x:c r="D67" s="425" t="str">
        <x:v>Holy Cross Crusaders at Miami (OH) RedHawks</x:v>
      </x:c>
      <x:c r="E67" s="425" t="str">
        <x:v>2026-09-12T17:00Z</x:v>
      </x:c>
      <x:c r="F67" s="425" t="str">
        <x:v>PROSPECTIVE</x:v>
      </x:c>
      <x:c r="G67" s="425" t="str">
        <x:v>Miami (OH) RedHawks</x:v>
      </x:c>
      <x:c r="H67" s="425" t="str">
        <x:v>Scheduled team; player lineup and specialist roles unconfirmed</x:v>
      </x:c>
      <x:c r="I67" s="425" t="str">
        <x:v>Official ESPN schedule lists Miami (OH) RedHawks at 0-1. Current starters, depth-chart usage, injuries and specialist roles require later confirmation.</x:v>
      </x:c>
      <x:c r="J67" s="425" t="str"/>
      <x:c r="K67" s="425" t="str"/>
      <x:c r="L67" s="425" t="str">
        <x:v>https://www.espn.com/college-football/game/_/gameId/401866417/holy-cross-miami-oh</x:v>
      </x:c>
    </x:row>
    <x:row r="68" ht="38" customHeight="1">
      <x:c r="A68" s="425" t="str">
        <x:v>2026-09-12</x:v>
      </x:c>
      <x:c r="B68" s="425" t="str">
        <x:v>Football</x:v>
      </x:c>
      <x:c r="C68" s="425" t="str">
        <x:v>CFB</x:v>
      </x:c>
      <x:c r="D68" s="425" t="str">
        <x:v>Holy Cross Crusaders at Miami (OH) RedHawks</x:v>
      </x:c>
      <x:c r="E68" s="425" t="str">
        <x:v>2026-09-12T17:00Z</x:v>
      </x:c>
      <x:c r="F68" s="425" t="str">
        <x:v>PROSPECTIVE</x:v>
      </x:c>
      <x:c r="G68" s="425" t="str">
        <x:v>Holy Cross Crusaders</x:v>
      </x:c>
      <x:c r="H68" s="425" t="str">
        <x:v>Scheduled team; player lineup and specialist roles unconfirmed</x:v>
      </x:c>
      <x:c r="I68" s="425" t="str">
        <x:v>Official ESPN schedule lists Holy Cross Crusaders at 0-2. Current starters, depth-chart usage, injuries and specialist roles require later confirmation.</x:v>
      </x:c>
      <x:c r="J68" s="425" t="str"/>
      <x:c r="K68" s="425" t="str"/>
      <x:c r="L68" s="425" t="str">
        <x:v>https://www.espn.com/college-football/game/_/gameId/401866417/holy-cross-miami-oh</x:v>
      </x:c>
    </x:row>
    <x:row r="69" ht="38" customHeight="1">
      <x:c r="A69" s="425" t="str">
        <x:v>2026-09-12</x:v>
      </x:c>
      <x:c r="B69" s="425" t="str">
        <x:v>Football</x:v>
      </x:c>
      <x:c r="C69" s="425" t="str">
        <x:v>CFB</x:v>
      </x:c>
      <x:c r="D69" s="425" t="str">
        <x:v>Stony Brook Seawolves at Ball State Cardinals</x:v>
      </x:c>
      <x:c r="E69" s="425" t="str">
        <x:v>2026-09-12T18:00Z</x:v>
      </x:c>
      <x:c r="F69" s="425" t="str">
        <x:v>PROSPECTIVE</x:v>
      </x:c>
      <x:c r="G69" s="425" t="str">
        <x:v>Ball State Cardinals</x:v>
      </x:c>
      <x:c r="H69" s="425" t="str">
        <x:v>Scheduled team; player lineup and specialist roles unconfirmed</x:v>
      </x:c>
      <x:c r="I69" s="425" t="str">
        <x:v>Official ESPN schedule lists Ball State Cardinals at 0-1. Current starters, depth-chart usage, injuries and specialist roles require later confirmation.</x:v>
      </x:c>
      <x:c r="J69" s="425" t="str"/>
      <x:c r="K69" s="425" t="str"/>
      <x:c r="L69" s="425" t="str">
        <x:v>https://www.espn.com/college-football/game/_/gameId/401866413/stony-brook-ball-state</x:v>
      </x:c>
    </x:row>
    <x:row r="70" ht="38" customHeight="1">
      <x:c r="A70" s="425" t="str">
        <x:v>2026-09-12</x:v>
      </x:c>
      <x:c r="B70" s="425" t="str">
        <x:v>Football</x:v>
      </x:c>
      <x:c r="C70" s="425" t="str">
        <x:v>CFB</x:v>
      </x:c>
      <x:c r="D70" s="425" t="str">
        <x:v>Stony Brook Seawolves at Ball State Cardinals</x:v>
      </x:c>
      <x:c r="E70" s="425" t="str">
        <x:v>2026-09-12T18:00Z</x:v>
      </x:c>
      <x:c r="F70" s="425" t="str">
        <x:v>PROSPECTIVE</x:v>
      </x:c>
      <x:c r="G70" s="425" t="str">
        <x:v>Stony Brook Seawolves</x:v>
      </x:c>
      <x:c r="H70" s="425" t="str">
        <x:v>Scheduled team; player lineup and specialist roles unconfirmed</x:v>
      </x:c>
      <x:c r="I70" s="425" t="str">
        <x:v>Official ESPN schedule lists Stony Brook Seawolves at 1-1. Current starters, depth-chart usage, injuries and specialist roles require later confirmation.</x:v>
      </x:c>
      <x:c r="J70" s="425" t="str"/>
      <x:c r="K70" s="425" t="str"/>
      <x:c r="L70" s="425" t="str">
        <x:v>https://www.espn.com/college-football/game/_/gameId/401866413/stony-brook-ball-state</x:v>
      </x:c>
    </x:row>
    <x:row r="71" ht="38" customHeight="1">
      <x:c r="A71" s="425" t="str">
        <x:v>2026-09-12</x:v>
      </x:c>
      <x:c r="B71" s="425" t="str">
        <x:v>Football</x:v>
      </x:c>
      <x:c r="C71" s="425" t="str">
        <x:v>CFB</x:v>
      </x:c>
      <x:c r="D71" s="425" t="str">
        <x:v>Rice Owls at Notre Dame Fighting Irish</x:v>
      </x:c>
      <x:c r="E71" s="425" t="str">
        <x:v>2026-09-12T19:30Z</x:v>
      </x:c>
      <x:c r="F71" s="425" t="str">
        <x:v>PROSPECTIVE</x:v>
      </x:c>
      <x:c r="G71" s="425" t="str">
        <x:v>Notre Dame Fighting Irish</x:v>
      </x:c>
      <x:c r="H71" s="425" t="str">
        <x:v>Scheduled team; player lineup and specialist roles unconfirmed</x:v>
      </x:c>
      <x:c r="I71" s="425" t="str">
        <x:v>Official ESPN schedule lists Notre Dame Fighting Irish at 1-0. Current starters, depth-chart usage, injuries and specialist roles require later confirmation.</x:v>
      </x:c>
      <x:c r="J71" s="425" t="str"/>
      <x:c r="K71" s="425" t="str"/>
      <x:c r="L71" s="425" t="str">
        <x:v>https://www.espn.com/college-football/game/_/gameId/401859184/rice-notre-dame</x:v>
      </x:c>
    </x:row>
    <x:row r="72" ht="38" customHeight="1">
      <x:c r="A72" s="425" t="str">
        <x:v>2026-09-12</x:v>
      </x:c>
      <x:c r="B72" s="425" t="str">
        <x:v>Football</x:v>
      </x:c>
      <x:c r="C72" s="425" t="str">
        <x:v>CFB</x:v>
      </x:c>
      <x:c r="D72" s="425" t="str">
        <x:v>Rice Owls at Notre Dame Fighting Irish</x:v>
      </x:c>
      <x:c r="E72" s="425" t="str">
        <x:v>2026-09-12T19:30Z</x:v>
      </x:c>
      <x:c r="F72" s="425" t="str">
        <x:v>PROSPECTIVE</x:v>
      </x:c>
      <x:c r="G72" s="425" t="str">
        <x:v>Rice Owls</x:v>
      </x:c>
      <x:c r="H72" s="425" t="str">
        <x:v>Scheduled team; player lineup and specialist roles unconfirmed</x:v>
      </x:c>
      <x:c r="I72" s="425" t="str">
        <x:v>Official ESPN schedule lists Rice Owls at 1-0. Current starters, depth-chart usage, injuries and specialist roles require later confirmation.</x:v>
      </x:c>
      <x:c r="J72" s="425" t="str"/>
      <x:c r="K72" s="425" t="str"/>
      <x:c r="L72" s="425" t="str">
        <x:v>https://www.espn.com/college-football/game/_/gameId/401859184/rice-notre-dame</x:v>
      </x:c>
    </x:row>
    <x:row r="73" ht="38" customHeight="1">
      <x:c r="A73" s="425" t="str">
        <x:v>2026-09-12</x:v>
      </x:c>
      <x:c r="B73" s="425" t="str">
        <x:v>Football</x:v>
      </x:c>
      <x:c r="C73" s="425" t="str">
        <x:v>CFB</x:v>
      </x:c>
      <x:c r="D73" s="425" t="str">
        <x:v>Alabama Crimson Tide at Kentucky Wildcats</x:v>
      </x:c>
      <x:c r="E73" s="425" t="str">
        <x:v>2026-09-12T19:30Z</x:v>
      </x:c>
      <x:c r="F73" s="425" t="str">
        <x:v>PROSPECTIVE</x:v>
      </x:c>
      <x:c r="G73" s="425" t="str">
        <x:v>Kentucky Wildcats</x:v>
      </x:c>
      <x:c r="H73" s="425" t="str">
        <x:v>Scheduled team; player lineup and specialist roles unconfirmed</x:v>
      </x:c>
      <x:c r="I73" s="425" t="str">
        <x:v>Official ESPN schedule lists Kentucky Wildcats at 1-0. Current starters, depth-chart usage, injuries and specialist roles require later confirmation.</x:v>
      </x:c>
      <x:c r="J73" s="425" t="str"/>
      <x:c r="K73" s="425" t="str"/>
      <x:c r="L73" s="425" t="str">
        <x:v>https://www.espn.com/college-football/game/_/gameId/401856674/alabama-kentucky</x:v>
      </x:c>
    </x:row>
    <x:row r="74" ht="38" customHeight="1">
      <x:c r="A74" s="425" t="str">
        <x:v>2026-09-12</x:v>
      </x:c>
      <x:c r="B74" s="425" t="str">
        <x:v>Football</x:v>
      </x:c>
      <x:c r="C74" s="425" t="str">
        <x:v>CFB</x:v>
      </x:c>
      <x:c r="D74" s="425" t="str">
        <x:v>Alabama Crimson Tide at Kentucky Wildcats</x:v>
      </x:c>
      <x:c r="E74" s="425" t="str">
        <x:v>2026-09-12T19:30Z</x:v>
      </x:c>
      <x:c r="F74" s="425" t="str">
        <x:v>PROSPECTIVE</x:v>
      </x:c>
      <x:c r="G74" s="425" t="str">
        <x:v>Alabama Crimson Tide</x:v>
      </x:c>
      <x:c r="H74" s="425" t="str">
        <x:v>Scheduled team; player lineup and specialist roles unconfirmed</x:v>
      </x:c>
      <x:c r="I74" s="425" t="str">
        <x:v>Official ESPN schedule lists Alabama Crimson Tide at 1-0. Current starters, depth-chart usage, injuries and specialist roles require later confirmation.</x:v>
      </x:c>
      <x:c r="J74" s="425" t="str"/>
      <x:c r="K74" s="425" t="str"/>
      <x:c r="L74" s="425" t="str">
        <x:v>https://www.espn.com/college-football/game/_/gameId/401856674/alabama-kentucky</x:v>
      </x:c>
    </x:row>
    <x:row r="75" ht="38" customHeight="1">
      <x:c r="A75" s="425" t="str">
        <x:v>2026-09-12</x:v>
      </x:c>
      <x:c r="B75" s="425" t="str">
        <x:v>Football</x:v>
      </x:c>
      <x:c r="C75" s="425" t="str">
        <x:v>CFB</x:v>
      </x:c>
      <x:c r="D75" s="425" t="str">
        <x:v>Arizona Wildcats at BYU Cougars</x:v>
      </x:c>
      <x:c r="E75" s="425" t="str">
        <x:v>2026-09-12T19:30Z</x:v>
      </x:c>
      <x:c r="F75" s="425" t="str">
        <x:v>PROSPECTIVE</x:v>
      </x:c>
      <x:c r="G75" s="425" t="str">
        <x:v>BYU Cougars</x:v>
      </x:c>
      <x:c r="H75" s="425" t="str">
        <x:v>Scheduled team; player lineup and specialist roles unconfirmed</x:v>
      </x:c>
      <x:c r="I75" s="425" t="str">
        <x:v>Official ESPN schedule lists BYU Cougars at 1-0. Current starters, depth-chart usage, injuries and specialist roles require later confirmation.</x:v>
      </x:c>
      <x:c r="J75" s="425" t="str"/>
      <x:c r="K75" s="425" t="str"/>
      <x:c r="L75" s="425" t="str">
        <x:v>https://www.espn.com/college-football/game/_/gameId/401856810/arizona-byu</x:v>
      </x:c>
    </x:row>
    <x:row r="76" ht="38" customHeight="1">
      <x:c r="A76" s="425" t="str">
        <x:v>2026-09-12</x:v>
      </x:c>
      <x:c r="B76" s="425" t="str">
        <x:v>Football</x:v>
      </x:c>
      <x:c r="C76" s="425" t="str">
        <x:v>CFB</x:v>
      </x:c>
      <x:c r="D76" s="425" t="str">
        <x:v>Arizona Wildcats at BYU Cougars</x:v>
      </x:c>
      <x:c r="E76" s="425" t="str">
        <x:v>2026-09-12T19:30Z</x:v>
      </x:c>
      <x:c r="F76" s="425" t="str">
        <x:v>PROSPECTIVE</x:v>
      </x:c>
      <x:c r="G76" s="425" t="str">
        <x:v>Arizona Wildcats</x:v>
      </x:c>
      <x:c r="H76" s="425" t="str">
        <x:v>Scheduled team; player lineup and specialist roles unconfirmed</x:v>
      </x:c>
      <x:c r="I76" s="425" t="str">
        <x:v>Official ESPN schedule lists Arizona Wildcats at 1-0. Current starters, depth-chart usage, injuries and specialist roles require later confirmation.</x:v>
      </x:c>
      <x:c r="J76" s="425" t="str"/>
      <x:c r="K76" s="425" t="str"/>
      <x:c r="L76" s="425" t="str">
        <x:v>https://www.espn.com/college-football/game/_/gameId/401856810/arizona-byu</x:v>
      </x:c>
    </x:row>
    <x:row r="77" ht="38" customHeight="1">
      <x:c r="A77" s="425" t="str">
        <x:v>2026-09-12</x:v>
      </x:c>
      <x:c r="B77" s="425" t="str">
        <x:v>Football</x:v>
      </x:c>
      <x:c r="C77" s="425" t="str">
        <x:v>CFB</x:v>
      </x:c>
      <x:c r="D77" s="425" t="str">
        <x:v>Utah State Aggies at Washington Huskies</x:v>
      </x:c>
      <x:c r="E77" s="425" t="str">
        <x:v>2026-09-12T19:30Z</x:v>
      </x:c>
      <x:c r="F77" s="425" t="str">
        <x:v>PROSPECTIVE</x:v>
      </x:c>
      <x:c r="G77" s="425" t="str">
        <x:v>Washington Huskies</x:v>
      </x:c>
      <x:c r="H77" s="425" t="str">
        <x:v>Scheduled team; player lineup and specialist roles unconfirmed</x:v>
      </x:c>
      <x:c r="I77" s="425" t="str">
        <x:v>Official ESPN schedule lists Washington Huskies at 1-0. Current starters, depth-chart usage, injuries and specialist roles require later confirmation.</x:v>
      </x:c>
      <x:c r="J77" s="425" t="str"/>
      <x:c r="K77" s="425" t="str"/>
      <x:c r="L77" s="425" t="str">
        <x:v>https://www.espn.com/college-football/game/_/gameId/401858446/utah-state-washington</x:v>
      </x:c>
    </x:row>
    <x:row r="78" ht="38" customHeight="1">
      <x:c r="A78" s="425" t="str">
        <x:v>2026-09-12</x:v>
      </x:c>
      <x:c r="B78" s="425" t="str">
        <x:v>Football</x:v>
      </x:c>
      <x:c r="C78" s="425" t="str">
        <x:v>CFB</x:v>
      </x:c>
      <x:c r="D78" s="425" t="str">
        <x:v>Utah State Aggies at Washington Huskies</x:v>
      </x:c>
      <x:c r="E78" s="425" t="str">
        <x:v>2026-09-12T19:30Z</x:v>
      </x:c>
      <x:c r="F78" s="425" t="str">
        <x:v>PROSPECTIVE</x:v>
      </x:c>
      <x:c r="G78" s="425" t="str">
        <x:v>Utah State Aggies</x:v>
      </x:c>
      <x:c r="H78" s="425" t="str">
        <x:v>Scheduled team; player lineup and specialist roles unconfirmed</x:v>
      </x:c>
      <x:c r="I78" s="425" t="str">
        <x:v>Official ESPN schedule lists Utah State Aggies at 0-1. Current starters, depth-chart usage, injuries and specialist roles require later confirmation.</x:v>
      </x:c>
      <x:c r="J78" s="425" t="str"/>
      <x:c r="K78" s="425" t="str"/>
      <x:c r="L78" s="425" t="str">
        <x:v>https://www.espn.com/college-football/game/_/gameId/401858446/utah-state-washington</x:v>
      </x:c>
    </x:row>
    <x:row r="79" ht="38" customHeight="1">
      <x:c r="A79" s="425" t="str">
        <x:v>2026-09-12</x:v>
      </x:c>
      <x:c r="B79" s="425" t="str">
        <x:v>Football</x:v>
      </x:c>
      <x:c r="C79" s="425" t="str">
        <x:v>CFB</x:v>
      </x:c>
      <x:c r="D79" s="425" t="str">
        <x:v>Mississippi State Bulldogs at Minnesota Golden Gophers</x:v>
      </x:c>
      <x:c r="E79" s="425" t="str">
        <x:v>2026-09-12T19:30Z</x:v>
      </x:c>
      <x:c r="F79" s="425" t="str">
        <x:v>PROSPECTIVE</x:v>
      </x:c>
      <x:c r="G79" s="425" t="str">
        <x:v>Minnesota Golden Gophers</x:v>
      </x:c>
      <x:c r="H79" s="425" t="str">
        <x:v>Scheduled team; player lineup and specialist roles unconfirmed</x:v>
      </x:c>
      <x:c r="I79" s="425" t="str">
        <x:v>Official ESPN schedule lists Minnesota Golden Gophers at 1-0. Current starters, depth-chart usage, injuries and specialist roles require later confirmation.</x:v>
      </x:c>
      <x:c r="J79" s="425" t="str"/>
      <x:c r="K79" s="425" t="str"/>
      <x:c r="L79" s="425" t="str">
        <x:v>https://www.espn.com/college-football/game/_/gameId/401856677/mississippi-st-minnesota</x:v>
      </x:c>
    </x:row>
    <x:row r="80" ht="38" customHeight="1">
      <x:c r="A80" s="425" t="str">
        <x:v>2026-09-12</x:v>
      </x:c>
      <x:c r="B80" s="425" t="str">
        <x:v>Football</x:v>
      </x:c>
      <x:c r="C80" s="425" t="str">
        <x:v>CFB</x:v>
      </x:c>
      <x:c r="D80" s="425" t="str">
        <x:v>Mississippi State Bulldogs at Minnesota Golden Gophers</x:v>
      </x:c>
      <x:c r="E80" s="425" t="str">
        <x:v>2026-09-12T19:30Z</x:v>
      </x:c>
      <x:c r="F80" s="425" t="str">
        <x:v>PROSPECTIVE</x:v>
      </x:c>
      <x:c r="G80" s="425" t="str">
        <x:v>Mississippi State Bulldogs</x:v>
      </x:c>
      <x:c r="H80" s="425" t="str">
        <x:v>Scheduled team; player lineup and specialist roles unconfirmed</x:v>
      </x:c>
      <x:c r="I80" s="425" t="str">
        <x:v>Official ESPN schedule lists Mississippi State Bulldogs at 1-0. Current starters, depth-chart usage, injuries and specialist roles require later confirmation.</x:v>
      </x:c>
      <x:c r="J80" s="425" t="str"/>
      <x:c r="K80" s="425" t="str"/>
      <x:c r="L80" s="425" t="str">
        <x:v>https://www.espn.com/college-football/game/_/gameId/401856677/mississippi-st-minnesota</x:v>
      </x:c>
    </x:row>
    <x:row r="81" ht="38" customHeight="1">
      <x:c r="A81" s="425" t="str">
        <x:v>2026-09-12</x:v>
      </x:c>
      <x:c r="B81" s="425" t="str">
        <x:v>Football</x:v>
      </x:c>
      <x:c r="C81" s="425" t="str">
        <x:v>CFB</x:v>
      </x:c>
      <x:c r="D81" s="425" t="str">
        <x:v>Weber State Wildcats at Colorado Buffaloes</x:v>
      </x:c>
      <x:c r="E81" s="425" t="str">
        <x:v>2026-09-12T19:30Z</x:v>
      </x:c>
      <x:c r="F81" s="425" t="str">
        <x:v>PROSPECTIVE</x:v>
      </x:c>
      <x:c r="G81" s="425" t="str">
        <x:v>Colorado Buffaloes</x:v>
      </x:c>
      <x:c r="H81" s="425" t="str">
        <x:v>Scheduled team; player lineup and specialist roles unconfirmed</x:v>
      </x:c>
      <x:c r="I81" s="425" t="str">
        <x:v>Official ESPN schedule lists Colorado Buffaloes at 1-0. Current starters, depth-chart usage, injuries and specialist roles require later confirmation.</x:v>
      </x:c>
      <x:c r="J81" s="425" t="str"/>
      <x:c r="K81" s="425" t="str"/>
      <x:c r="L81" s="425" t="str">
        <x:v>https://www.espn.com/college-football/game/_/gameId/401856785/weber-st-colorado</x:v>
      </x:c>
    </x:row>
    <x:row r="82" ht="38" customHeight="1">
      <x:c r="A82" s="425" t="str">
        <x:v>2026-09-12</x:v>
      </x:c>
      <x:c r="B82" s="425" t="str">
        <x:v>Football</x:v>
      </x:c>
      <x:c r="C82" s="425" t="str">
        <x:v>CFB</x:v>
      </x:c>
      <x:c r="D82" s="425" t="str">
        <x:v>Weber State Wildcats at Colorado Buffaloes</x:v>
      </x:c>
      <x:c r="E82" s="425" t="str">
        <x:v>2026-09-12T19:30Z</x:v>
      </x:c>
      <x:c r="F82" s="425" t="str">
        <x:v>PROSPECTIVE</x:v>
      </x:c>
      <x:c r="G82" s="425" t="str">
        <x:v>Weber State Wildcats</x:v>
      </x:c>
      <x:c r="H82" s="425" t="str">
        <x:v>Scheduled team; player lineup and specialist roles unconfirmed</x:v>
      </x:c>
      <x:c r="I82" s="425" t="str">
        <x:v>Official ESPN schedule lists Weber State Wildcats at 1-1. Current starters, depth-chart usage, injuries and specialist roles require later confirmation.</x:v>
      </x:c>
      <x:c r="J82" s="425" t="str"/>
      <x:c r="K82" s="425" t="str"/>
      <x:c r="L82" s="425" t="str">
        <x:v>https://www.espn.com/college-football/game/_/gameId/401856785/weber-st-colorado</x:v>
      </x:c>
    </x:row>
    <x:row r="83" ht="38" customHeight="1">
      <x:c r="A83" s="425" t="str">
        <x:v>2026-09-12</x:v>
      </x:c>
      <x:c r="B83" s="425" t="str">
        <x:v>Football</x:v>
      </x:c>
      <x:c r="C83" s="425" t="str">
        <x:v>CFB</x:v>
      </x:c>
      <x:c r="D83" s="425" t="str">
        <x:v>UCF Knights at Pittsburgh Panthers</x:v>
      </x:c>
      <x:c r="E83" s="425" t="str">
        <x:v>2026-09-12T19:30Z</x:v>
      </x:c>
      <x:c r="F83" s="425" t="str">
        <x:v>PROSPECTIVE</x:v>
      </x:c>
      <x:c r="G83" s="425" t="str">
        <x:v>Pittsburgh Panthers</x:v>
      </x:c>
      <x:c r="H83" s="425" t="str">
        <x:v>Scheduled team; player lineup and specialist roles unconfirmed</x:v>
      </x:c>
      <x:c r="I83" s="425" t="str">
        <x:v>Official ESPN schedule lists Pittsburgh Panthers at 1-0. Current starters, depth-chart usage, injuries and specialist roles require later confirmation.</x:v>
      </x:c>
      <x:c r="J83" s="425" t="str"/>
      <x:c r="K83" s="425" t="str"/>
      <x:c r="L83" s="425" t="str">
        <x:v>https://www.espn.com/college-football/game/_/gameId/401856790/ucf-pitt</x:v>
      </x:c>
    </x:row>
    <x:row r="84" ht="38" customHeight="1">
      <x:c r="A84" s="425" t="str">
        <x:v>2026-09-12</x:v>
      </x:c>
      <x:c r="B84" s="425" t="str">
        <x:v>Football</x:v>
      </x:c>
      <x:c r="C84" s="425" t="str">
        <x:v>CFB</x:v>
      </x:c>
      <x:c r="D84" s="425" t="str">
        <x:v>UCF Knights at Pittsburgh Panthers</x:v>
      </x:c>
      <x:c r="E84" s="425" t="str">
        <x:v>2026-09-12T19:30Z</x:v>
      </x:c>
      <x:c r="F84" s="425" t="str">
        <x:v>PROSPECTIVE</x:v>
      </x:c>
      <x:c r="G84" s="425" t="str">
        <x:v>UCF Knights</x:v>
      </x:c>
      <x:c r="H84" s="425" t="str">
        <x:v>Scheduled team; player lineup and specialist roles unconfirmed</x:v>
      </x:c>
      <x:c r="I84" s="425" t="str">
        <x:v>Official ESPN schedule lists UCF Knights at 1-0. Current starters, depth-chart usage, injuries and specialist roles require later confirmation.</x:v>
      </x:c>
      <x:c r="J84" s="425" t="str"/>
      <x:c r="K84" s="425" t="str"/>
      <x:c r="L84" s="425" t="str">
        <x:v>https://www.espn.com/college-football/game/_/gameId/401856790/ucf-pitt</x:v>
      </x:c>
    </x:row>
    <x:row r="85" ht="38" customHeight="1">
      <x:c r="A85" s="425" t="str">
        <x:v>2026-09-12</x:v>
      </x:c>
      <x:c r="B85" s="425" t="str">
        <x:v>Football</x:v>
      </x:c>
      <x:c r="C85" s="425" t="str">
        <x:v>CFB</x:v>
      </x:c>
      <x:c r="D85" s="425" t="str">
        <x:v>California Golden Bears at Syracuse Orange</x:v>
      </x:c>
      <x:c r="E85" s="425" t="str">
        <x:v>2026-09-12T19:30Z</x:v>
      </x:c>
      <x:c r="F85" s="425" t="str">
        <x:v>PROSPECTIVE</x:v>
      </x:c>
      <x:c r="G85" s="425" t="str">
        <x:v>Syracuse Orange</x:v>
      </x:c>
      <x:c r="H85" s="425" t="str">
        <x:v>Scheduled team; player lineup and specialist roles unconfirmed</x:v>
      </x:c>
      <x:c r="I85" s="425" t="str">
        <x:v>Official ESPN schedule lists Syracuse Orange at 1-0. Current starters, depth-chart usage, injuries and specialist roles require later confirmation.</x:v>
      </x:c>
      <x:c r="J85" s="425" t="str"/>
      <x:c r="K85" s="425" t="str"/>
      <x:c r="L85" s="425" t="str">
        <x:v>https://www.espn.com/college-football/game/_/gameId/401858216/california-syracuse</x:v>
      </x:c>
    </x:row>
    <x:row r="86" ht="38" customHeight="1">
      <x:c r="A86" s="425" t="str">
        <x:v>2026-09-12</x:v>
      </x:c>
      <x:c r="B86" s="425" t="str">
        <x:v>Football</x:v>
      </x:c>
      <x:c r="C86" s="425" t="str">
        <x:v>CFB</x:v>
      </x:c>
      <x:c r="D86" s="425" t="str">
        <x:v>California Golden Bears at Syracuse Orange</x:v>
      </x:c>
      <x:c r="E86" s="425" t="str">
        <x:v>2026-09-12T19:30Z</x:v>
      </x:c>
      <x:c r="F86" s="425" t="str">
        <x:v>PROSPECTIVE</x:v>
      </x:c>
      <x:c r="G86" s="425" t="str">
        <x:v>California Golden Bears</x:v>
      </x:c>
      <x:c r="H86" s="425" t="str">
        <x:v>Scheduled team; player lineup and specialist roles unconfirmed</x:v>
      </x:c>
      <x:c r="I86" s="425" t="str">
        <x:v>Official ESPN schedule lists California Golden Bears at 0-1. Current starters, depth-chart usage, injuries and specialist roles require later confirmation.</x:v>
      </x:c>
      <x:c r="J86" s="425" t="str"/>
      <x:c r="K86" s="425" t="str"/>
      <x:c r="L86" s="425" t="str">
        <x:v>https://www.espn.com/college-football/game/_/gameId/401858216/california-syracuse</x:v>
      </x:c>
    </x:row>
    <x:row r="87" ht="38" customHeight="1">
      <x:c r="A87" s="425" t="str">
        <x:v>2026-09-12</x:v>
      </x:c>
      <x:c r="B87" s="425" t="str">
        <x:v>Football</x:v>
      </x:c>
      <x:c r="C87" s="425" t="str">
        <x:v>CFB</x:v>
      </x:c>
      <x:c r="D87" s="425" t="str">
        <x:v>Duke Blue Devils at Illinois Fighting Illini</x:v>
      </x:c>
      <x:c r="E87" s="425" t="str">
        <x:v>2026-09-12T19:30Z</x:v>
      </x:c>
      <x:c r="F87" s="425" t="str">
        <x:v>PROSPECTIVE</x:v>
      </x:c>
      <x:c r="G87" s="425" t="str">
        <x:v>Illinois Fighting Illini</x:v>
      </x:c>
      <x:c r="H87" s="425" t="str">
        <x:v>Scheduled team; player lineup and specialist roles unconfirmed</x:v>
      </x:c>
      <x:c r="I87" s="425" t="str">
        <x:v>Official ESPN schedule lists Illinois Fighting Illini at 1-0. Current starters, depth-chart usage, injuries and specialist roles require later confirmation.</x:v>
      </x:c>
      <x:c r="J87" s="425" t="str"/>
      <x:c r="K87" s="425" t="str"/>
      <x:c r="L87" s="425" t="str">
        <x:v>https://www.espn.com/college-football/game/_/gameId/401858217/duke-illinois</x:v>
      </x:c>
    </x:row>
    <x:row r="88" ht="38" customHeight="1">
      <x:c r="A88" s="425" t="str">
        <x:v>2026-09-12</x:v>
      </x:c>
      <x:c r="B88" s="425" t="str">
        <x:v>Football</x:v>
      </x:c>
      <x:c r="C88" s="425" t="str">
        <x:v>CFB</x:v>
      </x:c>
      <x:c r="D88" s="425" t="str">
        <x:v>Duke Blue Devils at Illinois Fighting Illini</x:v>
      </x:c>
      <x:c r="E88" s="425" t="str">
        <x:v>2026-09-12T19:30Z</x:v>
      </x:c>
      <x:c r="F88" s="425" t="str">
        <x:v>PROSPECTIVE</x:v>
      </x:c>
      <x:c r="G88" s="425" t="str">
        <x:v>Duke Blue Devils</x:v>
      </x:c>
      <x:c r="H88" s="425" t="str">
        <x:v>Scheduled team; player lineup and specialist roles unconfirmed</x:v>
      </x:c>
      <x:c r="I88" s="425" t="str">
        <x:v>Official ESPN schedule lists Duke Blue Devils at 1-0. Current starters, depth-chart usage, injuries and specialist roles require later confirmation.</x:v>
      </x:c>
      <x:c r="J88" s="425" t="str"/>
      <x:c r="K88" s="425" t="str"/>
      <x:c r="L88" s="425" t="str">
        <x:v>https://www.espn.com/college-football/game/_/gameId/401858217/duke-illinois</x:v>
      </x:c>
    </x:row>
    <x:row r="89" ht="38" customHeight="1">
      <x:c r="A89" s="425" t="str">
        <x:v>2026-09-12</x:v>
      </x:c>
      <x:c r="B89" s="425" t="str">
        <x:v>Football</x:v>
      </x:c>
      <x:c r="C89" s="425" t="str">
        <x:v>CFB</x:v>
      </x:c>
      <x:c r="D89" s="425" t="str">
        <x:v>Eastern Michigan Eagles at Michigan State Spartans</x:v>
      </x:c>
      <x:c r="E89" s="425" t="str">
        <x:v>2026-09-12T19:30Z</x:v>
      </x:c>
      <x:c r="F89" s="425" t="str">
        <x:v>PROSPECTIVE</x:v>
      </x:c>
      <x:c r="G89" s="425" t="str">
        <x:v>Michigan State Spartans</x:v>
      </x:c>
      <x:c r="H89" s="425" t="str">
        <x:v>Scheduled team; player lineup and specialist roles unconfirmed</x:v>
      </x:c>
      <x:c r="I89" s="425" t="str">
        <x:v>Official ESPN schedule lists Michigan State Spartans at 1-0. Current starters, depth-chart usage, injuries and specialist roles require later confirmation.</x:v>
      </x:c>
      <x:c r="J89" s="425" t="str"/>
      <x:c r="K89" s="425" t="str"/>
      <x:c r="L89" s="425" t="str">
        <x:v>https://www.espn.com/college-football/game/_/gameId/401858440/e-michigan-michigan-st</x:v>
      </x:c>
    </x:row>
    <x:row r="90" ht="38" customHeight="1">
      <x:c r="A90" s="425" t="str">
        <x:v>2026-09-12</x:v>
      </x:c>
      <x:c r="B90" s="425" t="str">
        <x:v>Football</x:v>
      </x:c>
      <x:c r="C90" s="425" t="str">
        <x:v>CFB</x:v>
      </x:c>
      <x:c r="D90" s="425" t="str">
        <x:v>Eastern Michigan Eagles at Michigan State Spartans</x:v>
      </x:c>
      <x:c r="E90" s="425" t="str">
        <x:v>2026-09-12T19:30Z</x:v>
      </x:c>
      <x:c r="F90" s="425" t="str">
        <x:v>PROSPECTIVE</x:v>
      </x:c>
      <x:c r="G90" s="425" t="str">
        <x:v>Eastern Michigan Eagles</x:v>
      </x:c>
      <x:c r="H90" s="425" t="str">
        <x:v>Scheduled team; player lineup and specialist roles unconfirmed</x:v>
      </x:c>
      <x:c r="I90" s="425" t="str">
        <x:v>Official ESPN schedule lists Eastern Michigan Eagles at 1-1. Current starters, depth-chart usage, injuries and specialist roles require later confirmation.</x:v>
      </x:c>
      <x:c r="J90" s="425" t="str"/>
      <x:c r="K90" s="425" t="str"/>
      <x:c r="L90" s="425" t="str">
        <x:v>https://www.espn.com/college-football/game/_/gameId/401858440/e-michigan-michigan-st</x:v>
      </x:c>
    </x:row>
    <x:row r="91" ht="38" customHeight="1">
      <x:c r="A91" s="425" t="str">
        <x:v>2026-09-12</x:v>
      </x:c>
      <x:c r="B91" s="425" t="str">
        <x:v>Football</x:v>
      </x:c>
      <x:c r="C91" s="425" t="str">
        <x:v>CFB</x:v>
      </x:c>
      <x:c r="D91" s="425" t="str">
        <x:v>Maryland Terrapins at UConn Huskies</x:v>
      </x:c>
      <x:c r="E91" s="425" t="str">
        <x:v>2026-09-12T19:30Z</x:v>
      </x:c>
      <x:c r="F91" s="425" t="str">
        <x:v>PROSPECTIVE</x:v>
      </x:c>
      <x:c r="G91" s="425" t="str">
        <x:v>UConn Huskies</x:v>
      </x:c>
      <x:c r="H91" s="425" t="str">
        <x:v>Scheduled team; player lineup and specialist roles unconfirmed</x:v>
      </x:c>
      <x:c r="I91" s="425" t="str">
        <x:v>Official ESPN schedule lists UConn Huskies at 1-0. Current starters, depth-chart usage, injuries and specialist roles require later confirmation.</x:v>
      </x:c>
      <x:c r="J91" s="425" t="str"/>
      <x:c r="K91" s="425" t="str"/>
      <x:c r="L91" s="425" t="str">
        <x:v>https://www.espn.com/college-football/game/_/gameId/401858444/maryland-uconn</x:v>
      </x:c>
    </x:row>
    <x:row r="92" ht="38" customHeight="1">
      <x:c r="A92" s="425" t="str">
        <x:v>2026-09-12</x:v>
      </x:c>
      <x:c r="B92" s="425" t="str">
        <x:v>Football</x:v>
      </x:c>
      <x:c r="C92" s="425" t="str">
        <x:v>CFB</x:v>
      </x:c>
      <x:c r="D92" s="425" t="str">
        <x:v>Maryland Terrapins at UConn Huskies</x:v>
      </x:c>
      <x:c r="E92" s="425" t="str">
        <x:v>2026-09-12T19:30Z</x:v>
      </x:c>
      <x:c r="F92" s="425" t="str">
        <x:v>PROSPECTIVE</x:v>
      </x:c>
      <x:c r="G92" s="425" t="str">
        <x:v>Maryland Terrapins</x:v>
      </x:c>
      <x:c r="H92" s="425" t="str">
        <x:v>Scheduled team; player lineup and specialist roles unconfirmed</x:v>
      </x:c>
      <x:c r="I92" s="425" t="str">
        <x:v>Official ESPN schedule lists Maryland Terrapins at 1-0. Current starters, depth-chart usage, injuries and specialist roles require later confirmation.</x:v>
      </x:c>
      <x:c r="J92" s="425" t="str"/>
      <x:c r="K92" s="425" t="str"/>
      <x:c r="L92" s="425" t="str">
        <x:v>https://www.espn.com/college-football/game/_/gameId/401858444/maryland-uconn</x:v>
      </x:c>
    </x:row>
    <x:row r="93" ht="38" customHeight="1">
      <x:c r="A93" s="425" t="str">
        <x:v>2026-09-12</x:v>
      </x:c>
      <x:c r="B93" s="425" t="str">
        <x:v>Football</x:v>
      </x:c>
      <x:c r="C93" s="425" t="str">
        <x:v>CFB</x:v>
      </x:c>
      <x:c r="D93" s="425" t="str">
        <x:v>UTSA Roadrunners at Texas State Bobcats</x:v>
      </x:c>
      <x:c r="E93" s="425" t="str">
        <x:v>2026-09-12T19:30Z</x:v>
      </x:c>
      <x:c r="F93" s="425" t="str">
        <x:v>PROSPECTIVE</x:v>
      </x:c>
      <x:c r="G93" s="425" t="str">
        <x:v>Texas State Bobcats</x:v>
      </x:c>
      <x:c r="H93" s="425" t="str">
        <x:v>Scheduled team; player lineup and specialist roles unconfirmed</x:v>
      </x:c>
      <x:c r="I93" s="425" t="str">
        <x:v>Official ESPN schedule lists Texas State Bobcats at 0-1. Current starters, depth-chart usage, injuries and specialist roles require later confirmation.</x:v>
      </x:c>
      <x:c r="J93" s="425" t="str"/>
      <x:c r="K93" s="425" t="str"/>
      <x:c r="L93" s="425" t="str">
        <x:v>https://www.espn.com/college-football/game/_/gameId/401860884/utsa-texas-st</x:v>
      </x:c>
    </x:row>
    <x:row r="94" ht="38" customHeight="1">
      <x:c r="A94" s="425" t="str">
        <x:v>2026-09-12</x:v>
      </x:c>
      <x:c r="B94" s="425" t="str">
        <x:v>Football</x:v>
      </x:c>
      <x:c r="C94" s="425" t="str">
        <x:v>CFB</x:v>
      </x:c>
      <x:c r="D94" s="425" t="str">
        <x:v>UTSA Roadrunners at Texas State Bobcats</x:v>
      </x:c>
      <x:c r="E94" s="425" t="str">
        <x:v>2026-09-12T19:30Z</x:v>
      </x:c>
      <x:c r="F94" s="425" t="str">
        <x:v>PROSPECTIVE</x:v>
      </x:c>
      <x:c r="G94" s="425" t="str">
        <x:v>UTSA Roadrunners</x:v>
      </x:c>
      <x:c r="H94" s="425" t="str">
        <x:v>Scheduled team; player lineup and specialist roles unconfirmed</x:v>
      </x:c>
      <x:c r="I94" s="425" t="str">
        <x:v>Official ESPN schedule lists UTSA Roadrunners at 1-0. Current starters, depth-chart usage, injuries and specialist roles require later confirmation.</x:v>
      </x:c>
      <x:c r="J94" s="425" t="str"/>
      <x:c r="K94" s="425" t="str"/>
      <x:c r="L94" s="425" t="str">
        <x:v>https://www.espn.com/college-football/game/_/gameId/401860884/utsa-texas-st</x:v>
      </x:c>
    </x:row>
    <x:row r="95" ht="38" customHeight="1">
      <x:c r="A95" s="425" t="str">
        <x:v>2026-09-12</x:v>
      </x:c>
      <x:c r="B95" s="425" t="str">
        <x:v>Football</x:v>
      </x:c>
      <x:c r="C95" s="425" t="str">
        <x:v>CFB</x:v>
      </x:c>
      <x:c r="D95" s="425" t="str">
        <x:v>UL Monroe Warhawks at UAB Blazers</x:v>
      </x:c>
      <x:c r="E95" s="425" t="str">
        <x:v>2026-09-12T19:30Z</x:v>
      </x:c>
      <x:c r="F95" s="425" t="str">
        <x:v>PROSPECTIVE</x:v>
      </x:c>
      <x:c r="G95" s="425" t="str">
        <x:v>UAB Blazers</x:v>
      </x:c>
      <x:c r="H95" s="425" t="str">
        <x:v>Scheduled team; player lineup and specialist roles unconfirmed</x:v>
      </x:c>
      <x:c r="I95" s="425" t="str">
        <x:v>Official ESPN schedule lists UAB Blazers at 0-1. Current starters, depth-chart usage, injuries and specialist roles require later confirmation.</x:v>
      </x:c>
      <x:c r="J95" s="425" t="str"/>
      <x:c r="K95" s="425" t="str"/>
      <x:c r="L95" s="425" t="str">
        <x:v>https://www.espn.com/college-football/game/_/gameId/401862708/ul-monroe-uab</x:v>
      </x:c>
    </x:row>
    <x:row r="96" ht="38" customHeight="1">
      <x:c r="A96" s="425" t="str">
        <x:v>2026-09-12</x:v>
      </x:c>
      <x:c r="B96" s="425" t="str">
        <x:v>Football</x:v>
      </x:c>
      <x:c r="C96" s="425" t="str">
        <x:v>CFB</x:v>
      </x:c>
      <x:c r="D96" s="425" t="str">
        <x:v>UL Monroe Warhawks at UAB Blazers</x:v>
      </x:c>
      <x:c r="E96" s="425" t="str">
        <x:v>2026-09-12T19:30Z</x:v>
      </x:c>
      <x:c r="F96" s="425" t="str">
        <x:v>PROSPECTIVE</x:v>
      </x:c>
      <x:c r="G96" s="425" t="str">
        <x:v>UL Monroe Warhawks</x:v>
      </x:c>
      <x:c r="H96" s="425" t="str">
        <x:v>Scheduled team; player lineup and specialist roles unconfirmed</x:v>
      </x:c>
      <x:c r="I96" s="425" t="str">
        <x:v>Official ESPN schedule lists UL Monroe Warhawks at 0-1. Current starters, depth-chart usage, injuries and specialist roles require later confirmation.</x:v>
      </x:c>
      <x:c r="J96" s="425" t="str"/>
      <x:c r="K96" s="425" t="str"/>
      <x:c r="L96" s="425" t="str">
        <x:v>https://www.espn.com/college-football/game/_/gameId/401862708/ul-monroe-uab</x:v>
      </x:c>
    </x:row>
    <x:row r="97" ht="38" customHeight="1">
      <x:c r="A97" s="425" t="str">
        <x:v>2026-09-12</x:v>
      </x:c>
      <x:c r="B97" s="425" t="str">
        <x:v>Football</x:v>
      </x:c>
      <x:c r="C97" s="425" t="str">
        <x:v>CFB</x:v>
      </x:c>
      <x:c r="D97" s="425" t="str">
        <x:v>Robert Morris Colonials at Akron Zips</x:v>
      </x:c>
      <x:c r="E97" s="425" t="str">
        <x:v>2026-09-12T19:30Z</x:v>
      </x:c>
      <x:c r="F97" s="425" t="str">
        <x:v>PROSPECTIVE</x:v>
      </x:c>
      <x:c r="G97" s="425" t="str">
        <x:v>Akron Zips</x:v>
      </x:c>
      <x:c r="H97" s="425" t="str">
        <x:v>Scheduled team; player lineup and specialist roles unconfirmed</x:v>
      </x:c>
      <x:c r="I97" s="425" t="str">
        <x:v>Official ESPN schedule lists Akron Zips at 0-1. Current starters, depth-chart usage, injuries and specialist roles require later confirmation.</x:v>
      </x:c>
      <x:c r="J97" s="425" t="str"/>
      <x:c r="K97" s="425" t="str"/>
      <x:c r="L97" s="425" t="str">
        <x:v>https://www.espn.com/college-football/game/_/gameId/401866412/robert-morris-akron</x:v>
      </x:c>
    </x:row>
    <x:row r="98" ht="38" customHeight="1">
      <x:c r="A98" s="425" t="str">
        <x:v>2026-09-12</x:v>
      </x:c>
      <x:c r="B98" s="425" t="str">
        <x:v>Football</x:v>
      </x:c>
      <x:c r="C98" s="425" t="str">
        <x:v>CFB</x:v>
      </x:c>
      <x:c r="D98" s="425" t="str">
        <x:v>Robert Morris Colonials at Akron Zips</x:v>
      </x:c>
      <x:c r="E98" s="425" t="str">
        <x:v>2026-09-12T19:30Z</x:v>
      </x:c>
      <x:c r="F98" s="425" t="str">
        <x:v>PROSPECTIVE</x:v>
      </x:c>
      <x:c r="G98" s="425" t="str">
        <x:v>Robert Morris Colonials</x:v>
      </x:c>
      <x:c r="H98" s="425" t="str">
        <x:v>Scheduled team; player lineup and specialist roles unconfirmed</x:v>
      </x:c>
      <x:c r="I98" s="425" t="str">
        <x:v>Official ESPN schedule lists Robert Morris Colonials at 2-0. Current starters, depth-chart usage, injuries and specialist roles require later confirmation.</x:v>
      </x:c>
      <x:c r="J98" s="425" t="str"/>
      <x:c r="K98" s="425" t="str"/>
      <x:c r="L98" s="425" t="str">
        <x:v>https://www.espn.com/college-football/game/_/gameId/401866412/robert-morris-akron</x:v>
      </x:c>
    </x:row>
    <x:row r="99" ht="38" customHeight="1">
      <x:c r="A99" s="425" t="str">
        <x:v>2026-09-12</x:v>
      </x:c>
      <x:c r="B99" s="425" t="str">
        <x:v>Football</x:v>
      </x:c>
      <x:c r="C99" s="425" t="str">
        <x:v>CFB</x:v>
      </x:c>
      <x:c r="D99" s="425" t="str">
        <x:v>Central Connecticut Blue Devils at Toledo Rockets</x:v>
      </x:c>
      <x:c r="E99" s="425" t="str">
        <x:v>2026-09-12T19:30Z</x:v>
      </x:c>
      <x:c r="F99" s="425" t="str">
        <x:v>PROSPECTIVE</x:v>
      </x:c>
      <x:c r="G99" s="425" t="str">
        <x:v>Toledo Rockets</x:v>
      </x:c>
      <x:c r="H99" s="425" t="str">
        <x:v>Scheduled team; player lineup and specialist roles unconfirmed</x:v>
      </x:c>
      <x:c r="I99" s="425" t="str">
        <x:v>Official ESPN schedule lists Toledo Rockets at 0-1. Current starters, depth-chart usage, injuries and specialist roles require later confirmation.</x:v>
      </x:c>
      <x:c r="J99" s="425" t="str"/>
      <x:c r="K99" s="425" t="str"/>
      <x:c r="L99" s="425" t="str">
        <x:v>https://www.espn.com/college-football/game/_/gameId/401866419/c-connecticut-toledo</x:v>
      </x:c>
    </x:row>
    <x:row r="100" ht="38" customHeight="1">
      <x:c r="A100" s="425" t="str">
        <x:v>2026-09-12</x:v>
      </x:c>
      <x:c r="B100" s="425" t="str">
        <x:v>Football</x:v>
      </x:c>
      <x:c r="C100" s="425" t="str">
        <x:v>CFB</x:v>
      </x:c>
      <x:c r="D100" s="425" t="str">
        <x:v>Central Connecticut Blue Devils at Toledo Rockets</x:v>
      </x:c>
      <x:c r="E100" s="425" t="str">
        <x:v>2026-09-12T19:30Z</x:v>
      </x:c>
      <x:c r="F100" s="425" t="str">
        <x:v>PROSPECTIVE</x:v>
      </x:c>
      <x:c r="G100" s="425" t="str">
        <x:v>Central Connecticut Blue Devils</x:v>
      </x:c>
      <x:c r="H100" s="425" t="str">
        <x:v>Scheduled team; player lineup and specialist roles unconfirmed</x:v>
      </x:c>
      <x:c r="I100" s="425" t="str">
        <x:v>Official ESPN schedule lists Central Connecticut Blue Devils at 0-1. Current starters, depth-chart usage, injuries and specialist roles require later confirmation.</x:v>
      </x:c>
      <x:c r="J100" s="425" t="str"/>
      <x:c r="K100" s="425" t="str"/>
      <x:c r="L100" s="425" t="str">
        <x:v>https://www.espn.com/college-football/game/_/gameId/401866419/c-connecticut-toledo</x:v>
      </x:c>
    </x:row>
    <x:row r="101" ht="38" customHeight="1">
      <x:c r="A101" s="425" t="str">
        <x:v>2026-09-12</x:v>
      </x:c>
      <x:c r="B101" s="425" t="str">
        <x:v>Football</x:v>
      </x:c>
      <x:c r="C101" s="425" t="str">
        <x:v>CFB</x:v>
      </x:c>
      <x:c r="D101" s="425" t="str">
        <x:v>Sacred Heart Pioneers at Massachusetts Minutemen</x:v>
      </x:c>
      <x:c r="E101" s="425" t="str">
        <x:v>2026-09-12T19:30Z</x:v>
      </x:c>
      <x:c r="F101" s="425" t="str">
        <x:v>PROSPECTIVE</x:v>
      </x:c>
      <x:c r="G101" s="425" t="str">
        <x:v>Massachusetts Minutemen</x:v>
      </x:c>
      <x:c r="H101" s="425" t="str">
        <x:v>Scheduled team; player lineup and specialist roles unconfirmed</x:v>
      </x:c>
      <x:c r="I101" s="425" t="str">
        <x:v>Official ESPN schedule lists Massachusetts Minutemen at 1-0. Current starters, depth-chart usage, injuries and specialist roles require later confirmation.</x:v>
      </x:c>
      <x:c r="J101" s="425" t="str"/>
      <x:c r="K101" s="425" t="str"/>
      <x:c r="L101" s="425" t="str">
        <x:v>https://www.espn.com/college-football/game/_/gameId/401866420/sacred-heart-umass</x:v>
      </x:c>
    </x:row>
    <x:row r="102" ht="38" customHeight="1">
      <x:c r="A102" s="425" t="str">
        <x:v>2026-09-12</x:v>
      </x:c>
      <x:c r="B102" s="425" t="str">
        <x:v>Football</x:v>
      </x:c>
      <x:c r="C102" s="425" t="str">
        <x:v>CFB</x:v>
      </x:c>
      <x:c r="D102" s="425" t="str">
        <x:v>Sacred Heart Pioneers at Massachusetts Minutemen</x:v>
      </x:c>
      <x:c r="E102" s="425" t="str">
        <x:v>2026-09-12T19:30Z</x:v>
      </x:c>
      <x:c r="F102" s="425" t="str">
        <x:v>PROSPECTIVE</x:v>
      </x:c>
      <x:c r="G102" s="425" t="str">
        <x:v>Sacred Heart Pioneers</x:v>
      </x:c>
      <x:c r="H102" s="425" t="str">
        <x:v>Scheduled team; player lineup and specialist roles unconfirmed</x:v>
      </x:c>
      <x:c r="I102" s="425" t="str">
        <x:v>Official ESPN schedule lists Sacred Heart Pioneers at 0-1. Current starters, depth-chart usage, injuries and specialist roles require later confirmation.</x:v>
      </x:c>
      <x:c r="J102" s="425" t="str"/>
      <x:c r="K102" s="425" t="str"/>
      <x:c r="L102" s="425" t="str">
        <x:v>https://www.espn.com/college-football/game/_/gameId/401866420/sacred-heart-umass</x:v>
      </x:c>
    </x:row>
    <x:row r="103" ht="38" customHeight="1">
      <x:c r="A103" s="425" t="str">
        <x:v>2026-09-12</x:v>
      </x:c>
      <x:c r="B103" s="425" t="str">
        <x:v>Football</x:v>
      </x:c>
      <x:c r="C103" s="425" t="str">
        <x:v>CFB</x:v>
      </x:c>
      <x:c r="D103" s="425" t="str">
        <x:v>UNLV Rebels at North Texas Mean Green</x:v>
      </x:c>
      <x:c r="E103" s="425" t="str">
        <x:v>2026-09-12T19:45Z</x:v>
      </x:c>
      <x:c r="F103" s="425" t="str">
        <x:v>PROSPECTIVE</x:v>
      </x:c>
      <x:c r="G103" s="425" t="str">
        <x:v>North Texas Mean Green</x:v>
      </x:c>
      <x:c r="H103" s="425" t="str">
        <x:v>Scheduled team; player lineup and specialist roles unconfirmed</x:v>
      </x:c>
      <x:c r="I103" s="425" t="str">
        <x:v>Official ESPN schedule lists North Texas Mean Green at 0-1. Current starters, depth-chart usage, injuries and specialist roles require later confirmation.</x:v>
      </x:c>
      <x:c r="J103" s="425" t="str"/>
      <x:c r="K103" s="425" t="str"/>
      <x:c r="L103" s="425" t="str">
        <x:v>https://www.espn.com/college-football/game/_/gameId/401862705/unlv-north-texas</x:v>
      </x:c>
    </x:row>
    <x:row r="104" ht="38" customHeight="1">
      <x:c r="A104" s="425" t="str">
        <x:v>2026-09-12</x:v>
      </x:c>
      <x:c r="B104" s="425" t="str">
        <x:v>Football</x:v>
      </x:c>
      <x:c r="C104" s="425" t="str">
        <x:v>CFB</x:v>
      </x:c>
      <x:c r="D104" s="425" t="str">
        <x:v>UNLV Rebels at North Texas Mean Green</x:v>
      </x:c>
      <x:c r="E104" s="425" t="str">
        <x:v>2026-09-12T19:45Z</x:v>
      </x:c>
      <x:c r="F104" s="425" t="str">
        <x:v>PROSPECTIVE</x:v>
      </x:c>
      <x:c r="G104" s="425" t="str">
        <x:v>UNLV Rebels</x:v>
      </x:c>
      <x:c r="H104" s="425" t="str">
        <x:v>Scheduled team; player lineup and specialist roles unconfirmed</x:v>
      </x:c>
      <x:c r="I104" s="425" t="str">
        <x:v>Official ESPN schedule lists UNLV Rebels at 1-1. Current starters, depth-chart usage, injuries and specialist roles require later confirmation.</x:v>
      </x:c>
      <x:c r="J104" s="425" t="str"/>
      <x:c r="K104" s="425" t="str"/>
      <x:c r="L104" s="425" t="str">
        <x:v>https://www.espn.com/college-football/game/_/gameId/401862705/unlv-north-texas</x:v>
      </x:c>
    </x:row>
    <x:row r="105" ht="38" customHeight="1">
      <x:c r="A105" s="425" t="str">
        <x:v>2026-09-12</x:v>
      </x:c>
      <x:c r="B105" s="425" t="str">
        <x:v>Football</x:v>
      </x:c>
      <x:c r="C105" s="425" t="str">
        <x:v>CFB</x:v>
      </x:c>
      <x:c r="D105" s="425" t="str">
        <x:v>UC Davis Aggies at SMU Mustangs</x:v>
      </x:c>
      <x:c r="E105" s="425" t="str">
        <x:v>2026-09-12T20:00Z</x:v>
      </x:c>
      <x:c r="F105" s="425" t="str">
        <x:v>PROSPECTIVE</x:v>
      </x:c>
      <x:c r="G105" s="425" t="str">
        <x:v>SMU Mustangs</x:v>
      </x:c>
      <x:c r="H105" s="425" t="str">
        <x:v>Scheduled team; player lineup and specialist roles unconfirmed</x:v>
      </x:c>
      <x:c r="I105" s="425" t="str">
        <x:v>Official ESPN schedule lists SMU Mustangs at 1-0. Current starters, depth-chart usage, injuries and specialist roles require later confirmation.</x:v>
      </x:c>
      <x:c r="J105" s="425" t="str"/>
      <x:c r="K105" s="425" t="str"/>
      <x:c r="L105" s="425" t="str">
        <x:v>https://www.espn.com/college-football/game/_/gameId/401858223/uc-davis-smu</x:v>
      </x:c>
    </x:row>
    <x:row r="106" ht="38" customHeight="1">
      <x:c r="A106" s="425" t="str">
        <x:v>2026-09-12</x:v>
      </x:c>
      <x:c r="B106" s="425" t="str">
        <x:v>Football</x:v>
      </x:c>
      <x:c r="C106" s="425" t="str">
        <x:v>CFB</x:v>
      </x:c>
      <x:c r="D106" s="425" t="str">
        <x:v>UC Davis Aggies at SMU Mustangs</x:v>
      </x:c>
      <x:c r="E106" s="425" t="str">
        <x:v>2026-09-12T20:00Z</x:v>
      </x:c>
      <x:c r="F106" s="425" t="str">
        <x:v>PROSPECTIVE</x:v>
      </x:c>
      <x:c r="G106" s="425" t="str">
        <x:v>UC Davis Aggies</x:v>
      </x:c>
      <x:c r="H106" s="425" t="str">
        <x:v>Scheduled team; player lineup and specialist roles unconfirmed</x:v>
      </x:c>
      <x:c r="I106" s="425" t="str">
        <x:v>Official ESPN schedule lists UC Davis Aggies at 2-0. Current starters, depth-chart usage, injuries and specialist roles require later confirmation.</x:v>
      </x:c>
      <x:c r="J106" s="425" t="str"/>
      <x:c r="K106" s="425" t="str"/>
      <x:c r="L106" s="425" t="str">
        <x:v>https://www.espn.com/college-football/game/_/gameId/401858223/uc-davis-smu</x:v>
      </x:c>
    </x:row>
    <x:row r="107" ht="38" customHeight="1">
      <x:c r="A107" s="425" t="str">
        <x:v>2026-09-12</x:v>
      </x:c>
      <x:c r="B107" s="425" t="str">
        <x:v>Football</x:v>
      </x:c>
      <x:c r="C107" s="425" t="str">
        <x:v>CFB</x:v>
      </x:c>
      <x:c r="D107" s="425" t="str">
        <x:v>Northern Colorado Bears at Wyoming Cowboys</x:v>
      </x:c>
      <x:c r="E107" s="425" t="str">
        <x:v>2026-09-12T20:00Z</x:v>
      </x:c>
      <x:c r="F107" s="425" t="str">
        <x:v>PROSPECTIVE</x:v>
      </x:c>
      <x:c r="G107" s="425" t="str">
        <x:v>Wyoming Cowboys</x:v>
      </x:c>
      <x:c r="H107" s="425" t="str">
        <x:v>Scheduled team; player lineup and specialist roles unconfirmed</x:v>
      </x:c>
      <x:c r="I107" s="425" t="str">
        <x:v>Official ESPN schedule lists Wyoming Cowboys at 0-1. Current starters, depth-chart usage, injuries and specialist roles require later confirmation.</x:v>
      </x:c>
      <x:c r="J107" s="425" t="str"/>
      <x:c r="K107" s="425" t="str"/>
      <x:c r="L107" s="425" t="str">
        <x:v>https://www.espn.com/college-football/game/_/gameId/401864506/n-colorado-wyoming</x:v>
      </x:c>
    </x:row>
    <x:row r="108" ht="38" customHeight="1">
      <x:c r="A108" s="425" t="str">
        <x:v>2026-09-12</x:v>
      </x:c>
      <x:c r="B108" s="425" t="str">
        <x:v>Football</x:v>
      </x:c>
      <x:c r="C108" s="425" t="str">
        <x:v>CFB</x:v>
      </x:c>
      <x:c r="D108" s="425" t="str">
        <x:v>Northern Colorado Bears at Wyoming Cowboys</x:v>
      </x:c>
      <x:c r="E108" s="425" t="str">
        <x:v>2026-09-12T20:00Z</x:v>
      </x:c>
      <x:c r="F108" s="425" t="str">
        <x:v>PROSPECTIVE</x:v>
      </x:c>
      <x:c r="G108" s="425" t="str">
        <x:v>Northern Colorado Bears</x:v>
      </x:c>
      <x:c r="H108" s="425" t="str">
        <x:v>Scheduled team; player lineup and specialist roles unconfirmed</x:v>
      </x:c>
      <x:c r="I108" s="425" t="str">
        <x:v>Official ESPN schedule lists Northern Colorado Bears at 0-2. Current starters, depth-chart usage, injuries and specialist roles require later confirmation.</x:v>
      </x:c>
      <x:c r="J108" s="425" t="str"/>
      <x:c r="K108" s="425" t="str"/>
      <x:c r="L108" s="425" t="str">
        <x:v>https://www.espn.com/college-football/game/_/gameId/401864506/n-colorado-wyoming</x:v>
      </x:c>
    </x:row>
    <x:row r="109" ht="38" customHeight="1">
      <x:c r="A109" s="425" t="str">
        <x:v>2026-09-12</x:v>
      </x:c>
      <x:c r="B109" s="425" t="str">
        <x:v>Football</x:v>
      </x:c>
      <x:c r="C109" s="425" t="str">
        <x:v>CFB</x:v>
      </x:c>
      <x:c r="D109" s="425" t="str">
        <x:v>Mercyhurst Lakers at New Mexico Lobos</x:v>
      </x:c>
      <x:c r="E109" s="425" t="str">
        <x:v>2026-09-12T20:00Z</x:v>
      </x:c>
      <x:c r="F109" s="425" t="str">
        <x:v>PROSPECTIVE</x:v>
      </x:c>
      <x:c r="G109" s="425" t="str">
        <x:v>New Mexico Lobos</x:v>
      </x:c>
      <x:c r="H109" s="425" t="str">
        <x:v>Scheduled team; player lineup and specialist roles unconfirmed</x:v>
      </x:c>
      <x:c r="I109" s="425" t="str">
        <x:v>Official ESPN schedule lists New Mexico Lobos at 1-0. Current starters, depth-chart usage, injuries and specialist roles require later confirmation.</x:v>
      </x:c>
      <x:c r="J109" s="425" t="str"/>
      <x:c r="K109" s="425" t="str"/>
      <x:c r="L109" s="425" t="str">
        <x:v>https://www.espn.com/college-football/game/_/gameId/401865252/mercyhurst-new-mexico</x:v>
      </x:c>
    </x:row>
    <x:row r="110" ht="38" customHeight="1">
      <x:c r="A110" s="425" t="str">
        <x:v>2026-09-12</x:v>
      </x:c>
      <x:c r="B110" s="425" t="str">
        <x:v>Football</x:v>
      </x:c>
      <x:c r="C110" s="425" t="str">
        <x:v>CFB</x:v>
      </x:c>
      <x:c r="D110" s="425" t="str">
        <x:v>Mercyhurst Lakers at New Mexico Lobos</x:v>
      </x:c>
      <x:c r="E110" s="425" t="str">
        <x:v>2026-09-12T20:00Z</x:v>
      </x:c>
      <x:c r="F110" s="425" t="str">
        <x:v>PROSPECTIVE</x:v>
      </x:c>
      <x:c r="G110" s="425" t="str">
        <x:v>Mercyhurst Lakers</x:v>
      </x:c>
      <x:c r="H110" s="425" t="str">
        <x:v>Scheduled team; player lineup and specialist roles unconfirmed</x:v>
      </x:c>
      <x:c r="I110" s="425" t="str">
        <x:v>Official ESPN schedule lists Mercyhurst Lakers at 0-2. Current starters, depth-chart usage, injuries and specialist roles require later confirmation.</x:v>
      </x:c>
      <x:c r="J110" s="425" t="str"/>
      <x:c r="K110" s="425" t="str"/>
      <x:c r="L110" s="425" t="str">
        <x:v>https://www.espn.com/college-football/game/_/gameId/401865252/mercyhurst-new-mexico</x:v>
      </x:c>
    </x:row>
    <x:row r="111" ht="38" customHeight="1">
      <x:c r="A111" s="425" t="str">
        <x:v>2026-09-12</x:v>
      </x:c>
      <x:c r="B111" s="425" t="str">
        <x:v>Football</x:v>
      </x:c>
      <x:c r="C111" s="425" t="str">
        <x:v>CFB</x:v>
      </x:c>
      <x:c r="D111" s="425" t="str">
        <x:v>Alabama State Hornets at Troy Trojans</x:v>
      </x:c>
      <x:c r="E111" s="425" t="str">
        <x:v>2026-09-12T20:00Z</x:v>
      </x:c>
      <x:c r="F111" s="425" t="str">
        <x:v>PROSPECTIVE</x:v>
      </x:c>
      <x:c r="G111" s="425" t="str">
        <x:v>Troy Trojans</x:v>
      </x:c>
      <x:c r="H111" s="425" t="str">
        <x:v>Scheduled team; player lineup and specialist roles unconfirmed</x:v>
      </x:c>
      <x:c r="I111" s="425" t="str">
        <x:v>Official ESPN schedule lists Troy Trojans at 1-0. Current starters, depth-chart usage, injuries and specialist roles require later confirmation.</x:v>
      </x:c>
      <x:c r="J111" s="425" t="str"/>
      <x:c r="K111" s="425" t="str"/>
      <x:c r="L111" s="425" t="str">
        <x:v>https://www.espn.com/college-football/game/_/gameId/401868326/alabama-st-troy</x:v>
      </x:c>
    </x:row>
    <x:row r="112" ht="38" customHeight="1">
      <x:c r="A112" s="425" t="str">
        <x:v>2026-09-12</x:v>
      </x:c>
      <x:c r="B112" s="425" t="str">
        <x:v>Football</x:v>
      </x:c>
      <x:c r="C112" s="425" t="str">
        <x:v>CFB</x:v>
      </x:c>
      <x:c r="D112" s="425" t="str">
        <x:v>Alabama State Hornets at Troy Trojans</x:v>
      </x:c>
      <x:c r="E112" s="425" t="str">
        <x:v>2026-09-12T20:00Z</x:v>
      </x:c>
      <x:c r="F112" s="425" t="str">
        <x:v>PROSPECTIVE</x:v>
      </x:c>
      <x:c r="G112" s="425" t="str">
        <x:v>Alabama State Hornets</x:v>
      </x:c>
      <x:c r="H112" s="425" t="str">
        <x:v>Scheduled team; player lineup and specialist roles unconfirmed</x:v>
      </x:c>
      <x:c r="I112" s="425" t="str">
        <x:v>Official ESPN schedule lists Alabama State Hornets at 2-0. Current starters, depth-chart usage, injuries and specialist roles require later confirmation.</x:v>
      </x:c>
      <x:c r="J112" s="425" t="str"/>
      <x:c r="K112" s="425" t="str"/>
      <x:c r="L112" s="425" t="str">
        <x:v>https://www.espn.com/college-football/game/_/gameId/401868326/alabama-st-troy</x:v>
      </x:c>
    </x:row>
    <x:row r="113" ht="38" customHeight="1">
      <x:c r="A113" s="425" t="str">
        <x:v>2026-09-12</x:v>
      </x:c>
      <x:c r="B113" s="425" t="str">
        <x:v>Football</x:v>
      </x:c>
      <x:c r="C113" s="425" t="str">
        <x:v>CFB</x:v>
      </x:c>
      <x:c r="D113" s="425" t="str">
        <x:v>Delaware Blue Hens at Vanderbilt Commodores</x:v>
      </x:c>
      <x:c r="E113" s="425" t="str">
        <x:v>2026-09-12T20:15Z</x:v>
      </x:c>
      <x:c r="F113" s="425" t="str">
        <x:v>PROSPECTIVE</x:v>
      </x:c>
      <x:c r="G113" s="425" t="str">
        <x:v>Vanderbilt Commodores</x:v>
      </x:c>
      <x:c r="H113" s="425" t="str">
        <x:v>Scheduled team; player lineup and specialist roles unconfirmed</x:v>
      </x:c>
      <x:c r="I113" s="425" t="str">
        <x:v>Official ESPN schedule lists Vanderbilt Commodores at 1-0. Current starters, depth-chart usage, injuries and specialist roles require later confirmation.</x:v>
      </x:c>
      <x:c r="J113" s="425" t="str"/>
      <x:c r="K113" s="425" t="str"/>
      <x:c r="L113" s="425" t="str">
        <x:v>https://www.espn.com/college-football/game/_/gameId/401856684/delaware-vanderbilt</x:v>
      </x:c>
    </x:row>
    <x:row r="114" ht="38" customHeight="1">
      <x:c r="A114" s="425" t="str">
        <x:v>2026-09-12</x:v>
      </x:c>
      <x:c r="B114" s="425" t="str">
        <x:v>Football</x:v>
      </x:c>
      <x:c r="C114" s="425" t="str">
        <x:v>CFB</x:v>
      </x:c>
      <x:c r="D114" s="425" t="str">
        <x:v>Delaware Blue Hens at Vanderbilt Commodores</x:v>
      </x:c>
      <x:c r="E114" s="425" t="str">
        <x:v>2026-09-12T20:15Z</x:v>
      </x:c>
      <x:c r="F114" s="425" t="str">
        <x:v>PROSPECTIVE</x:v>
      </x:c>
      <x:c r="G114" s="425" t="str">
        <x:v>Delaware Blue Hens</x:v>
      </x:c>
      <x:c r="H114" s="425" t="str">
        <x:v>Scheduled team; player lineup and specialist roles unconfirmed</x:v>
      </x:c>
      <x:c r="I114" s="425" t="str">
        <x:v>Official ESPN schedule lists Delaware Blue Hens at 1-0. Current starters, depth-chart usage, injuries and specialist roles require later confirmation.</x:v>
      </x:c>
      <x:c r="J114" s="425" t="str"/>
      <x:c r="K114" s="425" t="str"/>
      <x:c r="L114" s="425" t="str">
        <x:v>https://www.espn.com/college-football/game/_/gameId/401856684/delaware-vanderbilt</x:v>
      </x:c>
    </x:row>
    <x:row r="115" ht="38" customHeight="1">
      <x:c r="A115" s="425" t="str">
        <x:v>2026-09-12</x:v>
      </x:c>
      <x:c r="B115" s="425" t="str">
        <x:v>Football</x:v>
      </x:c>
      <x:c r="C115" s="425" t="str">
        <x:v>CFB</x:v>
      </x:c>
      <x:c r="D115" s="425" t="str">
        <x:v>Campbell Fighting Camels at Florida Gators</x:v>
      </x:c>
      <x:c r="E115" s="425" t="str">
        <x:v>2026-09-12T21:30Z</x:v>
      </x:c>
      <x:c r="F115" s="425" t="str">
        <x:v>PROSPECTIVE</x:v>
      </x:c>
      <x:c r="G115" s="425" t="str">
        <x:v>Florida Gators</x:v>
      </x:c>
      <x:c r="H115" s="425" t="str">
        <x:v>Scheduled team; player lineup and specialist roles unconfirmed</x:v>
      </x:c>
      <x:c r="I115" s="425" t="str">
        <x:v>Official ESPN schedule lists Florida Gators at 1-0. Current starters, depth-chart usage, injuries and specialist roles require later confirmation.</x:v>
      </x:c>
      <x:c r="J115" s="425" t="str"/>
      <x:c r="K115" s="425" t="str"/>
      <x:c r="L115" s="425" t="str">
        <x:v>https://www.espn.com/college-football/game/_/gameId/401856672/campbell-florida</x:v>
      </x:c>
    </x:row>
    <x:row r="116" ht="38" customHeight="1">
      <x:c r="A116" s="425" t="str">
        <x:v>2026-09-12</x:v>
      </x:c>
      <x:c r="B116" s="425" t="str">
        <x:v>Football</x:v>
      </x:c>
      <x:c r="C116" s="425" t="str">
        <x:v>CFB</x:v>
      </x:c>
      <x:c r="D116" s="425" t="str">
        <x:v>Campbell Fighting Camels at Florida Gators</x:v>
      </x:c>
      <x:c r="E116" s="425" t="str">
        <x:v>2026-09-12T21:30Z</x:v>
      </x:c>
      <x:c r="F116" s="425" t="str">
        <x:v>PROSPECTIVE</x:v>
      </x:c>
      <x:c r="G116" s="425" t="str">
        <x:v>Campbell Fighting Camels</x:v>
      </x:c>
      <x:c r="H116" s="425" t="str">
        <x:v>Scheduled team; player lineup and specialist roles unconfirmed</x:v>
      </x:c>
      <x:c r="I116" s="425" t="str">
        <x:v>Official ESPN schedule lists Campbell Fighting Camels at 2-0. Current starters, depth-chart usage, injuries and specialist roles require later confirmation.</x:v>
      </x:c>
      <x:c r="J116" s="425" t="str"/>
      <x:c r="K116" s="425" t="str"/>
      <x:c r="L116" s="425" t="str">
        <x:v>https://www.espn.com/college-football/game/_/gameId/401856672/campbell-florida</x:v>
      </x:c>
    </x:row>
    <x:row r="117" ht="38" customHeight="1">
      <x:c r="A117" s="425" t="str">
        <x:v>2026-09-12</x:v>
      </x:c>
      <x:c r="B117" s="425" t="str">
        <x:v>Football</x:v>
      </x:c>
      <x:c r="C117" s="425" t="str">
        <x:v>CFB</x:v>
      </x:c>
      <x:c r="D117" s="425" t="str">
        <x:v>Memphis Tigers at Boise State Broncos</x:v>
      </x:c>
      <x:c r="E117" s="425" t="str">
        <x:v>2026-09-12T22:00Z</x:v>
      </x:c>
      <x:c r="F117" s="425" t="str">
        <x:v>PROSPECTIVE</x:v>
      </x:c>
      <x:c r="G117" s="425" t="str">
        <x:v>Boise State Broncos</x:v>
      </x:c>
      <x:c r="H117" s="425" t="str">
        <x:v>Scheduled team; player lineup and specialist roles unconfirmed</x:v>
      </x:c>
      <x:c r="I117" s="425" t="str">
        <x:v>Official ESPN schedule lists Boise State Broncos at 0-1. Current starters, depth-chart usage, injuries and specialist roles require later confirmation.</x:v>
      </x:c>
      <x:c r="J117" s="425" t="str"/>
      <x:c r="K117" s="425" t="str"/>
      <x:c r="L117" s="425" t="str">
        <x:v>https://www.espn.com/college-football/game/_/gameId/401860881/memphis-boise-st</x:v>
      </x:c>
    </x:row>
    <x:row r="118" ht="38" customHeight="1">
      <x:c r="A118" s="425" t="str">
        <x:v>2026-09-12</x:v>
      </x:c>
      <x:c r="B118" s="425" t="str">
        <x:v>Football</x:v>
      </x:c>
      <x:c r="C118" s="425" t="str">
        <x:v>CFB</x:v>
      </x:c>
      <x:c r="D118" s="425" t="str">
        <x:v>Memphis Tigers at Boise State Broncos</x:v>
      </x:c>
      <x:c r="E118" s="425" t="str">
        <x:v>2026-09-12T22:00Z</x:v>
      </x:c>
      <x:c r="F118" s="425" t="str">
        <x:v>PROSPECTIVE</x:v>
      </x:c>
      <x:c r="G118" s="425" t="str">
        <x:v>Memphis Tigers</x:v>
      </x:c>
      <x:c r="H118" s="425" t="str">
        <x:v>Scheduled team; player lineup and specialist roles unconfirmed</x:v>
      </x:c>
      <x:c r="I118" s="425" t="str">
        <x:v>Official ESPN schedule lists Memphis Tigers at 2-0. Current starters, depth-chart usage, injuries and specialist roles require later confirmation.</x:v>
      </x:c>
      <x:c r="J118" s="425" t="str"/>
      <x:c r="K118" s="425" t="str"/>
      <x:c r="L118" s="425" t="str">
        <x:v>https://www.espn.com/college-football/game/_/gameId/401860881/memphis-boise-st</x:v>
      </x:c>
    </x:row>
    <x:row r="119" ht="38" customHeight="1">
      <x:c r="A119" s="425" t="str">
        <x:v>2026-09-12</x:v>
      </x:c>
      <x:c r="B119" s="425" t="str">
        <x:v>Football</x:v>
      </x:c>
      <x:c r="C119" s="425" t="str">
        <x:v>CFB</x:v>
      </x:c>
      <x:c r="D119" s="425" t="str">
        <x:v>Buffalo Bulls at Florida International Panthers</x:v>
      </x:c>
      <x:c r="E119" s="425" t="str">
        <x:v>2026-09-12T22:00Z</x:v>
      </x:c>
      <x:c r="F119" s="425" t="str">
        <x:v>PROSPECTIVE</x:v>
      </x:c>
      <x:c r="G119" s="425" t="str">
        <x:v>Florida International Panthers</x:v>
      </x:c>
      <x:c r="H119" s="425" t="str">
        <x:v>Scheduled team; player lineup and specialist roles unconfirmed</x:v>
      </x:c>
      <x:c r="I119" s="425" t="str">
        <x:v>Official ESPN schedule lists Florida International Panthers at 0-1. Current starters, depth-chart usage, injuries and specialist roles require later confirmation.</x:v>
      </x:c>
      <x:c r="J119" s="425" t="str"/>
      <x:c r="K119" s="425" t="str"/>
      <x:c r="L119" s="425" t="str">
        <x:v>https://www.espn.com/college-football/game/_/gameId/401866414/buffalo-fiu</x:v>
      </x:c>
    </x:row>
    <x:row r="120" ht="38" customHeight="1">
      <x:c r="A120" s="425" t="str">
        <x:v>2026-09-12</x:v>
      </x:c>
      <x:c r="B120" s="425" t="str">
        <x:v>Football</x:v>
      </x:c>
      <x:c r="C120" s="425" t="str">
        <x:v>CFB</x:v>
      </x:c>
      <x:c r="D120" s="425" t="str">
        <x:v>Buffalo Bulls at Florida International Panthers</x:v>
      </x:c>
      <x:c r="E120" s="425" t="str">
        <x:v>2026-09-12T22:00Z</x:v>
      </x:c>
      <x:c r="F120" s="425" t="str">
        <x:v>PROSPECTIVE</x:v>
      </x:c>
      <x:c r="G120" s="425" t="str">
        <x:v>Buffalo Bulls</x:v>
      </x:c>
      <x:c r="H120" s="425" t="str">
        <x:v>Scheduled team; player lineup and specialist roles unconfirmed</x:v>
      </x:c>
      <x:c r="I120" s="425" t="str">
        <x:v>Official ESPN schedule lists Buffalo Bulls at 1-0. Current starters, depth-chart usage, injuries and specialist roles require later confirmation.</x:v>
      </x:c>
      <x:c r="J120" s="425" t="str"/>
      <x:c r="K120" s="425" t="str"/>
      <x:c r="L120" s="425" t="str">
        <x:v>https://www.espn.com/college-football/game/_/gameId/401866414/buffalo-fiu</x:v>
      </x:c>
    </x:row>
    <x:row r="121" ht="38" customHeight="1">
      <x:c r="A121" s="425" t="str">
        <x:v>2026-09-12</x:v>
      </x:c>
      <x:c r="B121" s="425" t="str">
        <x:v>Football</x:v>
      </x:c>
      <x:c r="C121" s="425" t="str">
        <x:v>CFB</x:v>
      </x:c>
      <x:c r="D121" s="425" t="str">
        <x:v>Jacksonville State Gamecocks at Ohio Bobcats</x:v>
      </x:c>
      <x:c r="E121" s="425" t="str">
        <x:v>2026-09-12T22:00Z</x:v>
      </x:c>
      <x:c r="F121" s="425" t="str">
        <x:v>PROSPECTIVE</x:v>
      </x:c>
      <x:c r="G121" s="425" t="str">
        <x:v>Ohio Bobcats</x:v>
      </x:c>
      <x:c r="H121" s="425" t="str">
        <x:v>Scheduled team; player lineup and specialist roles unconfirmed</x:v>
      </x:c>
      <x:c r="I121" s="425" t="str">
        <x:v>Official ESPN schedule lists Ohio Bobcats at 0-1. Current starters, depth-chart usage, injuries and specialist roles require later confirmation.</x:v>
      </x:c>
      <x:c r="J121" s="425" t="str"/>
      <x:c r="K121" s="425" t="str"/>
      <x:c r="L121" s="425" t="str">
        <x:v>https://www.espn.com/college-football/game/_/gameId/401866418/jax-state-ohio</x:v>
      </x:c>
    </x:row>
    <x:row r="122" ht="38" customHeight="1">
      <x:c r="A122" s="425" t="str">
        <x:v>2026-09-12</x:v>
      </x:c>
      <x:c r="B122" s="425" t="str">
        <x:v>Football</x:v>
      </x:c>
      <x:c r="C122" s="425" t="str">
        <x:v>CFB</x:v>
      </x:c>
      <x:c r="D122" s="425" t="str">
        <x:v>Jacksonville State Gamecocks at Ohio Bobcats</x:v>
      </x:c>
      <x:c r="E122" s="425" t="str">
        <x:v>2026-09-12T22:00Z</x:v>
      </x:c>
      <x:c r="F122" s="425" t="str">
        <x:v>PROSPECTIVE</x:v>
      </x:c>
      <x:c r="G122" s="425" t="str">
        <x:v>Jacksonville State Gamecocks</x:v>
      </x:c>
      <x:c r="H122" s="425" t="str">
        <x:v>Scheduled team; player lineup and specialist roles unconfirmed</x:v>
      </x:c>
      <x:c r="I122" s="425" t="str">
        <x:v>Official ESPN schedule lists Jacksonville State Gamecocks at 1-1. Current starters, depth-chart usage, injuries and specialist roles require later confirmation.</x:v>
      </x:c>
      <x:c r="J122" s="425" t="str"/>
      <x:c r="K122" s="425" t="str"/>
      <x:c r="L122" s="425" t="str">
        <x:v>https://www.espn.com/college-football/game/_/gameId/401866418/jax-state-ohio</x:v>
      </x:c>
    </x:row>
    <x:row r="123" ht="38" customHeight="1">
      <x:c r="A123" s="425" t="str">
        <x:v>2026-09-12</x:v>
      </x:c>
      <x:c r="B123" s="425" t="str">
        <x:v>Football</x:v>
      </x:c>
      <x:c r="C123" s="425" t="str">
        <x:v>CFB</x:v>
      </x:c>
      <x:c r="D123" s="425" t="str">
        <x:v>Monmouth Hawks at Western Michigan Broncos</x:v>
      </x:c>
      <x:c r="E123" s="425" t="str">
        <x:v>2026-09-12T22:30Z</x:v>
      </x:c>
      <x:c r="F123" s="425" t="str">
        <x:v>PROSPECTIVE</x:v>
      </x:c>
      <x:c r="G123" s="425" t="str">
        <x:v>Western Michigan Broncos</x:v>
      </x:c>
      <x:c r="H123" s="425" t="str">
        <x:v>Scheduled team; player lineup and specialist roles unconfirmed</x:v>
      </x:c>
      <x:c r="I123" s="425" t="str">
        <x:v>Official ESPN schedule lists Western Michigan Broncos at 0-1. Current starters, depth-chart usage, injuries and specialist roles require later confirmation.</x:v>
      </x:c>
      <x:c r="J123" s="425" t="str"/>
      <x:c r="K123" s="425" t="str"/>
      <x:c r="L123" s="425" t="str">
        <x:v>https://www.espn.com/college-football/game/_/gameId/401866421/monmouth-w-michigan</x:v>
      </x:c>
    </x:row>
    <x:row r="124" ht="38" customHeight="1">
      <x:c r="A124" s="425" t="str">
        <x:v>2026-09-12</x:v>
      </x:c>
      <x:c r="B124" s="425" t="str">
        <x:v>Football</x:v>
      </x:c>
      <x:c r="C124" s="425" t="str">
        <x:v>CFB</x:v>
      </x:c>
      <x:c r="D124" s="425" t="str">
        <x:v>Monmouth Hawks at Western Michigan Broncos</x:v>
      </x:c>
      <x:c r="E124" s="425" t="str">
        <x:v>2026-09-12T22:30Z</x:v>
      </x:c>
      <x:c r="F124" s="425" t="str">
        <x:v>PROSPECTIVE</x:v>
      </x:c>
      <x:c r="G124" s="425" t="str">
        <x:v>Monmouth Hawks</x:v>
      </x:c>
      <x:c r="H124" s="425" t="str">
        <x:v>Scheduled team; player lineup and specialist roles unconfirmed</x:v>
      </x:c>
      <x:c r="I124" s="425" t="str">
        <x:v>Official ESPN schedule lists Monmouth Hawks at 1-1. Current starters, depth-chart usage, injuries and specialist roles require later confirmation.</x:v>
      </x:c>
      <x:c r="J124" s="425" t="str"/>
      <x:c r="K124" s="425" t="str"/>
      <x:c r="L124" s="425" t="str">
        <x:v>https://www.espn.com/college-football/game/_/gameId/401866421/monmouth-w-michigan</x:v>
      </x:c>
    </x:row>
    <x:row r="125" ht="38" customHeight="1">
      <x:c r="A125" s="425" t="str">
        <x:v>2026-09-12</x:v>
      </x:c>
      <x:c r="B125" s="425" t="str">
        <x:v>Football</x:v>
      </x:c>
      <x:c r="C125" s="425" t="str">
        <x:v>CFB</x:v>
      </x:c>
      <x:c r="D125" s="425" t="str">
        <x:v>Tennessee Volunteers at Georgia Tech Yellow Jackets</x:v>
      </x:c>
      <x:c r="E125" s="425" t="str">
        <x:v>2026-09-12T23:00Z</x:v>
      </x:c>
      <x:c r="F125" s="425" t="str">
        <x:v>PROSPECTIVE</x:v>
      </x:c>
      <x:c r="G125" s="425" t="str">
        <x:v>Georgia Tech Yellow Jackets</x:v>
      </x:c>
      <x:c r="H125" s="425" t="str">
        <x:v>Scheduled team; player lineup and specialist roles unconfirmed</x:v>
      </x:c>
      <x:c r="I125" s="425" t="str">
        <x:v>Official ESPN schedule lists Georgia Tech Yellow Jackets at 0-1. Current starters, depth-chart usage, injuries and specialist roles require later confirmation.</x:v>
      </x:c>
      <x:c r="J125" s="425" t="str"/>
      <x:c r="K125" s="425" t="str"/>
      <x:c r="L125" s="425" t="str">
        <x:v>https://www.espn.com/college-football/game/_/gameId/401856681/tennessee-georgia-tech</x:v>
      </x:c>
    </x:row>
    <x:row r="126" ht="38" customHeight="1">
      <x:c r="A126" s="425" t="str">
        <x:v>2026-09-12</x:v>
      </x:c>
      <x:c r="B126" s="425" t="str">
        <x:v>Football</x:v>
      </x:c>
      <x:c r="C126" s="425" t="str">
        <x:v>CFB</x:v>
      </x:c>
      <x:c r="D126" s="425" t="str">
        <x:v>Tennessee Volunteers at Georgia Tech Yellow Jackets</x:v>
      </x:c>
      <x:c r="E126" s="425" t="str">
        <x:v>2026-09-12T23:00Z</x:v>
      </x:c>
      <x:c r="F126" s="425" t="str">
        <x:v>PROSPECTIVE</x:v>
      </x:c>
      <x:c r="G126" s="425" t="str">
        <x:v>Tennessee Volunteers</x:v>
      </x:c>
      <x:c r="H126" s="425" t="str">
        <x:v>Scheduled team; player lineup and specialist roles unconfirmed</x:v>
      </x:c>
      <x:c r="I126" s="425" t="str">
        <x:v>Official ESPN schedule lists Tennessee Volunteers at 1-0. Current starters, depth-chart usage, injuries and specialist roles require later confirmation.</x:v>
      </x:c>
      <x:c r="J126" s="425" t="str"/>
      <x:c r="K126" s="425" t="str"/>
      <x:c r="L126" s="425" t="str">
        <x:v>https://www.espn.com/college-football/game/_/gameId/401856681/tennessee-georgia-tech</x:v>
      </x:c>
    </x:row>
    <x:row r="127" ht="38" customHeight="1">
      <x:c r="A127" s="425" t="str">
        <x:v>2026-09-12</x:v>
      </x:c>
      <x:c r="B127" s="425" t="str">
        <x:v>Football</x:v>
      </x:c>
      <x:c r="C127" s="425" t="str">
        <x:v>CFB</x:v>
      </x:c>
      <x:c r="D127" s="425" t="str">
        <x:v>Southern Jaguars at Houston Cougars</x:v>
      </x:c>
      <x:c r="E127" s="425" t="str">
        <x:v>2026-09-12T23:00Z</x:v>
      </x:c>
      <x:c r="F127" s="425" t="str">
        <x:v>PROSPECTIVE</x:v>
      </x:c>
      <x:c r="G127" s="425" t="str">
        <x:v>Houston Cougars</x:v>
      </x:c>
      <x:c r="H127" s="425" t="str">
        <x:v>Scheduled team; player lineup and specialist roles unconfirmed</x:v>
      </x:c>
      <x:c r="I127" s="425" t="str">
        <x:v>Official ESPN schedule lists Houston Cougars at 1-0. Current starters, depth-chart usage, injuries and specialist roles require later confirmation.</x:v>
      </x:c>
      <x:c r="J127" s="425" t="str"/>
      <x:c r="K127" s="425" t="str"/>
      <x:c r="L127" s="425" t="str">
        <x:v>https://www.espn.com/college-football/game/_/gameId/401856787/southern-houston</x:v>
      </x:c>
    </x:row>
    <x:row r="128" ht="38" customHeight="1">
      <x:c r="A128" s="425" t="str">
        <x:v>2026-09-12</x:v>
      </x:c>
      <x:c r="B128" s="425" t="str">
        <x:v>Football</x:v>
      </x:c>
      <x:c r="C128" s="425" t="str">
        <x:v>CFB</x:v>
      </x:c>
      <x:c r="D128" s="425" t="str">
        <x:v>Southern Jaguars at Houston Cougars</x:v>
      </x:c>
      <x:c r="E128" s="425" t="str">
        <x:v>2026-09-12T23:00Z</x:v>
      </x:c>
      <x:c r="F128" s="425" t="str">
        <x:v>PROSPECTIVE</x:v>
      </x:c>
      <x:c r="G128" s="425" t="str">
        <x:v>Southern Jaguars</x:v>
      </x:c>
      <x:c r="H128" s="425" t="str">
        <x:v>Scheduled team; player lineup and specialist roles unconfirmed</x:v>
      </x:c>
      <x:c r="I128" s="425" t="str">
        <x:v>Official ESPN schedule lists Southern Jaguars at 1-1. Current starters, depth-chart usage, injuries and specialist roles require later confirmation.</x:v>
      </x:c>
      <x:c r="J128" s="425" t="str"/>
      <x:c r="K128" s="425" t="str"/>
      <x:c r="L128" s="425" t="str">
        <x:v>https://www.espn.com/college-football/game/_/gameId/401856787/southern-houston</x:v>
      </x:c>
    </x:row>
    <x:row r="129" ht="38" customHeight="1">
      <x:c r="A129" s="425" t="str">
        <x:v>2026-09-12</x:v>
      </x:c>
      <x:c r="B129" s="425" t="str">
        <x:v>Football</x:v>
      </x:c>
      <x:c r="C129" s="425" t="str">
        <x:v>CFB</x:v>
      </x:c>
      <x:c r="D129" s="425" t="str">
        <x:v>Towson Tigers at South Carolina Gamecocks</x:v>
      </x:c>
      <x:c r="E129" s="425" t="str">
        <x:v>2026-09-12T23:00Z</x:v>
      </x:c>
      <x:c r="F129" s="425" t="str">
        <x:v>PROSPECTIVE</x:v>
      </x:c>
      <x:c r="G129" s="425" t="str">
        <x:v>South Carolina Gamecocks</x:v>
      </x:c>
      <x:c r="H129" s="425" t="str">
        <x:v>Scheduled team; player lineup and specialist roles unconfirmed</x:v>
      </x:c>
      <x:c r="I129" s="425" t="str">
        <x:v>Official ESPN schedule lists South Carolina Gamecocks at 1-0. Current starters, depth-chart usage, injuries and specialist roles require later confirmation.</x:v>
      </x:c>
      <x:c r="J129" s="425" t="str"/>
      <x:c r="K129" s="425" t="str"/>
      <x:c r="L129" s="425" t="str">
        <x:v>https://www.espn.com/college-football/game/_/gameId/401856680/towson-south-carolina</x:v>
      </x:c>
    </x:row>
    <x:row r="130" ht="38" customHeight="1">
      <x:c r="A130" s="425" t="str">
        <x:v>2026-09-12</x:v>
      </x:c>
      <x:c r="B130" s="425" t="str">
        <x:v>Football</x:v>
      </x:c>
      <x:c r="C130" s="425" t="str">
        <x:v>CFB</x:v>
      </x:c>
      <x:c r="D130" s="425" t="str">
        <x:v>Towson Tigers at South Carolina Gamecocks</x:v>
      </x:c>
      <x:c r="E130" s="425" t="str">
        <x:v>2026-09-12T23:00Z</x:v>
      </x:c>
      <x:c r="F130" s="425" t="str">
        <x:v>PROSPECTIVE</x:v>
      </x:c>
      <x:c r="G130" s="425" t="str">
        <x:v>Towson Tigers</x:v>
      </x:c>
      <x:c r="H130" s="425" t="str">
        <x:v>Scheduled team; player lineup and specialist roles unconfirmed</x:v>
      </x:c>
      <x:c r="I130" s="425" t="str">
        <x:v>Official ESPN schedule lists Towson Tigers at 0-2. Current starters, depth-chart usage, injuries and specialist roles require later confirmation.</x:v>
      </x:c>
      <x:c r="J130" s="425" t="str"/>
      <x:c r="K130" s="425" t="str"/>
      <x:c r="L130" s="425" t="str">
        <x:v>https://www.espn.com/college-football/game/_/gameId/401856680/towson-south-carolina</x:v>
      </x:c>
    </x:row>
    <x:row r="131" ht="38" customHeight="1">
      <x:c r="A131" s="425" t="str">
        <x:v>2026-09-12</x:v>
      </x:c>
      <x:c r="B131" s="425" t="str">
        <x:v>Football</x:v>
      </x:c>
      <x:c r="C131" s="425" t="str">
        <x:v>CFB</x:v>
      </x:c>
      <x:c r="D131" s="425" t="str">
        <x:v>Western Carolina Catamounts at Cincinnati Bearcats</x:v>
      </x:c>
      <x:c r="E131" s="425" t="str">
        <x:v>2026-09-12T23:00Z</x:v>
      </x:c>
      <x:c r="F131" s="425" t="str">
        <x:v>PROSPECTIVE</x:v>
      </x:c>
      <x:c r="G131" s="425" t="str">
        <x:v>Cincinnati Bearcats</x:v>
      </x:c>
      <x:c r="H131" s="425" t="str">
        <x:v>Scheduled team; player lineup and specialist roles unconfirmed</x:v>
      </x:c>
      <x:c r="I131" s="425" t="str">
        <x:v>Official ESPN schedule lists Cincinnati Bearcats at 1-0. Current starters, depth-chart usage, injuries and specialist roles require later confirmation.</x:v>
      </x:c>
      <x:c r="J131" s="425" t="str"/>
      <x:c r="K131" s="425" t="str"/>
      <x:c r="L131" s="425" t="str">
        <x:v>https://www.espn.com/college-football/game/_/gameId/401856786/w-carolina-cincinnati</x:v>
      </x:c>
    </x:row>
    <x:row r="132" ht="38" customHeight="1">
      <x:c r="A132" s="425" t="str">
        <x:v>2026-09-12</x:v>
      </x:c>
      <x:c r="B132" s="425" t="str">
        <x:v>Football</x:v>
      </x:c>
      <x:c r="C132" s="425" t="str">
        <x:v>CFB</x:v>
      </x:c>
      <x:c r="D132" s="425" t="str">
        <x:v>Western Carolina Catamounts at Cincinnati Bearcats</x:v>
      </x:c>
      <x:c r="E132" s="425" t="str">
        <x:v>2026-09-12T23:00Z</x:v>
      </x:c>
      <x:c r="F132" s="425" t="str">
        <x:v>PROSPECTIVE</x:v>
      </x:c>
      <x:c r="G132" s="425" t="str">
        <x:v>Western Carolina Catamounts</x:v>
      </x:c>
      <x:c r="H132" s="425" t="str">
        <x:v>Scheduled team; player lineup and specialist roles unconfirmed</x:v>
      </x:c>
      <x:c r="I132" s="425" t="str">
        <x:v>Official ESPN schedule lists Western Carolina Catamounts at 1-1. Current starters, depth-chart usage, injuries and specialist roles require later confirmation.</x:v>
      </x:c>
      <x:c r="J132" s="425" t="str"/>
      <x:c r="K132" s="425" t="str"/>
      <x:c r="L132" s="425" t="str">
        <x:v>https://www.espn.com/college-football/game/_/gameId/401856786/w-carolina-cincinnati</x:v>
      </x:c>
    </x:row>
    <x:row r="133" ht="38" customHeight="1">
      <x:c r="A133" s="425" t="str">
        <x:v>2026-09-12</x:v>
      </x:c>
      <x:c r="B133" s="425" t="str">
        <x:v>Football</x:v>
      </x:c>
      <x:c r="C133" s="425" t="str">
        <x:v>CFB</x:v>
      </x:c>
      <x:c r="D133" s="425" t="str">
        <x:v>Bowling Green Falcons at Nebraska Cornhuskers</x:v>
      </x:c>
      <x:c r="E133" s="425" t="str">
        <x:v>2026-09-12T23:00Z</x:v>
      </x:c>
      <x:c r="F133" s="425" t="str">
        <x:v>PROSPECTIVE</x:v>
      </x:c>
      <x:c r="G133" s="425" t="str">
        <x:v>Nebraska Cornhuskers</x:v>
      </x:c>
      <x:c r="H133" s="425" t="str">
        <x:v>Scheduled team; player lineup and specialist roles unconfirmed</x:v>
      </x:c>
      <x:c r="I133" s="425" t="str">
        <x:v>Official ESPN schedule lists Nebraska Cornhuskers at 1-0. Current starters, depth-chart usage, injuries and specialist roles require later confirmation.</x:v>
      </x:c>
      <x:c r="J133" s="425" t="str"/>
      <x:c r="K133" s="425" t="str"/>
      <x:c r="L133" s="425" t="str">
        <x:v>https://www.espn.com/college-football/game/_/gameId/401858441/bowling-green-nebraska</x:v>
      </x:c>
    </x:row>
    <x:row r="134" ht="38" customHeight="1">
      <x:c r="A134" s="425" t="str">
        <x:v>2026-09-12</x:v>
      </x:c>
      <x:c r="B134" s="425" t="str">
        <x:v>Football</x:v>
      </x:c>
      <x:c r="C134" s="425" t="str">
        <x:v>CFB</x:v>
      </x:c>
      <x:c r="D134" s="425" t="str">
        <x:v>Bowling Green Falcons at Nebraska Cornhuskers</x:v>
      </x:c>
      <x:c r="E134" s="425" t="str">
        <x:v>2026-09-12T23:00Z</x:v>
      </x:c>
      <x:c r="F134" s="425" t="str">
        <x:v>PROSPECTIVE</x:v>
      </x:c>
      <x:c r="G134" s="425" t="str">
        <x:v>Bowling Green Falcons</x:v>
      </x:c>
      <x:c r="H134" s="425" t="str">
        <x:v>Scheduled team; player lineup and specialist roles unconfirmed</x:v>
      </x:c>
      <x:c r="I134" s="425" t="str">
        <x:v>Official ESPN schedule lists Bowling Green Falcons at 0-1. Current starters, depth-chart usage, injuries and specialist roles require later confirmation.</x:v>
      </x:c>
      <x:c r="J134" s="425" t="str"/>
      <x:c r="K134" s="425" t="str"/>
      <x:c r="L134" s="425" t="str">
        <x:v>https://www.espn.com/college-football/game/_/gameId/401858441/bowling-green-nebraska</x:v>
      </x:c>
    </x:row>
    <x:row r="135" ht="38" customHeight="1">
      <x:c r="A135" s="425" t="str">
        <x:v>2026-09-12</x:v>
      </x:c>
      <x:c r="B135" s="425" t="str">
        <x:v>Football</x:v>
      </x:c>
      <x:c r="C135" s="425" t="str">
        <x:v>CFB</x:v>
      </x:c>
      <x:c r="D135" s="425" t="str">
        <x:v>Southern Utah Thunderbirds at Colorado State Rams</x:v>
      </x:c>
      <x:c r="E135" s="425" t="str">
        <x:v>2026-09-12T23:00Z</x:v>
      </x:c>
      <x:c r="F135" s="425" t="str">
        <x:v>PROSPECTIVE</x:v>
      </x:c>
      <x:c r="G135" s="425" t="str">
        <x:v>Colorado State Rams</x:v>
      </x:c>
      <x:c r="H135" s="425" t="str">
        <x:v>Scheduled team; player lineup and specialist roles unconfirmed</x:v>
      </x:c>
      <x:c r="I135" s="425" t="str">
        <x:v>Official ESPN schedule lists Colorado State Rams at 1-0. Current starters, depth-chart usage, injuries and specialist roles require later confirmation.</x:v>
      </x:c>
      <x:c r="J135" s="425" t="str"/>
      <x:c r="K135" s="425" t="str"/>
      <x:c r="L135" s="425" t="str">
        <x:v>https://www.espn.com/college-football/game/_/gameId/401860882/southern-utah-colorado-st</x:v>
      </x:c>
    </x:row>
    <x:row r="136" ht="38" customHeight="1">
      <x:c r="A136" s="425" t="str">
        <x:v>2026-09-12</x:v>
      </x:c>
      <x:c r="B136" s="425" t="str">
        <x:v>Football</x:v>
      </x:c>
      <x:c r="C136" s="425" t="str">
        <x:v>CFB</x:v>
      </x:c>
      <x:c r="D136" s="425" t="str">
        <x:v>Southern Utah Thunderbirds at Colorado State Rams</x:v>
      </x:c>
      <x:c r="E136" s="425" t="str">
        <x:v>2026-09-12T23:00Z</x:v>
      </x:c>
      <x:c r="F136" s="425" t="str">
        <x:v>PROSPECTIVE</x:v>
      </x:c>
      <x:c r="G136" s="425" t="str">
        <x:v>Southern Utah Thunderbirds</x:v>
      </x:c>
      <x:c r="H136" s="425" t="str">
        <x:v>Scheduled team; player lineup and specialist roles unconfirmed</x:v>
      </x:c>
      <x:c r="I136" s="425" t="str">
        <x:v>Official ESPN schedule lists Southern Utah Thunderbirds at 1-1. Current starters, depth-chart usage, injuries and specialist roles require later confirmation.</x:v>
      </x:c>
      <x:c r="J136" s="425" t="str"/>
      <x:c r="K136" s="425" t="str"/>
      <x:c r="L136" s="425" t="str">
        <x:v>https://www.espn.com/college-football/game/_/gameId/401860882/southern-utah-colorado-st</x:v>
      </x:c>
    </x:row>
    <x:row r="137" ht="38" customHeight="1">
      <x:c r="A137" s="425" t="str">
        <x:v>2026-09-12</x:v>
      </x:c>
      <x:c r="B137" s="425" t="str">
        <x:v>Football</x:v>
      </x:c>
      <x:c r="C137" s="425" t="str">
        <x:v>CFB</x:v>
      </x:c>
      <x:c r="D137" s="425" t="str">
        <x:v>Tulsa Golden Hurricane at Sam Houston Bearkats</x:v>
      </x:c>
      <x:c r="E137" s="425" t="str">
        <x:v>2026-09-12T23:00Z</x:v>
      </x:c>
      <x:c r="F137" s="425" t="str">
        <x:v>PROSPECTIVE</x:v>
      </x:c>
      <x:c r="G137" s="425" t="str">
        <x:v>Sam Houston Bearkats</x:v>
      </x:c>
      <x:c r="H137" s="425" t="str">
        <x:v>Scheduled team; player lineup and specialist roles unconfirmed</x:v>
      </x:c>
      <x:c r="I137" s="425" t="str">
        <x:v>Official ESPN schedule lists Sam Houston Bearkats at 0-1. Current starters, depth-chart usage, injuries and specialist roles require later confirmation.</x:v>
      </x:c>
      <x:c r="J137" s="425" t="str"/>
      <x:c r="K137" s="425" t="str"/>
      <x:c r="L137" s="425" t="str">
        <x:v>https://www.espn.com/college-football/game/_/gameId/401862707/tulsa-sam-houston</x:v>
      </x:c>
    </x:row>
    <x:row r="138" ht="38" customHeight="1">
      <x:c r="A138" s="425" t="str">
        <x:v>2026-09-12</x:v>
      </x:c>
      <x:c r="B138" s="425" t="str">
        <x:v>Football</x:v>
      </x:c>
      <x:c r="C138" s="425" t="str">
        <x:v>CFB</x:v>
      </x:c>
      <x:c r="D138" s="425" t="str">
        <x:v>Tulsa Golden Hurricane at Sam Houston Bearkats</x:v>
      </x:c>
      <x:c r="E138" s="425" t="str">
        <x:v>2026-09-12T23:00Z</x:v>
      </x:c>
      <x:c r="F138" s="425" t="str">
        <x:v>PROSPECTIVE</x:v>
      </x:c>
      <x:c r="G138" s="425" t="str">
        <x:v>Tulsa Golden Hurricane</x:v>
      </x:c>
      <x:c r="H138" s="425" t="str">
        <x:v>Scheduled team; player lineup and specialist roles unconfirmed</x:v>
      </x:c>
      <x:c r="I138" s="425" t="str">
        <x:v>Official ESPN schedule lists Tulsa Golden Hurricane at 1-0. Current starters, depth-chart usage, injuries and specialist roles require later confirmation.</x:v>
      </x:c>
      <x:c r="J138" s="425" t="str"/>
      <x:c r="K138" s="425" t="str"/>
      <x:c r="L138" s="425" t="str">
        <x:v>https://www.espn.com/college-football/game/_/gameId/401862707/tulsa-sam-houston</x:v>
      </x:c>
    </x:row>
    <x:row r="139" ht="38" customHeight="1">
      <x:c r="A139" s="425" t="str">
        <x:v>2026-09-12</x:v>
      </x:c>
      <x:c r="B139" s="425" t="str">
        <x:v>Football</x:v>
      </x:c>
      <x:c r="C139" s="425" t="str">
        <x:v>CFB</x:v>
      </x:c>
      <x:c r="D139" s="425" t="str">
        <x:v>Illinois State Redbirds at Northern Illinois Huskies</x:v>
      </x:c>
      <x:c r="E139" s="425" t="str">
        <x:v>2026-09-12T23:00Z</x:v>
      </x:c>
      <x:c r="F139" s="425" t="str">
        <x:v>PROSPECTIVE</x:v>
      </x:c>
      <x:c r="G139" s="425" t="str">
        <x:v>Northern Illinois Huskies</x:v>
      </x:c>
      <x:c r="H139" s="425" t="str">
        <x:v>Scheduled team; player lineup and specialist roles unconfirmed</x:v>
      </x:c>
      <x:c r="I139" s="425" t="str">
        <x:v>Official ESPN schedule lists Northern Illinois Huskies at 0-1. Current starters, depth-chart usage, injuries and specialist roles require later confirmation.</x:v>
      </x:c>
      <x:c r="J139" s="425" t="str"/>
      <x:c r="K139" s="425" t="str"/>
      <x:c r="L139" s="425" t="str">
        <x:v>https://www.espn.com/college-football/game/_/gameId/401864503/illinois-st-n-illinois</x:v>
      </x:c>
    </x:row>
    <x:row r="140" ht="38" customHeight="1">
      <x:c r="A140" s="425" t="str">
        <x:v>2026-09-12</x:v>
      </x:c>
      <x:c r="B140" s="425" t="str">
        <x:v>Football</x:v>
      </x:c>
      <x:c r="C140" s="425" t="str">
        <x:v>CFB</x:v>
      </x:c>
      <x:c r="D140" s="425" t="str">
        <x:v>Illinois State Redbirds at Northern Illinois Huskies</x:v>
      </x:c>
      <x:c r="E140" s="425" t="str">
        <x:v>2026-09-12T23:00Z</x:v>
      </x:c>
      <x:c r="F140" s="425" t="str">
        <x:v>PROSPECTIVE</x:v>
      </x:c>
      <x:c r="G140" s="425" t="str">
        <x:v>Illinois State Redbirds</x:v>
      </x:c>
      <x:c r="H140" s="425" t="str">
        <x:v>Scheduled team; player lineup and specialist roles unconfirmed</x:v>
      </x:c>
      <x:c r="I140" s="425" t="str">
        <x:v>Official ESPN schedule lists Illinois State Redbirds at 2-0. Current starters, depth-chart usage, injuries and specialist roles require later confirmation.</x:v>
      </x:c>
      <x:c r="J140" s="425" t="str"/>
      <x:c r="K140" s="425" t="str"/>
      <x:c r="L140" s="425" t="str">
        <x:v>https://www.espn.com/college-football/game/_/gameId/401864503/illinois-st-n-illinois</x:v>
      </x:c>
    </x:row>
    <x:row r="141" ht="38" customHeight="1">
      <x:c r="A141" s="425" t="str">
        <x:v>2026-09-12</x:v>
      </x:c>
      <x:c r="B141" s="425" t="str">
        <x:v>Football</x:v>
      </x:c>
      <x:c r="C141" s="425" t="str">
        <x:v>CFB</x:v>
      </x:c>
      <x:c r="D141" s="425" t="str">
        <x:v>South Alabama Jaguars at Tulane Green Wave</x:v>
      </x:c>
      <x:c r="E141" s="425" t="str">
        <x:v>2026-09-12T23:00Z</x:v>
      </x:c>
      <x:c r="F141" s="425" t="str">
        <x:v>PROSPECTIVE</x:v>
      </x:c>
      <x:c r="G141" s="425" t="str">
        <x:v>Tulane Green Wave</x:v>
      </x:c>
      <x:c r="H141" s="425" t="str">
        <x:v>Scheduled team; player lineup and specialist roles unconfirmed</x:v>
      </x:c>
      <x:c r="I141" s="425" t="str">
        <x:v>Official ESPN schedule lists Tulane Green Wave at 0-1. Current starters, depth-chart usage, injuries and specialist roles require later confirmation.</x:v>
      </x:c>
      <x:c r="J141" s="425" t="str"/>
      <x:c r="K141" s="425" t="str"/>
      <x:c r="L141" s="425" t="str">
        <x:v>https://www.espn.com/college-football/game/_/gameId/401864575/south-alabama-tulane</x:v>
      </x:c>
    </x:row>
    <x:row r="142" ht="38" customHeight="1">
      <x:c r="A142" s="425" t="str">
        <x:v>2026-09-12</x:v>
      </x:c>
      <x:c r="B142" s="425" t="str">
        <x:v>Football</x:v>
      </x:c>
      <x:c r="C142" s="425" t="str">
        <x:v>CFB</x:v>
      </x:c>
      <x:c r="D142" s="425" t="str">
        <x:v>South Alabama Jaguars at Tulane Green Wave</x:v>
      </x:c>
      <x:c r="E142" s="425" t="str">
        <x:v>2026-09-12T23:00Z</x:v>
      </x:c>
      <x:c r="F142" s="425" t="str">
        <x:v>PROSPECTIVE</x:v>
      </x:c>
      <x:c r="G142" s="425" t="str">
        <x:v>South Alabama Jaguars</x:v>
      </x:c>
      <x:c r="H142" s="425" t="str">
        <x:v>Scheduled team; player lineup and specialist roles unconfirmed</x:v>
      </x:c>
      <x:c r="I142" s="425" t="str">
        <x:v>Official ESPN schedule lists South Alabama Jaguars at 1-0. Current starters, depth-chart usage, injuries and specialist roles require later confirmation.</x:v>
      </x:c>
      <x:c r="J142" s="425" t="str"/>
      <x:c r="K142" s="425" t="str"/>
      <x:c r="L142" s="425" t="str">
        <x:v>https://www.espn.com/college-football/game/_/gameId/401864575/south-alabama-tulane</x:v>
      </x:c>
    </x:row>
    <x:row r="143" ht="38" customHeight="1">
      <x:c r="A143" s="425" t="str">
        <x:v>2026-09-12</x:v>
      </x:c>
      <x:c r="B143" s="425" t="str">
        <x:v>Football</x:v>
      </x:c>
      <x:c r="C143" s="425" t="str">
        <x:v>CFB</x:v>
      </x:c>
      <x:c r="D143" s="425" t="str">
        <x:v>West Georgia Wolves at Arkansas State Red Wolves</x:v>
      </x:c>
      <x:c r="E143" s="425" t="str">
        <x:v>2026-09-12T23:00Z</x:v>
      </x:c>
      <x:c r="F143" s="425" t="str">
        <x:v>PROSPECTIVE</x:v>
      </x:c>
      <x:c r="G143" s="425" t="str">
        <x:v>Arkansas State Red Wolves</x:v>
      </x:c>
      <x:c r="H143" s="425" t="str">
        <x:v>Scheduled team; player lineup and specialist roles unconfirmed</x:v>
      </x:c>
      <x:c r="I143" s="425" t="str">
        <x:v>Official ESPN schedule lists Arkansas State Red Wolves at 0-1. Current starters, depth-chart usage, injuries and specialist roles require later confirmation.</x:v>
      </x:c>
      <x:c r="J143" s="425" t="str"/>
      <x:c r="K143" s="425" t="str"/>
      <x:c r="L143" s="425" t="str">
        <x:v>https://www.espn.com/college-football/game/_/gameId/401868241/west-georgia-arkansas-st</x:v>
      </x:c>
    </x:row>
    <x:row r="144" ht="38" customHeight="1">
      <x:c r="A144" s="425" t="str">
        <x:v>2026-09-12</x:v>
      </x:c>
      <x:c r="B144" s="425" t="str">
        <x:v>Football</x:v>
      </x:c>
      <x:c r="C144" s="425" t="str">
        <x:v>CFB</x:v>
      </x:c>
      <x:c r="D144" s="425" t="str">
        <x:v>West Georgia Wolves at Arkansas State Red Wolves</x:v>
      </x:c>
      <x:c r="E144" s="425" t="str">
        <x:v>2026-09-12T23:00Z</x:v>
      </x:c>
      <x:c r="F144" s="425" t="str">
        <x:v>PROSPECTIVE</x:v>
      </x:c>
      <x:c r="G144" s="425" t="str">
        <x:v>West Georgia Wolves</x:v>
      </x:c>
      <x:c r="H144" s="425" t="str">
        <x:v>Scheduled team; player lineup and specialist roles unconfirmed</x:v>
      </x:c>
      <x:c r="I144" s="425" t="str">
        <x:v>Official ESPN schedule lists West Georgia Wolves at 0-2. Current starters, depth-chart usage, injuries and specialist roles require later confirmation.</x:v>
      </x:c>
      <x:c r="J144" s="425" t="str"/>
      <x:c r="K144" s="425" t="str"/>
      <x:c r="L144" s="425" t="str">
        <x:v>https://www.espn.com/college-football/game/_/gameId/401868241/west-georgia-arkansas-st</x:v>
      </x:c>
    </x:row>
    <x:row r="145" ht="38" customHeight="1">
      <x:c r="A145" s="425" t="str">
        <x:v>2026-09-12</x:v>
      </x:c>
      <x:c r="B145" s="425" t="str">
        <x:v>Football</x:v>
      </x:c>
      <x:c r="C145" s="425" t="str">
        <x:v>CFB</x:v>
      </x:c>
      <x:c r="D145" s="425" t="str">
        <x:v>Georgia State Panthers at Kennesaw State Owls</x:v>
      </x:c>
      <x:c r="E145" s="425" t="str">
        <x:v>2026-09-12T23:00Z</x:v>
      </x:c>
      <x:c r="F145" s="425" t="str">
        <x:v>PROSPECTIVE</x:v>
      </x:c>
      <x:c r="G145" s="425" t="str">
        <x:v>Kennesaw State Owls</x:v>
      </x:c>
      <x:c r="H145" s="425" t="str">
        <x:v>Scheduled team; player lineup and specialist roles unconfirmed</x:v>
      </x:c>
      <x:c r="I145" s="425" t="str">
        <x:v>Official ESPN schedule lists Kennesaw State Owls at 1-0. Current starters, depth-chart usage, injuries and specialist roles require later confirmation.</x:v>
      </x:c>
      <x:c r="J145" s="425" t="str"/>
      <x:c r="K145" s="425" t="str"/>
      <x:c r="L145" s="425" t="str">
        <x:v>https://www.espn.com/college-football/game/_/gameId/401869955/georgia-st-kennesaw-st</x:v>
      </x:c>
    </x:row>
    <x:row r="146" ht="38" customHeight="1">
      <x:c r="A146" s="425" t="str">
        <x:v>2026-09-12</x:v>
      </x:c>
      <x:c r="B146" s="425" t="str">
        <x:v>Football</x:v>
      </x:c>
      <x:c r="C146" s="425" t="str">
        <x:v>CFB</x:v>
      </x:c>
      <x:c r="D146" s="425" t="str">
        <x:v>Georgia State Panthers at Kennesaw State Owls</x:v>
      </x:c>
      <x:c r="E146" s="425" t="str">
        <x:v>2026-09-12T23:00Z</x:v>
      </x:c>
      <x:c r="F146" s="425" t="str">
        <x:v>PROSPECTIVE</x:v>
      </x:c>
      <x:c r="G146" s="425" t="str">
        <x:v>Georgia State Panthers</x:v>
      </x:c>
      <x:c r="H146" s="425" t="str">
        <x:v>Scheduled team; player lineup and specialist roles unconfirmed</x:v>
      </x:c>
      <x:c r="I146" s="425" t="str">
        <x:v>Official ESPN schedule lists Georgia State Panthers at 1-0. Current starters, depth-chart usage, injuries and specialist roles require later confirmation.</x:v>
      </x:c>
      <x:c r="J146" s="425" t="str"/>
      <x:c r="K146" s="425" t="str"/>
      <x:c r="L146" s="425" t="str">
        <x:v>https://www.espn.com/college-football/game/_/gameId/401869955/georgia-st-kennesaw-st</x:v>
      </x:c>
    </x:row>
    <x:row r="147" ht="38" customHeight="1">
      <x:c r="A147" s="425" t="str">
        <x:v>2026-09-12</x:v>
      </x:c>
      <x:c r="B147" s="425" t="str">
        <x:v>Football</x:v>
      </x:c>
      <x:c r="C147" s="425" t="str">
        <x:v>CFB</x:v>
      </x:c>
      <x:c r="D147" s="425" t="str">
        <x:v>Middle Tennessee Blue Raiders at Marshall Thundering Herd</x:v>
      </x:c>
      <x:c r="E147" s="425" t="str">
        <x:v>2026-09-12T23:00Z</x:v>
      </x:c>
      <x:c r="F147" s="425" t="str">
        <x:v>PROSPECTIVE</x:v>
      </x:c>
      <x:c r="G147" s="425" t="str">
        <x:v>Marshall Thundering Herd</x:v>
      </x:c>
      <x:c r="H147" s="425" t="str">
        <x:v>Scheduled team; player lineup and specialist roles unconfirmed</x:v>
      </x:c>
      <x:c r="I147" s="425" t="str">
        <x:v>Official ESPN schedule lists Marshall Thundering Herd at 0-1. Current starters, depth-chart usage, injuries and specialist roles require later confirmation.</x:v>
      </x:c>
      <x:c r="J147" s="425" t="str"/>
      <x:c r="K147" s="425" t="str"/>
      <x:c r="L147" s="425" t="str">
        <x:v>https://www.espn.com/college-football/game/_/gameId/401871045/mtsu-marshall</x:v>
      </x:c>
    </x:row>
    <x:row r="148" ht="38" customHeight="1">
      <x:c r="A148" s="425" t="str">
        <x:v>2026-09-12</x:v>
      </x:c>
      <x:c r="B148" s="425" t="str">
        <x:v>Football</x:v>
      </x:c>
      <x:c r="C148" s="425" t="str">
        <x:v>CFB</x:v>
      </x:c>
      <x:c r="D148" s="425" t="str">
        <x:v>Middle Tennessee Blue Raiders at Marshall Thundering Herd</x:v>
      </x:c>
      <x:c r="E148" s="425" t="str">
        <x:v>2026-09-12T23:00Z</x:v>
      </x:c>
      <x:c r="F148" s="425" t="str">
        <x:v>PROSPECTIVE</x:v>
      </x:c>
      <x:c r="G148" s="425" t="str">
        <x:v>Middle Tennessee Blue Raiders</x:v>
      </x:c>
      <x:c r="H148" s="425" t="str">
        <x:v>Scheduled team; player lineup and specialist roles unconfirmed</x:v>
      </x:c>
      <x:c r="I148" s="425" t="str">
        <x:v>Official ESPN schedule lists Middle Tennessee Blue Raiders at 1-0. Current starters, depth-chart usage, injuries and specialist roles require later confirmation.</x:v>
      </x:c>
      <x:c r="J148" s="425" t="str"/>
      <x:c r="K148" s="425" t="str"/>
      <x:c r="L148" s="425" t="str">
        <x:v>https://www.espn.com/college-football/game/_/gameId/401871045/mtsu-marshall</x:v>
      </x:c>
    </x:row>
    <x:row r="149" ht="38" customHeight="1">
      <x:c r="A149" s="425" t="str">
        <x:v>2026-09-12</x:v>
      </x:c>
      <x:c r="B149" s="425" t="str">
        <x:v>Football</x:v>
      </x:c>
      <x:c r="C149" s="425" t="str">
        <x:v>CFB</x:v>
      </x:c>
      <x:c r="D149" s="425" t="str">
        <x:v>Lindenwood Lions at Missouri State Bears</x:v>
      </x:c>
      <x:c r="E149" s="425" t="str">
        <x:v>2026-09-12T23:00Z</x:v>
      </x:c>
      <x:c r="F149" s="425" t="str">
        <x:v>PROSPECTIVE</x:v>
      </x:c>
      <x:c r="G149" s="425" t="str">
        <x:v>Missouri State Bears</x:v>
      </x:c>
      <x:c r="H149" s="425" t="str">
        <x:v>Scheduled team; player lineup and specialist roles unconfirmed</x:v>
      </x:c>
      <x:c r="I149" s="425" t="str">
        <x:v>Official ESPN schedule lists Missouri State Bears at 0-1. Current starters, depth-chart usage, injuries and specialist roles require later confirmation.</x:v>
      </x:c>
      <x:c r="J149" s="425" t="str"/>
      <x:c r="K149" s="425" t="str"/>
      <x:c r="L149" s="425" t="str">
        <x:v>https://www.espn.com/college-football/game/_/gameId/401871046/lindenwood-missouri-st</x:v>
      </x:c>
    </x:row>
    <x:row r="150" ht="38" customHeight="1">
      <x:c r="A150" s="425" t="str">
        <x:v>2026-09-12</x:v>
      </x:c>
      <x:c r="B150" s="425" t="str">
        <x:v>Football</x:v>
      </x:c>
      <x:c r="C150" s="425" t="str">
        <x:v>CFB</x:v>
      </x:c>
      <x:c r="D150" s="425" t="str">
        <x:v>Lindenwood Lions at Missouri State Bears</x:v>
      </x:c>
      <x:c r="E150" s="425" t="str">
        <x:v>2026-09-12T23:00Z</x:v>
      </x:c>
      <x:c r="F150" s="425" t="str">
        <x:v>PROSPECTIVE</x:v>
      </x:c>
      <x:c r="G150" s="425" t="str">
        <x:v>Lindenwood Lions</x:v>
      </x:c>
      <x:c r="H150" s="425" t="str">
        <x:v>Scheduled team; player lineup and specialist roles unconfirmed</x:v>
      </x:c>
      <x:c r="I150" s="425" t="str">
        <x:v>Official ESPN schedule lists Lindenwood Lions at 1-1. Current starters, depth-chart usage, injuries and specialist roles require later confirmation.</x:v>
      </x:c>
      <x:c r="J150" s="425" t="str"/>
      <x:c r="K150" s="425" t="str"/>
      <x:c r="L150" s="425" t="str">
        <x:v>https://www.espn.com/college-football/game/_/gameId/401871046/lindenwood-missouri-st</x:v>
      </x:c>
    </x:row>
    <x:row r="151" ht="38" customHeight="1">
      <x:c r="A151" s="425" t="str">
        <x:v>2026-09-12</x:v>
      </x:c>
      <x:c r="B151" s="425" t="str">
        <x:v>Football</x:v>
      </x:c>
      <x:c r="C151" s="425" t="str">
        <x:v>CFB</x:v>
      </x:c>
      <x:c r="D151" s="425" t="str">
        <x:v>San Diego State Aztecs at UCLA Bruins</x:v>
      </x:c>
      <x:c r="E151" s="425" t="str">
        <x:v>2026-09-12T23:15Z</x:v>
      </x:c>
      <x:c r="F151" s="425" t="str">
        <x:v>PROSPECTIVE</x:v>
      </x:c>
      <x:c r="G151" s="425" t="str">
        <x:v>UCLA Bruins</x:v>
      </x:c>
      <x:c r="H151" s="425" t="str">
        <x:v>Scheduled team; player lineup and specialist roles unconfirmed</x:v>
      </x:c>
      <x:c r="I151" s="425" t="str">
        <x:v>Official ESPN schedule lists UCLA Bruins at 1-0. Current starters, depth-chart usage, injuries and specialist roles require later confirmation.</x:v>
      </x:c>
      <x:c r="J151" s="425" t="str"/>
      <x:c r="K151" s="425" t="str"/>
      <x:c r="L151" s="425" t="str">
        <x:v>https://www.espn.com/college-football/game/_/gameId/401858443/san-diego-st-ucla</x:v>
      </x:c>
    </x:row>
    <x:row r="152" ht="38" customHeight="1">
      <x:c r="A152" s="425" t="str">
        <x:v>2026-09-12</x:v>
      </x:c>
      <x:c r="B152" s="425" t="str">
        <x:v>Football</x:v>
      </x:c>
      <x:c r="C152" s="425" t="str">
        <x:v>CFB</x:v>
      </x:c>
      <x:c r="D152" s="425" t="str">
        <x:v>San Diego State Aztecs at UCLA Bruins</x:v>
      </x:c>
      <x:c r="E152" s="425" t="str">
        <x:v>2026-09-12T23:15Z</x:v>
      </x:c>
      <x:c r="F152" s="425" t="str">
        <x:v>PROSPECTIVE</x:v>
      </x:c>
      <x:c r="G152" s="425" t="str">
        <x:v>San Diego State Aztecs</x:v>
      </x:c>
      <x:c r="H152" s="425" t="str">
        <x:v>Scheduled team; player lineup and specialist roles unconfirmed</x:v>
      </x:c>
      <x:c r="I152" s="425" t="str">
        <x:v>Official ESPN schedule lists San Diego State Aztecs at 1-0. Current starters, depth-chart usage, injuries and specialist roles require later confirmation.</x:v>
      </x:c>
      <x:c r="J152" s="425" t="str"/>
      <x:c r="K152" s="425" t="str"/>
      <x:c r="L152" s="425" t="str">
        <x:v>https://www.espn.com/college-football/game/_/gameId/401858443/san-diego-st-ucla</x:v>
      </x:c>
    </x:row>
    <x:row r="153" ht="38" customHeight="1">
      <x:c r="A153" s="425" t="str">
        <x:v>2026-09-12</x:v>
      </x:c>
      <x:c r="B153" s="425" t="str">
        <x:v>Football</x:v>
      </x:c>
      <x:c r="C153" s="425" t="str">
        <x:v>CFB</x:v>
      </x:c>
      <x:c r="D153" s="425" t="str">
        <x:v>Western Illinois Leathernecks at Wisconsin Badgers</x:v>
      </x:c>
      <x:c r="E153" s="425" t="str">
        <x:v>2026-09-12T23:15Z</x:v>
      </x:c>
      <x:c r="F153" s="425" t="str">
        <x:v>PROSPECTIVE</x:v>
      </x:c>
      <x:c r="G153" s="425" t="str">
        <x:v>Wisconsin Badgers</x:v>
      </x:c>
      <x:c r="H153" s="425" t="str">
        <x:v>Scheduled team; player lineup and specialist roles unconfirmed</x:v>
      </x:c>
      <x:c r="I153" s="425" t="str">
        <x:v>Official ESPN schedule lists Wisconsin Badgers at 0-1. Current starters, depth-chart usage, injuries and specialist roles require later confirmation.</x:v>
      </x:c>
      <x:c r="J153" s="425" t="str"/>
      <x:c r="K153" s="425" t="str"/>
      <x:c r="L153" s="425" t="str">
        <x:v>https://www.espn.com/college-football/game/_/gameId/401858447/w-illinois-wisconsin</x:v>
      </x:c>
    </x:row>
    <x:row r="154" ht="38" customHeight="1">
      <x:c r="A154" s="425" t="str">
        <x:v>2026-09-12</x:v>
      </x:c>
      <x:c r="B154" s="425" t="str">
        <x:v>Football</x:v>
      </x:c>
      <x:c r="C154" s="425" t="str">
        <x:v>CFB</x:v>
      </x:c>
      <x:c r="D154" s="425" t="str">
        <x:v>Western Illinois Leathernecks at Wisconsin Badgers</x:v>
      </x:c>
      <x:c r="E154" s="425" t="str">
        <x:v>2026-09-12T23:15Z</x:v>
      </x:c>
      <x:c r="F154" s="425" t="str">
        <x:v>PROSPECTIVE</x:v>
      </x:c>
      <x:c r="G154" s="425" t="str">
        <x:v>Western Illinois Leathernecks</x:v>
      </x:c>
      <x:c r="H154" s="425" t="str">
        <x:v>Scheduled team; player lineup and specialist roles unconfirmed</x:v>
      </x:c>
      <x:c r="I154" s="425" t="str">
        <x:v>Official ESPN schedule lists Western Illinois Leathernecks at 1-1. Current starters, depth-chart usage, injuries and specialist roles require later confirmation.</x:v>
      </x:c>
      <x:c r="J154" s="425" t="str"/>
      <x:c r="K154" s="425" t="str"/>
      <x:c r="L154" s="425" t="str">
        <x:v>https://www.espn.com/college-football/game/_/gameId/401858447/w-illinois-wisconsin</x:v>
      </x:c>
    </x:row>
    <x:row r="155" ht="38" customHeight="1">
      <x:c r="A155" s="425" t="str">
        <x:v>2026-09-12</x:v>
      </x:c>
      <x:c r="B155" s="425" t="str">
        <x:v>Football</x:v>
      </x:c>
      <x:c r="C155" s="425" t="str">
        <x:v>CFB</x:v>
      </x:c>
      <x:c r="D155" s="425" t="str">
        <x:v>Ohio State Buckeyes at Texas Longhorns</x:v>
      </x:c>
      <x:c r="E155" s="425" t="str">
        <x:v>2026-09-12T23:30Z</x:v>
      </x:c>
      <x:c r="F155" s="425" t="str">
        <x:v>PROSPECTIVE</x:v>
      </x:c>
      <x:c r="G155" s="425" t="str">
        <x:v>Texas Longhorns</x:v>
      </x:c>
      <x:c r="H155" s="425" t="str">
        <x:v>Scheduled team; player lineup and specialist roles unconfirmed</x:v>
      </x:c>
      <x:c r="I155" s="425" t="str">
        <x:v>Official ESPN schedule lists Texas Longhorns at 1-0. Current starters, depth-chart usage, injuries and specialist roles require later confirmation.</x:v>
      </x:c>
      <x:c r="J155" s="425" t="str"/>
      <x:c r="K155" s="425" t="str"/>
      <x:c r="L155" s="425" t="str">
        <x:v>https://www.espn.com/college-football/game/_/gameId/401856682/ohio-state-texas</x:v>
      </x:c>
    </x:row>
    <x:row r="156" ht="38" customHeight="1">
      <x:c r="A156" s="425" t="str">
        <x:v>2026-09-12</x:v>
      </x:c>
      <x:c r="B156" s="425" t="str">
        <x:v>Football</x:v>
      </x:c>
      <x:c r="C156" s="425" t="str">
        <x:v>CFB</x:v>
      </x:c>
      <x:c r="D156" s="425" t="str">
        <x:v>Ohio State Buckeyes at Texas Longhorns</x:v>
      </x:c>
      <x:c r="E156" s="425" t="str">
        <x:v>2026-09-12T23:30Z</x:v>
      </x:c>
      <x:c r="F156" s="425" t="str">
        <x:v>PROSPECTIVE</x:v>
      </x:c>
      <x:c r="G156" s="425" t="str">
        <x:v>Ohio State Buckeyes</x:v>
      </x:c>
      <x:c r="H156" s="425" t="str">
        <x:v>Scheduled team; player lineup and specialist roles unconfirmed</x:v>
      </x:c>
      <x:c r="I156" s="425" t="str">
        <x:v>Official ESPN schedule lists Ohio State Buckeyes at 1-0. Current starters, depth-chart usage, injuries and specialist roles require later confirmation.</x:v>
      </x:c>
      <x:c r="J156" s="425" t="str"/>
      <x:c r="K156" s="425" t="str"/>
      <x:c r="L156" s="425" t="str">
        <x:v>https://www.espn.com/college-football/game/_/gameId/401856682/ohio-state-texas</x:v>
      </x:c>
    </x:row>
    <x:row r="157" ht="38" customHeight="1">
      <x:c r="A157" s="425" t="str">
        <x:v>2026-09-12</x:v>
      </x:c>
      <x:c r="B157" s="425" t="str">
        <x:v>Football</x:v>
      </x:c>
      <x:c r="C157" s="425" t="str">
        <x:v>CFB</x:v>
      </x:c>
      <x:c r="D157" s="425" t="str">
        <x:v>Louisiana Tech Bulldogs at LSU Tigers</x:v>
      </x:c>
      <x:c r="E157" s="425" t="str">
        <x:v>2026-09-12T23:30Z</x:v>
      </x:c>
      <x:c r="F157" s="425" t="str">
        <x:v>PROSPECTIVE</x:v>
      </x:c>
      <x:c r="G157" s="425" t="str">
        <x:v>LSU Tigers</x:v>
      </x:c>
      <x:c r="H157" s="425" t="str">
        <x:v>Scheduled team; player lineup and specialist roles unconfirmed</x:v>
      </x:c>
      <x:c r="I157" s="425" t="str">
        <x:v>Official ESPN schedule lists LSU Tigers at 1-0. Current starters, depth-chart usage, injuries and specialist roles require later confirmation.</x:v>
      </x:c>
      <x:c r="J157" s="425" t="str"/>
      <x:c r="K157" s="425" t="str"/>
      <x:c r="L157" s="425" t="str">
        <x:v>https://www.espn.com/college-football/game/_/gameId/401867796/louisiana-tech-lsu</x:v>
      </x:c>
    </x:row>
    <x:row r="158" ht="38" customHeight="1">
      <x:c r="A158" s="425" t="str">
        <x:v>2026-09-12</x:v>
      </x:c>
      <x:c r="B158" s="425" t="str">
        <x:v>Football</x:v>
      </x:c>
      <x:c r="C158" s="425" t="str">
        <x:v>CFB</x:v>
      </x:c>
      <x:c r="D158" s="425" t="str">
        <x:v>Louisiana Tech Bulldogs at LSU Tigers</x:v>
      </x:c>
      <x:c r="E158" s="425" t="str">
        <x:v>2026-09-12T23:30Z</x:v>
      </x:c>
      <x:c r="F158" s="425" t="str">
        <x:v>PROSPECTIVE</x:v>
      </x:c>
      <x:c r="G158" s="425" t="str">
        <x:v>Louisiana Tech Bulldogs</x:v>
      </x:c>
      <x:c r="H158" s="425" t="str">
        <x:v>Scheduled team; player lineup and specialist roles unconfirmed</x:v>
      </x:c>
      <x:c r="I158" s="425" t="str">
        <x:v>Official ESPN schedule lists Louisiana Tech Bulldogs at 1-0. Current starters, depth-chart usage, injuries and specialist roles require later confirmation.</x:v>
      </x:c>
      <x:c r="J158" s="425" t="str"/>
      <x:c r="K158" s="425" t="str"/>
      <x:c r="L158" s="425" t="str">
        <x:v>https://www.espn.com/college-football/game/_/gameId/401867796/louisiana-tech-lsu</x:v>
      </x:c>
    </x:row>
    <x:row r="159" ht="38" customHeight="1">
      <x:c r="A159" s="425" t="str">
        <x:v>2026-09-12</x:v>
      </x:c>
      <x:c r="B159" s="425" t="str">
        <x:v>Football</x:v>
      </x:c>
      <x:c r="C159" s="425" t="str">
        <x:v>CFB</x:v>
      </x:c>
      <x:c r="D159" s="425" t="str">
        <x:v>Texas Tech Red Raiders at Oregon State Beavers</x:v>
      </x:c>
      <x:c r="E159" s="425" t="str">
        <x:v>2026-09-12T23:30Z</x:v>
      </x:c>
      <x:c r="F159" s="425" t="str">
        <x:v>PROSPECTIVE</x:v>
      </x:c>
      <x:c r="G159" s="425" t="str">
        <x:v>Oregon State Beavers</x:v>
      </x:c>
      <x:c r="H159" s="425" t="str">
        <x:v>Scheduled team; player lineup and specialist roles unconfirmed</x:v>
      </x:c>
      <x:c r="I159" s="425" t="str">
        <x:v>Official ESPN schedule lists Oregon State Beavers at 0-1. Current starters, depth-chart usage, injuries and specialist roles require later confirmation.</x:v>
      </x:c>
      <x:c r="J159" s="425" t="str"/>
      <x:c r="K159" s="425" t="str"/>
      <x:c r="L159" s="425" t="str">
        <x:v>https://www.espn.com/college-football/game/_/gameId/401856783/texas-tech-oregon-st</x:v>
      </x:c>
    </x:row>
    <x:row r="160" ht="38" customHeight="1">
      <x:c r="A160" s="425" t="str">
        <x:v>2026-09-12</x:v>
      </x:c>
      <x:c r="B160" s="425" t="str">
        <x:v>Football</x:v>
      </x:c>
      <x:c r="C160" s="425" t="str">
        <x:v>CFB</x:v>
      </x:c>
      <x:c r="D160" s="425" t="str">
        <x:v>Texas Tech Red Raiders at Oregon State Beavers</x:v>
      </x:c>
      <x:c r="E160" s="425" t="str">
        <x:v>2026-09-12T23:30Z</x:v>
      </x:c>
      <x:c r="F160" s="425" t="str">
        <x:v>PROSPECTIVE</x:v>
      </x:c>
      <x:c r="G160" s="425" t="str">
        <x:v>Texas Tech Red Raiders</x:v>
      </x:c>
      <x:c r="H160" s="425" t="str">
        <x:v>Scheduled team; player lineup and specialist roles unconfirmed</x:v>
      </x:c>
      <x:c r="I160" s="425" t="str">
        <x:v>Official ESPN schedule lists Texas Tech Red Raiders at 1-0. Current starters, depth-chart usage, injuries and specialist roles require later confirmation.</x:v>
      </x:c>
      <x:c r="J160" s="425" t="str"/>
      <x:c r="K160" s="425" t="str"/>
      <x:c r="L160" s="425" t="str">
        <x:v>https://www.espn.com/college-football/game/_/gameId/401856783/texas-tech-oregon-st</x:v>
      </x:c>
    </x:row>
    <x:row r="161" ht="38" customHeight="1">
      <x:c r="A161" s="425" t="str">
        <x:v>2026-09-12</x:v>
      </x:c>
      <x:c r="B161" s="425" t="str">
        <x:v>Football</x:v>
      </x:c>
      <x:c r="C161" s="425" t="str">
        <x:v>CFB</x:v>
      </x:c>
      <x:c r="D161" s="425" t="str">
        <x:v>Iowa State Cyclones at Iowa Hawkeyes</x:v>
      </x:c>
      <x:c r="E161" s="425" t="str">
        <x:v>2026-09-12T23:30Z</x:v>
      </x:c>
      <x:c r="F161" s="425" t="str">
        <x:v>PROSPECTIVE</x:v>
      </x:c>
      <x:c r="G161" s="425" t="str">
        <x:v>Iowa Hawkeyes</x:v>
      </x:c>
      <x:c r="H161" s="425" t="str">
        <x:v>Scheduled team; player lineup and specialist roles unconfirmed</x:v>
      </x:c>
      <x:c r="I161" s="425" t="str">
        <x:v>Official ESPN schedule lists Iowa Hawkeyes at 1-0. Current starters, depth-chart usage, injuries and specialist roles require later confirmation.</x:v>
      </x:c>
      <x:c r="J161" s="425" t="str"/>
      <x:c r="K161" s="425" t="str"/>
      <x:c r="L161" s="425" t="str">
        <x:v>https://www.espn.com/college-football/game/_/gameId/401856788/iowa-state-iowa</x:v>
      </x:c>
    </x:row>
    <x:row r="162" ht="38" customHeight="1">
      <x:c r="A162" s="425" t="str">
        <x:v>2026-09-12</x:v>
      </x:c>
      <x:c r="B162" s="425" t="str">
        <x:v>Football</x:v>
      </x:c>
      <x:c r="C162" s="425" t="str">
        <x:v>CFB</x:v>
      </x:c>
      <x:c r="D162" s="425" t="str">
        <x:v>Iowa State Cyclones at Iowa Hawkeyes</x:v>
      </x:c>
      <x:c r="E162" s="425" t="str">
        <x:v>2026-09-12T23:30Z</x:v>
      </x:c>
      <x:c r="F162" s="425" t="str">
        <x:v>PROSPECTIVE</x:v>
      </x:c>
      <x:c r="G162" s="425" t="str">
        <x:v>Iowa State Cyclones</x:v>
      </x:c>
      <x:c r="H162" s="425" t="str">
        <x:v>Scheduled team; player lineup and specialist roles unconfirmed</x:v>
      </x:c>
      <x:c r="I162" s="425" t="str">
        <x:v>Official ESPN schedule lists Iowa State Cyclones at 1-0. Current starters, depth-chart usage, injuries and specialist roles require later confirmation.</x:v>
      </x:c>
      <x:c r="J162" s="425" t="str"/>
      <x:c r="K162" s="425" t="str"/>
      <x:c r="L162" s="425" t="str">
        <x:v>https://www.espn.com/college-football/game/_/gameId/401856788/iowa-state-iowa</x:v>
      </x:c>
    </x:row>
    <x:row r="163" ht="38" customHeight="1">
      <x:c r="A163" s="425" t="str">
        <x:v>2026-09-12</x:v>
      </x:c>
      <x:c r="B163" s="425" t="str">
        <x:v>Football</x:v>
      </x:c>
      <x:c r="C163" s="425" t="str">
        <x:v>CFB</x:v>
      </x:c>
      <x:c r="D163" s="425" t="str">
        <x:v>Georgia Southern Eagles at Clemson Tigers</x:v>
      </x:c>
      <x:c r="E163" s="425" t="str">
        <x:v>2026-09-12T23:30Z</x:v>
      </x:c>
      <x:c r="F163" s="425" t="str">
        <x:v>PROSPECTIVE</x:v>
      </x:c>
      <x:c r="G163" s="425" t="str">
        <x:v>Clemson Tigers</x:v>
      </x:c>
      <x:c r="H163" s="425" t="str">
        <x:v>Scheduled team; player lineup and specialist roles unconfirmed</x:v>
      </x:c>
      <x:c r="I163" s="425" t="str">
        <x:v>Official ESPN schedule lists Clemson Tigers at 0-1. Current starters, depth-chart usage, injuries and specialist roles require later confirmation.</x:v>
      </x:c>
      <x:c r="J163" s="425" t="str"/>
      <x:c r="K163" s="425" t="str"/>
      <x:c r="L163" s="425" t="str">
        <x:v>https://www.espn.com/college-football/game/_/gameId/401858219/ga-southern-clemson</x:v>
      </x:c>
    </x:row>
    <x:row r="164" ht="38" customHeight="1">
      <x:c r="A164" s="425" t="str">
        <x:v>2026-09-12</x:v>
      </x:c>
      <x:c r="B164" s="425" t="str">
        <x:v>Football</x:v>
      </x:c>
      <x:c r="C164" s="425" t="str">
        <x:v>CFB</x:v>
      </x:c>
      <x:c r="D164" s="425" t="str">
        <x:v>Georgia Southern Eagles at Clemson Tigers</x:v>
      </x:c>
      <x:c r="E164" s="425" t="str">
        <x:v>2026-09-12T23:30Z</x:v>
      </x:c>
      <x:c r="F164" s="425" t="str">
        <x:v>PROSPECTIVE</x:v>
      </x:c>
      <x:c r="G164" s="425" t="str">
        <x:v>Georgia Southern Eagles</x:v>
      </x:c>
      <x:c r="H164" s="425" t="str">
        <x:v>Scheduled team; player lineup and specialist roles unconfirmed</x:v>
      </x:c>
      <x:c r="I164" s="425" t="str">
        <x:v>Official ESPN schedule lists Georgia Southern Eagles at 1-0. Current starters, depth-chart usage, injuries and specialist roles require later confirmation.</x:v>
      </x:c>
      <x:c r="J164" s="425" t="str"/>
      <x:c r="K164" s="425" t="str"/>
      <x:c r="L164" s="425" t="str">
        <x:v>https://www.espn.com/college-football/game/_/gameId/401858219/ga-southern-clemson</x:v>
      </x:c>
    </x:row>
    <x:row r="165" ht="38" customHeight="1">
      <x:c r="A165" s="425" t="str">
        <x:v>2026-09-12</x:v>
      </x:c>
      <x:c r="B165" s="425" t="str">
        <x:v>Football</x:v>
      </x:c>
      <x:c r="C165" s="425" t="str">
        <x:v>CFB</x:v>
      </x:c>
      <x:c r="D165" s="425" t="str">
        <x:v>Navy Midshipmen at Florida Atlantic Owls</x:v>
      </x:c>
      <x:c r="E165" s="425" t="str">
        <x:v>2026-09-12T23:30Z</x:v>
      </x:c>
      <x:c r="F165" s="425" t="str">
        <x:v>PROSPECTIVE</x:v>
      </x:c>
      <x:c r="G165" s="425" t="str">
        <x:v>Florida Atlantic Owls</x:v>
      </x:c>
      <x:c r="H165" s="425" t="str">
        <x:v>Scheduled team; player lineup and specialist roles unconfirmed</x:v>
      </x:c>
      <x:c r="I165" s="425" t="str">
        <x:v>Official ESPN schedule lists Florida Atlantic Owls at 0-1. Current starters, depth-chart usage, injuries and specialist roles require later confirmation.</x:v>
      </x:c>
      <x:c r="J165" s="425" t="str"/>
      <x:c r="K165" s="425" t="str"/>
      <x:c r="L165" s="425" t="str">
        <x:v>https://www.espn.com/college-football/game/_/gameId/401862703/navy-fau</x:v>
      </x:c>
    </x:row>
    <x:row r="166" ht="38" customHeight="1">
      <x:c r="A166" s="425" t="str">
        <x:v>2026-09-12</x:v>
      </x:c>
      <x:c r="B166" s="425" t="str">
        <x:v>Football</x:v>
      </x:c>
      <x:c r="C166" s="425" t="str">
        <x:v>CFB</x:v>
      </x:c>
      <x:c r="D166" s="425" t="str">
        <x:v>Navy Midshipmen at Florida Atlantic Owls</x:v>
      </x:c>
      <x:c r="E166" s="425" t="str">
        <x:v>2026-09-12T23:30Z</x:v>
      </x:c>
      <x:c r="F166" s="425" t="str">
        <x:v>PROSPECTIVE</x:v>
      </x:c>
      <x:c r="G166" s="425" t="str">
        <x:v>Navy Midshipmen</x:v>
      </x:c>
      <x:c r="H166" s="425" t="str">
        <x:v>Scheduled team; player lineup and specialist roles unconfirmed</x:v>
      </x:c>
      <x:c r="I166" s="425" t="str">
        <x:v>Official ESPN schedule lists Navy Midshipmen at 1-0. Current starters, depth-chart usage, injuries and specialist roles require later confirmation.</x:v>
      </x:c>
      <x:c r="J166" s="425" t="str"/>
      <x:c r="K166" s="425" t="str"/>
      <x:c r="L166" s="425" t="str">
        <x:v>https://www.espn.com/college-football/game/_/gameId/401862703/navy-fau</x:v>
      </x:c>
    </x:row>
    <x:row r="167" ht="38" customHeight="1">
      <x:c r="A167" s="425" t="str">
        <x:v>2026-09-12</x:v>
      </x:c>
      <x:c r="B167" s="425" t="str">
        <x:v>Football</x:v>
      </x:c>
      <x:c r="C167" s="425" t="str">
        <x:v>CFB</x:v>
      </x:c>
      <x:c r="D167" s="425" t="str">
        <x:v>Fordham Rams at Coastal Carolina Chanticleers</x:v>
      </x:c>
      <x:c r="E167" s="425" t="str">
        <x:v>2026-09-12T23:30Z</x:v>
      </x:c>
      <x:c r="F167" s="425" t="str">
        <x:v>PROSPECTIVE</x:v>
      </x:c>
      <x:c r="G167" s="425" t="str">
        <x:v>Coastal Carolina Chanticleers</x:v>
      </x:c>
      <x:c r="H167" s="425" t="str">
        <x:v>Scheduled team; player lineup and specialist roles unconfirmed</x:v>
      </x:c>
      <x:c r="I167" s="425" t="str">
        <x:v>Official ESPN schedule lists Coastal Carolina Chanticleers at 0-1. Current starters, depth-chart usage, injuries and specialist roles require later confirmation.</x:v>
      </x:c>
      <x:c r="J167" s="425" t="str"/>
      <x:c r="K167" s="425" t="str"/>
      <x:c r="L167" s="425" t="str">
        <x:v>https://www.espn.com/college-football/game/_/gameId/401868008/fordham-coastal</x:v>
      </x:c>
    </x:row>
    <x:row r="168" ht="38" customHeight="1">
      <x:c r="A168" s="425" t="str">
        <x:v>2026-09-12</x:v>
      </x:c>
      <x:c r="B168" s="425" t="str">
        <x:v>Football</x:v>
      </x:c>
      <x:c r="C168" s="425" t="str">
        <x:v>CFB</x:v>
      </x:c>
      <x:c r="D168" s="425" t="str">
        <x:v>Fordham Rams at Coastal Carolina Chanticleers</x:v>
      </x:c>
      <x:c r="E168" s="425" t="str">
        <x:v>2026-09-12T23:30Z</x:v>
      </x:c>
      <x:c r="F168" s="425" t="str">
        <x:v>PROSPECTIVE</x:v>
      </x:c>
      <x:c r="G168" s="425" t="str">
        <x:v>Fordham Rams</x:v>
      </x:c>
      <x:c r="H168" s="425" t="str">
        <x:v>Scheduled team; player lineup and specialist roles unconfirmed</x:v>
      </x:c>
      <x:c r="I168" s="425" t="str">
        <x:v>Official ESPN schedule lists Fordham Rams at 0-2. Current starters, depth-chart usage, injuries and specialist roles require later confirmation.</x:v>
      </x:c>
      <x:c r="J168" s="425" t="str"/>
      <x:c r="K168" s="425" t="str"/>
      <x:c r="L168" s="425" t="str">
        <x:v>https://www.espn.com/college-football/game/_/gameId/401868008/fordham-coastal</x:v>
      </x:c>
    </x:row>
    <x:row r="169" ht="38" customHeight="1">
      <x:c r="A169" s="425" t="str">
        <x:v>2026-09-12</x:v>
      </x:c>
      <x:c r="B169" s="425" t="str">
        <x:v>Football</x:v>
      </x:c>
      <x:c r="C169" s="425" t="str">
        <x:v>CFB</x:v>
      </x:c>
      <x:c r="D169" s="425" t="str">
        <x:v>Charlotte 49ers at Ole Miss Rebels</x:v>
      </x:c>
      <x:c r="E169" s="425" t="str">
        <x:v>2026-09-12T23:45Z</x:v>
      </x:c>
      <x:c r="F169" s="425" t="str">
        <x:v>PROSPECTIVE</x:v>
      </x:c>
      <x:c r="G169" s="425" t="str">
        <x:v>Ole Miss Rebels</x:v>
      </x:c>
      <x:c r="H169" s="425" t="str">
        <x:v>Scheduled team; player lineup and specialist roles unconfirmed</x:v>
      </x:c>
      <x:c r="I169" s="425" t="str">
        <x:v>Official ESPN schedule lists Ole Miss Rebels at 1-0. Current starters, depth-chart usage, injuries and specialist roles require later confirmation.</x:v>
      </x:c>
      <x:c r="J169" s="425" t="str"/>
      <x:c r="K169" s="425" t="str"/>
      <x:c r="L169" s="425" t="str">
        <x:v>https://www.espn.com/college-football/game/_/gameId/401856676/charlotte-ole-miss</x:v>
      </x:c>
    </x:row>
    <x:row r="170" ht="38" customHeight="1">
      <x:c r="A170" s="425" t="str">
        <x:v>2026-09-12</x:v>
      </x:c>
      <x:c r="B170" s="425" t="str">
        <x:v>Football</x:v>
      </x:c>
      <x:c r="C170" s="425" t="str">
        <x:v>CFB</x:v>
      </x:c>
      <x:c r="D170" s="425" t="str">
        <x:v>Charlotte 49ers at Ole Miss Rebels</x:v>
      </x:c>
      <x:c r="E170" s="425" t="str">
        <x:v>2026-09-12T23:45Z</x:v>
      </x:c>
      <x:c r="F170" s="425" t="str">
        <x:v>PROSPECTIVE</x:v>
      </x:c>
      <x:c r="G170" s="425" t="str">
        <x:v>Charlotte 49ers</x:v>
      </x:c>
      <x:c r="H170" s="425" t="str">
        <x:v>Scheduled team; player lineup and specialist roles unconfirmed</x:v>
      </x:c>
      <x:c r="I170" s="425" t="str">
        <x:v>Official ESPN schedule lists Charlotte 49ers at 0-1. Current starters, depth-chart usage, injuries and specialist roles require later confirmation.</x:v>
      </x:c>
      <x:c r="J170" s="425" t="str"/>
      <x:c r="K170" s="425" t="str"/>
      <x:c r="L170" s="425" t="str">
        <x:v>https://www.espn.com/college-football/game/_/gameId/401856676/charlotte-ole-miss</x:v>
      </x:c>
    </x:row>
    <x:row r="171" ht="38" customHeight="1">
      <x:c r="A171" s="425" t="str">
        <x:v>2026-09-12</x:v>
      </x:c>
      <x:c r="B171" s="425" t="str">
        <x:v>Football</x:v>
      </x:c>
      <x:c r="C171" s="425" t="str">
        <x:v>CFB</x:v>
      </x:c>
      <x:c r="D171" s="425" t="str">
        <x:v>Southern Miss Golden Eagles at Auburn Tigers</x:v>
      </x:c>
      <x:c r="E171" s="425" t="str">
        <x:v>2026-09-12T23:45Z</x:v>
      </x:c>
      <x:c r="F171" s="425" t="str">
        <x:v>PROSPECTIVE</x:v>
      </x:c>
      <x:c r="G171" s="425" t="str">
        <x:v>Auburn Tigers</x:v>
      </x:c>
      <x:c r="H171" s="425" t="str">
        <x:v>Scheduled team; player lineup and specialist roles unconfirmed</x:v>
      </x:c>
      <x:c r="I171" s="425" t="str">
        <x:v>Official ESPN schedule lists Auburn Tigers at 1-0. Current starters, depth-chart usage, injuries and specialist roles require later confirmation.</x:v>
      </x:c>
      <x:c r="J171" s="425" t="str"/>
      <x:c r="K171" s="425" t="str"/>
      <x:c r="L171" s="425" t="str">
        <x:v>https://www.espn.com/college-football/game/_/gameId/401856671/southern-miss-auburn</x:v>
      </x:c>
    </x:row>
    <x:row r="172" ht="38" customHeight="1">
      <x:c r="A172" s="425" t="str">
        <x:v>2026-09-12</x:v>
      </x:c>
      <x:c r="B172" s="425" t="str">
        <x:v>Football</x:v>
      </x:c>
      <x:c r="C172" s="425" t="str">
        <x:v>CFB</x:v>
      </x:c>
      <x:c r="D172" s="425" t="str">
        <x:v>Southern Miss Golden Eagles at Auburn Tigers</x:v>
      </x:c>
      <x:c r="E172" s="425" t="str">
        <x:v>2026-09-12T23:45Z</x:v>
      </x:c>
      <x:c r="F172" s="425" t="str">
        <x:v>PROSPECTIVE</x:v>
      </x:c>
      <x:c r="G172" s="425" t="str">
        <x:v>Southern Miss Golden Eagles</x:v>
      </x:c>
      <x:c r="H172" s="425" t="str">
        <x:v>Scheduled team; player lineup and specialist roles unconfirmed</x:v>
      </x:c>
      <x:c r="I172" s="425" t="str">
        <x:v>Official ESPN schedule lists Southern Miss Golden Eagles at 1-0. Current starters, depth-chart usage, injuries and specialist roles require later confirmation.</x:v>
      </x:c>
      <x:c r="J172" s="425" t="str"/>
      <x:c r="K172" s="425" t="str"/>
      <x:c r="L172" s="425" t="str">
        <x:v>https://www.espn.com/college-football/game/_/gameId/401856671/southern-miss-auburn</x:v>
      </x:c>
    </x:row>
    <x:row r="173" ht="38" customHeight="1">
      <x:c r="A173" s="425" t="str">
        <x:v>2026-09-12</x:v>
      </x:c>
      <x:c r="B173" s="425" t="str">
        <x:v>Football</x:v>
      </x:c>
      <x:c r="C173" s="425" t="str">
        <x:v>CFB</x:v>
      </x:c>
      <x:c r="D173" s="425" t="str">
        <x:v>Grambling Tigers at TCU Horned Frogs</x:v>
      </x:c>
      <x:c r="E173" s="425" t="str">
        <x:v>2026-09-13T00:00Z</x:v>
      </x:c>
      <x:c r="F173" s="425" t="str">
        <x:v>PROSPECTIVE</x:v>
      </x:c>
      <x:c r="G173" s="425" t="str">
        <x:v>TCU Horned Frogs</x:v>
      </x:c>
      <x:c r="H173" s="425" t="str">
        <x:v>Scheduled team; player lineup and specialist roles unconfirmed</x:v>
      </x:c>
      <x:c r="I173" s="425" t="str">
        <x:v>Official ESPN schedule lists TCU Horned Frogs at 0-1. Current starters, depth-chart usage, injuries and specialist roles require later confirmation.</x:v>
      </x:c>
      <x:c r="J173" s="425" t="str"/>
      <x:c r="K173" s="425" t="str"/>
      <x:c r="L173" s="425" t="str">
        <x:v>https://www.espn.com/college-football/game/_/gameId/401856789/grambling-tcu</x:v>
      </x:c>
    </x:row>
    <x:row r="174" ht="38" customHeight="1">
      <x:c r="A174" s="425" t="str">
        <x:v>2026-09-12</x:v>
      </x:c>
      <x:c r="B174" s="425" t="str">
        <x:v>Football</x:v>
      </x:c>
      <x:c r="C174" s="425" t="str">
        <x:v>CFB</x:v>
      </x:c>
      <x:c r="D174" s="425" t="str">
        <x:v>Grambling Tigers at TCU Horned Frogs</x:v>
      </x:c>
      <x:c r="E174" s="425" t="str">
        <x:v>2026-09-13T00:00Z</x:v>
      </x:c>
      <x:c r="F174" s="425" t="str">
        <x:v>PROSPECTIVE</x:v>
      </x:c>
      <x:c r="G174" s="425" t="str">
        <x:v>Grambling Tigers</x:v>
      </x:c>
      <x:c r="H174" s="425" t="str">
        <x:v>Scheduled team; player lineup and specialist roles unconfirmed</x:v>
      </x:c>
      <x:c r="I174" s="425" t="str">
        <x:v>Official ESPN schedule lists Grambling Tigers at 2-0. Current starters, depth-chart usage, injuries and specialist roles require later confirmation.</x:v>
      </x:c>
      <x:c r="J174" s="425" t="str"/>
      <x:c r="K174" s="425" t="str"/>
      <x:c r="L174" s="425" t="str">
        <x:v>https://www.espn.com/college-football/game/_/gameId/401856789/grambling-tcu</x:v>
      </x:c>
    </x:row>
    <x:row r="175" ht="38" customHeight="1">
      <x:c r="A175" s="425" t="str">
        <x:v>2026-09-12</x:v>
      </x:c>
      <x:c r="B175" s="425" t="str">
        <x:v>Football</x:v>
      </x:c>
      <x:c r="C175" s="425" t="str">
        <x:v>CFB</x:v>
      </x:c>
      <x:c r="D175" s="425" t="str">
        <x:v>Prairie View A&amp;M Panthers at Baylor Bears</x:v>
      </x:c>
      <x:c r="E175" s="425" t="str">
        <x:v>2026-09-13T00:08Z</x:v>
      </x:c>
      <x:c r="F175" s="425" t="str">
        <x:v>PROSPECTIVE</x:v>
      </x:c>
      <x:c r="G175" s="425" t="str">
        <x:v>Baylor Bears</x:v>
      </x:c>
      <x:c r="H175" s="425" t="str">
        <x:v>Scheduled team; player lineup and specialist roles unconfirmed</x:v>
      </x:c>
      <x:c r="I175" s="425" t="str">
        <x:v>Official ESPN schedule lists Baylor Bears at 0-1. Current starters, depth-chart usage, injuries and specialist roles require later confirmation.</x:v>
      </x:c>
      <x:c r="J175" s="425" t="str"/>
      <x:c r="K175" s="425" t="str"/>
      <x:c r="L175" s="425" t="str">
        <x:v>https://www.espn.com/college-football/game/_/gameId/401856784/prairie-view-baylor</x:v>
      </x:c>
    </x:row>
    <x:row r="176" ht="38" customHeight="1">
      <x:c r="A176" s="425" t="str">
        <x:v>2026-09-12</x:v>
      </x:c>
      <x:c r="B176" s="425" t="str">
        <x:v>Football</x:v>
      </x:c>
      <x:c r="C176" s="425" t="str">
        <x:v>CFB</x:v>
      </x:c>
      <x:c r="D176" s="425" t="str">
        <x:v>Prairie View A&amp;M Panthers at Baylor Bears</x:v>
      </x:c>
      <x:c r="E176" s="425" t="str">
        <x:v>2026-09-13T00:08Z</x:v>
      </x:c>
      <x:c r="F176" s="425" t="str">
        <x:v>PROSPECTIVE</x:v>
      </x:c>
      <x:c r="G176" s="425" t="str">
        <x:v>Prairie View A&amp;M Panthers</x:v>
      </x:c>
      <x:c r="H176" s="425" t="str">
        <x:v>Scheduled team; player lineup and specialist roles unconfirmed</x:v>
      </x:c>
      <x:c r="I176" s="425" t="str">
        <x:v>Official ESPN schedule lists Prairie View A&amp;M Panthers at 1-1. Current starters, depth-chart usage, injuries and specialist roles require later confirmation.</x:v>
      </x:c>
      <x:c r="J176" s="425" t="str"/>
      <x:c r="K176" s="425" t="str"/>
      <x:c r="L176" s="425" t="str">
        <x:v>https://www.espn.com/college-football/game/_/gameId/401856784/prairie-view-baylor</x:v>
      </x:c>
    </x:row>
    <x:row r="177" ht="38" customHeight="1">
      <x:c r="A177" s="425" t="str">
        <x:v>2026-09-12</x:v>
      </x:c>
      <x:c r="B177" s="425" t="str">
        <x:v>Football</x:v>
      </x:c>
      <x:c r="C177" s="425" t="str">
        <x:v>CFB</x:v>
      </x:c>
      <x:c r="D177" s="425" t="str">
        <x:v>Cal Poly Mustangs at San José State Spartans</x:v>
      </x:c>
      <x:c r="E177" s="425" t="str">
        <x:v>2026-09-13T01:00Z</x:v>
      </x:c>
      <x:c r="F177" s="425" t="str">
        <x:v>PROSPECTIVE</x:v>
      </x:c>
      <x:c r="G177" s="425" t="str">
        <x:v>San José State Spartans</x:v>
      </x:c>
      <x:c r="H177" s="425" t="str">
        <x:v>Scheduled team; player lineup and specialist roles unconfirmed</x:v>
      </x:c>
      <x:c r="I177" s="425" t="str">
        <x:v>Official ESPN schedule lists San José State Spartans at 1-1. Current starters, depth-chart usage, injuries and specialist roles require later confirmation.</x:v>
      </x:c>
      <x:c r="J177" s="425" t="str"/>
      <x:c r="K177" s="425" t="str"/>
      <x:c r="L177" s="425" t="str">
        <x:v>https://www.espn.com/college-football/game/_/gameId/401864504/cal-poly-san-jose-st</x:v>
      </x:c>
    </x:row>
    <x:row r="178" ht="38" customHeight="1">
      <x:c r="A178" s="425" t="str">
        <x:v>2026-09-12</x:v>
      </x:c>
      <x:c r="B178" s="425" t="str">
        <x:v>Football</x:v>
      </x:c>
      <x:c r="C178" s="425" t="str">
        <x:v>CFB</x:v>
      </x:c>
      <x:c r="D178" s="425" t="str">
        <x:v>Cal Poly Mustangs at San José State Spartans</x:v>
      </x:c>
      <x:c r="E178" s="425" t="str">
        <x:v>2026-09-13T01:00Z</x:v>
      </x:c>
      <x:c r="F178" s="425" t="str">
        <x:v>PROSPECTIVE</x:v>
      </x:c>
      <x:c r="G178" s="425" t="str">
        <x:v>Cal Poly Mustangs</x:v>
      </x:c>
      <x:c r="H178" s="425" t="str">
        <x:v>Scheduled team; player lineup and specialist roles unconfirmed</x:v>
      </x:c>
      <x:c r="I178" s="425" t="str">
        <x:v>Official ESPN schedule lists Cal Poly Mustangs at 2-0. Current starters, depth-chart usage, injuries and specialist roles require later confirmation.</x:v>
      </x:c>
      <x:c r="J178" s="425" t="str"/>
      <x:c r="K178" s="425" t="str"/>
      <x:c r="L178" s="425" t="str">
        <x:v>https://www.espn.com/college-football/game/_/gameId/401864504/cal-poly-san-jose-st</x:v>
      </x:c>
    </x:row>
    <x:row r="179" ht="38" customHeight="1">
      <x:c r="A179" s="425" t="str">
        <x:v>2026-09-12</x:v>
      </x:c>
      <x:c r="B179" s="425" t="str">
        <x:v>Football</x:v>
      </x:c>
      <x:c r="C179" s="425" t="str">
        <x:v>CFB</x:v>
      </x:c>
      <x:c r="D179" s="425" t="str">
        <x:v>Texas Southern Tigers at UTEP Miners</x:v>
      </x:c>
      <x:c r="E179" s="425" t="str">
        <x:v>2026-09-13T01:00Z</x:v>
      </x:c>
      <x:c r="F179" s="425" t="str">
        <x:v>PROSPECTIVE</x:v>
      </x:c>
      <x:c r="G179" s="425" t="str">
        <x:v>UTEP Miners</x:v>
      </x:c>
      <x:c r="H179" s="425" t="str">
        <x:v>Scheduled team; player lineup and specialist roles unconfirmed</x:v>
      </x:c>
      <x:c r="I179" s="425" t="str">
        <x:v>Official ESPN schedule lists UTEP Miners at 0-1. Current starters, depth-chart usage, injuries and specialist roles require later confirmation.</x:v>
      </x:c>
      <x:c r="J179" s="425" t="str"/>
      <x:c r="K179" s="425" t="str"/>
      <x:c r="L179" s="425" t="str">
        <x:v>https://www.espn.com/college-football/game/_/gameId/401864505/texas-southern-utep</x:v>
      </x:c>
    </x:row>
    <x:row r="180" ht="38" customHeight="1">
      <x:c r="A180" s="425" t="str">
        <x:v>2026-09-12</x:v>
      </x:c>
      <x:c r="B180" s="425" t="str">
        <x:v>Football</x:v>
      </x:c>
      <x:c r="C180" s="425" t="str">
        <x:v>CFB</x:v>
      </x:c>
      <x:c r="D180" s="425" t="str">
        <x:v>Texas Southern Tigers at UTEP Miners</x:v>
      </x:c>
      <x:c r="E180" s="425" t="str">
        <x:v>2026-09-13T01:00Z</x:v>
      </x:c>
      <x:c r="F180" s="425" t="str">
        <x:v>PROSPECTIVE</x:v>
      </x:c>
      <x:c r="G180" s="425" t="str">
        <x:v>Texas Southern Tigers</x:v>
      </x:c>
      <x:c r="H180" s="425" t="str">
        <x:v>Scheduled team; player lineup and specialist roles unconfirmed</x:v>
      </x:c>
      <x:c r="I180" s="425" t="str">
        <x:v>Official ESPN schedule lists Texas Southern Tigers at 1-1. Current starters, depth-chart usage, injuries and specialist roles require later confirmation.</x:v>
      </x:c>
      <x:c r="J180" s="425" t="str"/>
      <x:c r="K180" s="425" t="str"/>
      <x:c r="L180" s="425" t="str">
        <x:v>https://www.espn.com/college-football/game/_/gameId/401864505/texas-southern-utep</x:v>
      </x:c>
    </x:row>
    <x:row r="181" ht="38" customHeight="1">
      <x:c r="A181" s="425" t="str">
        <x:v>2026-09-12</x:v>
      </x:c>
      <x:c r="B181" s="425" t="str">
        <x:v>Football</x:v>
      </x:c>
      <x:c r="C181" s="425" t="str">
        <x:v>CFB</x:v>
      </x:c>
      <x:c r="D181" s="425" t="str">
        <x:v>North Dakota State Bison at Air Force Falcons</x:v>
      </x:c>
      <x:c r="E181" s="425" t="str">
        <x:v>2026-09-13T02:00Z</x:v>
      </x:c>
      <x:c r="F181" s="425" t="str">
        <x:v>PROSPECTIVE</x:v>
      </x:c>
      <x:c r="G181" s="425" t="str">
        <x:v>Air Force Falcons</x:v>
      </x:c>
      <x:c r="H181" s="425" t="str">
        <x:v>Scheduled team; player lineup and specialist roles unconfirmed</x:v>
      </x:c>
      <x:c r="I181" s="425" t="str">
        <x:v>Official ESPN schedule lists Air Force Falcons at 1-0. Current starters, depth-chart usage, injuries and specialist roles require later confirmation.</x:v>
      </x:c>
      <x:c r="J181" s="425" t="str"/>
      <x:c r="K181" s="425" t="str"/>
      <x:c r="L181" s="425" t="str">
        <x:v>https://www.espn.com/college-football/game/_/gameId/401864502/n-dakota-st-air-force</x:v>
      </x:c>
    </x:row>
    <x:row r="182" ht="38" customHeight="1">
      <x:c r="A182" s="425" t="str">
        <x:v>2026-09-12</x:v>
      </x:c>
      <x:c r="B182" s="425" t="str">
        <x:v>Football</x:v>
      </x:c>
      <x:c r="C182" s="425" t="str">
        <x:v>CFB</x:v>
      </x:c>
      <x:c r="D182" s="425" t="str">
        <x:v>North Dakota State Bison at Air Force Falcons</x:v>
      </x:c>
      <x:c r="E182" s="425" t="str">
        <x:v>2026-09-13T02:00Z</x:v>
      </x:c>
      <x:c r="F182" s="425" t="str">
        <x:v>PROSPECTIVE</x:v>
      </x:c>
      <x:c r="G182" s="425" t="str">
        <x:v>North Dakota State Bison</x:v>
      </x:c>
      <x:c r="H182" s="425" t="str">
        <x:v>Scheduled team; player lineup and specialist roles unconfirmed</x:v>
      </x:c>
      <x:c r="I182" s="425" t="str">
        <x:v>Official ESPN schedule lists North Dakota State Bison at 2-0. Current starters, depth-chart usage, injuries and specialist roles require later confirmation.</x:v>
      </x:c>
      <x:c r="J182" s="425" t="str"/>
      <x:c r="K182" s="425" t="str"/>
      <x:c r="L182" s="425" t="str">
        <x:v>https://www.espn.com/college-football/game/_/gameId/401864502/n-dakota-st-air-force</x:v>
      </x:c>
    </x:row>
    <x:row r="183" ht="38" customHeight="1">
      <x:c r="A183" s="425" t="str">
        <x:v>2026-09-12</x:v>
      </x:c>
      <x:c r="B183" s="425" t="str">
        <x:v>Football</x:v>
      </x:c>
      <x:c r="C183" s="425" t="str">
        <x:v>CFB</x:v>
      </x:c>
      <x:c r="D183" s="425" t="str">
        <x:v>Arkansas Razorbacks at Utah Utes</x:v>
      </x:c>
      <x:c r="E183" s="425" t="str">
        <x:v>2026-09-13T02:15Z</x:v>
      </x:c>
      <x:c r="F183" s="425" t="str">
        <x:v>PROSPECTIVE</x:v>
      </x:c>
      <x:c r="G183" s="425" t="str">
        <x:v>Utah Utes</x:v>
      </x:c>
      <x:c r="H183" s="425" t="str">
        <x:v>Scheduled team; player lineup and specialist roles unconfirmed</x:v>
      </x:c>
      <x:c r="I183" s="425" t="str">
        <x:v>Official ESPN schedule lists Utah Utes at 1-0. Current starters, depth-chart usage, injuries and specialist roles require later confirmation.</x:v>
      </x:c>
      <x:c r="J183" s="425" t="str"/>
      <x:c r="K183" s="425" t="str"/>
      <x:c r="L183" s="425" t="str">
        <x:v>https://www.espn.com/college-football/game/_/gameId/401856670/arkansas-utah</x:v>
      </x:c>
    </x:row>
    <x:row r="184" ht="38" customHeight="1">
      <x:c r="A184" s="425" t="str">
        <x:v>2026-09-12</x:v>
      </x:c>
      <x:c r="B184" s="425" t="str">
        <x:v>Football</x:v>
      </x:c>
      <x:c r="C184" s="425" t="str">
        <x:v>CFB</x:v>
      </x:c>
      <x:c r="D184" s="425" t="str">
        <x:v>Arkansas Razorbacks at Utah Utes</x:v>
      </x:c>
      <x:c r="E184" s="425" t="str">
        <x:v>2026-09-13T02:15Z</x:v>
      </x:c>
      <x:c r="F184" s="425" t="str">
        <x:v>PROSPECTIVE</x:v>
      </x:c>
      <x:c r="G184" s="425" t="str">
        <x:v>Arkansas Razorbacks</x:v>
      </x:c>
      <x:c r="H184" s="425" t="str">
        <x:v>Scheduled team; player lineup and specialist roles unconfirmed</x:v>
      </x:c>
      <x:c r="I184" s="425" t="str">
        <x:v>Official ESPN schedule lists Arkansas Razorbacks at 1-0. Current starters, depth-chart usage, injuries and specialist roles require later confirmation.</x:v>
      </x:c>
      <x:c r="J184" s="425" t="str"/>
      <x:c r="K184" s="425" t="str"/>
      <x:c r="L184" s="425" t="str">
        <x:v>https://www.espn.com/college-football/game/_/gameId/401856670/arkansas-utah</x:v>
      </x:c>
    </x:row>
    <x:row r="185" ht="38" customHeight="1">
      <x:c r="A185" s="425" t="str">
        <x:v>2026-09-12</x:v>
      </x:c>
      <x:c r="B185" s="425" t="str">
        <x:v>Football</x:v>
      </x:c>
      <x:c r="C185" s="425" t="str">
        <x:v>CFB</x:v>
      </x:c>
      <x:c r="D185" s="425" t="str">
        <x:v>Sacramento State Hornets at Fresno State Bulldogs</x:v>
      </x:c>
      <x:c r="E185" s="425" t="str">
        <x:v>2026-09-13T02:30Z</x:v>
      </x:c>
      <x:c r="F185" s="425" t="str">
        <x:v>PROSPECTIVE</x:v>
      </x:c>
      <x:c r="G185" s="425" t="str">
        <x:v>Fresno State Bulldogs</x:v>
      </x:c>
      <x:c r="H185" s="425" t="str">
        <x:v>Scheduled team; player lineup and specialist roles unconfirmed</x:v>
      </x:c>
      <x:c r="I185" s="425" t="str">
        <x:v>Official ESPN schedule lists Fresno State Bulldogs at 0-1. Current starters, depth-chart usage, injuries and specialist roles require later confirmation.</x:v>
      </x:c>
      <x:c r="J185" s="425" t="str"/>
      <x:c r="K185" s="425" t="str"/>
      <x:c r="L185" s="425" t="str">
        <x:v>https://www.espn.com/college-football/game/_/gameId/401860883/sacramento-st-fresno-st</x:v>
      </x:c>
    </x:row>
    <x:row r="186" ht="38" customHeight="1">
      <x:c r="A186" s="425" t="str">
        <x:v>2026-09-12</x:v>
      </x:c>
      <x:c r="B186" s="425" t="str">
        <x:v>Football</x:v>
      </x:c>
      <x:c r="C186" s="425" t="str">
        <x:v>CFB</x:v>
      </x:c>
      <x:c r="D186" s="425" t="str">
        <x:v>Sacramento State Hornets at Fresno State Bulldogs</x:v>
      </x:c>
      <x:c r="E186" s="425" t="str">
        <x:v>2026-09-13T02:30Z</x:v>
      </x:c>
      <x:c r="F186" s="425" t="str">
        <x:v>PROSPECTIVE</x:v>
      </x:c>
      <x:c r="G186" s="425" t="str">
        <x:v>Sacramento State Hornets</x:v>
      </x:c>
      <x:c r="H186" s="425" t="str">
        <x:v>Scheduled team; player lineup and specialist roles unconfirmed</x:v>
      </x:c>
      <x:c r="I186" s="425" t="str">
        <x:v>Official ESPN schedule lists Sacramento State Hornets at 1-1. Current starters, depth-chart usage, injuries and specialist roles require later confirmation.</x:v>
      </x:c>
      <x:c r="J186" s="425" t="str"/>
      <x:c r="K186" s="425" t="str"/>
      <x:c r="L186" s="425" t="str">
        <x:v>https://www.espn.com/college-football/game/_/gameId/401860883/sacramento-st-fresno-st</x:v>
      </x:c>
    </x:row>
    <x:row r="187" ht="38" customHeight="1">
      <x:c r="A187" s="425" t="str">
        <x:v>2026-09-12</x:v>
      </x:c>
      <x:c r="B187" s="425" t="str">
        <x:v>Football</x:v>
      </x:c>
      <x:c r="C187" s="425" t="str">
        <x:v>CFB</x:v>
      </x:c>
      <x:c r="D187" s="425" t="str">
        <x:v>Montana State Bobcats at Nevada Wolf Pack</x:v>
      </x:c>
      <x:c r="E187" s="425" t="str">
        <x:v>2026-09-13T02:30Z</x:v>
      </x:c>
      <x:c r="F187" s="425" t="str">
        <x:v>PROSPECTIVE</x:v>
      </x:c>
      <x:c r="G187" s="425" t="str">
        <x:v>Nevada Wolf Pack</x:v>
      </x:c>
      <x:c r="H187" s="425" t="str">
        <x:v>Scheduled team; player lineup and specialist roles unconfirmed</x:v>
      </x:c>
      <x:c r="I187" s="425" t="str">
        <x:v>Official ESPN schedule lists Nevada Wolf Pack at 1-0. Current starters, depth-chart usage, injuries and specialist roles require later confirmation.</x:v>
      </x:c>
      <x:c r="J187" s="425" t="str"/>
      <x:c r="K187" s="425" t="str"/>
      <x:c r="L187" s="425" t="str">
        <x:v>https://www.espn.com/college-football/game/_/gameId/401864500/montana-st-nevada</x:v>
      </x:c>
    </x:row>
    <x:row r="188" ht="38" customHeight="1">
      <x:c r="A188" s="425" t="str">
        <x:v>2026-09-12</x:v>
      </x:c>
      <x:c r="B188" s="425" t="str">
        <x:v>Football</x:v>
      </x:c>
      <x:c r="C188" s="425" t="str">
        <x:v>CFB</x:v>
      </x:c>
      <x:c r="D188" s="425" t="str">
        <x:v>Montana State Bobcats at Nevada Wolf Pack</x:v>
      </x:c>
      <x:c r="E188" s="425" t="str">
        <x:v>2026-09-13T02:30Z</x:v>
      </x:c>
      <x:c r="F188" s="425" t="str">
        <x:v>PROSPECTIVE</x:v>
      </x:c>
      <x:c r="G188" s="425" t="str">
        <x:v>Montana State Bobcats</x:v>
      </x:c>
      <x:c r="H188" s="425" t="str">
        <x:v>Scheduled team; player lineup and specialist roles unconfirmed</x:v>
      </x:c>
      <x:c r="I188" s="425" t="str">
        <x:v>Official ESPN schedule lists Montana State Bobcats at 2-0. Current starters, depth-chart usage, injuries and specialist roles require later confirmation.</x:v>
      </x:c>
      <x:c r="J188" s="425" t="str"/>
      <x:c r="K188" s="425" t="str"/>
      <x:c r="L188" s="425" t="str">
        <x:v>https://www.espn.com/college-football/game/_/gameId/401864500/montana-st-nevada</x:v>
      </x:c>
    </x:row>
    <x:row r="189" ht="38" customHeight="1">
      <x:c r="A189" s="425" t="str">
        <x:v>2026-09-12</x:v>
      </x:c>
      <x:c r="B189" s="425" t="str">
        <x:v>Football</x:v>
      </x:c>
      <x:c r="C189" s="425" t="str">
        <x:v>CFB</x:v>
      </x:c>
      <x:c r="D189" s="425" t="str">
        <x:v>Louisiana Ragin' Cajuns at USC Trojans</x:v>
      </x:c>
      <x:c r="E189" s="425" t="str">
        <x:v>2026-09-13T03:00Z</x:v>
      </x:c>
      <x:c r="F189" s="425" t="str">
        <x:v>PROSPECTIVE</x:v>
      </x:c>
      <x:c r="G189" s="425" t="str">
        <x:v>USC Trojans</x:v>
      </x:c>
      <x:c r="H189" s="425" t="str">
        <x:v>Scheduled team; player lineup and specialist roles unconfirmed</x:v>
      </x:c>
      <x:c r="I189" s="425" t="str">
        <x:v>Official ESPN schedule lists USC Trojans at 2-0. Current starters, depth-chart usage, injuries and specialist roles require later confirmation.</x:v>
      </x:c>
      <x:c r="J189" s="425" t="str"/>
      <x:c r="K189" s="425" t="str"/>
      <x:c r="L189" s="425" t="str">
        <x:v>https://www.espn.com/college-football/game/_/gameId/401858445/louisiana-usc</x:v>
      </x:c>
    </x:row>
    <x:row r="190" ht="38" customHeight="1">
      <x:c r="A190" s="425" t="str">
        <x:v>2026-09-12</x:v>
      </x:c>
      <x:c r="B190" s="425" t="str">
        <x:v>Football</x:v>
      </x:c>
      <x:c r="C190" s="425" t="str">
        <x:v>CFB</x:v>
      </x:c>
      <x:c r="D190" s="425" t="str">
        <x:v>Louisiana Ragin' Cajuns at USC Trojans</x:v>
      </x:c>
      <x:c r="E190" s="425" t="str">
        <x:v>2026-09-13T03:00Z</x:v>
      </x:c>
      <x:c r="F190" s="425" t="str">
        <x:v>PROSPECTIVE</x:v>
      </x:c>
      <x:c r="G190" s="425" t="str">
        <x:v>Louisiana Ragin' Cajuns</x:v>
      </x:c>
      <x:c r="H190" s="425" t="str">
        <x:v>Scheduled team; player lineup and specialist roles unconfirmed</x:v>
      </x:c>
      <x:c r="I190" s="425" t="str">
        <x:v>Official ESPN schedule lists Louisiana Ragin' Cajuns at 1-0. Current starters, depth-chart usage, injuries and specialist roles require later confirmation.</x:v>
      </x:c>
      <x:c r="J190" s="425" t="str"/>
      <x:c r="K190" s="425" t="str"/>
      <x:c r="L190" s="425" t="str">
        <x:v>https://www.espn.com/college-football/game/_/gameId/401858445/louisiana-usc</x:v>
      </x:c>
    </x:row>
    <x:row r="191" ht="38" customHeight="1">
      <x:c r="A191" s="425" t="str">
        <x:v>2026-09-12</x:v>
      </x:c>
      <x:c r="B191" s="425" t="str">
        <x:v>Football</x:v>
      </x:c>
      <x:c r="C191" s="425" t="str">
        <x:v>CFB</x:v>
      </x:c>
      <x:c r="D191" s="425" t="str">
        <x:v>New Mexico State Aggies at Hawai'i Rainbow Warriors</x:v>
      </x:c>
      <x:c r="E191" s="425" t="str">
        <x:v>2026-09-13T03:59Z</x:v>
      </x:c>
      <x:c r="F191" s="425" t="str">
        <x:v>PROSPECTIVE</x:v>
      </x:c>
      <x:c r="G191" s="425" t="str">
        <x:v>Hawai'i Rainbow Warriors</x:v>
      </x:c>
      <x:c r="H191" s="425" t="str">
        <x:v>Scheduled team; player lineup and specialist roles unconfirmed</x:v>
      </x:c>
      <x:c r="I191" s="425" t="str">
        <x:v>Official ESPN schedule lists Hawai'i Rainbow Warriors at 0-2. Current starters, depth-chart usage, injuries and specialist roles require later confirmation.</x:v>
      </x:c>
      <x:c r="J191" s="425" t="str"/>
      <x:c r="K191" s="425" t="str"/>
      <x:c r="L191" s="425" t="str">
        <x:v>https://www.espn.com/college-football/game/_/gameId/401864578/new-mexico-st-hawaii</x:v>
      </x:c>
    </x:row>
    <x:row r="192" ht="38" customHeight="1">
      <x:c r="A192" s="425" t="str">
        <x:v>2026-09-12</x:v>
      </x:c>
      <x:c r="B192" s="425" t="str">
        <x:v>Football</x:v>
      </x:c>
      <x:c r="C192" s="425" t="str">
        <x:v>CFB</x:v>
      </x:c>
      <x:c r="D192" s="425" t="str">
        <x:v>New Mexico State Aggies at Hawai'i Rainbow Warriors</x:v>
      </x:c>
      <x:c r="E192" s="425" t="str">
        <x:v>2026-09-13T03:59Z</x:v>
      </x:c>
      <x:c r="F192" s="425" t="str">
        <x:v>PROSPECTIVE</x:v>
      </x:c>
      <x:c r="G192" s="425" t="str">
        <x:v>New Mexico State Aggies</x:v>
      </x:c>
      <x:c r="H192" s="425" t="str">
        <x:v>Scheduled team; player lineup and specialist roles unconfirmed</x:v>
      </x:c>
      <x:c r="I192" s="425" t="str">
        <x:v>Official ESPN schedule lists New Mexico State Aggies at 1-1. Current starters, depth-chart usage, injuries and specialist roles require later confirmation.</x:v>
      </x:c>
      <x:c r="J192" s="425" t="str"/>
      <x:c r="K192" s="425" t="str"/>
      <x:c r="L192" s="425" t="str">
        <x:v>https://www.espn.com/college-football/game/_/gameId/401864578/new-mexico-st-hawaii</x:v>
      </x:c>
    </x:row>
    <x:row r="193" ht="38" customHeight="1">
      <x:c r="A193" s="425" t="str">
        <x:v>2026-09-12</x:v>
      </x:c>
      <x:c r="B193" s="425" t="str">
        <x:v>Soccer</x:v>
      </x:c>
      <x:c r="C193" s="425" t="str">
        <x:v>EPL</x:v>
      </x:c>
      <x:c r="D193" s="425" t="str">
        <x:v>Brentford at AFC Bournemouth</x:v>
      </x:c>
      <x:c r="E193" s="425" t="str">
        <x:v>2026-09-12T14:00Z</x:v>
      </x:c>
      <x:c r="F193" s="425" t="str">
        <x:v>PROSPECTIVE</x:v>
      </x:c>
      <x:c r="G193" s="425" t="str">
        <x:v>AFC Bournemouth</x:v>
      </x:c>
      <x:c r="H193" s="425" t="str">
        <x:v>Scheduled team; player lineup and specialist roles unconfirmed</x:v>
      </x:c>
      <x:c r="I193" s="425" t="str">
        <x:v>Official ESPN schedule lists AFC Bournemouth at 0-2-1. Current starters, depth-chart usage, injuries and specialist roles require later confirmation.</x:v>
      </x:c>
      <x:c r="J193" s="425" t="str"/>
      <x:c r="K193" s="425" t="str"/>
      <x:c r="L193" s="425" t="str">
        <x:v>https://www.espn.com/soccer/scoreboard/_/league/eng.1/date/20260912</x:v>
      </x:c>
    </x:row>
    <x:row r="194" ht="38" customHeight="1">
      <x:c r="A194" s="425" t="str">
        <x:v>2026-09-12</x:v>
      </x:c>
      <x:c r="B194" s="425" t="str">
        <x:v>Soccer</x:v>
      </x:c>
      <x:c r="C194" s="425" t="str">
        <x:v>EPL</x:v>
      </x:c>
      <x:c r="D194" s="425" t="str">
        <x:v>Brentford at AFC Bournemouth</x:v>
      </x:c>
      <x:c r="E194" s="425" t="str">
        <x:v>2026-09-12T14:00Z</x:v>
      </x:c>
      <x:c r="F194" s="425" t="str">
        <x:v>PROSPECTIVE</x:v>
      </x:c>
      <x:c r="G194" s="425" t="str">
        <x:v>Brentford</x:v>
      </x:c>
      <x:c r="H194" s="425" t="str">
        <x:v>Scheduled team; player lineup and specialist roles unconfirmed</x:v>
      </x:c>
      <x:c r="I194" s="425" t="str">
        <x:v>Official ESPN schedule lists Brentford at 1-2-0. Current starters, depth-chart usage, injuries and specialist roles require later confirmation.</x:v>
      </x:c>
      <x:c r="J194" s="425" t="str"/>
      <x:c r="K194" s="425" t="str"/>
      <x:c r="L194" s="425" t="str">
        <x:v>https://www.espn.com/soccer/scoreboard/_/league/eng.1/date/20260912</x:v>
      </x:c>
    </x:row>
    <x:row r="195" ht="38" customHeight="1">
      <x:c r="A195" s="425" t="str">
        <x:v>2026-09-12</x:v>
      </x:c>
      <x:c r="B195" s="425" t="str">
        <x:v>Soccer</x:v>
      </x:c>
      <x:c r="C195" s="425" t="str">
        <x:v>EPL</x:v>
      </x:c>
      <x:c r="D195" s="425" t="str">
        <x:v>Nottingham Forest at Aston Villa</x:v>
      </x:c>
      <x:c r="E195" s="425" t="str">
        <x:v>2026-09-12T14:00Z</x:v>
      </x:c>
      <x:c r="F195" s="425" t="str">
        <x:v>PROSPECTIVE</x:v>
      </x:c>
      <x:c r="G195" s="425" t="str">
        <x:v>Aston Villa</x:v>
      </x:c>
      <x:c r="H195" s="425" t="str">
        <x:v>Scheduled team; player lineup and specialist roles unconfirmed</x:v>
      </x:c>
      <x:c r="I195" s="425" t="str">
        <x:v>Official ESPN schedule lists Aston Villa at 0-1-2. Current starters, depth-chart usage, injuries and specialist roles require later confirmation.</x:v>
      </x:c>
      <x:c r="J195" s="425" t="str"/>
      <x:c r="K195" s="425" t="str"/>
      <x:c r="L195" s="425" t="str">
        <x:v>https://www.espn.com/soccer/scoreboard/_/league/eng.1/date/20260912</x:v>
      </x:c>
    </x:row>
    <x:row r="196" ht="38" customHeight="1">
      <x:c r="A196" s="425" t="str">
        <x:v>2026-09-12</x:v>
      </x:c>
      <x:c r="B196" s="425" t="str">
        <x:v>Soccer</x:v>
      </x:c>
      <x:c r="C196" s="425" t="str">
        <x:v>EPL</x:v>
      </x:c>
      <x:c r="D196" s="425" t="str">
        <x:v>Nottingham Forest at Aston Villa</x:v>
      </x:c>
      <x:c r="E196" s="425" t="str">
        <x:v>2026-09-12T14:00Z</x:v>
      </x:c>
      <x:c r="F196" s="425" t="str">
        <x:v>PROSPECTIVE</x:v>
      </x:c>
      <x:c r="G196" s="425" t="str">
        <x:v>Nottingham Forest</x:v>
      </x:c>
      <x:c r="H196" s="425" t="str">
        <x:v>Scheduled team; player lineup and specialist roles unconfirmed</x:v>
      </x:c>
      <x:c r="I196" s="425" t="str">
        <x:v>Official ESPN schedule lists Nottingham Forest at 0-2-1. Current starters, depth-chart usage, injuries and specialist roles require later confirmation.</x:v>
      </x:c>
      <x:c r="J196" s="425" t="str"/>
      <x:c r="K196" s="425" t="str"/>
      <x:c r="L196" s="425" t="str">
        <x:v>https://www.espn.com/soccer/scoreboard/_/league/eng.1/date/20260912</x:v>
      </x:c>
    </x:row>
    <x:row r="197" ht="38" customHeight="1">
      <x:c r="A197" s="425" t="str">
        <x:v>2026-09-12</x:v>
      </x:c>
      <x:c r="B197" s="425" t="str">
        <x:v>Soccer</x:v>
      </x:c>
      <x:c r="C197" s="425" t="str">
        <x:v>EPL</x:v>
      </x:c>
      <x:c r="D197" s="425" t="str">
        <x:v>Hull City at Chelsea</x:v>
      </x:c>
      <x:c r="E197" s="425" t="str">
        <x:v>2026-09-12T14:00Z</x:v>
      </x:c>
      <x:c r="F197" s="425" t="str">
        <x:v>PROSPECTIVE</x:v>
      </x:c>
      <x:c r="G197" s="425" t="str">
        <x:v>Chelsea</x:v>
      </x:c>
      <x:c r="H197" s="425" t="str">
        <x:v>Scheduled team; player lineup and specialist roles unconfirmed</x:v>
      </x:c>
      <x:c r="I197" s="425" t="str">
        <x:v>Official ESPN schedule lists Chelsea at 2-0-1. Current starters, depth-chart usage, injuries and specialist roles require later confirmation.</x:v>
      </x:c>
      <x:c r="J197" s="425" t="str"/>
      <x:c r="K197" s="425" t="str"/>
      <x:c r="L197" s="425" t="str">
        <x:v>https://www.espn.com/soccer/scoreboard/_/league/eng.1/date/20260912</x:v>
      </x:c>
    </x:row>
    <x:row r="198" ht="38" customHeight="1">
      <x:c r="A198" s="425" t="str">
        <x:v>2026-09-12</x:v>
      </x:c>
      <x:c r="B198" s="425" t="str">
        <x:v>Soccer</x:v>
      </x:c>
      <x:c r="C198" s="425" t="str">
        <x:v>EPL</x:v>
      </x:c>
      <x:c r="D198" s="425" t="str">
        <x:v>Hull City at Chelsea</x:v>
      </x:c>
      <x:c r="E198" s="425" t="str">
        <x:v>2026-09-12T14:00Z</x:v>
      </x:c>
      <x:c r="F198" s="425" t="str">
        <x:v>PROSPECTIVE</x:v>
      </x:c>
      <x:c r="G198" s="425" t="str">
        <x:v>Hull City</x:v>
      </x:c>
      <x:c r="H198" s="425" t="str">
        <x:v>Scheduled team; player lineup and specialist roles unconfirmed</x:v>
      </x:c>
      <x:c r="I198" s="425" t="str">
        <x:v>Official ESPN schedule lists Hull City at 2-1-0. Current starters, depth-chart usage, injuries and specialist roles require later confirmation.</x:v>
      </x:c>
      <x:c r="J198" s="425" t="str"/>
      <x:c r="K198" s="425" t="str"/>
      <x:c r="L198" s="425" t="str">
        <x:v>https://www.espn.com/soccer/scoreboard/_/league/eng.1/date/20260912</x:v>
      </x:c>
    </x:row>
    <x:row r="199" ht="38" customHeight="1">
      <x:c r="A199" s="425" t="str">
        <x:v>2026-09-12</x:v>
      </x:c>
      <x:c r="B199" s="425" t="str">
        <x:v>Soccer</x:v>
      </x:c>
      <x:c r="C199" s="425" t="str">
        <x:v>EPL</x:v>
      </x:c>
      <x:c r="D199" s="425" t="str">
        <x:v>Ipswich Town at Crystal Palace</x:v>
      </x:c>
      <x:c r="E199" s="425" t="str">
        <x:v>2026-09-12T14:00Z</x:v>
      </x:c>
      <x:c r="F199" s="425" t="str">
        <x:v>PROSPECTIVE</x:v>
      </x:c>
      <x:c r="G199" s="425" t="str">
        <x:v>Crystal Palace</x:v>
      </x:c>
      <x:c r="H199" s="425" t="str">
        <x:v>Scheduled team; player lineup and specialist roles unconfirmed</x:v>
      </x:c>
      <x:c r="I199" s="425" t="str">
        <x:v>Official ESPN schedule lists Crystal Palace at 1-0-2. Current starters, depth-chart usage, injuries and specialist roles require later confirmation.</x:v>
      </x:c>
      <x:c r="J199" s="425" t="str"/>
      <x:c r="K199" s="425" t="str"/>
      <x:c r="L199" s="425" t="str">
        <x:v>https://www.espn.com/soccer/scoreboard/_/league/eng.1/date/20260912</x:v>
      </x:c>
    </x:row>
    <x:row r="200" ht="38" customHeight="1">
      <x:c r="A200" s="425" t="str">
        <x:v>2026-09-12</x:v>
      </x:c>
      <x:c r="B200" s="425" t="str">
        <x:v>Soccer</x:v>
      </x:c>
      <x:c r="C200" s="425" t="str">
        <x:v>EPL</x:v>
      </x:c>
      <x:c r="D200" s="425" t="str">
        <x:v>Ipswich Town at Crystal Palace</x:v>
      </x:c>
      <x:c r="E200" s="425" t="str">
        <x:v>2026-09-12T14:00Z</x:v>
      </x:c>
      <x:c r="F200" s="425" t="str">
        <x:v>PROSPECTIVE</x:v>
      </x:c>
      <x:c r="G200" s="425" t="str">
        <x:v>Ipswich Town</x:v>
      </x:c>
      <x:c r="H200" s="425" t="str">
        <x:v>Scheduled team; player lineup and specialist roles unconfirmed</x:v>
      </x:c>
      <x:c r="I200" s="425" t="str">
        <x:v>Official ESPN schedule lists Ipswich Town at 1-0-2. Current starters, depth-chart usage, injuries and specialist roles require later confirmation.</x:v>
      </x:c>
      <x:c r="J200" s="425" t="str"/>
      <x:c r="K200" s="425" t="str"/>
      <x:c r="L200" s="425" t="str">
        <x:v>https://www.espn.com/soccer/scoreboard/_/league/eng.1/date/20260912</x:v>
      </x:c>
    </x:row>
    <x:row r="201" ht="38" customHeight="1">
      <x:c r="A201" s="425" t="str">
        <x:v>2026-09-12</x:v>
      </x:c>
      <x:c r="B201" s="425" t="str">
        <x:v>Soccer</x:v>
      </x:c>
      <x:c r="C201" s="425" t="str">
        <x:v>EPL</x:v>
      </x:c>
      <x:c r="D201" s="425" t="str">
        <x:v>Fulham at Liverpool</x:v>
      </x:c>
      <x:c r="E201" s="425" t="str">
        <x:v>2026-09-12T14:00Z</x:v>
      </x:c>
      <x:c r="F201" s="425" t="str">
        <x:v>PROSPECTIVE</x:v>
      </x:c>
      <x:c r="G201" s="425" t="str">
        <x:v>Liverpool</x:v>
      </x:c>
      <x:c r="H201" s="425" t="str">
        <x:v>Scheduled team; player lineup and specialist roles unconfirmed</x:v>
      </x:c>
      <x:c r="I201" s="425" t="str">
        <x:v>Official ESPN schedule lists Liverpool at 1-2-0. Current starters, depth-chart usage, injuries and specialist roles require later confirmation.</x:v>
      </x:c>
      <x:c r="J201" s="425" t="str"/>
      <x:c r="K201" s="425" t="str"/>
      <x:c r="L201" s="425" t="str">
        <x:v>https://www.espn.com/soccer/scoreboard/_/league/eng.1/date/20260912</x:v>
      </x:c>
    </x:row>
    <x:row r="202" ht="38" customHeight="1">
      <x:c r="A202" s="425" t="str">
        <x:v>2026-09-12</x:v>
      </x:c>
      <x:c r="B202" s="425" t="str">
        <x:v>Soccer</x:v>
      </x:c>
      <x:c r="C202" s="425" t="str">
        <x:v>EPL</x:v>
      </x:c>
      <x:c r="D202" s="425" t="str">
        <x:v>Fulham at Liverpool</x:v>
      </x:c>
      <x:c r="E202" s="425" t="str">
        <x:v>2026-09-12T14:00Z</x:v>
      </x:c>
      <x:c r="F202" s="425" t="str">
        <x:v>PROSPECTIVE</x:v>
      </x:c>
      <x:c r="G202" s="425" t="str">
        <x:v>Fulham</x:v>
      </x:c>
      <x:c r="H202" s="425" t="str">
        <x:v>Scheduled team; player lineup and specialist roles unconfirmed</x:v>
      </x:c>
      <x:c r="I202" s="425" t="str">
        <x:v>Official ESPN schedule lists Fulham at 0-0-3. Current starters, depth-chart usage, injuries and specialist roles require later confirmation.</x:v>
      </x:c>
      <x:c r="J202" s="425" t="str"/>
      <x:c r="K202" s="425" t="str"/>
      <x:c r="L202" s="425" t="str">
        <x:v>https://www.espn.com/soccer/scoreboard/_/league/eng.1/date/20260912</x:v>
      </x:c>
    </x:row>
    <x:row r="203" ht="38" customHeight="1">
      <x:c r="A203" s="425" t="str">
        <x:v>2026-09-12</x:v>
      </x:c>
      <x:c r="B203" s="425" t="str">
        <x:v>Soccer</x:v>
      </x:c>
      <x:c r="C203" s="425" t="str">
        <x:v>EPL</x:v>
      </x:c>
      <x:c r="D203" s="425" t="str">
        <x:v>Everton at Tottenham Hotspur</x:v>
      </x:c>
      <x:c r="E203" s="425" t="str">
        <x:v>2026-09-12T16:30Z</x:v>
      </x:c>
      <x:c r="F203" s="425" t="str">
        <x:v>PROSPECTIVE</x:v>
      </x:c>
      <x:c r="G203" s="425" t="str">
        <x:v>Tottenham Hotspur</x:v>
      </x:c>
      <x:c r="H203" s="425" t="str">
        <x:v>Scheduled team; player lineup and specialist roles unconfirmed</x:v>
      </x:c>
      <x:c r="I203" s="425" t="str">
        <x:v>Official ESPN schedule lists Tottenham Hotspur at 0-1-2. Current starters, depth-chart usage, injuries and specialist roles require later confirmation.</x:v>
      </x:c>
      <x:c r="J203" s="425" t="str"/>
      <x:c r="K203" s="425" t="str"/>
      <x:c r="L203" s="425" t="str">
        <x:v>https://www.espn.com/soccer/match/_/gameId/401879277/everton-tottenham-hotspur</x:v>
      </x:c>
    </x:row>
    <x:row r="204" ht="38" customHeight="1">
      <x:c r="A204" s="425" t="str">
        <x:v>2026-09-12</x:v>
      </x:c>
      <x:c r="B204" s="425" t="str">
        <x:v>Soccer</x:v>
      </x:c>
      <x:c r="C204" s="425" t="str">
        <x:v>EPL</x:v>
      </x:c>
      <x:c r="D204" s="425" t="str">
        <x:v>Everton at Tottenham Hotspur</x:v>
      </x:c>
      <x:c r="E204" s="425" t="str">
        <x:v>2026-09-12T16:30Z</x:v>
      </x:c>
      <x:c r="F204" s="425" t="str">
        <x:v>PROSPECTIVE</x:v>
      </x:c>
      <x:c r="G204" s="425" t="str">
        <x:v>Everton</x:v>
      </x:c>
      <x:c r="H204" s="425" t="str">
        <x:v>Scheduled team; player lineup and specialist roles unconfirmed</x:v>
      </x:c>
      <x:c r="I204" s="425" t="str">
        <x:v>Official ESPN schedule lists Everton at 1-2-0. Current starters, depth-chart usage, injuries and specialist roles require later confirmation.</x:v>
      </x:c>
      <x:c r="J204" s="425" t="str"/>
      <x:c r="K204" s="425" t="str"/>
      <x:c r="L204" s="425" t="str">
        <x:v>https://www.espn.com/soccer/match/_/gameId/401879277/everton-tottenham-hotspur</x:v>
      </x:c>
    </x:row>
    <x:row r="205" ht="38" customHeight="1">
      <x:c r="A205" s="425" t="str">
        <x:v>2026-09-12</x:v>
      </x:c>
      <x:c r="B205" s="425" t="str">
        <x:v>Soccer</x:v>
      </x:c>
      <x:c r="C205" s="425" t="str">
        <x:v>EPL</x:v>
      </x:c>
      <x:c r="D205" s="425" t="str">
        <x:v>Arsenal at Sunderland</x:v>
      </x:c>
      <x:c r="E205" s="425" t="str">
        <x:v>2026-09-12T19:00Z</x:v>
      </x:c>
      <x:c r="F205" s="425" t="str">
        <x:v>PROSPECTIVE</x:v>
      </x:c>
      <x:c r="G205" s="425" t="str">
        <x:v>Sunderland</x:v>
      </x:c>
      <x:c r="H205" s="425" t="str">
        <x:v>Scheduled team; player lineup and specialist roles unconfirmed</x:v>
      </x:c>
      <x:c r="I205" s="425" t="str">
        <x:v>Official ESPN schedule lists Sunderland at 1-1-1. Current starters, depth-chart usage, injuries and specialist roles require later confirmation.</x:v>
      </x:c>
      <x:c r="J205" s="425" t="str"/>
      <x:c r="K205" s="425" t="str"/>
      <x:c r="L205" s="425" t="str">
        <x:v>https://www.espn.com/soccer/match/_/gameId/401878779/arsenal-sunderland</x:v>
      </x:c>
    </x:row>
    <x:row r="206" ht="38" customHeight="1">
      <x:c r="A206" s="425" t="str">
        <x:v>2026-09-12</x:v>
      </x:c>
      <x:c r="B206" s="425" t="str">
        <x:v>Soccer</x:v>
      </x:c>
      <x:c r="C206" s="425" t="str">
        <x:v>EPL</x:v>
      </x:c>
      <x:c r="D206" s="425" t="str">
        <x:v>Arsenal at Sunderland</x:v>
      </x:c>
      <x:c r="E206" s="425" t="str">
        <x:v>2026-09-12T19:00Z</x:v>
      </x:c>
      <x:c r="F206" s="425" t="str">
        <x:v>PROSPECTIVE</x:v>
      </x:c>
      <x:c r="G206" s="425" t="str">
        <x:v>Arsenal</x:v>
      </x:c>
      <x:c r="H206" s="425" t="str">
        <x:v>Scheduled team; player lineup and specialist roles unconfirmed</x:v>
      </x:c>
      <x:c r="I206" s="425" t="str">
        <x:v>Official ESPN schedule lists Arsenal at 3-0-0. Current starters, depth-chart usage, injuries and specialist roles require later confirmation.</x:v>
      </x:c>
      <x:c r="J206" s="425" t="str"/>
      <x:c r="K206" s="425" t="str"/>
      <x:c r="L206" s="425" t="str">
        <x:v>https://www.espn.com/soccer/match/_/gameId/401878779/arsenal-sunderland</x:v>
      </x:c>
    </x:row>
    <x:row r="207" ht="38" customHeight="1">
      <x:c r="A207" s="425" t="str">
        <x:v>2026-09-12</x:v>
      </x:c>
      <x:c r="B207" s="425" t="str">
        <x:v>Soccer</x:v>
      </x:c>
      <x:c r="C207" s="425" t="str">
        <x:v>LA LIGA</x:v>
      </x:c>
      <x:c r="D207" s="425" t="str">
        <x:v>Alavés at Racing Santander</x:v>
      </x:c>
      <x:c r="E207" s="425" t="str">
        <x:v>2026-09-12T12:00Z</x:v>
      </x:c>
      <x:c r="F207" s="425" t="str">
        <x:v>PROSPECTIVE</x:v>
      </x:c>
      <x:c r="G207" s="425" t="str">
        <x:v>Racing Santander</x:v>
      </x:c>
      <x:c r="H207" s="425" t="str">
        <x:v>Scheduled team; player lineup and specialist roles unconfirmed</x:v>
      </x:c>
      <x:c r="I207" s="425" t="str">
        <x:v>Official ESPN schedule lists Racing Santander at 2-1-2. Current starters, depth-chart usage, injuries and specialist roles require later confirmation.</x:v>
      </x:c>
      <x:c r="J207" s="425" t="str"/>
      <x:c r="K207" s="425" t="str"/>
      <x:c r="L207" s="425" t="str">
        <x:v>https://www.espn.com/soccer/match/_/gameId/401882881/alaves-racing-santander</x:v>
      </x:c>
    </x:row>
    <x:row r="208" ht="38" customHeight="1">
      <x:c r="A208" s="425" t="str">
        <x:v>2026-09-12</x:v>
      </x:c>
      <x:c r="B208" s="425" t="str">
        <x:v>Soccer</x:v>
      </x:c>
      <x:c r="C208" s="425" t="str">
        <x:v>LA LIGA</x:v>
      </x:c>
      <x:c r="D208" s="425" t="str">
        <x:v>Alavés at Racing Santander</x:v>
      </x:c>
      <x:c r="E208" s="425" t="str">
        <x:v>2026-09-12T12:00Z</x:v>
      </x:c>
      <x:c r="F208" s="425" t="str">
        <x:v>PROSPECTIVE</x:v>
      </x:c>
      <x:c r="G208" s="425" t="str">
        <x:v>Alavés</x:v>
      </x:c>
      <x:c r="H208" s="425" t="str">
        <x:v>Scheduled team; player lineup and specialist roles unconfirmed</x:v>
      </x:c>
      <x:c r="I208" s="425" t="str">
        <x:v>Official ESPN schedule lists Alavés at 3-1-1. Current starters, depth-chart usage, injuries and specialist roles require later confirmation.</x:v>
      </x:c>
      <x:c r="J208" s="425" t="str"/>
      <x:c r="K208" s="425" t="str"/>
      <x:c r="L208" s="425" t="str">
        <x:v>https://www.espn.com/soccer/match/_/gameId/401882881/alaves-racing-santander</x:v>
      </x:c>
    </x:row>
    <x:row r="209" ht="38" customHeight="1">
      <x:c r="A209" s="425" t="str">
        <x:v>2026-09-12</x:v>
      </x:c>
      <x:c r="B209" s="425" t="str">
        <x:v>Soccer</x:v>
      </x:c>
      <x:c r="C209" s="425" t="str">
        <x:v>LA LIGA</x:v>
      </x:c>
      <x:c r="D209" s="425" t="str">
        <x:v>Espanyol at Osasuna</x:v>
      </x:c>
      <x:c r="E209" s="425" t="str">
        <x:v>2026-09-12T14:15Z</x:v>
      </x:c>
      <x:c r="F209" s="425" t="str">
        <x:v>PROSPECTIVE</x:v>
      </x:c>
      <x:c r="G209" s="425" t="str">
        <x:v>Osasuna</x:v>
      </x:c>
      <x:c r="H209" s="425" t="str">
        <x:v>Scheduled team; player lineup and specialist roles unconfirmed</x:v>
      </x:c>
      <x:c r="I209" s="425" t="str">
        <x:v>Official ESPN schedule lists Osasuna at 2-1-1. Current starters, depth-chart usage, injuries and specialist roles require later confirmation.</x:v>
      </x:c>
      <x:c r="J209" s="425" t="str"/>
      <x:c r="K209" s="425" t="str"/>
      <x:c r="L209" s="425" t="str">
        <x:v>https://www.espn.com/soccer/match/_/gameId/401882882/espanyol-osasuna</x:v>
      </x:c>
    </x:row>
    <x:row r="210" ht="38" customHeight="1">
      <x:c r="A210" s="425" t="str">
        <x:v>2026-09-12</x:v>
      </x:c>
      <x:c r="B210" s="425" t="str">
        <x:v>Soccer</x:v>
      </x:c>
      <x:c r="C210" s="425" t="str">
        <x:v>LA LIGA</x:v>
      </x:c>
      <x:c r="D210" s="425" t="str">
        <x:v>Espanyol at Osasuna</x:v>
      </x:c>
      <x:c r="E210" s="425" t="str">
        <x:v>2026-09-12T14:15Z</x:v>
      </x:c>
      <x:c r="F210" s="425" t="str">
        <x:v>PROSPECTIVE</x:v>
      </x:c>
      <x:c r="G210" s="425" t="str">
        <x:v>Espanyol</x:v>
      </x:c>
      <x:c r="H210" s="425" t="str">
        <x:v>Scheduled team; player lineup and specialist roles unconfirmed</x:v>
      </x:c>
      <x:c r="I210" s="425" t="str">
        <x:v>Official ESPN schedule lists Espanyol at 1-1-2. Current starters, depth-chart usage, injuries and specialist roles require later confirmation.</x:v>
      </x:c>
      <x:c r="J210" s="425" t="str"/>
      <x:c r="K210" s="425" t="str"/>
      <x:c r="L210" s="425" t="str">
        <x:v>https://www.espn.com/soccer/match/_/gameId/401882882/espanyol-osasuna</x:v>
      </x:c>
    </x:row>
    <x:row r="211" ht="38" customHeight="1">
      <x:c r="A211" s="425" t="str">
        <x:v>2026-09-12</x:v>
      </x:c>
      <x:c r="B211" s="425" t="str">
        <x:v>Soccer</x:v>
      </x:c>
      <x:c r="C211" s="425" t="str">
        <x:v>LA LIGA</x:v>
      </x:c>
      <x:c r="D211" s="425" t="str">
        <x:v>Elche at Athletic Club</x:v>
      </x:c>
      <x:c r="E211" s="425" t="str">
        <x:v>2026-09-12T16:30Z</x:v>
      </x:c>
      <x:c r="F211" s="425" t="str">
        <x:v>PROSPECTIVE</x:v>
      </x:c>
      <x:c r="G211" s="425" t="str">
        <x:v>Athletic Club</x:v>
      </x:c>
      <x:c r="H211" s="425" t="str">
        <x:v>Scheduled team; player lineup and specialist roles unconfirmed</x:v>
      </x:c>
      <x:c r="I211" s="425" t="str">
        <x:v>Official ESPN schedule lists Athletic Club at 2-0-2. Current starters, depth-chart usage, injuries and specialist roles require later confirmation.</x:v>
      </x:c>
      <x:c r="J211" s="425" t="str"/>
      <x:c r="K211" s="425" t="str"/>
      <x:c r="L211" s="425" t="str">
        <x:v>https://www.espn.com/soccer/match/_/gameId/401882886/elche-athletic-club</x:v>
      </x:c>
    </x:row>
    <x:row r="212" ht="38" customHeight="1">
      <x:c r="A212" s="425" t="str">
        <x:v>2026-09-12</x:v>
      </x:c>
      <x:c r="B212" s="425" t="str">
        <x:v>Soccer</x:v>
      </x:c>
      <x:c r="C212" s="425" t="str">
        <x:v>LA LIGA</x:v>
      </x:c>
      <x:c r="D212" s="425" t="str">
        <x:v>Elche at Athletic Club</x:v>
      </x:c>
      <x:c r="E212" s="425" t="str">
        <x:v>2026-09-12T16:30Z</x:v>
      </x:c>
      <x:c r="F212" s="425" t="str">
        <x:v>PROSPECTIVE</x:v>
      </x:c>
      <x:c r="G212" s="425" t="str">
        <x:v>Elche</x:v>
      </x:c>
      <x:c r="H212" s="425" t="str">
        <x:v>Scheduled team; player lineup and specialist roles unconfirmed</x:v>
      </x:c>
      <x:c r="I212" s="425" t="str">
        <x:v>Official ESPN schedule lists Elche at 0-1-3. Current starters, depth-chart usage, injuries and specialist roles require later confirmation.</x:v>
      </x:c>
      <x:c r="J212" s="425" t="str"/>
      <x:c r="K212" s="425" t="str"/>
      <x:c r="L212" s="425" t="str">
        <x:v>https://www.espn.com/soccer/match/_/gameId/401882886/elche-athletic-club</x:v>
      </x:c>
    </x:row>
    <x:row r="213" ht="38" customHeight="1">
      <x:c r="A213" s="425" t="str">
        <x:v>2026-09-12</x:v>
      </x:c>
      <x:c r="B213" s="425" t="str">
        <x:v>Soccer</x:v>
      </x:c>
      <x:c r="C213" s="425" t="str">
        <x:v>LA LIGA</x:v>
      </x:c>
      <x:c r="D213" s="425" t="str">
        <x:v>Rayo Vallecano at Real Madrid</x:v>
      </x:c>
      <x:c r="E213" s="425" t="str">
        <x:v>2026-09-12T19:00Z</x:v>
      </x:c>
      <x:c r="F213" s="425" t="str">
        <x:v>PROSPECTIVE</x:v>
      </x:c>
      <x:c r="G213" s="425" t="str">
        <x:v>Real Madrid</x:v>
      </x:c>
      <x:c r="H213" s="425" t="str">
        <x:v>Scheduled team; player lineup and specialist roles unconfirmed</x:v>
      </x:c>
      <x:c r="I213" s="425" t="str">
        <x:v>Official ESPN schedule lists Real Madrid at 3-0-1. Current starters, depth-chart usage, injuries and specialist roles require later confirmation.</x:v>
      </x:c>
      <x:c r="J213" s="425" t="str"/>
      <x:c r="K213" s="425" t="str"/>
      <x:c r="L213" s="425" t="str">
        <x:v>https://www.espn.com/soccer/match/_/gameId/401882880/rayo-vallecano-real-madrid</x:v>
      </x:c>
    </x:row>
    <x:row r="214" ht="38" customHeight="1">
      <x:c r="A214" s="425" t="str">
        <x:v>2026-09-12</x:v>
      </x:c>
      <x:c r="B214" s="425" t="str">
        <x:v>Soccer</x:v>
      </x:c>
      <x:c r="C214" s="425" t="str">
        <x:v>LA LIGA</x:v>
      </x:c>
      <x:c r="D214" s="425" t="str">
        <x:v>Rayo Vallecano at Real Madrid</x:v>
      </x:c>
      <x:c r="E214" s="425" t="str">
        <x:v>2026-09-12T19:00Z</x:v>
      </x:c>
      <x:c r="F214" s="425" t="str">
        <x:v>PROSPECTIVE</x:v>
      </x:c>
      <x:c r="G214" s="425" t="str">
        <x:v>Rayo Vallecano</x:v>
      </x:c>
      <x:c r="H214" s="425" t="str">
        <x:v>Scheduled team; player lineup and specialist roles unconfirmed</x:v>
      </x:c>
      <x:c r="I214" s="425" t="str">
        <x:v>Official ESPN schedule lists Rayo Vallecano at 1-1-2. Current starters, depth-chart usage, injuries and specialist roles require later confirmation.</x:v>
      </x:c>
      <x:c r="J214" s="425" t="str"/>
      <x:c r="K214" s="425" t="str"/>
      <x:c r="L214" s="425" t="str">
        <x:v>https://www.espn.com/soccer/match/_/gameId/401882880/rayo-vallecano-real-madrid</x:v>
      </x:c>
    </x:row>
    <x:row r="215" ht="38" customHeight="1">
      <x:c r="A215" s="425" t="str">
        <x:v>2026-09-12</x:v>
      </x:c>
      <x:c r="B215" s="425" t="str">
        <x:v>Soccer</x:v>
      </x:c>
      <x:c r="C215" s="425" t="str">
        <x:v>BUNDESLIGA</x:v>
      </x:c>
      <x:c r="D215" s="425" t="str">
        <x:v>SC Paderborn 07 at Borussia Dortmund</x:v>
      </x:c>
      <x:c r="E215" s="425" t="str">
        <x:v>2026-09-12T13:30Z</x:v>
      </x:c>
      <x:c r="F215" s="425" t="str">
        <x:v>PROSPECTIVE</x:v>
      </x:c>
      <x:c r="G215" s="425" t="str">
        <x:v>Borussia Dortmund</x:v>
      </x:c>
      <x:c r="H215" s="425" t="str">
        <x:v>Scheduled team; player lineup and specialist roles unconfirmed</x:v>
      </x:c>
      <x:c r="I215" s="425" t="str">
        <x:v>Official ESPN schedule lists Borussia Dortmund at 2-0-0. Current starters, depth-chart usage, injuries and specialist roles require later confirmation.</x:v>
      </x:c>
      <x:c r="J215" s="425" t="str"/>
      <x:c r="K215" s="425" t="str"/>
      <x:c r="L215" s="425" t="str">
        <x:v>https://www.espn.com/soccer/scoreboard/_/league/ger.1/date/20260912</x:v>
      </x:c>
    </x:row>
    <x:row r="216" ht="38" customHeight="1">
      <x:c r="A216" s="425" t="str">
        <x:v>2026-09-12</x:v>
      </x:c>
      <x:c r="B216" s="425" t="str">
        <x:v>Soccer</x:v>
      </x:c>
      <x:c r="C216" s="425" t="str">
        <x:v>BUNDESLIGA</x:v>
      </x:c>
      <x:c r="D216" s="425" t="str">
        <x:v>SC Paderborn 07 at Borussia Dortmund</x:v>
      </x:c>
      <x:c r="E216" s="425" t="str">
        <x:v>2026-09-12T13:30Z</x:v>
      </x:c>
      <x:c r="F216" s="425" t="str">
        <x:v>PROSPECTIVE</x:v>
      </x:c>
      <x:c r="G216" s="425" t="str">
        <x:v>SC Paderborn 07</x:v>
      </x:c>
      <x:c r="H216" s="425" t="str">
        <x:v>Scheduled team; player lineup and specialist roles unconfirmed</x:v>
      </x:c>
      <x:c r="I216" s="425" t="str">
        <x:v>Official ESPN schedule lists SC Paderborn 07 at 0-1-1. Current starters, depth-chart usage, injuries and specialist roles require later confirmation.</x:v>
      </x:c>
      <x:c r="J216" s="425" t="str"/>
      <x:c r="K216" s="425" t="str"/>
      <x:c r="L216" s="425" t="str">
        <x:v>https://www.espn.com/soccer/scoreboard/_/league/ger.1/date/20260912</x:v>
      </x:c>
    </x:row>
    <x:row r="217" ht="38" customHeight="1">
      <x:c r="A217" s="425" t="str">
        <x:v>2026-09-12</x:v>
      </x:c>
      <x:c r="B217" s="425" t="str">
        <x:v>Soccer</x:v>
      </x:c>
      <x:c r="C217" s="425" t="str">
        <x:v>BUNDESLIGA</x:v>
      </x:c>
      <x:c r="D217" s="425" t="str">
        <x:v>Bayer Leverkusen at FC Augsburg</x:v>
      </x:c>
      <x:c r="E217" s="425" t="str">
        <x:v>2026-09-12T13:30Z</x:v>
      </x:c>
      <x:c r="F217" s="425" t="str">
        <x:v>PROSPECTIVE</x:v>
      </x:c>
      <x:c r="G217" s="425" t="str">
        <x:v>FC Augsburg</x:v>
      </x:c>
      <x:c r="H217" s="425" t="str">
        <x:v>Scheduled team; player lineup and specialist roles unconfirmed</x:v>
      </x:c>
      <x:c r="I217" s="425" t="str">
        <x:v>Official ESPN schedule lists FC Augsburg at 2-0-0. Current starters, depth-chart usage, injuries and specialist roles require later confirmation.</x:v>
      </x:c>
      <x:c r="J217" s="425" t="str"/>
      <x:c r="K217" s="425" t="str"/>
      <x:c r="L217" s="425" t="str">
        <x:v>https://www.espn.com/soccer/scoreboard/_/league/ger.1/date/20260912</x:v>
      </x:c>
    </x:row>
    <x:row r="218" ht="38" customHeight="1">
      <x:c r="A218" s="425" t="str">
        <x:v>2026-09-12</x:v>
      </x:c>
      <x:c r="B218" s="425" t="str">
        <x:v>Soccer</x:v>
      </x:c>
      <x:c r="C218" s="425" t="str">
        <x:v>BUNDESLIGA</x:v>
      </x:c>
      <x:c r="D218" s="425" t="str">
        <x:v>Bayer Leverkusen at FC Augsburg</x:v>
      </x:c>
      <x:c r="E218" s="425" t="str">
        <x:v>2026-09-12T13:30Z</x:v>
      </x:c>
      <x:c r="F218" s="425" t="str">
        <x:v>PROSPECTIVE</x:v>
      </x:c>
      <x:c r="G218" s="425" t="str">
        <x:v>Bayer Leverkusen</x:v>
      </x:c>
      <x:c r="H218" s="425" t="str">
        <x:v>Scheduled team; player lineup and specialist roles unconfirmed</x:v>
      </x:c>
      <x:c r="I218" s="425" t="str">
        <x:v>Official ESPN schedule lists Bayer Leverkusen at 1-0-1. Current starters, depth-chart usage, injuries and specialist roles require later confirmation.</x:v>
      </x:c>
      <x:c r="J218" s="425" t="str"/>
      <x:c r="K218" s="425" t="str"/>
      <x:c r="L218" s="425" t="str">
        <x:v>https://www.espn.com/soccer/scoreboard/_/league/ger.1/date/20260912</x:v>
      </x:c>
    </x:row>
    <x:row r="219" ht="38" customHeight="1">
      <x:c r="A219" s="425" t="str">
        <x:v>2026-09-12</x:v>
      </x:c>
      <x:c r="B219" s="425" t="str">
        <x:v>Soccer</x:v>
      </x:c>
      <x:c r="C219" s="425" t="str">
        <x:v>BUNDESLIGA</x:v>
      </x:c>
      <x:c r="D219" s="425" t="str">
        <x:v>Eintracht Frankfurt at Mainz</x:v>
      </x:c>
      <x:c r="E219" s="425" t="str">
        <x:v>2026-09-12T13:30Z</x:v>
      </x:c>
      <x:c r="F219" s="425" t="str">
        <x:v>PROSPECTIVE</x:v>
      </x:c>
      <x:c r="G219" s="425" t="str">
        <x:v>Mainz</x:v>
      </x:c>
      <x:c r="H219" s="425" t="str">
        <x:v>Scheduled team; player lineup and specialist roles unconfirmed</x:v>
      </x:c>
      <x:c r="I219" s="425" t="str">
        <x:v>Official ESPN schedule lists Mainz at 1-1-0. Current starters, depth-chart usage, injuries and specialist roles require later confirmation.</x:v>
      </x:c>
      <x:c r="J219" s="425" t="str"/>
      <x:c r="K219" s="425" t="str"/>
      <x:c r="L219" s="425" t="str">
        <x:v>https://www.espn.com/soccer/scoreboard/_/league/ger.1/date/20260912</x:v>
      </x:c>
    </x:row>
    <x:row r="220" ht="38" customHeight="1">
      <x:c r="A220" s="425" t="str">
        <x:v>2026-09-12</x:v>
      </x:c>
      <x:c r="B220" s="425" t="str">
        <x:v>Soccer</x:v>
      </x:c>
      <x:c r="C220" s="425" t="str">
        <x:v>BUNDESLIGA</x:v>
      </x:c>
      <x:c r="D220" s="425" t="str">
        <x:v>Eintracht Frankfurt at Mainz</x:v>
      </x:c>
      <x:c r="E220" s="425" t="str">
        <x:v>2026-09-12T13:30Z</x:v>
      </x:c>
      <x:c r="F220" s="425" t="str">
        <x:v>PROSPECTIVE</x:v>
      </x:c>
      <x:c r="G220" s="425" t="str">
        <x:v>Eintracht Frankfurt</x:v>
      </x:c>
      <x:c r="H220" s="425" t="str">
        <x:v>Scheduled team; player lineup and specialist roles unconfirmed</x:v>
      </x:c>
      <x:c r="I220" s="425" t="str">
        <x:v>Official ESPN schedule lists Eintracht Frankfurt at 0-1-1. Current starters, depth-chart usage, injuries and specialist roles require later confirmation.</x:v>
      </x:c>
      <x:c r="J220" s="425" t="str"/>
      <x:c r="K220" s="425" t="str"/>
      <x:c r="L220" s="425" t="str">
        <x:v>https://www.espn.com/soccer/scoreboard/_/league/ger.1/date/20260912</x:v>
      </x:c>
    </x:row>
    <x:row r="221" ht="38" customHeight="1">
      <x:c r="A221" s="425" t="str">
        <x:v>2026-09-12</x:v>
      </x:c>
      <x:c r="B221" s="425" t="str">
        <x:v>Soccer</x:v>
      </x:c>
      <x:c r="C221" s="425" t="str">
        <x:v>BUNDESLIGA</x:v>
      </x:c>
      <x:c r="D221" s="425" t="str">
        <x:v>Borussia Mönchengladbach at SC Freiburg</x:v>
      </x:c>
      <x:c r="E221" s="425" t="str">
        <x:v>2026-09-12T13:30Z</x:v>
      </x:c>
      <x:c r="F221" s="425" t="str">
        <x:v>PROSPECTIVE</x:v>
      </x:c>
      <x:c r="G221" s="425" t="str">
        <x:v>SC Freiburg</x:v>
      </x:c>
      <x:c r="H221" s="425" t="str">
        <x:v>Scheduled team; player lineup and specialist roles unconfirmed</x:v>
      </x:c>
      <x:c r="I221" s="425" t="str">
        <x:v>Official ESPN schedule lists SC Freiburg at 2-0-0. Current starters, depth-chart usage, injuries and specialist roles require later confirmation.</x:v>
      </x:c>
      <x:c r="J221" s="425" t="str"/>
      <x:c r="K221" s="425" t="str"/>
      <x:c r="L221" s="425" t="str">
        <x:v>https://www.espn.com/soccer/scoreboard/_/league/ger.1/date/20260912</x:v>
      </x:c>
    </x:row>
    <x:row r="222" ht="38" customHeight="1">
      <x:c r="A222" s="425" t="str">
        <x:v>2026-09-12</x:v>
      </x:c>
      <x:c r="B222" s="425" t="str">
        <x:v>Soccer</x:v>
      </x:c>
      <x:c r="C222" s="425" t="str">
        <x:v>BUNDESLIGA</x:v>
      </x:c>
      <x:c r="D222" s="425" t="str">
        <x:v>Borussia Mönchengladbach at SC Freiburg</x:v>
      </x:c>
      <x:c r="E222" s="425" t="str">
        <x:v>2026-09-12T13:30Z</x:v>
      </x:c>
      <x:c r="F222" s="425" t="str">
        <x:v>PROSPECTIVE</x:v>
      </x:c>
      <x:c r="G222" s="425" t="str">
        <x:v>Borussia Mönchengladbach</x:v>
      </x:c>
      <x:c r="H222" s="425" t="str">
        <x:v>Scheduled team; player lineup and specialist roles unconfirmed</x:v>
      </x:c>
      <x:c r="I222" s="425" t="str">
        <x:v>Official ESPN schedule lists Borussia Mönchengladbach at 0-0-2. Current starters, depth-chart usage, injuries and specialist roles require later confirmation.</x:v>
      </x:c>
      <x:c r="J222" s="425" t="str"/>
      <x:c r="K222" s="425" t="str"/>
      <x:c r="L222" s="425" t="str">
        <x:v>https://www.espn.com/soccer/scoreboard/_/league/ger.1/date/20260912</x:v>
      </x:c>
    </x:row>
    <x:row r="223" ht="38" customHeight="1">
      <x:c r="A223" s="425" t="str">
        <x:v>2026-09-12</x:v>
      </x:c>
      <x:c r="B223" s="425" t="str">
        <x:v>Soccer</x:v>
      </x:c>
      <x:c r="C223" s="425" t="str">
        <x:v>BUNDESLIGA</x:v>
      </x:c>
      <x:c r="D223" s="425" t="str">
        <x:v>VfB Stuttgart at TSG Hoffenheim</x:v>
      </x:c>
      <x:c r="E223" s="425" t="str">
        <x:v>2026-09-12T13:30Z</x:v>
      </x:c>
      <x:c r="F223" s="425" t="str">
        <x:v>PROSPECTIVE</x:v>
      </x:c>
      <x:c r="G223" s="425" t="str">
        <x:v>TSG Hoffenheim</x:v>
      </x:c>
      <x:c r="H223" s="425" t="str">
        <x:v>Scheduled team; player lineup and specialist roles unconfirmed</x:v>
      </x:c>
      <x:c r="I223" s="425" t="str">
        <x:v>Official ESPN schedule lists TSG Hoffenheim at 0-0-2. Current starters, depth-chart usage, injuries and specialist roles require later confirmation.</x:v>
      </x:c>
      <x:c r="J223" s="425" t="str"/>
      <x:c r="K223" s="425" t="str"/>
      <x:c r="L223" s="425" t="str">
        <x:v>https://www.espn.com/soccer/scoreboard/_/league/ger.1/date/20260912</x:v>
      </x:c>
    </x:row>
    <x:row r="224" ht="38" customHeight="1">
      <x:c r="A224" s="425" t="str">
        <x:v>2026-09-12</x:v>
      </x:c>
      <x:c r="B224" s="425" t="str">
        <x:v>Soccer</x:v>
      </x:c>
      <x:c r="C224" s="425" t="str">
        <x:v>BUNDESLIGA</x:v>
      </x:c>
      <x:c r="D224" s="425" t="str">
        <x:v>VfB Stuttgart at TSG Hoffenheim</x:v>
      </x:c>
      <x:c r="E224" s="425" t="str">
        <x:v>2026-09-12T13:30Z</x:v>
      </x:c>
      <x:c r="F224" s="425" t="str">
        <x:v>PROSPECTIVE</x:v>
      </x:c>
      <x:c r="G224" s="425" t="str">
        <x:v>VfB Stuttgart</x:v>
      </x:c>
      <x:c r="H224" s="425" t="str">
        <x:v>Scheduled team; player lineup and specialist roles unconfirmed</x:v>
      </x:c>
      <x:c r="I224" s="425" t="str">
        <x:v>Official ESPN schedule lists VfB Stuttgart at 1-0-1. Current starters, depth-chart usage, injuries and specialist roles require later confirmation.</x:v>
      </x:c>
      <x:c r="J224" s="425" t="str"/>
      <x:c r="K224" s="425" t="str"/>
      <x:c r="L224" s="425" t="str">
        <x:v>https://www.espn.com/soccer/scoreboard/_/league/ger.1/date/20260912</x:v>
      </x:c>
    </x:row>
    <x:row r="225" ht="38" customHeight="1">
      <x:c r="A225" s="425" t="str">
        <x:v>2026-09-12</x:v>
      </x:c>
      <x:c r="B225" s="425" t="str">
        <x:v>Soccer</x:v>
      </x:c>
      <x:c r="C225" s="425" t="str">
        <x:v>BUNDESLIGA</x:v>
      </x:c>
      <x:c r="D225" s="425" t="str">
        <x:v>Werder Bremen at FC Cologne</x:v>
      </x:c>
      <x:c r="E225" s="425" t="str">
        <x:v>2026-09-12T16:30Z</x:v>
      </x:c>
      <x:c r="F225" s="425" t="str">
        <x:v>PROSPECTIVE</x:v>
      </x:c>
      <x:c r="G225" s="425" t="str">
        <x:v>FC Cologne</x:v>
      </x:c>
      <x:c r="H225" s="425" t="str">
        <x:v>Scheduled team; player lineup and specialist roles unconfirmed</x:v>
      </x:c>
      <x:c r="I225" s="425" t="str">
        <x:v>Official ESPN schedule lists FC Cologne at 1-0-1. Current starters, depth-chart usage, injuries and specialist roles require later confirmation.</x:v>
      </x:c>
      <x:c r="J225" s="425" t="str"/>
      <x:c r="K225" s="425" t="str"/>
      <x:c r="L225" s="425" t="str">
        <x:v>https://www.espn.com/soccer/match/_/gameId/401884792/werder-bremen-fc-cologne</x:v>
      </x:c>
    </x:row>
    <x:row r="226" ht="38" customHeight="1">
      <x:c r="A226" s="425" t="str">
        <x:v>2026-09-12</x:v>
      </x:c>
      <x:c r="B226" s="425" t="str">
        <x:v>Soccer</x:v>
      </x:c>
      <x:c r="C226" s="425" t="str">
        <x:v>BUNDESLIGA</x:v>
      </x:c>
      <x:c r="D226" s="425" t="str">
        <x:v>Werder Bremen at FC Cologne</x:v>
      </x:c>
      <x:c r="E226" s="425" t="str">
        <x:v>2026-09-12T16:30Z</x:v>
      </x:c>
      <x:c r="F226" s="425" t="str">
        <x:v>PROSPECTIVE</x:v>
      </x:c>
      <x:c r="G226" s="425" t="str">
        <x:v>Werder Bremen</x:v>
      </x:c>
      <x:c r="H226" s="425" t="str">
        <x:v>Scheduled team; player lineup and specialist roles unconfirmed</x:v>
      </x:c>
      <x:c r="I226" s="425" t="str">
        <x:v>Official ESPN schedule lists Werder Bremen at 1-0-1. Current starters, depth-chart usage, injuries and specialist roles require later confirmation.</x:v>
      </x:c>
      <x:c r="J226" s="425" t="str"/>
      <x:c r="K226" s="425" t="str"/>
      <x:c r="L226" s="425" t="str">
        <x:v>https://www.espn.com/soccer/match/_/gameId/401884792/werder-bremen-fc-cologne</x:v>
      </x:c>
    </x:row>
    <x:row r="227" ht="38" customHeight="1">
      <x:c r="A227" s="425" t="str">
        <x:v>2026-09-12</x:v>
      </x:c>
      <x:c r="B227" s="425" t="str">
        <x:v>Soccer</x:v>
      </x:c>
      <x:c r="C227" s="425" t="str">
        <x:v>SERIE A</x:v>
      </x:c>
      <x:c r="D227" s="425" t="str">
        <x:v>Frosinone at Genoa</x:v>
      </x:c>
      <x:c r="E227" s="425" t="str">
        <x:v>2026-09-12T13:00Z</x:v>
      </x:c>
      <x:c r="F227" s="425" t="str">
        <x:v>PROSPECTIVE</x:v>
      </x:c>
      <x:c r="G227" s="425" t="str">
        <x:v>Genoa</x:v>
      </x:c>
      <x:c r="H227" s="425" t="str">
        <x:v>Scheduled team; player lineup and specialist roles unconfirmed</x:v>
      </x:c>
      <x:c r="I227" s="425" t="str">
        <x:v>Official ESPN schedule lists Genoa at 0-0-3. Current starters, depth-chart usage, injuries and specialist roles require later confirmation.</x:v>
      </x:c>
      <x:c r="J227" s="425" t="str"/>
      <x:c r="K227" s="425" t="str"/>
      <x:c r="L227" s="425" t="str">
        <x:v>https://www.espn.com/soccer/scoreboard/_/league/ita.1/date/20260912</x:v>
      </x:c>
    </x:row>
    <x:row r="228" ht="38" customHeight="1">
      <x:c r="A228" s="425" t="str">
        <x:v>2026-09-12</x:v>
      </x:c>
      <x:c r="B228" s="425" t="str">
        <x:v>Soccer</x:v>
      </x:c>
      <x:c r="C228" s="425" t="str">
        <x:v>SERIE A</x:v>
      </x:c>
      <x:c r="D228" s="425" t="str">
        <x:v>Frosinone at Genoa</x:v>
      </x:c>
      <x:c r="E228" s="425" t="str">
        <x:v>2026-09-12T13:00Z</x:v>
      </x:c>
      <x:c r="F228" s="425" t="str">
        <x:v>PROSPECTIVE</x:v>
      </x:c>
      <x:c r="G228" s="425" t="str">
        <x:v>Frosinone</x:v>
      </x:c>
      <x:c r="H228" s="425" t="str">
        <x:v>Scheduled team; player lineup and specialist roles unconfirmed</x:v>
      </x:c>
      <x:c r="I228" s="425" t="str">
        <x:v>Official ESPN schedule lists Frosinone at 2-0-1. Current starters, depth-chart usage, injuries and specialist roles require later confirmation.</x:v>
      </x:c>
      <x:c r="J228" s="425" t="str"/>
      <x:c r="K228" s="425" t="str"/>
      <x:c r="L228" s="425" t="str">
        <x:v>https://www.espn.com/soccer/scoreboard/_/league/ita.1/date/20260912</x:v>
      </x:c>
    </x:row>
    <x:row r="229" ht="38" customHeight="1">
      <x:c r="A229" s="425" t="str">
        <x:v>2026-09-12</x:v>
      </x:c>
      <x:c r="B229" s="425" t="str">
        <x:v>Soccer</x:v>
      </x:c>
      <x:c r="C229" s="425" t="str">
        <x:v>SERIE A</x:v>
      </x:c>
      <x:c r="D229" s="425" t="str">
        <x:v>AC Milan at Lazio</x:v>
      </x:c>
      <x:c r="E229" s="425" t="str">
        <x:v>2026-09-12T16:00Z</x:v>
      </x:c>
      <x:c r="F229" s="425" t="str">
        <x:v>PROSPECTIVE</x:v>
      </x:c>
      <x:c r="G229" s="425" t="str">
        <x:v>Lazio</x:v>
      </x:c>
      <x:c r="H229" s="425" t="str">
        <x:v>Scheduled team; player lineup and specialist roles unconfirmed</x:v>
      </x:c>
      <x:c r="I229" s="425" t="str">
        <x:v>Official ESPN schedule lists Lazio at 3-0-0. Current starters, depth-chart usage, injuries and specialist roles require later confirmation.</x:v>
      </x:c>
      <x:c r="J229" s="425" t="str"/>
      <x:c r="K229" s="425" t="str"/>
      <x:c r="L229" s="425" t="str">
        <x:v>https://www.espn.com/soccer/match/_/gameId/401874941/ac-milan-lazio</x:v>
      </x:c>
    </x:row>
    <x:row r="230" ht="38" customHeight="1">
      <x:c r="A230" s="425" t="str">
        <x:v>2026-09-12</x:v>
      </x:c>
      <x:c r="B230" s="425" t="str">
        <x:v>Soccer</x:v>
      </x:c>
      <x:c r="C230" s="425" t="str">
        <x:v>SERIE A</x:v>
      </x:c>
      <x:c r="D230" s="425" t="str">
        <x:v>AC Milan at Lazio</x:v>
      </x:c>
      <x:c r="E230" s="425" t="str">
        <x:v>2026-09-12T16:00Z</x:v>
      </x:c>
      <x:c r="F230" s="425" t="str">
        <x:v>PROSPECTIVE</x:v>
      </x:c>
      <x:c r="G230" s="425" t="str">
        <x:v>AC Milan</x:v>
      </x:c>
      <x:c r="H230" s="425" t="str">
        <x:v>Scheduled team; player lineup and specialist roles unconfirmed</x:v>
      </x:c>
      <x:c r="I230" s="425" t="str">
        <x:v>Official ESPN schedule lists AC Milan at 2-1-0. Current starters, depth-chart usage, injuries and specialist roles require later confirmation.</x:v>
      </x:c>
      <x:c r="J230" s="425" t="str"/>
      <x:c r="K230" s="425" t="str"/>
      <x:c r="L230" s="425" t="str">
        <x:v>https://www.espn.com/soccer/match/_/gameId/401874941/ac-milan-lazio</x:v>
      </x:c>
    </x:row>
    <x:row r="231" ht="38" customHeight="1">
      <x:c r="A231" s="425" t="str">
        <x:v>2026-09-12</x:v>
      </x:c>
      <x:c r="B231" s="425" t="str">
        <x:v>Soccer</x:v>
      </x:c>
      <x:c r="C231" s="425" t="str">
        <x:v>SERIE A</x:v>
      </x:c>
      <x:c r="D231" s="425" t="str">
        <x:v>Cagliari at Atalanta</x:v>
      </x:c>
      <x:c r="E231" s="425" t="str">
        <x:v>2026-09-12T18:45Z</x:v>
      </x:c>
      <x:c r="F231" s="425" t="str">
        <x:v>PROSPECTIVE</x:v>
      </x:c>
      <x:c r="G231" s="425" t="str">
        <x:v>Atalanta</x:v>
      </x:c>
      <x:c r="H231" s="425" t="str">
        <x:v>Scheduled team; player lineup and specialist roles unconfirmed</x:v>
      </x:c>
      <x:c r="I231" s="425" t="str">
        <x:v>Official ESPN schedule lists Atalanta at 2-0-1. Current starters, depth-chart usage, injuries and specialist roles require later confirmation.</x:v>
      </x:c>
      <x:c r="J231" s="425" t="str"/>
      <x:c r="K231" s="425" t="str"/>
      <x:c r="L231" s="425" t="str">
        <x:v>https://www.espn.com/soccer/match/_/gameId/401874979/cagliari-atalanta</x:v>
      </x:c>
    </x:row>
    <x:row r="232" ht="38" customHeight="1">
      <x:c r="A232" s="425" t="str">
        <x:v>2026-09-12</x:v>
      </x:c>
      <x:c r="B232" s="425" t="str">
        <x:v>Soccer</x:v>
      </x:c>
      <x:c r="C232" s="425" t="str">
        <x:v>SERIE A</x:v>
      </x:c>
      <x:c r="D232" s="425" t="str">
        <x:v>Cagliari at Atalanta</x:v>
      </x:c>
      <x:c r="E232" s="425" t="str">
        <x:v>2026-09-12T18:45Z</x:v>
      </x:c>
      <x:c r="F232" s="425" t="str">
        <x:v>PROSPECTIVE</x:v>
      </x:c>
      <x:c r="G232" s="425" t="str">
        <x:v>Cagliari</x:v>
      </x:c>
      <x:c r="H232" s="425" t="str">
        <x:v>Scheduled team; player lineup and specialist roles unconfirmed</x:v>
      </x:c>
      <x:c r="I232" s="425" t="str">
        <x:v>Official ESPN schedule lists Cagliari at 2-0-1. Current starters, depth-chart usage, injuries and specialist roles require later confirmation.</x:v>
      </x:c>
      <x:c r="J232" s="425" t="str"/>
      <x:c r="K232" s="425" t="str"/>
      <x:c r="L232" s="425" t="str">
        <x:v>https://www.espn.com/soccer/match/_/gameId/401874979/cagliari-atalanta</x:v>
      </x:c>
    </x:row>
    <x:row r="233" ht="38" customHeight="1">
      <x:c r="A233" s="425" t="str">
        <x:v>2026-09-12</x:v>
      </x:c>
      <x:c r="B233" s="425" t="str">
        <x:v>Soccer</x:v>
      </x:c>
      <x:c r="C233" s="425" t="str">
        <x:v>LIGUE 1</x:v>
      </x:c>
      <x:c r="D233" s="425" t="str">
        <x:v>AS Monaco at Strasbourg</x:v>
      </x:c>
      <x:c r="E233" s="425" t="str">
        <x:v>2026-09-12T15:15Z</x:v>
      </x:c>
      <x:c r="F233" s="425" t="str">
        <x:v>PROSPECTIVE</x:v>
      </x:c>
      <x:c r="G233" s="425" t="str">
        <x:v>Strasbourg</x:v>
      </x:c>
      <x:c r="H233" s="425" t="str">
        <x:v>Scheduled team; player lineup and specialist roles unconfirmed</x:v>
      </x:c>
      <x:c r="I233" s="425" t="str">
        <x:v>Official ESPN schedule lists Strasbourg at 2-0-1. Current starters, depth-chart usage, injuries and specialist roles require later confirmation.</x:v>
      </x:c>
      <x:c r="J233" s="425" t="str"/>
      <x:c r="K233" s="425" t="str"/>
      <x:c r="L233" s="425" t="str">
        <x:v>https://www.espn.com/soccer/match/_/gameId/401876458/as-monaco-strasbourg</x:v>
      </x:c>
    </x:row>
    <x:row r="234" ht="38" customHeight="1">
      <x:c r="A234" s="425" t="str">
        <x:v>2026-09-12</x:v>
      </x:c>
      <x:c r="B234" s="425" t="str">
        <x:v>Soccer</x:v>
      </x:c>
      <x:c r="C234" s="425" t="str">
        <x:v>LIGUE 1</x:v>
      </x:c>
      <x:c r="D234" s="425" t="str">
        <x:v>AS Monaco at Strasbourg</x:v>
      </x:c>
      <x:c r="E234" s="425" t="str">
        <x:v>2026-09-12T15:15Z</x:v>
      </x:c>
      <x:c r="F234" s="425" t="str">
        <x:v>PROSPECTIVE</x:v>
      </x:c>
      <x:c r="G234" s="425" t="str">
        <x:v>AS Monaco</x:v>
      </x:c>
      <x:c r="H234" s="425" t="str">
        <x:v>Scheduled team; player lineup and specialist roles unconfirmed</x:v>
      </x:c>
      <x:c r="I234" s="425" t="str">
        <x:v>Official ESPN schedule lists AS Monaco at 3-0-0. Current starters, depth-chart usage, injuries and specialist roles require later confirmation.</x:v>
      </x:c>
      <x:c r="J234" s="425" t="str"/>
      <x:c r="K234" s="425" t="str"/>
      <x:c r="L234" s="425" t="str">
        <x:v>https://www.espn.com/soccer/match/_/gameId/401876458/as-monaco-strasbourg</x:v>
      </x:c>
    </x:row>
    <x:row r="235" ht="38" customHeight="1">
      <x:c r="A235" s="425" t="str">
        <x:v>2026-09-12</x:v>
      </x:c>
      <x:c r="B235" s="425" t="str">
        <x:v>Soccer</x:v>
      </x:c>
      <x:c r="C235" s="425" t="str">
        <x:v>LIGUE 1</x:v>
      </x:c>
      <x:c r="D235" s="425" t="str">
        <x:v>Nice at AJ Auxerre</x:v>
      </x:c>
      <x:c r="E235" s="425" t="str">
        <x:v>2026-09-12T18:45Z</x:v>
      </x:c>
      <x:c r="F235" s="425" t="str">
        <x:v>PROSPECTIVE</x:v>
      </x:c>
      <x:c r="G235" s="425" t="str">
        <x:v>AJ Auxerre</x:v>
      </x:c>
      <x:c r="H235" s="425" t="str">
        <x:v>Scheduled team; player lineup and specialist roles unconfirmed</x:v>
      </x:c>
      <x:c r="I235" s="425" t="str">
        <x:v>Official ESPN schedule lists AJ Auxerre at 0-0-3. Current starters, depth-chart usage, injuries and specialist roles require later confirmation.</x:v>
      </x:c>
      <x:c r="J235" s="425" t="str"/>
      <x:c r="K235" s="425" t="str"/>
      <x:c r="L235" s="425" t="str">
        <x:v>https://www.espn.com/soccer/match/_/gameId/401876466/nice-aj-auxerre</x:v>
      </x:c>
    </x:row>
    <x:row r="236" ht="38" customHeight="1">
      <x:c r="A236" s="425" t="str">
        <x:v>2026-09-12</x:v>
      </x:c>
      <x:c r="B236" s="425" t="str">
        <x:v>Soccer</x:v>
      </x:c>
      <x:c r="C236" s="425" t="str">
        <x:v>LIGUE 1</x:v>
      </x:c>
      <x:c r="D236" s="425" t="str">
        <x:v>Nice at AJ Auxerre</x:v>
      </x:c>
      <x:c r="E236" s="425" t="str">
        <x:v>2026-09-12T18:45Z</x:v>
      </x:c>
      <x:c r="F236" s="425" t="str">
        <x:v>PROSPECTIVE</x:v>
      </x:c>
      <x:c r="G236" s="425" t="str">
        <x:v>Nice</x:v>
      </x:c>
      <x:c r="H236" s="425" t="str">
        <x:v>Scheduled team; player lineup and specialist roles unconfirmed</x:v>
      </x:c>
      <x:c r="I236" s="425" t="str">
        <x:v>Official ESPN schedule lists Nice at 0-2-1. Current starters, depth-chart usage, injuries and specialist roles require later confirmation.</x:v>
      </x:c>
      <x:c r="J236" s="425" t="str"/>
      <x:c r="K236" s="425" t="str"/>
      <x:c r="L236" s="425" t="str">
        <x:v>https://www.espn.com/soccer/match/_/gameId/401876466/nice-aj-auxerre</x:v>
      </x:c>
    </x:row>
    <x:row r="237" ht="38" customHeight="1">
      <x:c r="A237" s="425" t="str">
        <x:v>2026-09-12</x:v>
      </x:c>
      <x:c r="B237" s="425" t="str">
        <x:v>Soccer</x:v>
      </x:c>
      <x:c r="C237" s="425" t="str">
        <x:v>LIGUE 1</x:v>
      </x:c>
      <x:c r="D237" s="425" t="str">
        <x:v>Angers at Le Havre AC</x:v>
      </x:c>
      <x:c r="E237" s="425" t="str">
        <x:v>2026-09-12T18:45Z</x:v>
      </x:c>
      <x:c r="F237" s="425" t="str">
        <x:v>PROSPECTIVE</x:v>
      </x:c>
      <x:c r="G237" s="425" t="str">
        <x:v>Le Havre AC</x:v>
      </x:c>
      <x:c r="H237" s="425" t="str">
        <x:v>Scheduled team; player lineup and specialist roles unconfirmed</x:v>
      </x:c>
      <x:c r="I237" s="425" t="str">
        <x:v>Official ESPN schedule lists Le Havre AC at 0-1-2. Current starters, depth-chart usage, injuries and specialist roles require later confirmation.</x:v>
      </x:c>
      <x:c r="J237" s="425" t="str"/>
      <x:c r="K237" s="425" t="str"/>
      <x:c r="L237" s="425" t="str">
        <x:v>https://www.espn.com/soccer/match/_/gameId/401876464/angers-le-havre-ac</x:v>
      </x:c>
    </x:row>
    <x:row r="238" ht="38" customHeight="1">
      <x:c r="A238" s="425" t="str">
        <x:v>2026-09-12</x:v>
      </x:c>
      <x:c r="B238" s="425" t="str">
        <x:v>Soccer</x:v>
      </x:c>
      <x:c r="C238" s="425" t="str">
        <x:v>LIGUE 1</x:v>
      </x:c>
      <x:c r="D238" s="425" t="str">
        <x:v>Angers at Le Havre AC</x:v>
      </x:c>
      <x:c r="E238" s="425" t="str">
        <x:v>2026-09-12T18:45Z</x:v>
      </x:c>
      <x:c r="F238" s="425" t="str">
        <x:v>PROSPECTIVE</x:v>
      </x:c>
      <x:c r="G238" s="425" t="str">
        <x:v>Angers</x:v>
      </x:c>
      <x:c r="H238" s="425" t="str">
        <x:v>Scheduled team; player lineup and specialist roles unconfirmed</x:v>
      </x:c>
      <x:c r="I238" s="425" t="str">
        <x:v>Official ESPN schedule lists Angers at 1-0-2. Current starters, depth-chart usage, injuries and specialist roles require later confirmation.</x:v>
      </x:c>
      <x:c r="J238" s="425" t="str"/>
      <x:c r="K238" s="425" t="str"/>
      <x:c r="L238" s="425" t="str">
        <x:v>https://www.espn.com/soccer/match/_/gameId/401876464/angers-le-havre-ac</x:v>
      </x:c>
    </x:row>
    <x:row r="239" ht="38" customHeight="1">
      <x:c r="A239" s="425" t="str">
        <x:v>2026-09-12</x:v>
      </x:c>
      <x:c r="B239" s="425" t="str">
        <x:v>Soccer</x:v>
      </x:c>
      <x:c r="C239" s="425" t="str">
        <x:v>LIGUE 1</x:v>
      </x:c>
      <x:c r="D239" s="425" t="str">
        <x:v>Toulouse at Lorient</x:v>
      </x:c>
      <x:c r="E239" s="425" t="str">
        <x:v>2026-09-12T18:45Z</x:v>
      </x:c>
      <x:c r="F239" s="425" t="str">
        <x:v>PROSPECTIVE</x:v>
      </x:c>
      <x:c r="G239" s="425" t="str">
        <x:v>Lorient</x:v>
      </x:c>
      <x:c r="H239" s="425" t="str">
        <x:v>Scheduled team; player lineup and specialist roles unconfirmed</x:v>
      </x:c>
      <x:c r="I239" s="425" t="str">
        <x:v>Official ESPN schedule lists Lorient at 1-1-1. Current starters, depth-chart usage, injuries and specialist roles require later confirmation.</x:v>
      </x:c>
      <x:c r="J239" s="425" t="str"/>
      <x:c r="K239" s="425" t="str"/>
      <x:c r="L239" s="425" t="str">
        <x:v>https://www.espn.com/soccer/match/_/gameId/401876461/toulouse-lorient</x:v>
      </x:c>
    </x:row>
    <x:row r="240" ht="38" customHeight="1">
      <x:c r="A240" s="425" t="str">
        <x:v>2026-09-12</x:v>
      </x:c>
      <x:c r="B240" s="425" t="str">
        <x:v>Soccer</x:v>
      </x:c>
      <x:c r="C240" s="425" t="str">
        <x:v>LIGUE 1</x:v>
      </x:c>
      <x:c r="D240" s="425" t="str">
        <x:v>Toulouse at Lorient</x:v>
      </x:c>
      <x:c r="E240" s="425" t="str">
        <x:v>2026-09-12T18:45Z</x:v>
      </x:c>
      <x:c r="F240" s="425" t="str">
        <x:v>PROSPECTIVE</x:v>
      </x:c>
      <x:c r="G240" s="425" t="str">
        <x:v>Toulouse</x:v>
      </x:c>
      <x:c r="H240" s="425" t="str">
        <x:v>Scheduled team; player lineup and specialist roles unconfirmed</x:v>
      </x:c>
      <x:c r="I240" s="425" t="str">
        <x:v>Official ESPN schedule lists Toulouse at 0-1-2. Current starters, depth-chart usage, injuries and specialist roles require later confirmation.</x:v>
      </x:c>
      <x:c r="J240" s="425" t="str"/>
      <x:c r="K240" s="425" t="str"/>
      <x:c r="L240" s="425" t="str">
        <x:v>https://www.espn.com/soccer/match/_/gameId/401876461/toulouse-lorient</x:v>
      </x:c>
    </x:row>
    <x:row r="241" ht="38" customHeight="1">
      <x:c r="A241" s="425" t="str">
        <x:v>2026-09-12</x:v>
      </x:c>
      <x:c r="B241" s="425" t="str">
        <x:v>Soccer</x:v>
      </x:c>
      <x:c r="C241" s="425" t="str">
        <x:v>LIGUE 1</x:v>
      </x:c>
      <x:c r="D241" s="425" t="str">
        <x:v>Lyon at Paris FC</x:v>
      </x:c>
      <x:c r="E241" s="425" t="str">
        <x:v>2026-09-12T18:45Z</x:v>
      </x:c>
      <x:c r="F241" s="425" t="str">
        <x:v>PROSPECTIVE</x:v>
      </x:c>
      <x:c r="G241" s="425" t="str">
        <x:v>Paris FC</x:v>
      </x:c>
      <x:c r="H241" s="425" t="str">
        <x:v>Scheduled team; player lineup and specialist roles unconfirmed</x:v>
      </x:c>
      <x:c r="I241" s="425" t="str">
        <x:v>Official ESPN schedule lists Paris FC at 2-1-0. Current starters, depth-chart usage, injuries and specialist roles require later confirmation.</x:v>
      </x:c>
      <x:c r="J241" s="425" t="str"/>
      <x:c r="K241" s="425" t="str"/>
      <x:c r="L241" s="425" t="str">
        <x:v>https://www.espn.com/soccer/match/_/gameId/401876460/lyon-paris-fc</x:v>
      </x:c>
    </x:row>
    <x:row r="242" ht="38" customHeight="1">
      <x:c r="A242" s="425" t="str">
        <x:v>2026-09-12</x:v>
      </x:c>
      <x:c r="B242" s="425" t="str">
        <x:v>Soccer</x:v>
      </x:c>
      <x:c r="C242" s="425" t="str">
        <x:v>LIGUE 1</x:v>
      </x:c>
      <x:c r="D242" s="425" t="str">
        <x:v>Lyon at Paris FC</x:v>
      </x:c>
      <x:c r="E242" s="425" t="str">
        <x:v>2026-09-12T18:45Z</x:v>
      </x:c>
      <x:c r="F242" s="425" t="str">
        <x:v>PROSPECTIVE</x:v>
      </x:c>
      <x:c r="G242" s="425" t="str">
        <x:v>Lyon</x:v>
      </x:c>
      <x:c r="H242" s="425" t="str">
        <x:v>Scheduled team; player lineup and specialist roles unconfirmed</x:v>
      </x:c>
      <x:c r="I242" s="425" t="str">
        <x:v>Official ESPN schedule lists Lyon at 2-1-0. Current starters, depth-chart usage, injuries and specialist roles require later confirmation.</x:v>
      </x:c>
      <x:c r="J242" s="425" t="str"/>
      <x:c r="K242" s="425" t="str"/>
      <x:c r="L242" s="425" t="str">
        <x:v>https://www.espn.com/soccer/match/_/gameId/401876460/lyon-paris-fc</x:v>
      </x:c>
    </x:row>
    <x:row r="243" ht="38" customHeight="1">
      <x:c r="A243" s="425" t="str">
        <x:v>2026-09-12</x:v>
      </x:c>
      <x:c r="B243" s="425" t="str">
        <x:v>MLB</x:v>
      </x:c>
      <x:c r="C243" s="425" t="str">
        <x:v>MLB</x:v>
      </x:c>
      <x:c r="D243" s="425" t="str">
        <x:v>Cleveland Guardians at Minnesota Twins</x:v>
      </x:c>
      <x:c r="E243" s="425" t="str"/>
      <x:c r="F243" s="425" t="str">
        <x:v>CANDIDATE</x:v>
      </x:c>
      <x:c r="G243" s="425" t="str">
        <x:v>Daniel Espino</x:v>
      </x:c>
      <x:c r="H243" s="425" t="str">
        <x:v>Probable away starter</x:v>
      </x:c>
      <x:c r="I243" s="425" t="str">
        <x:v>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  <x:c r="J243" s="425" t="str">
        <x:v>Pitcher strikeouts / outs</x:v>
      </x:c>
      <x:c r="K243" s="425" t="str">
        <x:v>INDEPENDENT</x:v>
      </x:c>
      <x:c r="L243" s="425" t="str">
        <x:v>https://www.mlb.com/gameday/823657</x:v>
      </x:c>
    </x:row>
    <x:row r="244" ht="38" customHeight="1">
      <x:c r="A244" s="425" t="str">
        <x:v>2026-09-12</x:v>
      </x:c>
      <x:c r="B244" s="425" t="str">
        <x:v>MLB</x:v>
      </x:c>
      <x:c r="C244" s="425" t="str">
        <x:v>MLB</x:v>
      </x:c>
      <x:c r="D244" s="425" t="str">
        <x:v>Los Angeles Dodgers at Miami Marlins</x:v>
      </x:c>
      <x:c r="E244" s="425" t="str"/>
      <x:c r="F244" s="425" t="str">
        <x:v>CANDIDATE</x:v>
      </x:c>
      <x:c r="G244" s="425" t="str">
        <x:v>Tyler Glasnow</x:v>
      </x:c>
      <x:c r="H244" s="425" t="str">
        <x:v>Probable away starter</x:v>
      </x:c>
      <x:c r="I244" s="425" t="str">
        <x:v>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  <x:c r="J244" s="425" t="str">
        <x:v>Pitcher strikeouts / outs</x:v>
      </x:c>
      <x:c r="K244" s="425" t="str">
        <x:v>INDEPENDENT</x:v>
      </x:c>
      <x:c r="L244" s="425" t="str">
        <x:v>https://www.mlb.com/gameday/823819</x:v>
      </x:c>
    </x:row>
    <x:row r="245" ht="38" customHeight="1">
      <x:c r="A245" s="425" t="str">
        <x:v>2026-09-12</x:v>
      </x:c>
      <x:c r="B245" s="425" t="str">
        <x:v>MLB</x:v>
      </x:c>
      <x:c r="C245" s="425" t="str">
        <x:v>MLB</x:v>
      </x:c>
      <x:c r="D245" s="425" t="str">
        <x:v>Houston Astros at Tampa Bay Rays</x:v>
      </x:c>
      <x:c r="E245" s="425" t="str"/>
      <x:c r="F245" s="425" t="str">
        <x:v>CANDIDATE</x:v>
      </x:c>
      <x:c r="G245" s="425" t="str">
        <x:v>Ian Seymour</x:v>
      </x:c>
      <x:c r="H245" s="425" t="str">
        <x:v>Probable home starter</x:v>
      </x:c>
      <x:c r="I245" s="425" t="str">
        <x:v>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  <x:c r="J245" s="425" t="str">
        <x:v>Pitcher strikeouts / outs</x:v>
      </x:c>
      <x:c r="K245" s="425" t="str">
        <x:v>INDEPENDENT</x:v>
      </x:c>
      <x:c r="L245" s="425" t="str">
        <x:v>https://www.mlb.com/gameday/822927</x:v>
      </x:c>
    </x:row>
    <x:row r="246" ht="38" customHeight="1">
      <x:c r="A246" s="425" t="str">
        <x:v>2026-09-12</x:v>
      </x:c>
      <x:c r="B246" s="425" t="str">
        <x:v>MLB</x:v>
      </x:c>
      <x:c r="C246" s="425" t="str">
        <x:v>MLB</x:v>
      </x:c>
      <x:c r="D246" s="425" t="str">
        <x:v>Pittsburgh Pirates at Chicago Cubs</x:v>
      </x:c>
      <x:c r="E246" s="425" t="str"/>
      <x:c r="F246" s="425" t="str">
        <x:v>CANDIDATE</x:v>
      </x:c>
      <x:c r="G246" s="425" t="str">
        <x:v>Paul Skenes</x:v>
      </x:c>
      <x:c r="H246" s="425" t="str">
        <x:v>Probable away starter</x:v>
      </x:c>
      <x:c r="I246" s="425" t="str">
        <x:v>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  <x:c r="J246" s="425" t="str">
        <x:v>Pitcher strikeouts / outs</x:v>
      </x:c>
      <x:c r="K246" s="425" t="str">
        <x:v>INDEPENDENT</x:v>
      </x:c>
      <x:c r="L246" s="425" t="str">
        <x:v>https://www.mlb.com/gameday/824630</x:v>
      </x:c>
    </x:row>
    <x:row r="247" ht="38" customHeight="1">
      <x:c r="A247" s="425" t="str">
        <x:v>2026-09-12</x:v>
      </x:c>
      <x:c r="B247" s="425" t="str">
        <x:v>MLB</x:v>
      </x:c>
      <x:c r="C247" s="425" t="str">
        <x:v>MLB</x:v>
      </x:c>
      <x:c r="D247" s="425" t="str">
        <x:v>Los Angeles Angels at Washington Nationals</x:v>
      </x:c>
      <x:c r="E247" s="425" t="str"/>
      <x:c r="F247" s="425" t="str">
        <x:v>CANDIDATE</x:v>
      </x:c>
      <x:c r="G247" s="425" t="str">
        <x:v>Walbert Ureña</x:v>
      </x:c>
      <x:c r="H247" s="425" t="str">
        <x:v>Probable away starter</x:v>
      </x:c>
      <x:c r="I247" s="425" t="str">
        <x:v>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  <x:c r="J247" s="425" t="str">
        <x:v>Pitcher walks allowed</x:v>
      </x:c>
      <x:c r="K247" s="425" t="str">
        <x:v>INDEPENDENT</x:v>
      </x:c>
      <x:c r="L247" s="425" t="str">
        <x:v>https://www.mlb.com/gameday/822685</x:v>
      </x:c>
    </x:row>
    <x:row r="248" ht="38" customHeight="1">
      <x:c r="A248" s="425" t="str">
        <x:v>2026-09-12</x:v>
      </x:c>
      <x:c r="B248" s="425" t="str">
        <x:v>MLB</x:v>
      </x:c>
      <x:c r="C248" s="425" t="str">
        <x:v>MLB</x:v>
      </x:c>
      <x:c r="D248" s="425" t="str">
        <x:v>Seattle Mariners at Athletics</x:v>
      </x:c>
      <x:c r="E248" s="425" t="str"/>
      <x:c r="F248" s="425" t="str">
        <x:v>CANDIDATE</x:v>
      </x:c>
      <x:c r="G248" s="425" t="str">
        <x:v>Gage Jump</x:v>
      </x:c>
      <x:c r="H248" s="425" t="str">
        <x:v>Probable home starter</x:v>
      </x:c>
      <x:c r="I248" s="425" t="str">
        <x:v>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  <x:c r="J248" s="425" t="str">
        <x:v>Pitcher walks allowed</x:v>
      </x:c>
      <x:c r="K248" s="425" t="str">
        <x:v>INDEPENDENT</x:v>
      </x:c>
      <x:c r="L248" s="425" t="str">
        <x:v>https://www.mlb.com/gameday/824955</x:v>
      </x:c>
    </x:row>
    <x:row r="249" ht="38" customHeight="1">
      <x:c r="A249" s="425" t="str">
        <x:v>2026-09-12</x:v>
      </x:c>
      <x:c r="B249" s="425" t="str">
        <x:v>MLB</x:v>
      </x:c>
      <x:c r="C249" s="425" t="str">
        <x:v>MLB</x:v>
      </x:c>
      <x:c r="D249" s="425" t="str">
        <x:v>Colorado Rockies at Detroit Tigers</x:v>
      </x:c>
      <x:c r="E249" s="425" t="str"/>
      <x:c r="F249" s="425" t="str">
        <x:v>CANDIDATE</x:v>
      </x:c>
      <x:c r="G249" s="425" t="str">
        <x:v>Tanner Gordon</x:v>
      </x:c>
      <x:c r="H249" s="425" t="str">
        <x:v>Probable away starter</x:v>
      </x:c>
      <x:c r="I249" s="425" t="str">
        <x:v>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  <x:c r="J249" s="425" t="str">
        <x:v>Pitcher hits allowed / outs</x:v>
      </x:c>
      <x:c r="K249" s="425" t="str">
        <x:v>INDEPENDENT</x:v>
      </x:c>
      <x:c r="L249" s="425" t="str">
        <x:v>https://www.mlb.com/gameday/824224</x:v>
      </x:c>
    </x:row>
    <x:row r="250" ht="38" customHeight="1">
      <x:c r="A250" s="425" t="str">
        <x:v>2026-09-12</x:v>
      </x:c>
      <x:c r="B250" s="425" t="str">
        <x:v>MLB</x:v>
      </x:c>
      <x:c r="C250" s="425" t="str">
        <x:v>MLB</x:v>
      </x:c>
      <x:c r="D250" s="425" t="str">
        <x:v>Cincinnati Reds at Milwaukee Brewers</x:v>
      </x:c>
      <x:c r="E250" s="425" t="str"/>
      <x:c r="F250" s="425" t="str">
        <x:v>CANDIDATE</x:v>
      </x:c>
      <x:c r="G250" s="425" t="str">
        <x:v>Brady Singer</x:v>
      </x:c>
      <x:c r="H250" s="425" t="str">
        <x:v>Probable away starter</x:v>
      </x:c>
      <x:c r="I250" s="425" t="str">
        <x:v>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  <x:c r="J250" s="425" t="str">
        <x:v>Pitcher hits allowed / outs</x:v>
      </x:c>
      <x:c r="K250" s="425" t="str">
        <x:v>INDEPENDENT</x:v>
      </x:c>
      <x:c r="L250" s="425" t="str">
        <x:v>https://www.mlb.com/gameday/823737</x:v>
      </x:c>
    </x:row>
    <x:row r="251" ht="38" customHeight="1">
      <x:c r="A251" s="425" t="str">
        <x:v>2026-09-12</x:v>
      </x:c>
      <x:c r="B251" s="425" t="str">
        <x:v>Football</x:v>
      </x:c>
      <x:c r="C251" s="425" t="str">
        <x:v>NCAAF</x:v>
      </x:c>
      <x:c r="D251" s="425" t="str">
        <x:v>Oregon Ducks at Oklahoma State Cowboys</x:v>
      </x:c>
      <x:c r="E251" s="425" t="str"/>
      <x:c r="F251" s="425" t="str">
        <x:v>CANDIDATE</x:v>
      </x:c>
      <x:c r="G251" s="425" t="str">
        <x:v>Oregon Ducks at Oklahoma State Cowboys</x:v>
      </x:c>
      <x:c r="H251" s="425" t="str">
        <x:v>Scheduled matchup; player roles unconfirmed</x:v>
      </x:c>
      <x:c r="I251" s="425" t="str">
        <x:v>Official ESPN schedule records Oklahoma State Cowboys 0-1 versus Oregon Ducks 1-0. This is a game-market audit only; depth charts, recent workload, blowout continuity, injuries and exact DraftKings prices must be verified before any candidate is promoted.</x:v>
      </x:c>
      <x:c r="J251" s="425" t="str">
        <x:v>CFB side / first-half / team-total comparison</x:v>
      </x:c>
      <x:c r="K251" s="425" t="str">
        <x:v>INDEPENDENT</x:v>
      </x:c>
      <x:c r="L251" s="425" t="str">
        <x:v>https://www.espn.com/college-football/game/_/gameId/401856782/oregon-oklahoma-st</x:v>
      </x:c>
    </x:row>
    <x:row r="252" ht="38" customHeight="1">
      <x:c r="A252" s="425" t="str">
        <x:v>2026-09-12</x:v>
      </x:c>
      <x:c r="B252" s="425" t="str">
        <x:v>Football</x:v>
      </x:c>
      <x:c r="C252" s="425" t="str">
        <x:v>NCAAF</x:v>
      </x:c>
      <x:c r="D252" s="425" t="str">
        <x:v>Washington State Cougars at Kansas State Wildcats</x:v>
      </x:c>
      <x:c r="E252" s="425" t="str"/>
      <x:c r="F252" s="425" t="str">
        <x:v>CANDIDATE</x:v>
      </x:c>
      <x:c r="G252" s="425" t="str">
        <x:v>Washington State Cougars at Kansas State Wildcats</x:v>
      </x:c>
      <x:c r="H252" s="425" t="str">
        <x:v>Scheduled matchup; player roles unconfirmed</x:v>
      </x:c>
      <x:c r="I252" s="425" t="str">
        <x:v>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  <x:c r="J252" s="425" t="str">
        <x:v>CFB side / first-half / team-total comparison</x:v>
      </x:c>
      <x:c r="K252" s="425" t="str">
        <x:v>INDEPENDENT</x:v>
      </x:c>
      <x:c r="L252" s="425" t="str">
        <x:v>https://www.espn.com/college-football/game/_/gameId/401856781/washington-st-kansas-st</x:v>
      </x:c>
    </x:row>
    <x:row r="253" ht="38" customHeight="1">
      <x:c r="A253" s="425" t="str">
        <x:v>2026-09-12</x:v>
      </x:c>
      <x:c r="B253" s="425" t="str">
        <x:v>Soccer</x:v>
      </x:c>
      <x:c r="C253" s="425" t="str">
        <x:v>EPL</x:v>
      </x:c>
      <x:c r="D253" s="425" t="str">
        <x:v>Everton at Tottenham Hotspur</x:v>
      </x:c>
      <x:c r="E253" s="425" t="str"/>
      <x:c r="F253" s="425" t="str">
        <x:v>CANDIDATE</x:v>
      </x:c>
      <x:c r="G253" s="425" t="str">
        <x:v>Everton at Tottenham Hotspur</x:v>
      </x:c>
      <x:c r="H253" s="425" t="str">
        <x:v>Scheduled matchup; XI and set-piece roles unconfirmed</x:v>
      </x:c>
      <x:c r="I253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3" s="425" t="str">
        <x:v>Match result / goals / team-total comparison</x:v>
      </x:c>
      <x:c r="K253" s="425" t="str">
        <x:v>INDEPENDENT</x:v>
      </x:c>
      <x:c r="L253" s="425" t="str">
        <x:v>https://www.espn.com/soccer/match/_/gameId/401879277/everton-tottenham-hotspur</x:v>
      </x:c>
    </x:row>
    <x:row r="254" ht="38" customHeight="1">
      <x:c r="A254" s="425" t="str">
        <x:v>2026-09-12</x:v>
      </x:c>
      <x:c r="B254" s="425" t="str">
        <x:v>Soccer</x:v>
      </x:c>
      <x:c r="C254" s="425" t="str">
        <x:v>EPL</x:v>
      </x:c>
      <x:c r="D254" s="425" t="str">
        <x:v>Arsenal at Sunderland</x:v>
      </x:c>
      <x:c r="E254" s="425" t="str"/>
      <x:c r="F254" s="425" t="str">
        <x:v>CANDIDATE</x:v>
      </x:c>
      <x:c r="G254" s="425" t="str">
        <x:v>Arsenal at Sunderland</x:v>
      </x:c>
      <x:c r="H254" s="425" t="str">
        <x:v>Scheduled matchup; XI and set-piece roles unconfirmed</x:v>
      </x:c>
      <x:c r="I254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4" s="425" t="str">
        <x:v>Match result / goals / team-total comparison</x:v>
      </x:c>
      <x:c r="K254" s="425" t="str">
        <x:v>INDEPENDENT</x:v>
      </x:c>
      <x:c r="L254" s="425" t="str">
        <x:v>https://www.espn.com/soccer/match/_/gameId/401878779/arsenal-sunderland</x:v>
      </x:c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2026-09-12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0" t="str">
        <x:v>REAL</x:v>
      </x:c>
      <x:c r="B5" s="0" t="str">
        <x:v>S12-T01</x:v>
      </x:c>
      <x:c r="C5" s="0" t="str">
        <x:v>Soccer</x:v>
      </x:c>
      <x:c r="D5" s="0" t="str">
        <x:v>Serhou Guirassy 2+ shots on target</x:v>
      </x:c>
      <x:c r="E5" s="0" t="str">
        <x:v>No promo recorded</x:v>
      </x:c>
      <x:c r="F5" s="0" t="str">
        <x:v>Serhou Guirassy 2+ shots on target (-170)</x:v>
      </x:c>
      <x:c r="G5" s="0" t="str">
        <x:v>-170</x:v>
      </x:c>
      <x:c r="H5" s="0" t="str"/>
      <x:c r="I5" s="0" t="str"/>
      <x:c r="J5" s="0" t="str"/>
      <x:c r="K5" s="0" t="str">
        <x:v>PLACED_USER_CONFIRMED — The independent soccer pass qualified Guirassy’s confirmed starting role and recent shot-on-target volume. The user confirmed this and the Isak single as placed.</x:v>
      </x:c>
    </x:row>
    <x:row r="6" ht="42" customHeight="1">
      <x:c r="A6" s="0" t="str">
        <x:v>REAL</x:v>
      </x:c>
      <x:c r="B6" s="0" t="str">
        <x:v>S12-T02</x:v>
      </x:c>
      <x:c r="C6" s="0" t="str">
        <x:v>Soccer</x:v>
      </x:c>
      <x:c r="D6" s="0" t="str">
        <x:v>Alexander Isak 2+ shots on target</x:v>
      </x:c>
      <x:c r="E6" s="0" t="str">
        <x:v>No promo recorded</x:v>
      </x:c>
      <x:c r="F6" s="0" t="str">
        <x:v>Alexander Isak 2+ shots on target (+110)</x:v>
      </x:c>
      <x:c r="G6" s="0" t="str">
        <x:v>+110</x:v>
      </x:c>
      <x:c r="H6" s="0" t="str"/>
      <x:c r="I6" s="0" t="str"/>
      <x:c r="J6" s="0" t="str"/>
      <x:c r="K6" s="0" t="str">
        <x:v>PLACED_USER_CONFIRMED — The independent soccer pass preferred Isak’s 2+ shots-on-target threshold at plus money. The user confirmed this and the Guirassy single as placed.</x:v>
      </x:c>
    </x:row>
    <x:row r="7" ht="42" customHeight="1">
      <x:c r="A7" s="0" t="str">
        <x:v>REAL</x:v>
      </x:c>
      <x:c r="B7" s="0" t="str">
        <x:v>S12-T03</x:v>
      </x:c>
      <x:c r="C7" s="0" t="str">
        <x:v>Soccer</x:v>
      </x:c>
      <x:c r="D7" s="0" t="str">
        <x:v>Patrik Schick 2+ shots on target</x:v>
      </x:c>
      <x:c r="E7" s="0" t="str">
        <x:v>No promo recorded</x:v>
      </x:c>
      <x:c r="F7" s="0" t="str">
        <x:v>Patrik Schick 2+ shots on target (+115)</x:v>
      </x:c>
      <x:c r="G7" s="0" t="str">
        <x:v>+115</x:v>
      </x:c>
      <x:c r="H7" s="0" t="str"/>
      <x:c r="I7" s="0" t="str"/>
      <x:c r="J7" s="0" t="str"/>
      <x:c r="K7" s="0" t="str">
        <x:v>PLACED_USER_CONFIRMED — The independent review preferred Schick’s player-volume market over heavily priced Leverkusen team totals. The user immediately confirmed placement.</x:v>
      </x:c>
    </x:row>
    <x:row r="8" ht="42" customHeight="1">
      <x:c r="A8" s="0" t="str">
        <x:v>REAL</x:v>
      </x:c>
      <x:c r="B8" s="0" t="str">
        <x:v>S12-T04</x:v>
      </x:c>
      <x:c r="C8" s="0" t="str">
        <x:v>NCAAF</x:v>
      </x:c>
      <x:c r="D8" s="0" t="str">
        <x:v>Nate Sheppard 24+ rushing attempts</x:v>
      </x:c>
      <x:c r="E8" s="0" t="str">
        <x:v>50% CFB Saturday profit boost</x:v>
      </x:c>
      <x:c r="F8" s="0" t="str">
        <x:v>Nate Sheppard 24+ rushing attempts (-123 before boost)</x:v>
      </x:c>
      <x:c r="G8" s="0" t="str">
        <x:v>-123 before boost</x:v>
      </x:c>
      <x:c r="H8" s="0" t="str"/>
      <x:c r="I8" s="0" t="str"/>
      <x:c r="J8" s="0" t="str"/>
      <x:c r="K8" s="0" t="str">
        <x:v>PLACED_USER_CONFIRMED — The independent role audit selected rushing attempts over rushing yards to express expected workload directly. The final boosted display price was not captured.</x:v>
      </x:c>
    </x:row>
    <x:row r="9" ht="42" customHeight="1">
      <x:c r="A9" s="0" t="str">
        <x:v>REAL</x:v>
      </x:c>
      <x:c r="B9" s="0" t="str">
        <x:v>S12-T05</x:v>
      </x:c>
      <x:c r="C9" s="0" t="str">
        <x:v>NCAAF</x:v>
      </x:c>
      <x:c r="D9" s="0" t="str">
        <x:v>McAfee Tailgate Overs</x:v>
      </x:c>
      <x:c r="E9" s="0" t="str">
        <x:v>McAfee Tailgate Overs fixed proposition</x:v>
      </x:c>
      <x:c r="F9" s="0" t="str">
        <x:v>Mississippi State at Minnesota over 50.5 | Tennessee at Georgia Tech over 50.5 | Arizona State at Texas A&amp;M over 45.5</x:v>
      </x:c>
      <x:c r="G9" s="0" t="str">
        <x:v>+400 boosted</x:v>
      </x:c>
      <x:c r="H9" s="0" t="str"/>
      <x:c r="I9" s="0" t="str"/>
      <x:c r="J9" s="0" t="str"/>
      <x:c r="K9" s="0" t="str">
        <x:v>PLACED_USER_CONFIRMED — The independent audit treated this as one fixed sportsbook proposition, not three independent selections. The user explicitly confirmed it as placed.</x:v>
      </x:c>
    </x:row>
    <x:row r="10" ht="42" customHeight="1">
      <x:c r="A10" s="0" t="str">
        <x:v>REAL</x:v>
      </x:c>
      <x:c r="B10" s="0" t="str">
        <x:v>S12-T06</x:v>
      </x:c>
      <x:c r="C10" s="0" t="str">
        <x:v>Soccer</x:v>
      </x:c>
      <x:c r="D10" s="0" t="str">
        <x:v>Athletic Bilbao first-half moneyline</x:v>
      </x:c>
      <x:c r="E10" s="0" t="str">
        <x:v>No promo recorded</x:v>
      </x:c>
      <x:c r="F10" s="0" t="str">
        <x:v>Athletic Bilbao first-half moneyline (-125)</x:v>
      </x:c>
      <x:c r="G10" s="0" t="str">
        <x:v>-125</x:v>
      </x:c>
      <x:c r="H10" s="0" t="str"/>
      <x:c r="I10" s="0" t="str"/>
      <x:c r="J10" s="0" t="str"/>
      <x:c r="K10" s="0" t="str">
        <x:v>PLACED_USER_CONFIRMED — The independent lineup and early-game review preferred Athletic’s first-half moneyline to expensive team totals and player-shot ladders. The user immediately confirmed placement.</x:v>
      </x:c>
    </x:row>
    <x:row r="11" ht="42" customHeight="1">
      <x:c r="A11" s="0" t="str">
        <x:v>REAL</x:v>
      </x:c>
      <x:c r="B11" s="0" t="str">
        <x:v>S12-T07</x:v>
      </x:c>
      <x:c r="C11" s="0" t="str">
        <x:v>NCAAF</x:v>
      </x:c>
      <x:c r="D11" s="0" t="str">
        <x:v>Oregon Ducks first-half team total over 21.5</x:v>
      </x:c>
      <x:c r="E11" s="0" t="str">
        <x:v>No promo recorded</x:v>
      </x:c>
      <x:c r="F11" s="0" t="str">
        <x:v>Oregon Ducks first-half team total over 21.5 (+100)</x:v>
      </x:c>
      <x:c r="G11" s="0" t="str">
        <x:v>+100</x:v>
      </x:c>
      <x:c r="H11" s="0" t="str"/>
      <x:c r="I11" s="0" t="str"/>
      <x:c r="J11" s="0" t="str"/>
      <x:c r="K11" s="0" t="str">
        <x:v>PLACED_USER_CONFIRMED — The source-blind morning scan identified the game for first-half/team-total comparison. A later price gate selected over 21.5 at +100, and the user confirmed placement.</x:v>
      </x:c>
    </x:row>
    <x:row r="12" ht="42" customHeight="1">
      <x:c r="A12" s="0" t="str">
        <x:v>REAL</x:v>
      </x:c>
      <x:c r="B12" s="0" t="str">
        <x:v>S12-T08</x:v>
      </x:c>
      <x:c r="C12" s="0" t="str">
        <x:v>MLB</x:v>
      </x:c>
      <x:c r="D12" s="0" t="str">
        <x:v>Zac Thornton over 4.5 hits allowed</x:v>
      </x:c>
      <x:c r="E12" s="0" t="str">
        <x:v>No promo recorded</x:v>
      </x:c>
      <x:c r="F12" s="0" t="str">
        <x:v>Zac Thornton over 4.5 hits allowed (-158)</x:v>
      </x:c>
      <x:c r="G12" s="0" t="str">
        <x:v>-158</x:v>
      </x:c>
      <x:c r="H12" s="0" t="str"/>
      <x:c r="I12" s="0" t="str"/>
      <x:c r="J12" s="0" t="str"/>
      <x:c r="K12" s="0" t="str">
        <x:v>PLACED_USER_CONFIRMED — The frozen system decision was Thornton over 5.5 hits at a plus price. The user’s DraftKings execution used the lower 4.5 threshold at -158; system decision and user execution remain separate.</x:v>
      </x:c>
    </x:row>
    <x:row r="13" ht="42" customHeight="1">
      <x:c r="A13" s="0" t="str">
        <x:v>REAL</x:v>
      </x:c>
      <x:c r="B13" s="0" t="str">
        <x:v>S12-T09</x:v>
      </x:c>
      <x:c r="C13" s="0" t="str">
        <x:v>NCAAF</x:v>
      </x:c>
      <x:c r="D13" s="0" t="str">
        <x:v>Michigan live spread -4.5</x:v>
      </x:c>
      <x:c r="E13" s="0" t="str">
        <x:v>50% live CFB boost</x:v>
      </x:c>
      <x:c r="F13" s="0" t="str">
        <x:v>Michigan -4.5 live spread (-114 before boost)</x:v>
      </x:c>
      <x:c r="G13" s="0" t="str">
        <x:v>-114 before boost</x:v>
      </x:c>
      <x:c r="H13" s="0" t="str"/>
      <x:c r="I13" s="0" t="str"/>
      <x:c r="J13" s="0" t="str"/>
      <x:c r="K13" s="0" t="str">
        <x:v>PLACED_USER_CONFIRMED — The live state was requalified independently before execution. The user confirmed Michigan -4.5 at -114 with the 50% live CFB boost; the exact final boosted display price was not captured.</x:v>
      </x:c>
    </x:row>
    <x:row r="14" ht="42" customHeight="1">
      <x:c r="A14" s="0" t="str">
        <x:v>REAL</x:v>
      </x:c>
      <x:c r="B14" s="0" t="str">
        <x:v>S12-T10</x:v>
      </x:c>
      <x:c r="C14" s="0" t="str">
        <x:v>MLB</x:v>
      </x:c>
      <x:c r="D14" s="0" t="str">
        <x:v>Kyle Bradish over 2.5 walks allowed</x:v>
      </x:c>
      <x:c r="E14" s="0" t="str">
        <x:v>No promo recorded</x:v>
      </x:c>
      <x:c r="F14" s="0" t="str">
        <x:v>Kyle Bradish over 2.5 walks allowed (+145)</x:v>
      </x:c>
      <x:c r="G14" s="0" t="str">
        <x:v>+145</x:v>
      </x:c>
      <x:c r="H14" s="0" t="str"/>
      <x:c r="I14" s="0" t="str"/>
      <x:c r="J14" s="0" t="str"/>
      <x:c r="K14" s="0" t="str">
        <x:v>PLACED_USER_CONFIRMED — A live-before-first-pitch requalification selected the higher 2.5-walk threshold at plus money over the hits market. The user confirmed this and Ureña as placed.</x:v>
      </x:c>
    </x:row>
    <x:row r="15" ht="42" customHeight="1">
      <x:c r="A15" s="0" t="str">
        <x:v>REAL</x:v>
      </x:c>
      <x:c r="B15" s="0" t="str">
        <x:v>S12-T11</x:v>
      </x:c>
      <x:c r="C15" s="0" t="str">
        <x:v>MLB</x:v>
      </x:c>
      <x:c r="D15" s="0" t="str">
        <x:v>Walbert Ureña over 16.5 pitching outs</x:v>
      </x:c>
      <x:c r="E15" s="0" t="str">
        <x:v>No promo recorded</x:v>
      </x:c>
      <x:c r="F15" s="0" t="str">
        <x:v>Walbert Ureña over 16.5 pitching outs (-115)</x:v>
      </x:c>
      <x:c r="G15" s="0" t="str">
        <x:v>-115</x:v>
      </x:c>
      <x:c r="H15" s="0" t="str"/>
      <x:c r="I15" s="0" t="str"/>
      <x:c r="J15" s="0" t="str"/>
      <x:c r="K15" s="0" t="str">
        <x:v>PLACED_USER_CONFIRMED — The independent workload audit preferred the improved 16.5-outs threshold over the earlier 17.5 line and alternate strikeout markets. The user confirmed this and Bradish as placed.</x:v>
      </x:c>
    </x:row>
    <x:row r="16" ht="42" customHeight="1">
      <x:c r="A16" s="0" t="str">
        <x:v>REAL</x:v>
      </x:c>
      <x:c r="B16" s="0" t="str">
        <x:v>S12-T12</x:v>
      </x:c>
      <x:c r="C16" s="0" t="str">
        <x:v>NCAAF</x:v>
      </x:c>
      <x:c r="D16" s="0" t="str">
        <x:v>Arizona +7.5 / Kentucky +10.5 / UConn +12.5 parlay</x:v>
      </x:c>
      <x:c r="E16" s="0" t="str">
        <x:v>50% CFB Mystery Parlay Boost</x:v>
      </x:c>
      <x:c r="F16" s="0" t="str">
        <x:v>Arizona +7.5 at BYU | Kentucky +10.5 vs Alabama | UConn +12.5 vs Maryland</x:v>
      </x:c>
      <x:c r="G16" s="0" t="str">
        <x:v>+435 raw / +652 effective</x:v>
      </x:c>
      <x:c r="H16" s="0" t="str"/>
      <x:c r="I16" s="0" t="str"/>
      <x:c r="J16" s="0" t="str"/>
      <x:c r="K16" s="0" t="str">
        <x:v>PLACED_USER_CONFIRMED — The 3:30 CFB audit qualified each spread before packaging. The user confirmed the exact three-leg, $1, 50%-boosted construction after a final confidence check.</x:v>
      </x:c>
    </x:row>
    <x:row r="17" ht="42" customHeight="1">
      <x:c r="A17" s="0" t="str">
        <x:v>REAL</x:v>
      </x:c>
      <x:c r="B17" s="0" t="str">
        <x:v>S12-T13</x:v>
      </x:c>
      <x:c r="C17" s="0" t="str">
        <x:v>NCAAF</x:v>
      </x:c>
      <x:c r="D17" s="0" t="str">
        <x:v>Keelon Russell 50+ rushing yards</x:v>
      </x:c>
      <x:c r="E17" s="0" t="str">
        <x:v>No promo recorded</x:v>
      </x:c>
      <x:c r="F17" s="0" t="str">
        <x:v>Keelon Russell 50+ rushing yards (-107)</x:v>
      </x:c>
      <x:c r="G17" s="0" t="str">
        <x:v>-107</x:v>
      </x:c>
      <x:c r="H17" s="0" t="str"/>
      <x:c r="I17" s="0" t="str"/>
      <x:c r="J17" s="0" t="str"/>
      <x:c r="K17" s="0" t="str">
        <x:v>PLACED_USER_CONFIRMED — The player-board audit preferred a lower 50+ threshold at a better price than the previously evaluated 53+ line. The user immediately confirmed placement.</x:v>
      </x:c>
    </x:row>
    <x:row r="18" ht="42" customHeight="1">
      <x:c r="A18" s="0" t="str">
        <x:v>REAL</x:v>
      </x:c>
      <x:c r="B18" s="0" t="str">
        <x:v>S12-T14</x:v>
      </x:c>
      <x:c r="C18" s="0" t="str">
        <x:v>NCAAF</x:v>
      </x:c>
      <x:c r="D18" s="0" t="str">
        <x:v>Ryan Wingo 60+ receiving yards</x:v>
      </x:c>
      <x:c r="E18" s="0" t="str">
        <x:v>50% OSU–Texas profit boost</x:v>
      </x:c>
      <x:c r="F18" s="0" t="str">
        <x:v>Ryan Wingo 60+ receiving yards (+120 before boost)</x:v>
      </x:c>
      <x:c r="G18" s="0" t="str">
        <x:v>+120 before boost</x:v>
      </x:c>
      <x:c r="H18" s="0" t="str"/>
      <x:c r="I18" s="0" t="str"/>
      <x:c r="J18" s="0" t="str"/>
      <x:c r="K18" s="0" t="str">
        <x:v>PLACED_USER_CONFIRMED — The independent evening audit preferred Wingo's 60+ receiving-yards threshold over the supplied Jeremiah Smith markets. The displayed +120 price qualified before the promo, and the user explicitly confirmed placement.</x:v>
      </x:c>
    </x:row>
    <x:row r="19" ht="42" customHeight="1">
      <x:c r="A19" s="0" t="str">
        <x:v>FINAL CHECK</x:v>
      </x:c>
      <x:c r="B19" s="0" t="str">
        <x:v>S12-A01</x:v>
      </x:c>
      <x:c r="C19" s="0" t="str">
        <x:v>MLB</x:v>
      </x:c>
      <x:c r="D19" s="0" t="str">
        <x:v>Daniel Espino</x:v>
      </x:c>
      <x:c r="E19" s="0" t="str">
        <x:v>Cleveland Guardians at Minnesota Twins</x:v>
      </x:c>
      <x:c r="F19" s="0" t="str">
        <x:v>Pitcher strikeouts / outs</x:v>
      </x:c>
      <x:c r="G19" s="0" t="str">
        <x:v>DraftKings price unavailable</x:v>
      </x:c>
      <x:c r="H19" s="0" t="str"/>
      <x:c r="I19" s="0" t="str"/>
      <x:c r="J19" s="0" t="str"/>
      <x:c r="K19" s="0" t="str">
        <x:v>PROSPECTIVE_PRICE_CHECK — 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</x:row>
    <x:row r="20" ht="42" customHeight="1">
      <x:c r="A20" s="0" t="str">
        <x:v>FINAL CHECK</x:v>
      </x:c>
      <x:c r="B20" s="0" t="str">
        <x:v>S12-A02</x:v>
      </x:c>
      <x:c r="C20" s="0" t="str">
        <x:v>MLB</x:v>
      </x:c>
      <x:c r="D20" s="0" t="str">
        <x:v>Tyler Glasnow</x:v>
      </x:c>
      <x:c r="E20" s="0" t="str">
        <x:v>Los Angeles Dodgers at Miami Marlins</x:v>
      </x:c>
      <x:c r="F20" s="0" t="str">
        <x:v>Pitcher strikeouts / outs</x:v>
      </x:c>
      <x:c r="G20" s="0" t="str">
        <x:v>DraftKings price unavailable</x:v>
      </x:c>
      <x:c r="H20" s="0" t="str"/>
      <x:c r="I20" s="0" t="str"/>
      <x:c r="J20" s="0" t="str"/>
      <x:c r="K20" s="0" t="str">
        <x:v>PROSPECTIVE_PRICE_CHECK — 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</x:row>
    <x:row r="21" ht="42" customHeight="1">
      <x:c r="A21" s="0" t="str">
        <x:v>FINAL CHECK</x:v>
      </x:c>
      <x:c r="B21" s="0" t="str">
        <x:v>S12-A03</x:v>
      </x:c>
      <x:c r="C21" s="0" t="str">
        <x:v>MLB</x:v>
      </x:c>
      <x:c r="D21" s="0" t="str">
        <x:v>Ian Seymour</x:v>
      </x:c>
      <x:c r="E21" s="0" t="str">
        <x:v>Houston Astros at Tampa Bay Rays</x:v>
      </x:c>
      <x:c r="F21" s="0" t="str">
        <x:v>Pitcher strikeouts / outs</x:v>
      </x:c>
      <x:c r="G21" s="0" t="str">
        <x:v>DraftKings price unavailable</x:v>
      </x:c>
      <x:c r="H21" s="0" t="str"/>
      <x:c r="I21" s="0" t="str"/>
      <x:c r="J21" s="0" t="str"/>
      <x:c r="K21" s="0" t="str">
        <x:v>PROSPECTIVE_PRICE_CHECK — 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</x:row>
    <x:row r="22" ht="42" customHeight="1">
      <x:c r="A22" s="0" t="str">
        <x:v>FINAL CHECK</x:v>
      </x:c>
      <x:c r="B22" s="0" t="str">
        <x:v>S12-A04</x:v>
      </x:c>
      <x:c r="C22" s="0" t="str">
        <x:v>MLB</x:v>
      </x:c>
      <x:c r="D22" s="0" t="str">
        <x:v>Paul Skenes</x:v>
      </x:c>
      <x:c r="E22" s="0" t="str">
        <x:v>Pittsburgh Pirates at Chicago Cubs</x:v>
      </x:c>
      <x:c r="F22" s="0" t="str">
        <x:v>Pitcher strikeouts / outs</x:v>
      </x:c>
      <x:c r="G22" s="0" t="str">
        <x:v>DraftKings price unavailable</x:v>
      </x:c>
      <x:c r="H22" s="0" t="str"/>
      <x:c r="I22" s="0" t="str"/>
      <x:c r="J22" s="0" t="str"/>
      <x:c r="K22" s="0" t="str">
        <x:v>PROSPECTIVE_PRICE_CHECK — 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</x:row>
    <x:row r="23" ht="42" customHeight="1">
      <x:c r="A23" s="0" t="str">
        <x:v>FINAL CHECK</x:v>
      </x:c>
      <x:c r="B23" s="0" t="str">
        <x:v>S12-A05</x:v>
      </x:c>
      <x:c r="C23" s="0" t="str">
        <x:v>MLB</x:v>
      </x:c>
      <x:c r="D23" s="0" t="str">
        <x:v>Walbert Ureña</x:v>
      </x:c>
      <x:c r="E23" s="0" t="str">
        <x:v>Los Angeles Angels at Washington Nationals</x:v>
      </x:c>
      <x:c r="F23" s="0" t="str">
        <x:v>Pitcher walks allowed</x:v>
      </x:c>
      <x:c r="G23" s="0" t="str">
        <x:v>DraftKings price unavailable</x:v>
      </x:c>
      <x:c r="H23" s="0" t="str"/>
      <x:c r="I23" s="0" t="str"/>
      <x:c r="J23" s="0" t="str"/>
      <x:c r="K23" s="0" t="str">
        <x:v>PROSPECTIVE_PRICE_CHECK — 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</x:row>
    <x:row r="24" ht="42" customHeight="1">
      <x:c r="A24" s="0" t="str">
        <x:v>FINAL CHECK</x:v>
      </x:c>
      <x:c r="B24" s="0" t="str">
        <x:v>S12-A06</x:v>
      </x:c>
      <x:c r="C24" s="0" t="str">
        <x:v>MLB</x:v>
      </x:c>
      <x:c r="D24" s="0" t="str">
        <x:v>Gage Jump</x:v>
      </x:c>
      <x:c r="E24" s="0" t="str">
        <x:v>Seattle Mariners at Athletics</x:v>
      </x:c>
      <x:c r="F24" s="0" t="str">
        <x:v>Pitcher walks allowed</x:v>
      </x:c>
      <x:c r="G24" s="0" t="str">
        <x:v>DraftKings price unavailable</x:v>
      </x:c>
      <x:c r="H24" s="0" t="str"/>
      <x:c r="I24" s="0" t="str"/>
      <x:c r="J24" s="0" t="str"/>
      <x:c r="K24" s="0" t="str">
        <x:v>PROSPECTIVE_PRICE_CHECK — 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</x:row>
    <x:row r="25" ht="42" customHeight="1">
      <x:c r="A25" s="0" t="str">
        <x:v>FINAL CHECK</x:v>
      </x:c>
      <x:c r="B25" s="0" t="str">
        <x:v>S12-A07</x:v>
      </x:c>
      <x:c r="C25" s="0" t="str">
        <x:v>MLB</x:v>
      </x:c>
      <x:c r="D25" s="0" t="str">
        <x:v>Tanner Gordon</x:v>
      </x:c>
      <x:c r="E25" s="0" t="str">
        <x:v>Colorado Rockies at Detroit Tigers</x:v>
      </x:c>
      <x:c r="F25" s="0" t="str">
        <x:v>Pitcher hits allowed / outs</x:v>
      </x:c>
      <x:c r="G25" s="0" t="str">
        <x:v>DraftKings price unavailable</x:v>
      </x:c>
      <x:c r="H25" s="0" t="str"/>
      <x:c r="I25" s="0" t="str"/>
      <x:c r="J25" s="0" t="str"/>
      <x:c r="K25" s="0" t="str">
        <x:v>PROSPECTIVE_PRICE_CHECK — 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</x:row>
    <x:row r="26" ht="42" customHeight="1">
      <x:c r="A26" s="0" t="str">
        <x:v>FINAL CHECK</x:v>
      </x:c>
      <x:c r="B26" s="0" t="str">
        <x:v>S12-A08</x:v>
      </x:c>
      <x:c r="C26" s="0" t="str">
        <x:v>MLB</x:v>
      </x:c>
      <x:c r="D26" s="0" t="str">
        <x:v>Brady Singer</x:v>
      </x:c>
      <x:c r="E26" s="0" t="str">
        <x:v>Cincinnati Reds at Milwaukee Brewers</x:v>
      </x:c>
      <x:c r="F26" s="0" t="str">
        <x:v>Pitcher hits allowed / outs</x:v>
      </x:c>
      <x:c r="G26" s="0" t="str">
        <x:v>DraftKings price unavailable</x:v>
      </x:c>
      <x:c r="H26" s="0" t="str"/>
      <x:c r="I26" s="0" t="str"/>
      <x:c r="J26" s="0" t="str"/>
      <x:c r="K26" s="0" t="str">
        <x:v>PROSPECTIVE_PRICE_CHECK — 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</x:row>
    <x:row r="27" ht="42" customHeight="1">
      <x:c r="A27" s="0" t="str">
        <x:v>FINAL CHECK</x:v>
      </x:c>
      <x:c r="B27" s="0" t="str">
        <x:v>S12-A09</x:v>
      </x:c>
      <x:c r="C27" s="0" t="str">
        <x:v>NCAAF</x:v>
      </x:c>
      <x:c r="D27" s="0" t="str">
        <x:v>Oregon Ducks at Oklahoma State Cowboys</x:v>
      </x:c>
      <x:c r="E27" s="0" t="str">
        <x:v>Oregon Ducks at Oklahoma State Cowboys</x:v>
      </x:c>
      <x:c r="F27" s="0" t="str">
        <x:v>Oregon 1H team total over 21.5</x:v>
      </x:c>
      <x:c r="G27" s="0" t="str">
        <x:v>+100 DraftKings</x:v>
      </x:c>
      <x:c r="H27" s="0" t="str"/>
      <x:c r="I27" s="0" t="str"/>
      <x:c r="J27" s="0" t="str"/>
      <x:c r="K27" s="0" t="str">
        <x:v>SETTLED_LOSS — Oregon scored 17 first-half points, below over 21.5. The first-half offense was outgained 350–101, so the chat classified this as a matchup/mechanism failure rather than threshold variance.</x:v>
      </x:c>
    </x:row>
    <x:row r="28" ht="42" customHeight="1">
      <x:c r="A28" s="0" t="str">
        <x:v>FINAL CHECK</x:v>
      </x:c>
      <x:c r="B28" s="0" t="str">
        <x:v>S12-A10</x:v>
      </x:c>
      <x:c r="C28" s="0" t="str">
        <x:v>NCAAF</x:v>
      </x:c>
      <x:c r="D28" s="0" t="str">
        <x:v>Washington State Cougars at Kansas State Wildcats</x:v>
      </x:c>
      <x:c r="E28" s="0" t="str">
        <x:v>Washington State Cougars at Kansas State Wildcats</x:v>
      </x:c>
      <x:c r="F28" s="0" t="str">
        <x:v>CFB side / first-half / team-total comparison</x:v>
      </x:c>
      <x:c r="G28" s="0" t="str">
        <x:v>DraftKings price unavailable</x:v>
      </x:c>
      <x:c r="H28" s="0" t="str"/>
      <x:c r="I28" s="0" t="str"/>
      <x:c r="J28" s="0" t="str"/>
      <x:c r="K28" s="0" t="str">
        <x:v>PROSPECTIVE_ROLE_CHECK — 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</x:row>
    <x:row r="29" ht="42" customHeight="1">
      <x:c r="A29" s="0" t="str">
        <x:v>FINAL CHECK</x:v>
      </x:c>
      <x:c r="B29" s="0" t="str">
        <x:v>S12-A11</x:v>
      </x:c>
      <x:c r="C29" s="0" t="str">
        <x:v>Soccer</x:v>
      </x:c>
      <x:c r="D29" s="0" t="str">
        <x:v>Everton at Tottenham Hotspur</x:v>
      </x:c>
      <x:c r="E29" s="0" t="str">
        <x:v>Everton at Tottenham Hotspur</x:v>
      </x:c>
      <x:c r="F29" s="0" t="str">
        <x:v>Match result / goals / team-total comparison</x:v>
      </x:c>
      <x:c r="G29" s="0" t="str">
        <x:v>DraftKings price unavailable</x:v>
      </x:c>
      <x:c r="H29" s="0" t="str"/>
      <x:c r="I29" s="0" t="str"/>
      <x:c r="J29" s="0" t="str"/>
      <x:c r="K29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0" ht="42" customHeight="1">
      <x:c r="A30" s="0" t="str">
        <x:v>FINAL CHECK</x:v>
      </x:c>
      <x:c r="B30" s="0" t="str">
        <x:v>S12-A12</x:v>
      </x:c>
      <x:c r="C30" s="0" t="str">
        <x:v>Soccer</x:v>
      </x:c>
      <x:c r="D30" s="0" t="str">
        <x:v>Arsenal at Sunderland</x:v>
      </x:c>
      <x:c r="E30" s="0" t="str">
        <x:v>Arsenal at Sunderland</x:v>
      </x:c>
      <x:c r="F30" s="0" t="str">
        <x:v>Match result / goals / team-total comparison</x:v>
      </x:c>
      <x:c r="G30" s="0" t="str">
        <x:v>DraftKings price unavailable</x:v>
      </x:c>
      <x:c r="H30" s="0" t="str"/>
      <x:c r="I30" s="0" t="str"/>
      <x:c r="J30" s="0" t="str"/>
      <x:c r="K30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1" ht="42" customHeight="1">
      <x:c r="A31" s="0" t="str">
        <x:v>FINAL CHECK</x:v>
      </x:c>
      <x:c r="B31" s="0" t="str">
        <x:v>S12-A13</x:v>
      </x:c>
      <x:c r="C31" s="0" t="str">
        <x:v>MLB</x:v>
      </x:c>
      <x:c r="D31" s="0" t="str">
        <x:v>Brady Singer</x:v>
      </x:c>
      <x:c r="E31" s="0" t="str">
        <x:v>Cincinnati Reds at Milwaukee Brewers</x:v>
      </x:c>
      <x:c r="F31" s="0" t="str">
        <x:v>Over 2.5 earned runs allowed</x:v>
      </x:c>
      <x:c r="G31" s="0" t="str">
        <x:v>-124 DraftKings</x:v>
      </x:c>
      <x:c r="H31" s="0" t="str"/>
      <x:c r="I31" s="0" t="str"/>
      <x:c r="J31" s="0" t="str"/>
      <x:c r="K31" s="0" t="str">
        <x:v>QUALIFIED_RECHECK — The supplied exact market expresses the independently flagged Singer traffic risk through earned runs. Confirm Milwaukee lineup and compare hits/outs before promotion.</x:v>
      </x:c>
    </x:row>
    <x:row r="32" ht="42" customHeight="1">
      <x:c r="A32" s="0" t="str">
        <x:v>FINAL CHECK</x:v>
      </x:c>
      <x:c r="B32" s="0" t="str">
        <x:v>S12-A14</x:v>
      </x:c>
      <x:c r="C32" s="0" t="str">
        <x:v>MLB</x:v>
      </x:c>
      <x:c r="D32" s="0" t="str">
        <x:v>Zac Thornton</x:v>
      </x:c>
      <x:c r="E32" s="0" t="str">
        <x:v>New York Mets at New York Yankees</x:v>
      </x:c>
      <x:c r="F32" s="0" t="str">
        <x:v>System: over 5.5 hits allowed; user execution: over 4.5</x:v>
      </x:c>
      <x:c r="G32" s="0" t="str">
        <x:v>+110 system / -158 user</x:v>
      </x:c>
      <x:c r="H32" s="0" t="str"/>
      <x:c r="I32" s="0" t="str"/>
      <x:c r="J32" s="0" t="str"/>
      <x:c r="K32" s="0" t="str">
        <x:v>USER_EXECUTION_MODIFIED — The system froze over 5.5 hits allowed at +110. The user’s placed ticket used over 4.5 at -158. Preserve both states; do not retroactively treat them as the same decision.</x:v>
      </x:c>
    </x:row>
    <x:row r="33" ht="42" customHeight="1">
      <x:c r="A33" s="0" t="str">
        <x:v>FINAL CHECK</x:v>
      </x:c>
      <x:c r="B33" s="0" t="str">
        <x:v>S12-A15</x:v>
      </x:c>
      <x:c r="C33" s="0" t="str">
        <x:v>MLB</x:v>
      </x:c>
      <x:c r="D33" s="0" t="str">
        <x:v>Walbert Ureña</x:v>
      </x:c>
      <x:c r="E33" s="0" t="str">
        <x:v>Los Angeles Angels at Washington Nationals</x:v>
      </x:c>
      <x:c r="F33" s="0" t="str">
        <x:v>Over 16.5 pitching outs</x:v>
      </x:c>
      <x:c r="G33" s="0" t="str">
        <x:v>-115 DraftKings</x:v>
      </x:c>
      <x:c r="H33" s="0" t="str"/>
      <x:c r="I33" s="0" t="str"/>
      <x:c r="J33" s="0" t="str"/>
      <x:c r="K33" s="0" t="str">
        <x:v>PLACED_USER_CONFIRMED — The later market offered a lower 16.5-outs threshold at -115. The independent workload audit requalified the new line, and the user confirmed placement.</x:v>
      </x:c>
    </x:row>
    <x:row r="34" ht="42" customHeight="1">
      <x:c r="A34" s="0" t="str">
        <x:v>FINAL CHECK</x:v>
      </x:c>
      <x:c r="B34" s="0" t="str">
        <x:v>S12-A16</x:v>
      </x:c>
      <x:c r="C34" s="0" t="str">
        <x:v>MLB</x:v>
      </x:c>
      <x:c r="D34" s="0" t="str">
        <x:v>Kyle Bradish</x:v>
      </x:c>
      <x:c r="E34" s="0" t="str">
        <x:v>Baltimore Orioles at Toronto Blue Jays</x:v>
      </x:c>
      <x:c r="F34" s="0" t="str">
        <x:v>Over 5.5 hits allowed</x:v>
      </x:c>
      <x:c r="G34" s="0" t="str">
        <x:v>+100 DraftKings</x:v>
      </x:c>
      <x:c r="H34" s="0" t="str"/>
      <x:c r="I34" s="0" t="str"/>
      <x:c r="J34" s="0" t="str"/>
      <x:c r="K34" s="0" t="str">
        <x:v>QUALIFIED_RECHECK — Supplied market comparison favors direct contact exposure. Confirm Toronto lineup and compare the lower-threshold walk arm before promotion.</x:v>
      </x:c>
    </x:row>
    <x:row r="35" ht="42" customHeight="1">
      <x:c r="A35" s="0" t="str">
        <x:v>FINAL CHECK</x:v>
      </x:c>
      <x:c r="B35" s="0" t="str">
        <x:v>S12-A17</x:v>
      </x:c>
      <x:c r="C35" s="0" t="str">
        <x:v>MLB</x:v>
      </x:c>
      <x:c r="D35" s="0" t="str">
        <x:v>Brice Turang</x:v>
      </x:c>
      <x:c r="E35" s="0" t="str">
        <x:v>Cincinnati Reds at Milwaukee Brewers</x:v>
      </x:c>
      <x:c r="F35" s="0" t="str">
        <x:v>2+ hits + runs + RBI</x:v>
      </x:c>
      <x:c r="G35" s="0" t="str">
        <x:v>-120 DraftKings</x:v>
      </x:c>
      <x:c r="H35" s="0" t="str"/>
      <x:c r="I35" s="0" t="str"/>
      <x:c r="J35" s="0" t="str"/>
      <x:c r="K35" s="0" t="str">
        <x:v>QUALIFIED_RECHECK — This hitter expression is linked to the independently flagged Singer traffic matchup. Confirm Turang’s lineup slot and compare against Singer’s direct pitcher markets.</x:v>
      </x:c>
    </x:row>
    <x:row r="36" ht="42" customHeight="1">
      <x:c r="A36" s="0" t="str">
        <x:v>FINAL CHECK</x:v>
      </x:c>
      <x:c r="B36" s="0" t="str">
        <x:v>S12-A18</x:v>
      </x:c>
      <x:c r="C36" s="0" t="str">
        <x:v>MLB</x:v>
      </x:c>
      <x:c r="D36" s="0" t="str">
        <x:v>Brandon Pfaadt</x:v>
      </x:c>
      <x:c r="E36" s="0" t="str">
        <x:v>Texas Rangers at Arizona Diamondbacks</x:v>
      </x:c>
      <x:c r="F36" s="0" t="str">
        <x:v>Over 17.5 pitching outs</x:v>
      </x:c>
      <x:c r="G36" s="0" t="str">
        <x:v>-143 DraftKings</x:v>
      </x:c>
      <x:c r="H36" s="0" t="str"/>
      <x:c r="I36" s="0" t="str"/>
      <x:c r="J36" s="0" t="str"/>
      <x:c r="K36" s="0" t="str">
        <x:v>QUALIFIED_RECHECK — Supplied workload analysis favors six-inning survival; confirm Texas lineup, pitch-count regime and price before promotion.</x:v>
      </x:c>
    </x:row>
    <x:row r="37" ht="42" customHeight="1">
      <x:c r="A37" s="0" t="str">
        <x:v>FINAL CHECK</x:v>
      </x:c>
      <x:c r="B37" s="0" t="str">
        <x:v>S12-A19</x:v>
      </x:c>
      <x:c r="C37" s="0" t="str">
        <x:v>MLB</x:v>
      </x:c>
      <x:c r="D37" s="0" t="str">
        <x:v>Michael King</x:v>
      </x:c>
      <x:c r="E37" s="0" t="str">
        <x:v>San Diego Padres at San Francisco Giants</x:v>
      </x:c>
      <x:c r="F37" s="0" t="str">
        <x:v>Over 17.5 pitching outs</x:v>
      </x:c>
      <x:c r="G37" s="0" t="str">
        <x:v>-138 DraftKings</x:v>
      </x:c>
      <x:c r="H37" s="0" t="str"/>
      <x:c r="I37" s="0" t="str"/>
      <x:c r="J37" s="0" t="str"/>
      <x:c r="K37" s="0" t="str">
        <x:v>QUALIFIED_RECHECK — Supplied workload candidate awaiting confirmed opponent lineup, current pitch-count expectation and independent price audit.</x:v>
      </x:c>
    </x:row>
    <x:row r="38" ht="42" customHeight="1">
      <x:c r="A38" s="0" t="str">
        <x:v>FINAL CHECK</x:v>
      </x:c>
      <x:c r="B38" s="0" t="str">
        <x:v>S12-A20</x:v>
      </x:c>
      <x:c r="C38" s="0" t="str">
        <x:v>MLB</x:v>
      </x:c>
      <x:c r="D38" s="0" t="str">
        <x:v>Kyle Bradish</x:v>
      </x:c>
      <x:c r="E38" s="0" t="str">
        <x:v>Baltimore Orioles at Toronto Blue Jays</x:v>
      </x:c>
      <x:c r="F38" s="0" t="str">
        <x:v>Over 2.5 walks allowed</x:v>
      </x:c>
      <x:c r="G38" s="0" t="str">
        <x:v>+145 DraftKings</x:v>
      </x:c>
      <x:c r="H38" s="0" t="str"/>
      <x:c r="I38" s="0" t="str"/>
      <x:c r="J38" s="0" t="str"/>
      <x:c r="K38" s="0" t="str">
        <x:v>PLACED_USER_CONFIRMED — A live-before-first-pitch requalification selected 3+ walks at +145 over the hits market. The user confirmed placement.</x:v>
      </x:c>
    </x:row>
    <x:row r="39" ht="42" customHeight="1">
      <x:c r="A39" s="0" t="str">
        <x:v>FINAL CHECK</x:v>
      </x:c>
      <x:c r="B39" s="0" t="str">
        <x:v>S12-A21</x:v>
      </x:c>
      <x:c r="C39" s="0" t="str">
        <x:v>MLB</x:v>
      </x:c>
      <x:c r="D39" s="0" t="str">
        <x:v>Zac Thornton</x:v>
      </x:c>
      <x:c r="E39" s="0" t="str">
        <x:v>New York Mets at New York Yankees</x:v>
      </x:c>
      <x:c r="F39" s="0" t="str">
        <x:v>Under 15.5 pitching outs</x:v>
      </x:c>
      <x:c r="G39" s="0" t="str">
        <x:v>-156 DraftKings</x:v>
      </x:c>
      <x:c r="H39" s="0" t="str"/>
      <x:c r="I39" s="0" t="str"/>
      <x:c r="J39" s="0" t="str"/>
      <x:c r="K39" s="0" t="str">
        <x:v>QUALIFIED_RECHECK — Workload-fade alternative paired with the Thornton hits arm. Confirm lineup and expected leash; do not count both as independent candidates.</x:v>
      </x:c>
    </x:row>
    <x:row r="40" ht="42" customHeight="1">
      <x:c r="A40" s="0" t="str">
        <x:v>FINAL CHECK</x:v>
      </x:c>
      <x:c r="B40" s="0" t="str">
        <x:v>S12-A22</x:v>
      </x:c>
      <x:c r="C40" s="0" t="str">
        <x:v>MLB</x:v>
      </x:c>
      <x:c r="D40" s="0" t="str">
        <x:v>Aaron Judge</x:v>
      </x:c>
      <x:c r="E40" s="0" t="str">
        <x:v>New York Mets at New York Yankees</x:v>
      </x:c>
      <x:c r="F40" s="0" t="str">
        <x:v>2+ total bases</x:v>
      </x:c>
      <x:c r="G40" s="0" t="str">
        <x:v>+104 DraftKings</x:v>
      </x:c>
      <x:c r="H40" s="0" t="str"/>
      <x:c r="I40" s="0" t="str"/>
      <x:c r="J40" s="0" t="str"/>
      <x:c r="K40" s="0" t="str">
        <x:v>HOLD_FOR_LINEUP — Supplied hitter challenger linked to Thornton’s right-handed vulnerability, but Judge’s recent return creates a workload/form-regime gate.</x:v>
      </x:c>
    </x:row>
    <x:row r="41" ht="42" customHeight="1">
      <x:c r="A41" s="0" t="str">
        <x:v>FINAL CHECK</x:v>
      </x:c>
      <x:c r="B41" s="0" t="str">
        <x:v>S12-A23</x:v>
      </x:c>
      <x:c r="C41" s="0" t="str">
        <x:v>NCAAF</x:v>
      </x:c>
      <x:c r="D41" s="0" t="str">
        <x:v>Ryan Wingo</x:v>
      </x:c>
      <x:c r="E41" s="0" t="str">
        <x:v>Ohio State Buckeyes at Texas Longhorns</x:v>
      </x:c>
      <x:c r="F41" s="0" t="str">
        <x:v>60+ receiving yards</x:v>
      </x:c>
      <x:c r="G41" s="0" t="str">
        <x:v>+120 DraftKings</x:v>
      </x:c>
      <x:c r="H41" s="0" t="str"/>
      <x:c r="I41" s="0" t="str"/>
      <x:c r="J41" s="0" t="str"/>
      <x:c r="K41" s="0" t="str">
        <x:v>PLACED_USER_CONFIRMED — The independent evening audit preferred Wingo's 60+ receiving-yards threshold over the supplied Jeremiah Smith markets. The displayed +120 price qualified before the dedicated 50% OSU–Texas boost, and the user later confirmed placement.</x:v>
      </x:c>
    </x:row>
    <x:row r="42" ht="42" customHeight="1">
      <x:c r="A42" s="0" t="str">
        <x:v>FINAL CHECK</x:v>
      </x:c>
      <x:c r="B42" s="0" t="str">
        <x:v>S12-A24</x:v>
      </x:c>
      <x:c r="C42" s="0" t="str">
        <x:v>NCAAF</x:v>
      </x:c>
      <x:c r="D42" s="0" t="str">
        <x:v>Dilin Jones</x:v>
      </x:c>
      <x:c r="E42" s="0" t="str">
        <x:v>Louisiana Tech Bulldogs at LSU Tigers</x:v>
      </x:c>
      <x:c r="F42" s="0" t="str">
        <x:v>80+ rushing yards</x:v>
      </x:c>
      <x:c r="G42" s="0" t="str">
        <x:v>-118 DraftKings</x:v>
      </x:c>
      <x:c r="H42" s="0" t="str"/>
      <x:c r="I42" s="0" t="str"/>
      <x:c r="J42" s="0" t="str"/>
      <x:c r="K42" s="0" t="str">
        <x:v>QUALIFIED_BUILD_HOLD — The evening player audit identified Jones as LSU's current RB1 and selected the lower 80+ threshold to reduce blowout-rotation risk. It is a proposed Stepped Up leg, not a placed ticket.</x:v>
      </x:c>
    </x:row>
    <x:row r="43" ht="42" customHeight="1">
      <x:c r="A43" s="0" t="str">
        <x:v>FINAL CHECK</x:v>
      </x:c>
      <x:c r="B43" s="0" t="str">
        <x:v>S12-A25</x:v>
      </x:c>
      <x:c r="C43" s="0" t="str">
        <x:v>NCAAF</x:v>
      </x:c>
      <x:c r="D43" s="0" t="str">
        <x:v>Kamari Moulton</x:v>
      </x:c>
      <x:c r="E43" s="0" t="str">
        <x:v>Iowa State Cyclones at Iowa Hawkeyes</x:v>
      </x:c>
      <x:c r="F43" s="0" t="str">
        <x:v>19+ rushing attempts</x:v>
      </x:c>
      <x:c r="G43" s="0" t="str">
        <x:v>-125 DraftKings</x:v>
      </x:c>
      <x:c r="H43" s="0" t="str"/>
      <x:c r="I43" s="0" t="str"/>
      <x:c r="J43" s="0" t="str"/>
      <x:c r="K43" s="0" t="str">
        <x:v>QUALIFIED_BUILD_HOLD — The evening audit preferred the attempts market over rushing yards because it expresses the expected lead workload without requiring a specific yards-per-carry result. It is not placement-confirmed.</x:v>
      </x:c>
    </x:row>
    <x:row r="44" ht="42" customHeight="1">
      <x:c r="A44" s="0" t="str">
        <x:v>FINAL CHECK</x:v>
      </x:c>
      <x:c r="B44" s="0" t="str">
        <x:v>S12-A26</x:v>
      </x:c>
      <x:c r="C44" s="0" t="str">
        <x:v>NCAAF</x:v>
      </x:c>
      <x:c r="D44" s="0" t="str">
        <x:v>Oregon State Beavers</x:v>
      </x:c>
      <x:c r="E44" s="0" t="str">
        <x:v>Oregon State Beavers at Texas Tech Red Raiders</x:v>
      </x:c>
      <x:c r="F44" s="0" t="str">
        <x:v>Over 9.5 team points</x:v>
      </x:c>
      <x:c r="G44" s="0" t="str">
        <x:v>-250 DraftKings</x:v>
      </x:c>
      <x:c r="H44" s="0" t="str"/>
      <x:c r="I44" s="0" t="str"/>
      <x:c r="J44" s="0" t="str"/>
      <x:c r="K44" s="0" t="str">
        <x:v>QUALIFIED_BUILD_HOLD — The evening audit selected the lower 9.5 team-total threshold instead of the more aggressive 13.5 line to reduce weather and passing-volume sensitivity. It is not placement-confirmed.</x:v>
      </x:c>
    </x:row>
    <x:row r="45" ht="42" customHeight="1">
      <x:c r="A45" s="0" t="str">
        <x:v>PAPER</x:v>
      </x:c>
      <x:c r="B45" s="0" t="str">
        <x:v>S12-P01</x:v>
      </x:c>
      <x:c r="C45" s="0" t="str">
        <x:v>NCAAF</x:v>
      </x:c>
      <x:c r="D45" s="0" t="str">
        <x:v>Ohio State Buckeyes</x:v>
      </x:c>
      <x:c r="E45" s="0" t="str">
        <x:v>Ohio State Buckeyes at Texas Longhorns</x:v>
      </x:c>
      <x:c r="F45" s="0" t="str">
        <x:v>Ohio State +1.5 / ML -102</x:v>
      </x:c>
      <x:c r="G45" s="0" t="str">
        <x:v>-102 source display</x:v>
      </x:c>
      <x:c r="H45" s="0" t="str"/>
      <x:c r="I45" s="0" t="str"/>
      <x:c r="J45" s="0" t="str"/>
      <x:c r="K45" s="0" t="str">
        <x:v>CONFLICT_CLUSTER — Source-disagreement cluster versus a Texas -1.5 independent source view; treat spread and ML as one correlated hypothesis.</x:v>
      </x:c>
    </x:row>
    <x:row r="46" ht="42" customHeight="1">
      <x:c r="A46" s="0" t="str">
        <x:v>PAPER</x:v>
      </x:c>
      <x:c r="B46" s="0" t="str">
        <x:v>S12-P02</x:v>
      </x:c>
      <x:c r="C46" s="0" t="str">
        <x:v>NCAAF</x:v>
      </x:c>
      <x:c r="D46" s="0" t="str">
        <x:v>Ohio State–Texas</x:v>
      </x:c>
      <x:c r="E46" s="0" t="str">
        <x:v>Ohio State Buckeyes at Texas Longhorns</x:v>
      </x:c>
      <x:c r="F46" s="0" t="str">
        <x:v>Under 50 / Over 54.5</x:v>
      </x:c>
      <x:c r="G46" s="0" t="str">
        <x:v>DraftKings price unavailable</x:v>
      </x:c>
      <x:c r="H46" s="0" t="str"/>
      <x:c r="I46" s="0" t="str"/>
      <x:c r="J46" s="0" t="str"/>
      <x:c r="K46" s="0" t="str">
        <x:v>CONFLICT_CLUSTER — Directional total disagreement retained as paired Paper arms, not independent observations.</x:v>
      </x:c>
    </x:row>
    <x:row r="47" ht="42" customHeight="1">
      <x:c r="A47" s="0" t="str">
        <x:v>PAPER</x:v>
      </x:c>
      <x:c r="B47" s="0" t="str">
        <x:v>S12-P03</x:v>
      </x:c>
      <x:c r="C47" s="0" t="str">
        <x:v>NCAAF</x:v>
      </x:c>
      <x:c r="D47" s="0" t="str">
        <x:v>Old Dominion Monarchs</x:v>
      </x:c>
      <x:c r="E47" s="0" t="str">
        <x:v>Old Dominion Monarchs at Virginia Tech Hokies</x:v>
      </x:c>
      <x:c r="F47" s="0" t="str">
        <x:v>Old Dominion +19</x:v>
      </x:c>
      <x:c r="G47" s="0" t="str">
        <x:v>DraftKings price unavailable</x:v>
      </x:c>
      <x:c r="H47" s="0" t="str"/>
      <x:c r="I47" s="0" t="str"/>
      <x:c r="J47" s="0" t="str"/>
      <x:c r="K47" s="0" t="str">
        <x:v>REPLICATION — Source-led large-underdog spread requiring independent matchup and price verification.</x:v>
      </x:c>
    </x:row>
    <x:row r="48" ht="42" customHeight="1">
      <x:c r="A48" s="0" t="str">
        <x:v>PAPER</x:v>
      </x:c>
      <x:c r="B48" s="0" t="str">
        <x:v>S12-P04</x:v>
      </x:c>
      <x:c r="C48" s="0" t="str">
        <x:v>NCAAF</x:v>
      </x:c>
      <x:c r="D48" s="0" t="str">
        <x:v>Eastern Michigan Eagles</x:v>
      </x:c>
      <x:c r="E48" s="0" t="str">
        <x:v>Eastern Michigan Eagles at Michigan State Spartans</x:v>
      </x:c>
      <x:c r="F48" s="0" t="str">
        <x:v>Eastern Michigan +17.5 / ML +600</x:v>
      </x:c>
      <x:c r="G48" s="0" t="str">
        <x:v>+600 source display</x:v>
      </x:c>
      <x:c r="H48" s="0" t="str"/>
      <x:c r="I48" s="0" t="str"/>
      <x:c r="J48" s="0" t="str"/>
      <x:c r="K48" s="0" t="str">
        <x:v>CONFLICT_CLUSTER — Paired competitive-underdog and upset expressions; one correlated source-led cluster.</x:v>
      </x:c>
    </x:row>
    <x:row r="49" ht="42" customHeight="1">
      <x:c r="A49" s="0" t="str">
        <x:v>PAPER</x:v>
      </x:c>
      <x:c r="B49" s="0" t="str">
        <x:v>S12-P05</x:v>
      </x:c>
      <x:c r="C49" s="0" t="str">
        <x:v>NCAAF</x:v>
      </x:c>
      <x:c r="D49" s="0" t="str">
        <x:v>UConn Huskies</x:v>
      </x:c>
      <x:c r="E49" s="0" t="str">
        <x:v>Maryland Terrapins at UConn Huskies</x:v>
      </x:c>
      <x:c r="F49" s="0" t="str">
        <x:v>UConn +12.5 / ML +350</x:v>
      </x:c>
      <x:c r="G49" s="0" t="str">
        <x:v>+350 source display</x:v>
      </x:c>
      <x:c r="H49" s="0" t="str"/>
      <x:c r="I49" s="0" t="str"/>
      <x:c r="J49" s="0" t="str"/>
      <x:c r="K49" s="0" t="str">
        <x:v>CONFLICT_CLUSTER — Paired competitive-underdog and upset expressions; one correlated source-led cluster.</x:v>
      </x:c>
    </x:row>
    <x:row r="50" ht="42" customHeight="1">
      <x:c r="A50" s="0" t="str">
        <x:v>PAPER</x:v>
      </x:c>
      <x:c r="B50" s="0" t="str">
        <x:v>S12-P06</x:v>
      </x:c>
      <x:c r="C50" s="0" t="str">
        <x:v>NCAAF</x:v>
      </x:c>
      <x:c r="D50" s="0" t="str">
        <x:v>Sacramento State Hornets</x:v>
      </x:c>
      <x:c r="E50" s="0" t="str">
        <x:v>Sacramento State Hornets at Fresno State Bulldogs</x:v>
      </x:c>
      <x:c r="F50" s="0" t="str">
        <x:v>Sacramento State +18.5</x:v>
      </x:c>
      <x:c r="G50" s="0" t="str">
        <x:v>DraftKings price unavailable</x:v>
      </x:c>
      <x:c r="H50" s="0" t="str"/>
      <x:c r="I50" s="0" t="str"/>
      <x:c r="J50" s="0" t="str"/>
      <x:c r="K50" s="0" t="str">
        <x:v>REPLICATION — Source-led large-underdog spread requiring independent matchup and price verification.</x:v>
      </x:c>
    </x:row>
    <x:row r="51" ht="42" customHeight="1">
      <x:c r="A51" s="0" t="str">
        <x:v>PAPER</x:v>
      </x:c>
      <x:c r="B51" s="0" t="str">
        <x:v>S12-P07</x:v>
      </x:c>
      <x:c r="C51" s="0" t="str">
        <x:v>MLB</x:v>
      </x:c>
      <x:c r="D51" s="0" t="str">
        <x:v>Tyler Phillips</x:v>
      </x:c>
      <x:c r="E51" s="0" t="str">
        <x:v>Los Angeles Dodgers at Miami Marlins</x:v>
      </x:c>
      <x:c r="F51" s="0" t="str">
        <x:v>Over 3.5 strikeouts</x:v>
      </x:c>
      <x:c r="G51" s="0" t="str">
        <x:v>DraftKings price unavailable</x:v>
      </x:c>
      <x:c r="H51" s="0" t="str"/>
      <x:c r="I51" s="0" t="str"/>
      <x:c r="J51" s="0" t="str"/>
      <x:c r="K51" s="0" t="str">
        <x:v>CHALLENGER — External optimizer reports an 8.0% edge, but exact DraftKings price and independent current-regime audit are unavailable.</x:v>
      </x:c>
    </x:row>
    <x:row r="52" ht="42" customHeight="1">
      <x:c r="A52" s="0" t="str">
        <x:v>PAPER</x:v>
      </x:c>
      <x:c r="B52" s="0" t="str">
        <x:v>S12-P08</x:v>
      </x:c>
      <x:c r="C52" s="0" t="str">
        <x:v>MLB</x:v>
      </x:c>
      <x:c r="D52" s="0" t="str">
        <x:v>Kyle Bradish</x:v>
      </x:c>
      <x:c r="E52" s="0" t="str">
        <x:v>Baltimore Orioles at Toronto Blue Jays</x:v>
      </x:c>
      <x:c r="F52" s="0" t="str">
        <x:v>Over 16.5 pitching outs</x:v>
      </x:c>
      <x:c r="G52" s="0" t="str">
        <x:v>DraftKings price unavailable</x:v>
      </x:c>
      <x:c r="H52" s="0" t="str"/>
      <x:c r="I52" s="0" t="str"/>
      <x:c r="J52" s="0" t="str"/>
      <x:c r="K52" s="0" t="str">
        <x:v>CHALLENGER — External optimizer reports a 5.2% edge; compare with the independently reviewed hits and walks expressions as one correlated thesis.</x:v>
      </x:c>
    </x:row>
    <x:row r="53" ht="42" customHeight="1">
      <x:c r="A53" s="0" t="str">
        <x:v>PAPER</x:v>
      </x:c>
      <x:c r="B53" s="0" t="str">
        <x:v>S12-P09</x:v>
      </x:c>
      <x:c r="C53" s="0" t="str">
        <x:v>MLB</x:v>
      </x:c>
      <x:c r="D53" s="0" t="str">
        <x:v>Ranger Suárez</x:v>
      </x:c>
      <x:c r="E53" s="0" t="str">
        <x:v>Kansas City Royals at Boston Red Sox</x:v>
      </x:c>
      <x:c r="F53" s="0" t="str">
        <x:v>Over 17.5 pitching outs</x:v>
      </x:c>
      <x:c r="G53" s="0" t="str">
        <x:v>DraftKings price unavailable</x:v>
      </x:c>
      <x:c r="H53" s="0" t="str"/>
      <x:c r="I53" s="0" t="str"/>
      <x:c r="J53" s="0" t="str"/>
      <x:c r="K53" s="0" t="str">
        <x:v>CHALLENGER — External optimizer reports a 4.7% edge; exact price and recent workload re-audit remain required.</x:v>
      </x:c>
    </x:row>
    <x:row r="54" ht="42" customHeight="1">
      <x:c r="A54" s="0" t="str">
        <x:v>PAPER</x:v>
      </x:c>
      <x:c r="B54" s="0" t="str">
        <x:v>S12-P10</x:v>
      </x:c>
      <x:c r="C54" s="0" t="str">
        <x:v>MLB</x:v>
      </x:c>
      <x:c r="D54" s="0" t="str">
        <x:v>Walbert Ureña</x:v>
      </x:c>
      <x:c r="E54" s="0" t="str">
        <x:v>Los Angeles Angels at Washington Nationals</x:v>
      </x:c>
      <x:c r="F54" s="0" t="str">
        <x:v>Over 4.5 strikeouts</x:v>
      </x:c>
      <x:c r="G54" s="0" t="str">
        <x:v>DraftKings price unavailable</x:v>
      </x:c>
      <x:c r="H54" s="0" t="str"/>
      <x:c r="I54" s="0" t="str"/>
      <x:c r="J54" s="0" t="str"/>
      <x:c r="K54" s="0" t="str">
        <x:v>CHALLENGER — External optimizer reports a 4.6% edge; compare with the independently surfaced workload and command expressions.</x:v>
      </x:c>
    </x:row>
    <x:row r="55" ht="42" customHeight="1">
      <x:c r="A55" s="0" t="str">
        <x:v>PAPER</x:v>
      </x:c>
      <x:c r="B55" s="0" t="str">
        <x:v>S12-P11</x:v>
      </x:c>
      <x:c r="C55" s="0" t="str">
        <x:v>MLB</x:v>
      </x:c>
      <x:c r="D55" s="0" t="str">
        <x:v>Tyler Mahle</x:v>
      </x:c>
      <x:c r="E55" s="0" t="str">
        <x:v>Philadelphia Phillies at Atlanta Braves</x:v>
      </x:c>
      <x:c r="F55" s="0" t="str">
        <x:v>Under 16.5 pitching outs</x:v>
      </x:c>
      <x:c r="G55" s="0" t="str">
        <x:v>DraftKings price unavailable</x:v>
      </x:c>
      <x:c r="H55" s="0" t="str"/>
      <x:c r="I55" s="0" t="str"/>
      <x:c r="J55" s="0" t="str"/>
      <x:c r="K55" s="0" t="str">
        <x:v>REPLICATION — External optimizer reports a 5.0% edge; exact price and independent workload audit remain unavailable.</x:v>
      </x:c>
    </x:row>
    <x:row r="56" ht="42" customHeight="1">
      <x:c r="A56" s="0" t="str">
        <x:v>PAPER</x:v>
      </x:c>
      <x:c r="B56" s="0" t="str">
        <x:v>S12-P12</x:v>
      </x:c>
      <x:c r="C56" s="0" t="str">
        <x:v>NCAAF</x:v>
      </x:c>
      <x:c r="D56" s="0" t="str">
        <x:v>Cam Coleman</x:v>
      </x:c>
      <x:c r="E56" s="0" t="str">
        <x:v>Ohio State Buckeyes at Texas Longhorns</x:v>
      </x:c>
      <x:c r="F56" s="0" t="str">
        <x:v>Over 4.5 receptions</x:v>
      </x:c>
      <x:c r="G56" s="0" t="str">
        <x:v>DraftKings price unavailable</x:v>
      </x:c>
      <x:c r="H56" s="0" t="str"/>
      <x:c r="I56" s="0" t="str"/>
      <x:c r="J56" s="0" t="str"/>
      <x:c r="K56" s="0" t="str">
        <x:v>SOURCE_PROP — External optimizer reports 6.0% EV; role, lineup, threshold price and opponent matchup have not been independently verified.</x:v>
      </x:c>
    </x:row>
    <x:row r="57" ht="42" customHeight="1">
      <x:c r="A57" s="0" t="str">
        <x:v>PAPER</x:v>
      </x:c>
      <x:c r="B57" s="0" t="str">
        <x:v>S12-P13</x:v>
      </x:c>
      <x:c r="C57" s="0" t="str">
        <x:v>NCAAF</x:v>
      </x:c>
      <x:c r="D57" s="0" t="str">
        <x:v>CJ Brown</x:v>
      </x:c>
      <x:c r="E57" s="0" t="str">
        <x:v>Arkansas Razorbacks at Utah Utes</x:v>
      </x:c>
      <x:c r="F57" s="0" t="str">
        <x:v>Over 33.5 receiving yards</x:v>
      </x:c>
      <x:c r="G57" s="0" t="str">
        <x:v>DraftKings price unavailable</x:v>
      </x:c>
      <x:c r="H57" s="0" t="str"/>
      <x:c r="I57" s="0" t="str"/>
      <x:c r="J57" s="0" t="str"/>
      <x:c r="K57" s="0" t="str">
        <x:v>SOURCE_PROP — External optimizer reports 5.8% EV; role, lineup, threshold price and opponent matchup have not been independently verified.</x:v>
      </x:c>
    </x:row>
    <x:row r="58" ht="42" customHeight="1">
      <x:c r="A58" s="0" t="str">
        <x:v>PAPER</x:v>
      </x:c>
      <x:c r="B58" s="0" t="str">
        <x:v>S12-P14</x:v>
      </x:c>
      <x:c r="C58" s="0" t="str">
        <x:v>NCAAF</x:v>
      </x:c>
      <x:c r="D58" s="0" t="str">
        <x:v>Sutton Smith</x:v>
      </x:c>
      <x:c r="E58" s="0" t="str">
        <x:v>Arkansas Razorbacks at Utah Utes</x:v>
      </x:c>
      <x:c r="F58" s="0" t="str">
        <x:v>Under 2.5 receptions</x:v>
      </x:c>
      <x:c r="G58" s="0" t="str">
        <x:v>DraftKings price unavailable</x:v>
      </x:c>
      <x:c r="H58" s="0" t="str"/>
      <x:c r="I58" s="0" t="str"/>
      <x:c r="J58" s="0" t="str"/>
      <x:c r="K58" s="0" t="str">
        <x:v>SOURCE_PROP — External optimizer reports 4.8% EV; role, lineup, threshold price and opponent matchup have not been independently verified.</x:v>
      </x:c>
    </x:row>
  </x:sheetData>
  <x:mergeCells count="2">
    <x:mergeCell ref="A1:K1"/>
    <x:mergeCell ref="A2:K2"/>
  </x:mergeCells>
  <x:pageMargins left="0.7" right="0.7" top="0.75" bottom="0.75" header="0.3" footer="0.3"/>
</x:worksheet>
</file>